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Validation" sheetId="3" state="visible" r:id="rId5"/>
    <sheet name="Risk Score" sheetId="4" state="visible" r:id="rId6"/>
    <sheet name="Priority Screening Lis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<sst xmlns="http://schemas.openxmlformats.org/spreadsheetml/2006/main" count="17586" uniqueCount="64">
  <si>
    <t xml:space="preserve">VitalScan: Smoking Health Risk Analysis</t>
  </si>
  <si>
    <t xml:space="preserve">Key numbers, Excel layer</t>
  </si>
  <si>
    <t xml:space="preserve">Total patients</t>
  </si>
  <si>
    <t xml:space="preserve">Average age</t>
  </si>
  <si>
    <t xml:space="preserve">Average BMI</t>
  </si>
  <si>
    <t xml:space="preserve">Current smokers (%)</t>
  </si>
  <si>
    <t xml:space="preserve">Average cholesterol</t>
  </si>
  <si>
    <t xml:space="preserve">High risk patients</t>
  </si>
  <si>
    <t xml:space="preserve">High risk (%)</t>
  </si>
  <si>
    <t xml:space="preserve">Damaged organ cases</t>
  </si>
  <si>
    <t xml:space="preserve">High risk patients are ranked by score on the Priority Screening List sheet.</t>
  </si>
  <si>
    <t xml:space="preserve">Patient_ID</t>
  </si>
  <si>
    <t xml:space="preserve">Age</t>
  </si>
  <si>
    <t xml:space="preserve">Gender</t>
  </si>
  <si>
    <t xml:space="preserve">Smoking_Status</t>
  </si>
  <si>
    <t xml:space="preserve">Years_of_Smoking</t>
  </si>
  <si>
    <t xml:space="preserve">Cigarettes_Per_Day</t>
  </si>
  <si>
    <t xml:space="preserve">Organ</t>
  </si>
  <si>
    <t xml:space="preserve">Organ_Condition</t>
  </si>
  <si>
    <t xml:space="preserve">BMI</t>
  </si>
  <si>
    <t xml:space="preserve">BP_Risk</t>
  </si>
  <si>
    <t xml:space="preserve">Cholesterol_Level</t>
  </si>
  <si>
    <t xml:space="preserve">Family_History_Risk</t>
  </si>
  <si>
    <t xml:space="preserve">Alcohol_Consumption</t>
  </si>
  <si>
    <t xml:space="preserve">Female</t>
  </si>
  <si>
    <t xml:space="preserve">Never</t>
  </si>
  <si>
    <t xml:space="preserve">Liver</t>
  </si>
  <si>
    <t xml:space="preserve">Healthy</t>
  </si>
  <si>
    <t xml:space="preserve">Normal</t>
  </si>
  <si>
    <t xml:space="preserve">No</t>
  </si>
  <si>
    <t xml:space="preserve">Low</t>
  </si>
  <si>
    <t xml:space="preserve">Kidney</t>
  </si>
  <si>
    <t xml:space="preserve">Damaged</t>
  </si>
  <si>
    <t xml:space="preserve">Male</t>
  </si>
  <si>
    <t xml:space="preserve">Human Body</t>
  </si>
  <si>
    <t xml:space="preserve">Heart</t>
  </si>
  <si>
    <t xml:space="preserve">Lungs</t>
  </si>
  <si>
    <t xml:space="preserve">Yes</t>
  </si>
  <si>
    <t xml:space="preserve">Moderate</t>
  </si>
  <si>
    <t xml:space="preserve">High</t>
  </si>
  <si>
    <t xml:space="preserve">Current</t>
  </si>
  <si>
    <t xml:space="preserve">Former</t>
  </si>
  <si>
    <t xml:space="preserve">Data Validation</t>
  </si>
  <si>
    <t xml:space="preserve">Check</t>
  </si>
  <si>
    <t xml:space="preserve">Result</t>
  </si>
  <si>
    <t xml:space="preserve">Expected</t>
  </si>
  <si>
    <t xml:space="preserve">Total rows</t>
  </si>
  <si>
    <t xml:space="preserve">2500</t>
  </si>
  <si>
    <t xml:space="preserve">Duplicate Patient IDs</t>
  </si>
  <si>
    <t xml:space="preserve">0</t>
  </si>
  <si>
    <t xml:space="preserve">Missing values by column</t>
  </si>
  <si>
    <t xml:space="preserve">Column</t>
  </si>
  <si>
    <t xml:space="preserve">Blank Count</t>
  </si>
  <si>
    <t xml:space="preserve">Range check</t>
  </si>
  <si>
    <t xml:space="preserve">Field</t>
  </si>
  <si>
    <t xml:space="preserve">Min</t>
  </si>
  <si>
    <t xml:space="preserve">Max</t>
  </si>
  <si>
    <t xml:space="preserve">Category consistency</t>
  </si>
  <si>
    <t xml:space="preserve">Rows matching known categories</t>
  </si>
  <si>
    <t xml:space="preserve">Matches total rows?</t>
  </si>
  <si>
    <t xml:space="preserve">Risk_Score</t>
  </si>
  <si>
    <t xml:space="preserve">Risk_Tier</t>
  </si>
  <si>
    <t xml:space="preserve">High Risk Patients - Priority Screening</t>
  </si>
  <si>
    <t xml:space="preserve">Sorted by Risk Score, highest first. Source: Risk Score sheet.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</si>
</sst>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5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6F8"/>
        <bgColor rgb="FFFFFFFF"/>
      </patternFill>
    </fill>
    <fill>
      <patternFill patternType="solid">
        <fgColor rgb="FF1F4E5F"/>
        <bgColor rgb="FF333333"/>
      </patternFill>
    </fill>
    <fill>
      <patternFill patternType="solid">
        <fgColor rgb="FFFDEAEA"/>
        <bgColor rgb="FFF2F6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6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A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 t="s">
        <v>3</v>
      </c>
      <c r="D4" s="3"/>
    </row>
    <row r="5" customFormat="false" ht="17.35" hidden="false" customHeight="false" outlineLevel="0" collapsed="false">
      <c r="A5" s="4" t="n">
        <f aca="false">COUNTA('Raw Data'!A2:A2501)</f>
        <v>2500</v>
      </c>
      <c r="B5" s="4"/>
      <c r="C5" s="4" t="n">
        <f aca="false">ROUND(AVERAGE('Raw Data'!B2:B2501),1)</f>
        <v>54</v>
      </c>
      <c r="D5" s="4"/>
    </row>
    <row r="7" customFormat="false" ht="15" hidden="false" customHeight="false" outlineLevel="0" collapsed="false">
      <c r="A7" s="3" t="s">
        <v>4</v>
      </c>
      <c r="B7" s="3"/>
      <c r="C7" s="3" t="s">
        <v>5</v>
      </c>
      <c r="D7" s="3"/>
    </row>
    <row r="8" customFormat="false" ht="17.35" hidden="false" customHeight="false" outlineLevel="0" collapsed="false">
      <c r="A8" s="4" t="n">
        <f aca="false">ROUND(AVERAGE('Raw Data'!I2:I2501),1)</f>
        <v>29.6</v>
      </c>
      <c r="B8" s="4"/>
      <c r="C8" s="4" t="n">
        <f aca="false">ROUND(COUNTIF('Raw Data'!D2:D2501,"Current")/COUNTA('Raw Data'!A2:A2501)*100,1)</f>
        <v>29.3</v>
      </c>
      <c r="D8" s="4"/>
    </row>
    <row r="10" customFormat="false" ht="15" hidden="false" customHeight="false" outlineLevel="0" collapsed="false">
      <c r="A10" s="3" t="s">
        <v>6</v>
      </c>
      <c r="B10" s="3"/>
      <c r="C10" s="3" t="s">
        <v>7</v>
      </c>
      <c r="D10" s="3"/>
    </row>
    <row r="11" customFormat="false" ht="17.35" hidden="false" customHeight="false" outlineLevel="0" collapsed="false">
      <c r="A11" s="4" t="n">
        <f aca="false">ROUND(AVERAGE('Raw Data'!K2:K2501),1)</f>
        <v>207.8</v>
      </c>
      <c r="B11" s="4"/>
      <c r="C11" s="4" t="n">
        <f aca="false">COUNTIF('Risk Score'!J2:J2501,"High")</f>
        <v>246</v>
      </c>
      <c r="D11" s="4"/>
    </row>
    <row r="13" customFormat="false" ht="15" hidden="false" customHeight="false" outlineLevel="0" collapsed="false">
      <c r="A13" s="3" t="s">
        <v>8</v>
      </c>
      <c r="B13" s="3"/>
      <c r="C13" s="3" t="s">
        <v>9</v>
      </c>
      <c r="D13" s="3"/>
    </row>
    <row r="14" customFormat="false" ht="17.35" hidden="false" customHeight="false" outlineLevel="0" collapsed="false">
      <c r="A14" s="4" t="n">
        <f aca="false">ROUND(COUNTIF('Risk Score'!J2:J2501,"High")/COUNTA('Raw Data'!A2:A2501)*100,1)</f>
        <v>9.8</v>
      </c>
      <c r="B14" s="4"/>
      <c r="C14" s="4" t="n">
        <f aca="false">COUNTIF('Raw Data'!H2:H2501,"Damaged")</f>
        <v>897</v>
      </c>
      <c r="D14" s="4"/>
    </row>
    <row r="17" customFormat="false" ht="15" hidden="false" customHeight="false" outlineLevel="0" collapsed="false">
      <c r="A17" s="2" t="s">
        <v>10</v>
      </c>
    </row>
  </sheetData>
  <mergeCells count="17">
    <mergeCell ref="A1:D1"/>
    <mergeCell ref="A4:B4"/>
    <mergeCell ref="C4:D4"/>
    <mergeCell ref="A5:B5"/>
    <mergeCell ref="C5:D5"/>
    <mergeCell ref="A7:B7"/>
    <mergeCell ref="C7:D7"/>
    <mergeCell ref="A8:B8"/>
    <mergeCell ref="C8:D8"/>
    <mergeCell ref="A10:B10"/>
    <mergeCell ref="C10:D10"/>
    <mergeCell ref="A11:B11"/>
    <mergeCell ref="C11:D11"/>
    <mergeCell ref="A13:B13"/>
    <mergeCell ref="C13:D13"/>
    <mergeCell ref="A14:B14"/>
    <mergeCell ref="C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2"/>
    <col collapsed="false" customWidth="true" hidden="false" outlineLevel="0" max="2" min="2" style="5" width="6"/>
    <col collapsed="false" customWidth="true" hidden="false" outlineLevel="0" max="3" min="3" style="5" width="9"/>
    <col collapsed="false" customWidth="true" hidden="false" outlineLevel="0" max="5" min="4" style="5" width="14"/>
    <col collapsed="false" customWidth="true" hidden="false" outlineLevel="0" max="6" min="6" style="5" width="16"/>
    <col collapsed="false" customWidth="true" hidden="false" outlineLevel="0" max="7" min="7" style="5" width="11"/>
    <col collapsed="false" customWidth="true" hidden="false" outlineLevel="0" max="8" min="8" style="5" width="14"/>
    <col collapsed="false" customWidth="true" hidden="false" outlineLevel="0" max="9" min="9" style="5" width="7"/>
    <col collapsed="false" customWidth="true" hidden="false" outlineLevel="0" max="10" min="10" style="5" width="9"/>
    <col collapsed="false" customWidth="true" hidden="false" outlineLevel="0" max="11" min="11" style="5" width="15"/>
    <col collapsed="false" customWidth="true" hidden="false" outlineLevel="0" max="12" min="12" style="5" width="16"/>
    <col collapsed="false" customWidth="true" hidden="false" outlineLevel="0" max="13" min="13" style="5" width="17"/>
  </cols>
  <sheetData>
    <row r="1" customFormat="false" ht="1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6" t="s">
        <v>18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23</v>
      </c>
    </row>
    <row r="2" customFormat="false" ht="15" hidden="false" customHeight="true" outlineLevel="0" collapsed="false">
      <c r="A2" s="7" t="n">
        <v>17</v>
      </c>
      <c r="B2" s="7" t="n">
        <v>55</v>
      </c>
      <c r="C2" s="7" t="s">
        <v>24</v>
      </c>
      <c r="D2" s="7" t="s">
        <v>25</v>
      </c>
      <c r="E2" s="7" t="n">
        <v>0</v>
      </c>
      <c r="F2" s="7" t="n">
        <v>0</v>
      </c>
      <c r="G2" s="7" t="s">
        <v>26</v>
      </c>
      <c r="H2" s="7" t="s">
        <v>27</v>
      </c>
      <c r="I2" s="7" t="n">
        <v>32.8</v>
      </c>
      <c r="J2" s="7" t="s">
        <v>28</v>
      </c>
      <c r="K2" s="7" t="n">
        <v>136.3</v>
      </c>
      <c r="L2" s="7" t="s">
        <v>29</v>
      </c>
      <c r="M2" s="7" t="s">
        <v>30</v>
      </c>
    </row>
    <row r="3" customFormat="false" ht="15" hidden="false" customHeight="true" outlineLevel="0" collapsed="false">
      <c r="A3" s="7" t="n">
        <v>18</v>
      </c>
      <c r="B3" s="7" t="n">
        <v>20</v>
      </c>
      <c r="C3" s="7" t="s">
        <v>24</v>
      </c>
      <c r="D3" s="7" t="s">
        <v>25</v>
      </c>
      <c r="E3" s="7" t="n">
        <v>0</v>
      </c>
      <c r="F3" s="7" t="n">
        <v>0</v>
      </c>
      <c r="G3" s="7" t="s">
        <v>31</v>
      </c>
      <c r="H3" s="7" t="s">
        <v>32</v>
      </c>
      <c r="I3" s="7" t="n">
        <v>17.4</v>
      </c>
      <c r="J3" s="7" t="s">
        <v>28</v>
      </c>
      <c r="K3" s="7" t="n">
        <v>160.8</v>
      </c>
      <c r="L3" s="7" t="s">
        <v>29</v>
      </c>
      <c r="M3" s="7" t="s">
        <v>30</v>
      </c>
    </row>
    <row r="4" customFormat="false" ht="15" hidden="false" customHeight="true" outlineLevel="0" collapsed="false">
      <c r="A4" s="7" t="n">
        <v>31</v>
      </c>
      <c r="B4" s="7" t="n">
        <v>64</v>
      </c>
      <c r="C4" s="7" t="s">
        <v>33</v>
      </c>
      <c r="D4" s="7" t="s">
        <v>25</v>
      </c>
      <c r="E4" s="7" t="n">
        <v>0</v>
      </c>
      <c r="F4" s="7" t="n">
        <v>0</v>
      </c>
      <c r="G4" s="7" t="s">
        <v>31</v>
      </c>
      <c r="H4" s="7" t="s">
        <v>27</v>
      </c>
      <c r="I4" s="7" t="n">
        <v>41.2</v>
      </c>
      <c r="J4" s="7" t="s">
        <v>28</v>
      </c>
      <c r="K4" s="7" t="n">
        <v>127.4</v>
      </c>
      <c r="L4" s="7" t="s">
        <v>29</v>
      </c>
      <c r="M4" s="7" t="s">
        <v>30</v>
      </c>
    </row>
    <row r="5" customFormat="false" ht="15" hidden="false" customHeight="true" outlineLevel="0" collapsed="false">
      <c r="A5" s="7" t="n">
        <v>115</v>
      </c>
      <c r="B5" s="7" t="n">
        <v>65</v>
      </c>
      <c r="C5" s="7" t="s">
        <v>33</v>
      </c>
      <c r="D5" s="7" t="s">
        <v>25</v>
      </c>
      <c r="E5" s="7" t="n">
        <v>0</v>
      </c>
      <c r="F5" s="7" t="n">
        <v>0</v>
      </c>
      <c r="G5" s="7" t="s">
        <v>26</v>
      </c>
      <c r="H5" s="7" t="s">
        <v>32</v>
      </c>
      <c r="I5" s="7" t="n">
        <v>34.4</v>
      </c>
      <c r="J5" s="7" t="s">
        <v>28</v>
      </c>
      <c r="K5" s="7" t="n">
        <v>231.4</v>
      </c>
      <c r="L5" s="7" t="s">
        <v>29</v>
      </c>
      <c r="M5" s="7" t="s">
        <v>30</v>
      </c>
    </row>
    <row r="6" customFormat="false" ht="15" hidden="false" customHeight="true" outlineLevel="0" collapsed="false">
      <c r="A6" s="7" t="n">
        <v>135</v>
      </c>
      <c r="B6" s="7" t="n">
        <v>24</v>
      </c>
      <c r="C6" s="7" t="s">
        <v>24</v>
      </c>
      <c r="D6" s="7" t="s">
        <v>25</v>
      </c>
      <c r="E6" s="7" t="n">
        <v>0</v>
      </c>
      <c r="F6" s="7" t="n">
        <v>0</v>
      </c>
      <c r="G6" s="7" t="s">
        <v>34</v>
      </c>
      <c r="H6" s="7" t="s">
        <v>32</v>
      </c>
      <c r="I6" s="7" t="n">
        <v>35.2</v>
      </c>
      <c r="J6" s="7" t="s">
        <v>28</v>
      </c>
      <c r="K6" s="7" t="n">
        <v>196.6</v>
      </c>
      <c r="L6" s="7" t="s">
        <v>29</v>
      </c>
      <c r="M6" s="7" t="s">
        <v>30</v>
      </c>
    </row>
    <row r="7" customFormat="false" ht="15" hidden="false" customHeight="true" outlineLevel="0" collapsed="false">
      <c r="A7" s="7" t="n">
        <v>140</v>
      </c>
      <c r="B7" s="7" t="n">
        <v>40</v>
      </c>
      <c r="C7" s="7" t="s">
        <v>33</v>
      </c>
      <c r="D7" s="7" t="s">
        <v>25</v>
      </c>
      <c r="E7" s="7" t="n">
        <v>0</v>
      </c>
      <c r="F7" s="7" t="n">
        <v>0</v>
      </c>
      <c r="G7" s="7" t="s">
        <v>35</v>
      </c>
      <c r="H7" s="7" t="s">
        <v>32</v>
      </c>
      <c r="I7" s="7" t="n">
        <v>28.1</v>
      </c>
      <c r="J7" s="7" t="s">
        <v>28</v>
      </c>
      <c r="K7" s="7" t="n">
        <v>200.8</v>
      </c>
      <c r="L7" s="7" t="s">
        <v>29</v>
      </c>
      <c r="M7" s="7" t="s">
        <v>30</v>
      </c>
    </row>
    <row r="8" customFormat="false" ht="15" hidden="false" customHeight="true" outlineLevel="0" collapsed="false">
      <c r="A8" s="7" t="n">
        <v>154</v>
      </c>
      <c r="B8" s="7" t="n">
        <v>69</v>
      </c>
      <c r="C8" s="7" t="s">
        <v>24</v>
      </c>
      <c r="D8" s="7" t="s">
        <v>25</v>
      </c>
      <c r="E8" s="7" t="n">
        <v>0</v>
      </c>
      <c r="F8" s="7" t="n">
        <v>0</v>
      </c>
      <c r="G8" s="7" t="s">
        <v>35</v>
      </c>
      <c r="H8" s="7" t="s">
        <v>32</v>
      </c>
      <c r="I8" s="7" t="n">
        <v>30.3</v>
      </c>
      <c r="J8" s="7" t="s">
        <v>28</v>
      </c>
      <c r="K8" s="7" t="n">
        <v>136.1</v>
      </c>
      <c r="L8" s="7" t="s">
        <v>29</v>
      </c>
      <c r="M8" s="7" t="s">
        <v>30</v>
      </c>
    </row>
    <row r="9" customFormat="false" ht="15" hidden="false" customHeight="true" outlineLevel="0" collapsed="false">
      <c r="A9" s="7" t="n">
        <v>159</v>
      </c>
      <c r="B9" s="7" t="n">
        <v>54</v>
      </c>
      <c r="C9" s="7" t="s">
        <v>33</v>
      </c>
      <c r="D9" s="7" t="s">
        <v>25</v>
      </c>
      <c r="E9" s="7" t="n">
        <v>0</v>
      </c>
      <c r="F9" s="7" t="n">
        <v>0</v>
      </c>
      <c r="G9" s="7" t="s">
        <v>35</v>
      </c>
      <c r="H9" s="7" t="s">
        <v>27</v>
      </c>
      <c r="I9" s="7" t="n">
        <v>30.7</v>
      </c>
      <c r="J9" s="7" t="s">
        <v>28</v>
      </c>
      <c r="K9" s="7" t="n">
        <v>190.4</v>
      </c>
      <c r="L9" s="7" t="s">
        <v>29</v>
      </c>
      <c r="M9" s="7" t="s">
        <v>30</v>
      </c>
    </row>
    <row r="10" customFormat="false" ht="15" hidden="false" customHeight="true" outlineLevel="0" collapsed="false">
      <c r="A10" s="7" t="n">
        <v>193</v>
      </c>
      <c r="B10" s="7" t="n">
        <v>21</v>
      </c>
      <c r="C10" s="7" t="s">
        <v>24</v>
      </c>
      <c r="D10" s="7" t="s">
        <v>25</v>
      </c>
      <c r="E10" s="7" t="n">
        <v>0</v>
      </c>
      <c r="F10" s="7" t="n">
        <v>0</v>
      </c>
      <c r="G10" s="7" t="s">
        <v>36</v>
      </c>
      <c r="H10" s="7" t="s">
        <v>32</v>
      </c>
      <c r="I10" s="7" t="n">
        <v>31.8</v>
      </c>
      <c r="J10" s="7" t="s">
        <v>28</v>
      </c>
      <c r="K10" s="7" t="n">
        <v>194.3</v>
      </c>
      <c r="L10" s="7" t="s">
        <v>29</v>
      </c>
      <c r="M10" s="7" t="s">
        <v>30</v>
      </c>
    </row>
    <row r="11" customFormat="false" ht="15" hidden="false" customHeight="true" outlineLevel="0" collapsed="false">
      <c r="A11" s="7" t="n">
        <v>215</v>
      </c>
      <c r="B11" s="7" t="n">
        <v>42</v>
      </c>
      <c r="C11" s="7" t="s">
        <v>33</v>
      </c>
      <c r="D11" s="7" t="s">
        <v>25</v>
      </c>
      <c r="E11" s="7" t="n">
        <v>0</v>
      </c>
      <c r="F11" s="7" t="n">
        <v>0</v>
      </c>
      <c r="G11" s="7" t="s">
        <v>34</v>
      </c>
      <c r="H11" s="7" t="s">
        <v>27</v>
      </c>
      <c r="I11" s="7" t="n">
        <v>37.6</v>
      </c>
      <c r="J11" s="7" t="s">
        <v>28</v>
      </c>
      <c r="K11" s="7" t="n">
        <v>188.2</v>
      </c>
      <c r="L11" s="7" t="s">
        <v>29</v>
      </c>
      <c r="M11" s="7" t="s">
        <v>30</v>
      </c>
    </row>
    <row r="12" customFormat="false" ht="15" hidden="false" customHeight="true" outlineLevel="0" collapsed="false">
      <c r="A12" s="7" t="n">
        <v>233</v>
      </c>
      <c r="B12" s="7" t="n">
        <v>26</v>
      </c>
      <c r="C12" s="7" t="s">
        <v>24</v>
      </c>
      <c r="D12" s="7" t="s">
        <v>25</v>
      </c>
      <c r="E12" s="7" t="n">
        <v>0</v>
      </c>
      <c r="F12" s="7" t="n">
        <v>0</v>
      </c>
      <c r="G12" s="7" t="s">
        <v>26</v>
      </c>
      <c r="H12" s="7" t="s">
        <v>27</v>
      </c>
      <c r="I12" s="7" t="n">
        <v>37.5</v>
      </c>
      <c r="J12" s="7" t="s">
        <v>28</v>
      </c>
      <c r="K12" s="7" t="n">
        <v>278.4</v>
      </c>
      <c r="L12" s="7" t="s">
        <v>29</v>
      </c>
      <c r="M12" s="7" t="s">
        <v>30</v>
      </c>
    </row>
    <row r="13" customFormat="false" ht="15" hidden="false" customHeight="true" outlineLevel="0" collapsed="false">
      <c r="A13" s="7" t="n">
        <v>240</v>
      </c>
      <c r="B13" s="7" t="n">
        <v>38</v>
      </c>
      <c r="C13" s="7" t="s">
        <v>24</v>
      </c>
      <c r="D13" s="7" t="s">
        <v>25</v>
      </c>
      <c r="E13" s="7" t="n">
        <v>0</v>
      </c>
      <c r="F13" s="7" t="n">
        <v>0</v>
      </c>
      <c r="G13" s="7" t="s">
        <v>35</v>
      </c>
      <c r="H13" s="7" t="s">
        <v>27</v>
      </c>
      <c r="I13" s="7" t="n">
        <v>33.8</v>
      </c>
      <c r="J13" s="7" t="s">
        <v>28</v>
      </c>
      <c r="K13" s="7" t="n">
        <v>175.1</v>
      </c>
      <c r="L13" s="7" t="s">
        <v>29</v>
      </c>
      <c r="M13" s="7" t="s">
        <v>30</v>
      </c>
    </row>
    <row r="14" customFormat="false" ht="15" hidden="false" customHeight="true" outlineLevel="0" collapsed="false">
      <c r="A14" s="7" t="n">
        <v>243</v>
      </c>
      <c r="B14" s="7" t="n">
        <v>52</v>
      </c>
      <c r="C14" s="7" t="s">
        <v>33</v>
      </c>
      <c r="D14" s="7" t="s">
        <v>25</v>
      </c>
      <c r="E14" s="7" t="n">
        <v>0</v>
      </c>
      <c r="F14" s="7" t="n">
        <v>0</v>
      </c>
      <c r="G14" s="7" t="s">
        <v>35</v>
      </c>
      <c r="H14" s="7" t="s">
        <v>27</v>
      </c>
      <c r="I14" s="7" t="n">
        <v>24.8</v>
      </c>
      <c r="J14" s="7" t="s">
        <v>28</v>
      </c>
      <c r="K14" s="7" t="n">
        <v>229</v>
      </c>
      <c r="L14" s="7" t="s">
        <v>29</v>
      </c>
      <c r="M14" s="7" t="s">
        <v>30</v>
      </c>
    </row>
    <row r="15" customFormat="false" ht="15" hidden="false" customHeight="true" outlineLevel="0" collapsed="false">
      <c r="A15" s="7" t="n">
        <v>288</v>
      </c>
      <c r="B15" s="7" t="n">
        <v>22</v>
      </c>
      <c r="C15" s="7" t="s">
        <v>24</v>
      </c>
      <c r="D15" s="7" t="s">
        <v>25</v>
      </c>
      <c r="E15" s="7" t="n">
        <v>0</v>
      </c>
      <c r="F15" s="7" t="n">
        <v>0</v>
      </c>
      <c r="G15" s="7" t="s">
        <v>34</v>
      </c>
      <c r="H15" s="7" t="s">
        <v>27</v>
      </c>
      <c r="I15" s="7" t="n">
        <v>38.7</v>
      </c>
      <c r="J15" s="7" t="s">
        <v>28</v>
      </c>
      <c r="K15" s="7" t="n">
        <v>291.1</v>
      </c>
      <c r="L15" s="7" t="s">
        <v>29</v>
      </c>
      <c r="M15" s="7" t="s">
        <v>30</v>
      </c>
    </row>
    <row r="16" customFormat="false" ht="15" hidden="false" customHeight="true" outlineLevel="0" collapsed="false">
      <c r="A16" s="7" t="n">
        <v>300</v>
      </c>
      <c r="B16" s="7" t="n">
        <v>21</v>
      </c>
      <c r="C16" s="7" t="s">
        <v>24</v>
      </c>
      <c r="D16" s="7" t="s">
        <v>25</v>
      </c>
      <c r="E16" s="7" t="n">
        <v>0</v>
      </c>
      <c r="F16" s="7" t="n">
        <v>0</v>
      </c>
      <c r="G16" s="7" t="s">
        <v>35</v>
      </c>
      <c r="H16" s="7" t="s">
        <v>27</v>
      </c>
      <c r="I16" s="7" t="n">
        <v>34.7</v>
      </c>
      <c r="J16" s="7" t="s">
        <v>28</v>
      </c>
      <c r="K16" s="7" t="n">
        <v>217.3</v>
      </c>
      <c r="L16" s="7" t="s">
        <v>29</v>
      </c>
      <c r="M16" s="7" t="s">
        <v>30</v>
      </c>
    </row>
    <row r="17" customFormat="false" ht="15" hidden="false" customHeight="true" outlineLevel="0" collapsed="false">
      <c r="A17" s="7" t="n">
        <v>303</v>
      </c>
      <c r="B17" s="7" t="n">
        <v>89</v>
      </c>
      <c r="C17" s="7" t="s">
        <v>24</v>
      </c>
      <c r="D17" s="7" t="s">
        <v>25</v>
      </c>
      <c r="E17" s="7" t="n">
        <v>0</v>
      </c>
      <c r="F17" s="7" t="n">
        <v>0</v>
      </c>
      <c r="G17" s="7" t="s">
        <v>34</v>
      </c>
      <c r="H17" s="7" t="s">
        <v>27</v>
      </c>
      <c r="I17" s="7" t="n">
        <v>24.2</v>
      </c>
      <c r="J17" s="7" t="s">
        <v>28</v>
      </c>
      <c r="K17" s="7" t="n">
        <v>183.5</v>
      </c>
      <c r="L17" s="7" t="s">
        <v>29</v>
      </c>
      <c r="M17" s="7" t="s">
        <v>30</v>
      </c>
    </row>
    <row r="18" customFormat="false" ht="15" hidden="false" customHeight="true" outlineLevel="0" collapsed="false">
      <c r="A18" s="7" t="n">
        <v>317</v>
      </c>
      <c r="B18" s="7" t="n">
        <v>75</v>
      </c>
      <c r="C18" s="7" t="s">
        <v>33</v>
      </c>
      <c r="D18" s="7" t="s">
        <v>25</v>
      </c>
      <c r="E18" s="7" t="n">
        <v>0</v>
      </c>
      <c r="F18" s="7" t="n">
        <v>0</v>
      </c>
      <c r="G18" s="7" t="s">
        <v>35</v>
      </c>
      <c r="H18" s="7" t="s">
        <v>32</v>
      </c>
      <c r="I18" s="7" t="n">
        <v>27.7</v>
      </c>
      <c r="J18" s="7" t="s">
        <v>28</v>
      </c>
      <c r="K18" s="7" t="n">
        <v>236.9</v>
      </c>
      <c r="L18" s="7" t="s">
        <v>29</v>
      </c>
      <c r="M18" s="7" t="s">
        <v>30</v>
      </c>
    </row>
    <row r="19" customFormat="false" ht="15" hidden="false" customHeight="true" outlineLevel="0" collapsed="false">
      <c r="A19" s="7" t="n">
        <v>340</v>
      </c>
      <c r="B19" s="7" t="n">
        <v>54</v>
      </c>
      <c r="C19" s="7" t="s">
        <v>33</v>
      </c>
      <c r="D19" s="7" t="s">
        <v>25</v>
      </c>
      <c r="E19" s="7" t="n">
        <v>0</v>
      </c>
      <c r="F19" s="7" t="n">
        <v>0</v>
      </c>
      <c r="G19" s="7" t="s">
        <v>26</v>
      </c>
      <c r="H19" s="7" t="s">
        <v>32</v>
      </c>
      <c r="I19" s="7" t="n">
        <v>23.1</v>
      </c>
      <c r="J19" s="7" t="s">
        <v>28</v>
      </c>
      <c r="K19" s="7" t="n">
        <v>127</v>
      </c>
      <c r="L19" s="7" t="s">
        <v>29</v>
      </c>
      <c r="M19" s="7" t="s">
        <v>30</v>
      </c>
    </row>
    <row r="20" customFormat="false" ht="15" hidden="false" customHeight="true" outlineLevel="0" collapsed="false">
      <c r="A20" s="7" t="n">
        <v>370</v>
      </c>
      <c r="B20" s="7" t="n">
        <v>38</v>
      </c>
      <c r="C20" s="7" t="s">
        <v>33</v>
      </c>
      <c r="D20" s="7" t="s">
        <v>25</v>
      </c>
      <c r="E20" s="7" t="n">
        <v>0</v>
      </c>
      <c r="F20" s="7" t="n">
        <v>0</v>
      </c>
      <c r="G20" s="7" t="s">
        <v>36</v>
      </c>
      <c r="H20" s="7" t="s">
        <v>32</v>
      </c>
      <c r="I20" s="7" t="n">
        <v>40.3</v>
      </c>
      <c r="J20" s="7" t="s">
        <v>28</v>
      </c>
      <c r="K20" s="7" t="n">
        <v>230.1</v>
      </c>
      <c r="L20" s="7" t="s">
        <v>29</v>
      </c>
      <c r="M20" s="7" t="s">
        <v>30</v>
      </c>
    </row>
    <row r="21" customFormat="false" ht="15" hidden="false" customHeight="true" outlineLevel="0" collapsed="false">
      <c r="A21" s="7" t="n">
        <v>399</v>
      </c>
      <c r="B21" s="7" t="n">
        <v>29</v>
      </c>
      <c r="C21" s="7" t="s">
        <v>33</v>
      </c>
      <c r="D21" s="7" t="s">
        <v>25</v>
      </c>
      <c r="E21" s="7" t="n">
        <v>0</v>
      </c>
      <c r="F21" s="7" t="n">
        <v>0</v>
      </c>
      <c r="G21" s="7" t="s">
        <v>35</v>
      </c>
      <c r="H21" s="7" t="s">
        <v>32</v>
      </c>
      <c r="I21" s="7" t="n">
        <v>22.6</v>
      </c>
      <c r="J21" s="7" t="s">
        <v>28</v>
      </c>
      <c r="K21" s="7" t="n">
        <v>267.1</v>
      </c>
      <c r="L21" s="7" t="s">
        <v>29</v>
      </c>
      <c r="M21" s="7" t="s">
        <v>30</v>
      </c>
    </row>
    <row r="22" customFormat="false" ht="15" hidden="false" customHeight="true" outlineLevel="0" collapsed="false">
      <c r="A22" s="7" t="n">
        <v>403</v>
      </c>
      <c r="B22" s="7" t="n">
        <v>36</v>
      </c>
      <c r="C22" s="7" t="s">
        <v>24</v>
      </c>
      <c r="D22" s="7" t="s">
        <v>25</v>
      </c>
      <c r="E22" s="7" t="n">
        <v>0</v>
      </c>
      <c r="F22" s="7" t="n">
        <v>0</v>
      </c>
      <c r="G22" s="7" t="s">
        <v>31</v>
      </c>
      <c r="H22" s="7" t="s">
        <v>32</v>
      </c>
      <c r="I22" s="7" t="n">
        <v>37.7</v>
      </c>
      <c r="J22" s="7" t="s">
        <v>28</v>
      </c>
      <c r="K22" s="7" t="n">
        <v>268.4</v>
      </c>
      <c r="L22" s="7" t="s">
        <v>29</v>
      </c>
      <c r="M22" s="7" t="s">
        <v>30</v>
      </c>
    </row>
    <row r="23" customFormat="false" ht="15" hidden="false" customHeight="true" outlineLevel="0" collapsed="false">
      <c r="A23" s="7" t="n">
        <v>408</v>
      </c>
      <c r="B23" s="7" t="n">
        <v>84</v>
      </c>
      <c r="C23" s="7" t="s">
        <v>24</v>
      </c>
      <c r="D23" s="7" t="s">
        <v>25</v>
      </c>
      <c r="E23" s="7" t="n">
        <v>0</v>
      </c>
      <c r="F23" s="7" t="n">
        <v>0</v>
      </c>
      <c r="G23" s="7" t="s">
        <v>35</v>
      </c>
      <c r="H23" s="7" t="s">
        <v>27</v>
      </c>
      <c r="I23" s="7" t="n">
        <v>32.1</v>
      </c>
      <c r="J23" s="7" t="s">
        <v>28</v>
      </c>
      <c r="K23" s="7" t="n">
        <v>223.6</v>
      </c>
      <c r="L23" s="7" t="s">
        <v>29</v>
      </c>
      <c r="M23" s="7" t="s">
        <v>30</v>
      </c>
    </row>
    <row r="24" customFormat="false" ht="15" hidden="false" customHeight="true" outlineLevel="0" collapsed="false">
      <c r="A24" s="7" t="n">
        <v>425</v>
      </c>
      <c r="B24" s="7" t="n">
        <v>21</v>
      </c>
      <c r="C24" s="7" t="s">
        <v>33</v>
      </c>
      <c r="D24" s="7" t="s">
        <v>25</v>
      </c>
      <c r="E24" s="7" t="n">
        <v>0</v>
      </c>
      <c r="F24" s="7" t="n">
        <v>0</v>
      </c>
      <c r="G24" s="7" t="s">
        <v>34</v>
      </c>
      <c r="H24" s="7" t="s">
        <v>32</v>
      </c>
      <c r="I24" s="7" t="n">
        <v>24.7</v>
      </c>
      <c r="J24" s="7" t="s">
        <v>28</v>
      </c>
      <c r="K24" s="7" t="n">
        <v>219.1</v>
      </c>
      <c r="L24" s="7" t="s">
        <v>29</v>
      </c>
      <c r="M24" s="7" t="s">
        <v>30</v>
      </c>
    </row>
    <row r="25" customFormat="false" ht="15" hidden="false" customHeight="true" outlineLevel="0" collapsed="false">
      <c r="A25" s="7" t="n">
        <v>429</v>
      </c>
      <c r="B25" s="7" t="n">
        <v>78</v>
      </c>
      <c r="C25" s="7" t="s">
        <v>33</v>
      </c>
      <c r="D25" s="7" t="s">
        <v>25</v>
      </c>
      <c r="E25" s="7" t="n">
        <v>0</v>
      </c>
      <c r="F25" s="7" t="n">
        <v>0</v>
      </c>
      <c r="G25" s="7" t="s">
        <v>26</v>
      </c>
      <c r="H25" s="7" t="s">
        <v>27</v>
      </c>
      <c r="I25" s="7" t="n">
        <v>24.4</v>
      </c>
      <c r="J25" s="7" t="s">
        <v>28</v>
      </c>
      <c r="K25" s="7" t="n">
        <v>242.1</v>
      </c>
      <c r="L25" s="7" t="s">
        <v>29</v>
      </c>
      <c r="M25" s="7" t="s">
        <v>30</v>
      </c>
    </row>
    <row r="26" customFormat="false" ht="15" hidden="false" customHeight="true" outlineLevel="0" collapsed="false">
      <c r="A26" s="7" t="n">
        <v>434</v>
      </c>
      <c r="B26" s="7" t="n">
        <v>61</v>
      </c>
      <c r="C26" s="7" t="s">
        <v>24</v>
      </c>
      <c r="D26" s="7" t="s">
        <v>25</v>
      </c>
      <c r="E26" s="7" t="n">
        <v>0</v>
      </c>
      <c r="F26" s="7" t="n">
        <v>0</v>
      </c>
      <c r="G26" s="7" t="s">
        <v>36</v>
      </c>
      <c r="H26" s="7" t="s">
        <v>27</v>
      </c>
      <c r="I26" s="7" t="n">
        <v>39.6</v>
      </c>
      <c r="J26" s="7" t="s">
        <v>28</v>
      </c>
      <c r="K26" s="7" t="n">
        <v>158.9</v>
      </c>
      <c r="L26" s="7" t="s">
        <v>29</v>
      </c>
      <c r="M26" s="7" t="s">
        <v>30</v>
      </c>
    </row>
    <row r="27" customFormat="false" ht="15" hidden="false" customHeight="true" outlineLevel="0" collapsed="false">
      <c r="A27" s="7" t="n">
        <v>443</v>
      </c>
      <c r="B27" s="7" t="n">
        <v>42</v>
      </c>
      <c r="C27" s="7" t="s">
        <v>24</v>
      </c>
      <c r="D27" s="7" t="s">
        <v>25</v>
      </c>
      <c r="E27" s="7" t="n">
        <v>0</v>
      </c>
      <c r="F27" s="7" t="n">
        <v>0</v>
      </c>
      <c r="G27" s="7" t="s">
        <v>36</v>
      </c>
      <c r="H27" s="7" t="s">
        <v>32</v>
      </c>
      <c r="I27" s="7" t="n">
        <v>33.9</v>
      </c>
      <c r="J27" s="7" t="s">
        <v>28</v>
      </c>
      <c r="K27" s="7" t="n">
        <v>205.5</v>
      </c>
      <c r="L27" s="7" t="s">
        <v>29</v>
      </c>
      <c r="M27" s="7" t="s">
        <v>30</v>
      </c>
    </row>
    <row r="28" customFormat="false" ht="15" hidden="false" customHeight="true" outlineLevel="0" collapsed="false">
      <c r="A28" s="7" t="n">
        <v>455</v>
      </c>
      <c r="B28" s="7" t="n">
        <v>77</v>
      </c>
      <c r="C28" s="7" t="s">
        <v>24</v>
      </c>
      <c r="D28" s="7" t="s">
        <v>25</v>
      </c>
      <c r="E28" s="7" t="n">
        <v>0</v>
      </c>
      <c r="F28" s="7" t="n">
        <v>0</v>
      </c>
      <c r="G28" s="7" t="s">
        <v>31</v>
      </c>
      <c r="H28" s="7" t="s">
        <v>27</v>
      </c>
      <c r="I28" s="7" t="n">
        <v>32.1</v>
      </c>
      <c r="J28" s="7" t="s">
        <v>28</v>
      </c>
      <c r="K28" s="7" t="n">
        <v>275.4</v>
      </c>
      <c r="L28" s="7" t="s">
        <v>29</v>
      </c>
      <c r="M28" s="7" t="s">
        <v>30</v>
      </c>
    </row>
    <row r="29" customFormat="false" ht="15" hidden="false" customHeight="true" outlineLevel="0" collapsed="false">
      <c r="A29" s="7" t="n">
        <v>477</v>
      </c>
      <c r="B29" s="7" t="n">
        <v>46</v>
      </c>
      <c r="C29" s="7" t="s">
        <v>33</v>
      </c>
      <c r="D29" s="7" t="s">
        <v>25</v>
      </c>
      <c r="E29" s="7" t="n">
        <v>0</v>
      </c>
      <c r="F29" s="7" t="n">
        <v>0</v>
      </c>
      <c r="G29" s="7" t="s">
        <v>36</v>
      </c>
      <c r="H29" s="7" t="s">
        <v>27</v>
      </c>
      <c r="I29" s="7" t="n">
        <v>17.2</v>
      </c>
      <c r="J29" s="7" t="s">
        <v>28</v>
      </c>
      <c r="K29" s="7" t="n">
        <v>162.3</v>
      </c>
      <c r="L29" s="7" t="s">
        <v>29</v>
      </c>
      <c r="M29" s="7" t="s">
        <v>30</v>
      </c>
    </row>
    <row r="30" customFormat="false" ht="15" hidden="false" customHeight="true" outlineLevel="0" collapsed="false">
      <c r="A30" s="7" t="n">
        <v>488</v>
      </c>
      <c r="B30" s="7" t="n">
        <v>81</v>
      </c>
      <c r="C30" s="7" t="s">
        <v>24</v>
      </c>
      <c r="D30" s="7" t="s">
        <v>25</v>
      </c>
      <c r="E30" s="7" t="n">
        <v>0</v>
      </c>
      <c r="F30" s="7" t="n">
        <v>0</v>
      </c>
      <c r="G30" s="7" t="s">
        <v>34</v>
      </c>
      <c r="H30" s="7" t="s">
        <v>27</v>
      </c>
      <c r="I30" s="7" t="n">
        <v>36</v>
      </c>
      <c r="J30" s="7" t="s">
        <v>28</v>
      </c>
      <c r="K30" s="7" t="n">
        <v>154.8</v>
      </c>
      <c r="L30" s="7" t="s">
        <v>29</v>
      </c>
      <c r="M30" s="7" t="s">
        <v>30</v>
      </c>
    </row>
    <row r="31" customFormat="false" ht="15" hidden="false" customHeight="true" outlineLevel="0" collapsed="false">
      <c r="A31" s="7" t="n">
        <v>490</v>
      </c>
      <c r="B31" s="7" t="n">
        <v>55</v>
      </c>
      <c r="C31" s="7" t="s">
        <v>33</v>
      </c>
      <c r="D31" s="7" t="s">
        <v>25</v>
      </c>
      <c r="E31" s="7" t="n">
        <v>0</v>
      </c>
      <c r="F31" s="7" t="n">
        <v>0</v>
      </c>
      <c r="G31" s="7" t="s">
        <v>26</v>
      </c>
      <c r="H31" s="7" t="s">
        <v>27</v>
      </c>
      <c r="I31" s="7" t="n">
        <v>22.2</v>
      </c>
      <c r="J31" s="7" t="s">
        <v>28</v>
      </c>
      <c r="K31" s="7" t="n">
        <v>161.7</v>
      </c>
      <c r="L31" s="7" t="s">
        <v>29</v>
      </c>
      <c r="M31" s="7" t="s">
        <v>30</v>
      </c>
    </row>
    <row r="32" customFormat="false" ht="15" hidden="false" customHeight="true" outlineLevel="0" collapsed="false">
      <c r="A32" s="7" t="n">
        <v>492</v>
      </c>
      <c r="B32" s="7" t="n">
        <v>34</v>
      </c>
      <c r="C32" s="7" t="s">
        <v>24</v>
      </c>
      <c r="D32" s="7" t="s">
        <v>25</v>
      </c>
      <c r="E32" s="7" t="n">
        <v>0</v>
      </c>
      <c r="F32" s="7" t="n">
        <v>0</v>
      </c>
      <c r="G32" s="7" t="s">
        <v>36</v>
      </c>
      <c r="H32" s="7" t="s">
        <v>27</v>
      </c>
      <c r="I32" s="7" t="n">
        <v>39.9</v>
      </c>
      <c r="J32" s="7" t="s">
        <v>28</v>
      </c>
      <c r="K32" s="7" t="n">
        <v>187</v>
      </c>
      <c r="L32" s="7" t="s">
        <v>29</v>
      </c>
      <c r="M32" s="7" t="s">
        <v>30</v>
      </c>
    </row>
    <row r="33" customFormat="false" ht="15" hidden="false" customHeight="true" outlineLevel="0" collapsed="false">
      <c r="A33" s="7" t="n">
        <v>499</v>
      </c>
      <c r="B33" s="7" t="n">
        <v>45</v>
      </c>
      <c r="C33" s="7" t="s">
        <v>24</v>
      </c>
      <c r="D33" s="7" t="s">
        <v>25</v>
      </c>
      <c r="E33" s="7" t="n">
        <v>0</v>
      </c>
      <c r="F33" s="7" t="n">
        <v>0</v>
      </c>
      <c r="G33" s="7" t="s">
        <v>31</v>
      </c>
      <c r="H33" s="7" t="s">
        <v>27</v>
      </c>
      <c r="I33" s="7" t="n">
        <v>17.6</v>
      </c>
      <c r="J33" s="7" t="s">
        <v>28</v>
      </c>
      <c r="K33" s="7" t="n">
        <v>180.1</v>
      </c>
      <c r="L33" s="7" t="s">
        <v>29</v>
      </c>
      <c r="M33" s="7" t="s">
        <v>30</v>
      </c>
    </row>
    <row r="34" customFormat="false" ht="15" hidden="false" customHeight="true" outlineLevel="0" collapsed="false">
      <c r="A34" s="7" t="n">
        <v>505</v>
      </c>
      <c r="B34" s="7" t="n">
        <v>21</v>
      </c>
      <c r="C34" s="7" t="s">
        <v>24</v>
      </c>
      <c r="D34" s="7" t="s">
        <v>25</v>
      </c>
      <c r="E34" s="7" t="n">
        <v>0</v>
      </c>
      <c r="F34" s="7" t="n">
        <v>0</v>
      </c>
      <c r="G34" s="7" t="s">
        <v>26</v>
      </c>
      <c r="H34" s="7" t="s">
        <v>27</v>
      </c>
      <c r="I34" s="7" t="n">
        <v>20</v>
      </c>
      <c r="J34" s="7" t="s">
        <v>28</v>
      </c>
      <c r="K34" s="7" t="n">
        <v>153.1</v>
      </c>
      <c r="L34" s="7" t="s">
        <v>29</v>
      </c>
      <c r="M34" s="7" t="s">
        <v>30</v>
      </c>
    </row>
    <row r="35" customFormat="false" ht="15" hidden="false" customHeight="true" outlineLevel="0" collapsed="false">
      <c r="A35" s="7" t="n">
        <v>506</v>
      </c>
      <c r="B35" s="7" t="n">
        <v>29</v>
      </c>
      <c r="C35" s="7" t="s">
        <v>33</v>
      </c>
      <c r="D35" s="7" t="s">
        <v>25</v>
      </c>
      <c r="E35" s="7" t="n">
        <v>0</v>
      </c>
      <c r="F35" s="7" t="n">
        <v>0</v>
      </c>
      <c r="G35" s="7" t="s">
        <v>36</v>
      </c>
      <c r="H35" s="7" t="s">
        <v>27</v>
      </c>
      <c r="I35" s="7" t="n">
        <v>25.4</v>
      </c>
      <c r="J35" s="7" t="s">
        <v>28</v>
      </c>
      <c r="K35" s="7" t="n">
        <v>155.6</v>
      </c>
      <c r="L35" s="7" t="s">
        <v>29</v>
      </c>
      <c r="M35" s="7" t="s">
        <v>30</v>
      </c>
    </row>
    <row r="36" customFormat="false" ht="15" hidden="false" customHeight="true" outlineLevel="0" collapsed="false">
      <c r="A36" s="7" t="n">
        <v>526</v>
      </c>
      <c r="B36" s="7" t="n">
        <v>81</v>
      </c>
      <c r="C36" s="7" t="s">
        <v>24</v>
      </c>
      <c r="D36" s="7" t="s">
        <v>25</v>
      </c>
      <c r="E36" s="7" t="n">
        <v>0</v>
      </c>
      <c r="F36" s="7" t="n">
        <v>0</v>
      </c>
      <c r="G36" s="7" t="s">
        <v>31</v>
      </c>
      <c r="H36" s="7" t="s">
        <v>27</v>
      </c>
      <c r="I36" s="7" t="n">
        <v>35.9</v>
      </c>
      <c r="J36" s="7" t="s">
        <v>28</v>
      </c>
      <c r="K36" s="7" t="n">
        <v>275.5</v>
      </c>
      <c r="L36" s="7" t="s">
        <v>29</v>
      </c>
      <c r="M36" s="7" t="s">
        <v>30</v>
      </c>
    </row>
    <row r="37" customFormat="false" ht="15" hidden="false" customHeight="true" outlineLevel="0" collapsed="false">
      <c r="A37" s="7" t="n">
        <v>542</v>
      </c>
      <c r="B37" s="7" t="n">
        <v>65</v>
      </c>
      <c r="C37" s="7" t="s">
        <v>24</v>
      </c>
      <c r="D37" s="7" t="s">
        <v>25</v>
      </c>
      <c r="E37" s="7" t="n">
        <v>0</v>
      </c>
      <c r="F37" s="7" t="n">
        <v>0</v>
      </c>
      <c r="G37" s="7" t="s">
        <v>26</v>
      </c>
      <c r="H37" s="7" t="s">
        <v>27</v>
      </c>
      <c r="I37" s="7" t="n">
        <v>18.2</v>
      </c>
      <c r="J37" s="7" t="s">
        <v>28</v>
      </c>
      <c r="K37" s="7" t="n">
        <v>183.6</v>
      </c>
      <c r="L37" s="7" t="s">
        <v>29</v>
      </c>
      <c r="M37" s="7" t="s">
        <v>30</v>
      </c>
    </row>
    <row r="38" customFormat="false" ht="15" hidden="false" customHeight="true" outlineLevel="0" collapsed="false">
      <c r="A38" s="7" t="n">
        <v>543</v>
      </c>
      <c r="B38" s="7" t="n">
        <v>67</v>
      </c>
      <c r="C38" s="7" t="s">
        <v>24</v>
      </c>
      <c r="D38" s="7" t="s">
        <v>25</v>
      </c>
      <c r="E38" s="7" t="n">
        <v>0</v>
      </c>
      <c r="F38" s="7" t="n">
        <v>0</v>
      </c>
      <c r="G38" s="7" t="s">
        <v>31</v>
      </c>
      <c r="H38" s="7" t="s">
        <v>32</v>
      </c>
      <c r="I38" s="7" t="n">
        <v>27.3</v>
      </c>
      <c r="J38" s="7" t="s">
        <v>28</v>
      </c>
      <c r="K38" s="7" t="n">
        <v>223.8</v>
      </c>
      <c r="L38" s="7" t="s">
        <v>29</v>
      </c>
      <c r="M38" s="7" t="s">
        <v>30</v>
      </c>
    </row>
    <row r="39" customFormat="false" ht="15" hidden="false" customHeight="true" outlineLevel="0" collapsed="false">
      <c r="A39" s="7" t="n">
        <v>553</v>
      </c>
      <c r="B39" s="7" t="n">
        <v>89</v>
      </c>
      <c r="C39" s="7" t="s">
        <v>33</v>
      </c>
      <c r="D39" s="7" t="s">
        <v>25</v>
      </c>
      <c r="E39" s="7" t="n">
        <v>0</v>
      </c>
      <c r="F39" s="7" t="n">
        <v>0</v>
      </c>
      <c r="G39" s="7" t="s">
        <v>34</v>
      </c>
      <c r="H39" s="7" t="s">
        <v>27</v>
      </c>
      <c r="I39" s="7" t="n">
        <v>28.5</v>
      </c>
      <c r="J39" s="7" t="s">
        <v>28</v>
      </c>
      <c r="K39" s="7" t="n">
        <v>126.2</v>
      </c>
      <c r="L39" s="7" t="s">
        <v>29</v>
      </c>
      <c r="M39" s="7" t="s">
        <v>30</v>
      </c>
    </row>
    <row r="40" customFormat="false" ht="15" hidden="false" customHeight="true" outlineLevel="0" collapsed="false">
      <c r="A40" s="7" t="n">
        <v>554</v>
      </c>
      <c r="B40" s="7" t="n">
        <v>81</v>
      </c>
      <c r="C40" s="7" t="s">
        <v>24</v>
      </c>
      <c r="D40" s="7" t="s">
        <v>25</v>
      </c>
      <c r="E40" s="7" t="n">
        <v>0</v>
      </c>
      <c r="F40" s="7" t="n">
        <v>0</v>
      </c>
      <c r="G40" s="7" t="s">
        <v>36</v>
      </c>
      <c r="H40" s="7" t="s">
        <v>27</v>
      </c>
      <c r="I40" s="7" t="n">
        <v>42</v>
      </c>
      <c r="J40" s="7" t="s">
        <v>28</v>
      </c>
      <c r="K40" s="7" t="n">
        <v>138.6</v>
      </c>
      <c r="L40" s="7" t="s">
        <v>29</v>
      </c>
      <c r="M40" s="7" t="s">
        <v>30</v>
      </c>
    </row>
    <row r="41" customFormat="false" ht="15" hidden="false" customHeight="true" outlineLevel="0" collapsed="false">
      <c r="A41" s="7" t="n">
        <v>570</v>
      </c>
      <c r="B41" s="7" t="n">
        <v>71</v>
      </c>
      <c r="C41" s="7" t="s">
        <v>33</v>
      </c>
      <c r="D41" s="7" t="s">
        <v>25</v>
      </c>
      <c r="E41" s="7" t="n">
        <v>0</v>
      </c>
      <c r="F41" s="7" t="n">
        <v>0</v>
      </c>
      <c r="G41" s="7" t="s">
        <v>34</v>
      </c>
      <c r="H41" s="7" t="s">
        <v>27</v>
      </c>
      <c r="I41" s="7" t="n">
        <v>37.8</v>
      </c>
      <c r="J41" s="7" t="s">
        <v>28</v>
      </c>
      <c r="K41" s="7" t="n">
        <v>284.1</v>
      </c>
      <c r="L41" s="7" t="s">
        <v>29</v>
      </c>
      <c r="M41" s="7" t="s">
        <v>30</v>
      </c>
    </row>
    <row r="42" customFormat="false" ht="15" hidden="false" customHeight="true" outlineLevel="0" collapsed="false">
      <c r="A42" s="7" t="n">
        <v>581</v>
      </c>
      <c r="B42" s="7" t="n">
        <v>48</v>
      </c>
      <c r="C42" s="7" t="s">
        <v>33</v>
      </c>
      <c r="D42" s="7" t="s">
        <v>25</v>
      </c>
      <c r="E42" s="7" t="n">
        <v>0</v>
      </c>
      <c r="F42" s="7" t="n">
        <v>0</v>
      </c>
      <c r="G42" s="7" t="s">
        <v>34</v>
      </c>
      <c r="H42" s="7" t="s">
        <v>27</v>
      </c>
      <c r="I42" s="7" t="n">
        <v>35.4</v>
      </c>
      <c r="J42" s="7" t="s">
        <v>28</v>
      </c>
      <c r="K42" s="7" t="n">
        <v>158.4</v>
      </c>
      <c r="L42" s="7" t="s">
        <v>29</v>
      </c>
      <c r="M42" s="7" t="s">
        <v>30</v>
      </c>
    </row>
    <row r="43" customFormat="false" ht="15" hidden="false" customHeight="true" outlineLevel="0" collapsed="false">
      <c r="A43" s="7" t="n">
        <v>586</v>
      </c>
      <c r="B43" s="7" t="n">
        <v>63</v>
      </c>
      <c r="C43" s="7" t="s">
        <v>24</v>
      </c>
      <c r="D43" s="7" t="s">
        <v>25</v>
      </c>
      <c r="E43" s="7" t="n">
        <v>0</v>
      </c>
      <c r="F43" s="7" t="n">
        <v>0</v>
      </c>
      <c r="G43" s="7" t="s">
        <v>26</v>
      </c>
      <c r="H43" s="7" t="s">
        <v>27</v>
      </c>
      <c r="I43" s="7" t="n">
        <v>22.3</v>
      </c>
      <c r="J43" s="7" t="s">
        <v>28</v>
      </c>
      <c r="K43" s="7" t="n">
        <v>177.6</v>
      </c>
      <c r="L43" s="7" t="s">
        <v>29</v>
      </c>
      <c r="M43" s="7" t="s">
        <v>30</v>
      </c>
    </row>
    <row r="44" customFormat="false" ht="15" hidden="false" customHeight="true" outlineLevel="0" collapsed="false">
      <c r="A44" s="7" t="n">
        <v>601</v>
      </c>
      <c r="B44" s="7" t="n">
        <v>62</v>
      </c>
      <c r="C44" s="7" t="s">
        <v>33</v>
      </c>
      <c r="D44" s="7" t="s">
        <v>25</v>
      </c>
      <c r="E44" s="7" t="n">
        <v>0</v>
      </c>
      <c r="F44" s="7" t="n">
        <v>0</v>
      </c>
      <c r="G44" s="7" t="s">
        <v>26</v>
      </c>
      <c r="H44" s="7" t="s">
        <v>32</v>
      </c>
      <c r="I44" s="7" t="n">
        <v>37.5</v>
      </c>
      <c r="J44" s="7" t="s">
        <v>28</v>
      </c>
      <c r="K44" s="7" t="n">
        <v>142.6</v>
      </c>
      <c r="L44" s="7" t="s">
        <v>29</v>
      </c>
      <c r="M44" s="7" t="s">
        <v>30</v>
      </c>
    </row>
    <row r="45" customFormat="false" ht="15" hidden="false" customHeight="true" outlineLevel="0" collapsed="false">
      <c r="A45" s="7" t="n">
        <v>624</v>
      </c>
      <c r="B45" s="7" t="n">
        <v>22</v>
      </c>
      <c r="C45" s="7" t="s">
        <v>33</v>
      </c>
      <c r="D45" s="7" t="s">
        <v>25</v>
      </c>
      <c r="E45" s="7" t="n">
        <v>0</v>
      </c>
      <c r="F45" s="7" t="n">
        <v>0</v>
      </c>
      <c r="G45" s="7" t="s">
        <v>34</v>
      </c>
      <c r="H45" s="7" t="s">
        <v>27</v>
      </c>
      <c r="I45" s="7" t="n">
        <v>30</v>
      </c>
      <c r="J45" s="7" t="s">
        <v>28</v>
      </c>
      <c r="K45" s="7" t="n">
        <v>122.8</v>
      </c>
      <c r="L45" s="7" t="s">
        <v>29</v>
      </c>
      <c r="M45" s="7" t="s">
        <v>30</v>
      </c>
    </row>
    <row r="46" customFormat="false" ht="15" hidden="false" customHeight="true" outlineLevel="0" collapsed="false">
      <c r="A46" s="7" t="n">
        <v>648</v>
      </c>
      <c r="B46" s="7" t="n">
        <v>78</v>
      </c>
      <c r="C46" s="7" t="s">
        <v>33</v>
      </c>
      <c r="D46" s="7" t="s">
        <v>25</v>
      </c>
      <c r="E46" s="7" t="n">
        <v>0</v>
      </c>
      <c r="F46" s="7" t="n">
        <v>0</v>
      </c>
      <c r="G46" s="7" t="s">
        <v>35</v>
      </c>
      <c r="H46" s="7" t="s">
        <v>27</v>
      </c>
      <c r="I46" s="7" t="n">
        <v>25.7</v>
      </c>
      <c r="J46" s="7" t="s">
        <v>28</v>
      </c>
      <c r="K46" s="7" t="n">
        <v>243.5</v>
      </c>
      <c r="L46" s="7" t="s">
        <v>29</v>
      </c>
      <c r="M46" s="7" t="s">
        <v>30</v>
      </c>
    </row>
    <row r="47" customFormat="false" ht="15" hidden="false" customHeight="true" outlineLevel="0" collapsed="false">
      <c r="A47" s="7" t="n">
        <v>680</v>
      </c>
      <c r="B47" s="7" t="n">
        <v>45</v>
      </c>
      <c r="C47" s="7" t="s">
        <v>24</v>
      </c>
      <c r="D47" s="7" t="s">
        <v>25</v>
      </c>
      <c r="E47" s="7" t="n">
        <v>0</v>
      </c>
      <c r="F47" s="7" t="n">
        <v>0</v>
      </c>
      <c r="G47" s="7" t="s">
        <v>31</v>
      </c>
      <c r="H47" s="7" t="s">
        <v>27</v>
      </c>
      <c r="I47" s="7" t="n">
        <v>24.2</v>
      </c>
      <c r="J47" s="7" t="s">
        <v>28</v>
      </c>
      <c r="K47" s="7" t="n">
        <v>201.6</v>
      </c>
      <c r="L47" s="7" t="s">
        <v>29</v>
      </c>
      <c r="M47" s="7" t="s">
        <v>30</v>
      </c>
    </row>
    <row r="48" customFormat="false" ht="15" hidden="false" customHeight="true" outlineLevel="0" collapsed="false">
      <c r="A48" s="7" t="n">
        <v>709</v>
      </c>
      <c r="B48" s="7" t="n">
        <v>18</v>
      </c>
      <c r="C48" s="7" t="s">
        <v>24</v>
      </c>
      <c r="D48" s="7" t="s">
        <v>25</v>
      </c>
      <c r="E48" s="7" t="n">
        <v>0</v>
      </c>
      <c r="F48" s="7" t="n">
        <v>0</v>
      </c>
      <c r="G48" s="7" t="s">
        <v>36</v>
      </c>
      <c r="H48" s="7" t="s">
        <v>27</v>
      </c>
      <c r="I48" s="7" t="n">
        <v>17.4</v>
      </c>
      <c r="J48" s="7" t="s">
        <v>28</v>
      </c>
      <c r="K48" s="7" t="n">
        <v>198.6</v>
      </c>
      <c r="L48" s="7" t="s">
        <v>29</v>
      </c>
      <c r="M48" s="7" t="s">
        <v>30</v>
      </c>
    </row>
    <row r="49" customFormat="false" ht="15" hidden="false" customHeight="true" outlineLevel="0" collapsed="false">
      <c r="A49" s="7" t="n">
        <v>710</v>
      </c>
      <c r="B49" s="7" t="n">
        <v>89</v>
      </c>
      <c r="C49" s="7" t="s">
        <v>24</v>
      </c>
      <c r="D49" s="7" t="s">
        <v>25</v>
      </c>
      <c r="E49" s="7" t="n">
        <v>0</v>
      </c>
      <c r="F49" s="7" t="n">
        <v>0</v>
      </c>
      <c r="G49" s="7" t="s">
        <v>36</v>
      </c>
      <c r="H49" s="7" t="s">
        <v>27</v>
      </c>
      <c r="I49" s="7" t="n">
        <v>21.6</v>
      </c>
      <c r="J49" s="7" t="s">
        <v>28</v>
      </c>
      <c r="K49" s="7" t="n">
        <v>197.8</v>
      </c>
      <c r="L49" s="7" t="s">
        <v>29</v>
      </c>
      <c r="M49" s="7" t="s">
        <v>30</v>
      </c>
    </row>
    <row r="50" customFormat="false" ht="15" hidden="false" customHeight="true" outlineLevel="0" collapsed="false">
      <c r="A50" s="7" t="n">
        <v>716</v>
      </c>
      <c r="B50" s="7" t="n">
        <v>79</v>
      </c>
      <c r="C50" s="7" t="s">
        <v>24</v>
      </c>
      <c r="D50" s="7" t="s">
        <v>25</v>
      </c>
      <c r="E50" s="7" t="n">
        <v>0</v>
      </c>
      <c r="F50" s="7" t="n">
        <v>0</v>
      </c>
      <c r="G50" s="7" t="s">
        <v>35</v>
      </c>
      <c r="H50" s="7" t="s">
        <v>32</v>
      </c>
      <c r="I50" s="7" t="n">
        <v>39.8</v>
      </c>
      <c r="J50" s="7" t="s">
        <v>28</v>
      </c>
      <c r="K50" s="7" t="n">
        <v>214.9</v>
      </c>
      <c r="L50" s="7" t="s">
        <v>29</v>
      </c>
      <c r="M50" s="7" t="s">
        <v>30</v>
      </c>
    </row>
    <row r="51" customFormat="false" ht="15" hidden="false" customHeight="true" outlineLevel="0" collapsed="false">
      <c r="A51" s="7" t="n">
        <v>729</v>
      </c>
      <c r="B51" s="7" t="n">
        <v>53</v>
      </c>
      <c r="C51" s="7" t="s">
        <v>24</v>
      </c>
      <c r="D51" s="7" t="s">
        <v>25</v>
      </c>
      <c r="E51" s="7" t="n">
        <v>0</v>
      </c>
      <c r="F51" s="7" t="n">
        <v>0</v>
      </c>
      <c r="G51" s="7" t="s">
        <v>36</v>
      </c>
      <c r="H51" s="7" t="s">
        <v>32</v>
      </c>
      <c r="I51" s="7" t="n">
        <v>28.1</v>
      </c>
      <c r="J51" s="7" t="s">
        <v>28</v>
      </c>
      <c r="K51" s="7" t="n">
        <v>154.3</v>
      </c>
      <c r="L51" s="7" t="s">
        <v>29</v>
      </c>
      <c r="M51" s="7" t="s">
        <v>30</v>
      </c>
    </row>
    <row r="52" customFormat="false" ht="15" hidden="false" customHeight="true" outlineLevel="0" collapsed="false">
      <c r="A52" s="7" t="n">
        <v>733</v>
      </c>
      <c r="B52" s="7" t="n">
        <v>20</v>
      </c>
      <c r="C52" s="7" t="s">
        <v>33</v>
      </c>
      <c r="D52" s="7" t="s">
        <v>25</v>
      </c>
      <c r="E52" s="7" t="n">
        <v>0</v>
      </c>
      <c r="F52" s="7" t="n">
        <v>0</v>
      </c>
      <c r="G52" s="7" t="s">
        <v>35</v>
      </c>
      <c r="H52" s="7" t="s">
        <v>27</v>
      </c>
      <c r="I52" s="7" t="n">
        <v>26.1</v>
      </c>
      <c r="J52" s="7" t="s">
        <v>28</v>
      </c>
      <c r="K52" s="7" t="n">
        <v>143.2</v>
      </c>
      <c r="L52" s="7" t="s">
        <v>29</v>
      </c>
      <c r="M52" s="7" t="s">
        <v>30</v>
      </c>
    </row>
    <row r="53" customFormat="false" ht="15" hidden="false" customHeight="true" outlineLevel="0" collapsed="false">
      <c r="A53" s="7" t="n">
        <v>773</v>
      </c>
      <c r="B53" s="7" t="n">
        <v>36</v>
      </c>
      <c r="C53" s="7" t="s">
        <v>33</v>
      </c>
      <c r="D53" s="7" t="s">
        <v>25</v>
      </c>
      <c r="E53" s="7" t="n">
        <v>0</v>
      </c>
      <c r="F53" s="7" t="n">
        <v>0</v>
      </c>
      <c r="G53" s="7" t="s">
        <v>31</v>
      </c>
      <c r="H53" s="7" t="s">
        <v>27</v>
      </c>
      <c r="I53" s="7" t="n">
        <v>20.2</v>
      </c>
      <c r="J53" s="7" t="s">
        <v>28</v>
      </c>
      <c r="K53" s="7" t="n">
        <v>272.1</v>
      </c>
      <c r="L53" s="7" t="s">
        <v>29</v>
      </c>
      <c r="M53" s="7" t="s">
        <v>30</v>
      </c>
    </row>
    <row r="54" customFormat="false" ht="15" hidden="false" customHeight="true" outlineLevel="0" collapsed="false">
      <c r="A54" s="7" t="n">
        <v>796</v>
      </c>
      <c r="B54" s="7" t="n">
        <v>49</v>
      </c>
      <c r="C54" s="7" t="s">
        <v>24</v>
      </c>
      <c r="D54" s="7" t="s">
        <v>25</v>
      </c>
      <c r="E54" s="7" t="n">
        <v>0</v>
      </c>
      <c r="F54" s="7" t="n">
        <v>0</v>
      </c>
      <c r="G54" s="7" t="s">
        <v>31</v>
      </c>
      <c r="H54" s="7" t="s">
        <v>27</v>
      </c>
      <c r="I54" s="7" t="n">
        <v>24.9</v>
      </c>
      <c r="J54" s="7" t="s">
        <v>28</v>
      </c>
      <c r="K54" s="7" t="n">
        <v>139</v>
      </c>
      <c r="L54" s="7" t="s">
        <v>29</v>
      </c>
      <c r="M54" s="7" t="s">
        <v>30</v>
      </c>
    </row>
    <row r="55" customFormat="false" ht="15" hidden="false" customHeight="true" outlineLevel="0" collapsed="false">
      <c r="A55" s="7" t="n">
        <v>807</v>
      </c>
      <c r="B55" s="7" t="n">
        <v>89</v>
      </c>
      <c r="C55" s="7" t="s">
        <v>33</v>
      </c>
      <c r="D55" s="7" t="s">
        <v>25</v>
      </c>
      <c r="E55" s="7" t="n">
        <v>0</v>
      </c>
      <c r="F55" s="7" t="n">
        <v>0</v>
      </c>
      <c r="G55" s="7" t="s">
        <v>35</v>
      </c>
      <c r="H55" s="7" t="s">
        <v>27</v>
      </c>
      <c r="I55" s="7" t="n">
        <v>33.1</v>
      </c>
      <c r="J55" s="7" t="s">
        <v>28</v>
      </c>
      <c r="K55" s="7" t="n">
        <v>139.7</v>
      </c>
      <c r="L55" s="7" t="s">
        <v>29</v>
      </c>
      <c r="M55" s="7" t="s">
        <v>30</v>
      </c>
    </row>
    <row r="56" customFormat="false" ht="15" hidden="false" customHeight="true" outlineLevel="0" collapsed="false">
      <c r="A56" s="7" t="n">
        <v>815</v>
      </c>
      <c r="B56" s="7" t="n">
        <v>85</v>
      </c>
      <c r="C56" s="7" t="s">
        <v>24</v>
      </c>
      <c r="D56" s="7" t="s">
        <v>25</v>
      </c>
      <c r="E56" s="7" t="n">
        <v>0</v>
      </c>
      <c r="F56" s="7" t="n">
        <v>0</v>
      </c>
      <c r="G56" s="7" t="s">
        <v>36</v>
      </c>
      <c r="H56" s="7" t="s">
        <v>27</v>
      </c>
      <c r="I56" s="7" t="n">
        <v>29.4</v>
      </c>
      <c r="J56" s="7" t="s">
        <v>28</v>
      </c>
      <c r="K56" s="7" t="n">
        <v>258.7</v>
      </c>
      <c r="L56" s="7" t="s">
        <v>29</v>
      </c>
      <c r="M56" s="7" t="s">
        <v>30</v>
      </c>
    </row>
    <row r="57" customFormat="false" ht="15" hidden="false" customHeight="true" outlineLevel="0" collapsed="false">
      <c r="A57" s="7" t="n">
        <v>823</v>
      </c>
      <c r="B57" s="7" t="n">
        <v>29</v>
      </c>
      <c r="C57" s="7" t="s">
        <v>33</v>
      </c>
      <c r="D57" s="7" t="s">
        <v>25</v>
      </c>
      <c r="E57" s="7" t="n">
        <v>0</v>
      </c>
      <c r="F57" s="7" t="n">
        <v>0</v>
      </c>
      <c r="G57" s="7" t="s">
        <v>34</v>
      </c>
      <c r="H57" s="7" t="s">
        <v>32</v>
      </c>
      <c r="I57" s="7" t="n">
        <v>30</v>
      </c>
      <c r="J57" s="7" t="s">
        <v>28</v>
      </c>
      <c r="K57" s="7" t="n">
        <v>277.2</v>
      </c>
      <c r="L57" s="7" t="s">
        <v>29</v>
      </c>
      <c r="M57" s="7" t="s">
        <v>30</v>
      </c>
    </row>
    <row r="58" customFormat="false" ht="15" hidden="false" customHeight="true" outlineLevel="0" collapsed="false">
      <c r="A58" s="7" t="n">
        <v>892</v>
      </c>
      <c r="B58" s="7" t="n">
        <v>23</v>
      </c>
      <c r="C58" s="7" t="s">
        <v>24</v>
      </c>
      <c r="D58" s="7" t="s">
        <v>25</v>
      </c>
      <c r="E58" s="7" t="n">
        <v>0</v>
      </c>
      <c r="F58" s="7" t="n">
        <v>0</v>
      </c>
      <c r="G58" s="7" t="s">
        <v>34</v>
      </c>
      <c r="H58" s="7" t="s">
        <v>27</v>
      </c>
      <c r="I58" s="7" t="n">
        <v>19.5</v>
      </c>
      <c r="J58" s="7" t="s">
        <v>28</v>
      </c>
      <c r="K58" s="7" t="n">
        <v>269.7</v>
      </c>
      <c r="L58" s="7" t="s">
        <v>29</v>
      </c>
      <c r="M58" s="7" t="s">
        <v>30</v>
      </c>
    </row>
    <row r="59" customFormat="false" ht="15" hidden="false" customHeight="true" outlineLevel="0" collapsed="false">
      <c r="A59" s="7" t="n">
        <v>895</v>
      </c>
      <c r="B59" s="7" t="n">
        <v>23</v>
      </c>
      <c r="C59" s="7" t="s">
        <v>24</v>
      </c>
      <c r="D59" s="7" t="s">
        <v>25</v>
      </c>
      <c r="E59" s="7" t="n">
        <v>0</v>
      </c>
      <c r="F59" s="7" t="n">
        <v>0</v>
      </c>
      <c r="G59" s="7" t="s">
        <v>34</v>
      </c>
      <c r="H59" s="7" t="s">
        <v>27</v>
      </c>
      <c r="I59" s="7" t="n">
        <v>37.7</v>
      </c>
      <c r="J59" s="7" t="s">
        <v>28</v>
      </c>
      <c r="K59" s="7" t="n">
        <v>222.8</v>
      </c>
      <c r="L59" s="7" t="s">
        <v>29</v>
      </c>
      <c r="M59" s="7" t="s">
        <v>30</v>
      </c>
    </row>
    <row r="60" customFormat="false" ht="15" hidden="false" customHeight="true" outlineLevel="0" collapsed="false">
      <c r="A60" s="7" t="n">
        <v>910</v>
      </c>
      <c r="B60" s="7" t="n">
        <v>56</v>
      </c>
      <c r="C60" s="7" t="s">
        <v>33</v>
      </c>
      <c r="D60" s="7" t="s">
        <v>25</v>
      </c>
      <c r="E60" s="7" t="n">
        <v>0</v>
      </c>
      <c r="F60" s="7" t="n">
        <v>0</v>
      </c>
      <c r="G60" s="7" t="s">
        <v>26</v>
      </c>
      <c r="H60" s="7" t="s">
        <v>32</v>
      </c>
      <c r="I60" s="7" t="n">
        <v>35.5</v>
      </c>
      <c r="J60" s="7" t="s">
        <v>28</v>
      </c>
      <c r="K60" s="7" t="n">
        <v>152</v>
      </c>
      <c r="L60" s="7" t="s">
        <v>29</v>
      </c>
      <c r="M60" s="7" t="s">
        <v>30</v>
      </c>
    </row>
    <row r="61" customFormat="false" ht="15" hidden="false" customHeight="true" outlineLevel="0" collapsed="false">
      <c r="A61" s="7" t="n">
        <v>917</v>
      </c>
      <c r="B61" s="7" t="n">
        <v>45</v>
      </c>
      <c r="C61" s="7" t="s">
        <v>33</v>
      </c>
      <c r="D61" s="7" t="s">
        <v>25</v>
      </c>
      <c r="E61" s="7" t="n">
        <v>0</v>
      </c>
      <c r="F61" s="7" t="n">
        <v>0</v>
      </c>
      <c r="G61" s="7" t="s">
        <v>35</v>
      </c>
      <c r="H61" s="7" t="s">
        <v>32</v>
      </c>
      <c r="I61" s="7" t="n">
        <v>25.1</v>
      </c>
      <c r="J61" s="7" t="s">
        <v>28</v>
      </c>
      <c r="K61" s="7" t="n">
        <v>231.1</v>
      </c>
      <c r="L61" s="7" t="s">
        <v>29</v>
      </c>
      <c r="M61" s="7" t="s">
        <v>30</v>
      </c>
    </row>
    <row r="62" customFormat="false" ht="15" hidden="false" customHeight="true" outlineLevel="0" collapsed="false">
      <c r="A62" s="7" t="n">
        <v>920</v>
      </c>
      <c r="B62" s="7" t="n">
        <v>59</v>
      </c>
      <c r="C62" s="7" t="s">
        <v>33</v>
      </c>
      <c r="D62" s="7" t="s">
        <v>25</v>
      </c>
      <c r="E62" s="7" t="n">
        <v>0</v>
      </c>
      <c r="F62" s="7" t="n">
        <v>0</v>
      </c>
      <c r="G62" s="7" t="s">
        <v>35</v>
      </c>
      <c r="H62" s="7" t="s">
        <v>27</v>
      </c>
      <c r="I62" s="7" t="n">
        <v>23.8</v>
      </c>
      <c r="J62" s="7" t="s">
        <v>28</v>
      </c>
      <c r="K62" s="7" t="n">
        <v>168.8</v>
      </c>
      <c r="L62" s="7" t="s">
        <v>29</v>
      </c>
      <c r="M62" s="7" t="s">
        <v>30</v>
      </c>
    </row>
    <row r="63" customFormat="false" ht="15" hidden="false" customHeight="true" outlineLevel="0" collapsed="false">
      <c r="A63" s="7" t="n">
        <v>921</v>
      </c>
      <c r="B63" s="7" t="n">
        <v>37</v>
      </c>
      <c r="C63" s="7" t="s">
        <v>33</v>
      </c>
      <c r="D63" s="7" t="s">
        <v>25</v>
      </c>
      <c r="E63" s="7" t="n">
        <v>0</v>
      </c>
      <c r="F63" s="7" t="n">
        <v>0</v>
      </c>
      <c r="G63" s="7" t="s">
        <v>26</v>
      </c>
      <c r="H63" s="7" t="s">
        <v>27</v>
      </c>
      <c r="I63" s="7" t="n">
        <v>36.9</v>
      </c>
      <c r="J63" s="7" t="s">
        <v>28</v>
      </c>
      <c r="K63" s="7" t="n">
        <v>121</v>
      </c>
      <c r="L63" s="7" t="s">
        <v>29</v>
      </c>
      <c r="M63" s="7" t="s">
        <v>30</v>
      </c>
    </row>
    <row r="64" customFormat="false" ht="15" hidden="false" customHeight="true" outlineLevel="0" collapsed="false">
      <c r="A64" s="7" t="n">
        <v>929</v>
      </c>
      <c r="B64" s="7" t="n">
        <v>48</v>
      </c>
      <c r="C64" s="7" t="s">
        <v>24</v>
      </c>
      <c r="D64" s="7" t="s">
        <v>25</v>
      </c>
      <c r="E64" s="7" t="n">
        <v>0</v>
      </c>
      <c r="F64" s="7" t="n">
        <v>0</v>
      </c>
      <c r="G64" s="7" t="s">
        <v>26</v>
      </c>
      <c r="H64" s="7" t="s">
        <v>27</v>
      </c>
      <c r="I64" s="7" t="n">
        <v>22</v>
      </c>
      <c r="J64" s="7" t="s">
        <v>28</v>
      </c>
      <c r="K64" s="7" t="n">
        <v>127.6</v>
      </c>
      <c r="L64" s="7" t="s">
        <v>29</v>
      </c>
      <c r="M64" s="7" t="s">
        <v>30</v>
      </c>
    </row>
    <row r="65" customFormat="false" ht="15" hidden="false" customHeight="true" outlineLevel="0" collapsed="false">
      <c r="A65" s="7" t="n">
        <v>963</v>
      </c>
      <c r="B65" s="7" t="n">
        <v>23</v>
      </c>
      <c r="C65" s="7" t="s">
        <v>33</v>
      </c>
      <c r="D65" s="7" t="s">
        <v>25</v>
      </c>
      <c r="E65" s="7" t="n">
        <v>0</v>
      </c>
      <c r="F65" s="7" t="n">
        <v>0</v>
      </c>
      <c r="G65" s="7" t="s">
        <v>34</v>
      </c>
      <c r="H65" s="7" t="s">
        <v>27</v>
      </c>
      <c r="I65" s="7" t="n">
        <v>20.8</v>
      </c>
      <c r="J65" s="7" t="s">
        <v>28</v>
      </c>
      <c r="K65" s="7" t="n">
        <v>132.3</v>
      </c>
      <c r="L65" s="7" t="s">
        <v>29</v>
      </c>
      <c r="M65" s="7" t="s">
        <v>30</v>
      </c>
    </row>
    <row r="66" customFormat="false" ht="15" hidden="false" customHeight="true" outlineLevel="0" collapsed="false">
      <c r="A66" s="7" t="n">
        <v>972</v>
      </c>
      <c r="B66" s="7" t="n">
        <v>50</v>
      </c>
      <c r="C66" s="7" t="s">
        <v>24</v>
      </c>
      <c r="D66" s="7" t="s">
        <v>25</v>
      </c>
      <c r="E66" s="7" t="n">
        <v>0</v>
      </c>
      <c r="F66" s="7" t="n">
        <v>0</v>
      </c>
      <c r="G66" s="7" t="s">
        <v>26</v>
      </c>
      <c r="H66" s="7" t="s">
        <v>27</v>
      </c>
      <c r="I66" s="7" t="n">
        <v>29.9</v>
      </c>
      <c r="J66" s="7" t="s">
        <v>28</v>
      </c>
      <c r="K66" s="7" t="n">
        <v>236.9</v>
      </c>
      <c r="L66" s="7" t="s">
        <v>29</v>
      </c>
      <c r="M66" s="7" t="s">
        <v>30</v>
      </c>
    </row>
    <row r="67" customFormat="false" ht="15" hidden="false" customHeight="true" outlineLevel="0" collapsed="false">
      <c r="A67" s="7" t="n">
        <v>992</v>
      </c>
      <c r="B67" s="7" t="n">
        <v>30</v>
      </c>
      <c r="C67" s="7" t="s">
        <v>24</v>
      </c>
      <c r="D67" s="7" t="s">
        <v>25</v>
      </c>
      <c r="E67" s="7" t="n">
        <v>0</v>
      </c>
      <c r="F67" s="7" t="n">
        <v>0</v>
      </c>
      <c r="G67" s="7" t="s">
        <v>35</v>
      </c>
      <c r="H67" s="7" t="s">
        <v>27</v>
      </c>
      <c r="I67" s="7" t="n">
        <v>29.9</v>
      </c>
      <c r="J67" s="7" t="s">
        <v>28</v>
      </c>
      <c r="K67" s="7" t="n">
        <v>157.8</v>
      </c>
      <c r="L67" s="7" t="s">
        <v>29</v>
      </c>
      <c r="M67" s="7" t="s">
        <v>30</v>
      </c>
    </row>
    <row r="68" customFormat="false" ht="15" hidden="false" customHeight="true" outlineLevel="0" collapsed="false">
      <c r="A68" s="7" t="n">
        <v>1003</v>
      </c>
      <c r="B68" s="7" t="n">
        <v>64</v>
      </c>
      <c r="C68" s="7" t="s">
        <v>24</v>
      </c>
      <c r="D68" s="7" t="s">
        <v>25</v>
      </c>
      <c r="E68" s="7" t="n">
        <v>0</v>
      </c>
      <c r="F68" s="7" t="n">
        <v>0</v>
      </c>
      <c r="G68" s="7" t="s">
        <v>34</v>
      </c>
      <c r="H68" s="7" t="s">
        <v>27</v>
      </c>
      <c r="I68" s="7" t="n">
        <v>40.7</v>
      </c>
      <c r="J68" s="7" t="s">
        <v>28</v>
      </c>
      <c r="K68" s="7" t="n">
        <v>283.1</v>
      </c>
      <c r="L68" s="7" t="s">
        <v>29</v>
      </c>
      <c r="M68" s="7" t="s">
        <v>30</v>
      </c>
    </row>
    <row r="69" customFormat="false" ht="15" hidden="false" customHeight="true" outlineLevel="0" collapsed="false">
      <c r="A69" s="7" t="n">
        <v>1049</v>
      </c>
      <c r="B69" s="7" t="n">
        <v>45</v>
      </c>
      <c r="C69" s="7" t="s">
        <v>33</v>
      </c>
      <c r="D69" s="7" t="s">
        <v>25</v>
      </c>
      <c r="E69" s="7" t="n">
        <v>0</v>
      </c>
      <c r="F69" s="7" t="n">
        <v>0</v>
      </c>
      <c r="G69" s="7" t="s">
        <v>35</v>
      </c>
      <c r="H69" s="7" t="s">
        <v>32</v>
      </c>
      <c r="I69" s="7" t="n">
        <v>35.4</v>
      </c>
      <c r="J69" s="7" t="s">
        <v>28</v>
      </c>
      <c r="K69" s="7" t="n">
        <v>165.4</v>
      </c>
      <c r="L69" s="7" t="s">
        <v>29</v>
      </c>
      <c r="M69" s="7" t="s">
        <v>30</v>
      </c>
    </row>
    <row r="70" customFormat="false" ht="15" hidden="false" customHeight="true" outlineLevel="0" collapsed="false">
      <c r="A70" s="7" t="n">
        <v>1059</v>
      </c>
      <c r="B70" s="7" t="n">
        <v>55</v>
      </c>
      <c r="C70" s="7" t="s">
        <v>33</v>
      </c>
      <c r="D70" s="7" t="s">
        <v>25</v>
      </c>
      <c r="E70" s="7" t="n">
        <v>0</v>
      </c>
      <c r="F70" s="7" t="n">
        <v>0</v>
      </c>
      <c r="G70" s="7" t="s">
        <v>31</v>
      </c>
      <c r="H70" s="7" t="s">
        <v>32</v>
      </c>
      <c r="I70" s="7" t="n">
        <v>29</v>
      </c>
      <c r="J70" s="7" t="s">
        <v>28</v>
      </c>
      <c r="K70" s="7" t="n">
        <v>226.9</v>
      </c>
      <c r="L70" s="7" t="s">
        <v>29</v>
      </c>
      <c r="M70" s="7" t="s">
        <v>30</v>
      </c>
    </row>
    <row r="71" customFormat="false" ht="15" hidden="false" customHeight="true" outlineLevel="0" collapsed="false">
      <c r="A71" s="7" t="n">
        <v>1072</v>
      </c>
      <c r="B71" s="7" t="n">
        <v>21</v>
      </c>
      <c r="C71" s="7" t="s">
        <v>33</v>
      </c>
      <c r="D71" s="7" t="s">
        <v>25</v>
      </c>
      <c r="E71" s="7" t="n">
        <v>0</v>
      </c>
      <c r="F71" s="7" t="n">
        <v>0</v>
      </c>
      <c r="G71" s="7" t="s">
        <v>36</v>
      </c>
      <c r="H71" s="7" t="s">
        <v>32</v>
      </c>
      <c r="I71" s="7" t="n">
        <v>22.8</v>
      </c>
      <c r="J71" s="7" t="s">
        <v>28</v>
      </c>
      <c r="K71" s="7" t="n">
        <v>279.8</v>
      </c>
      <c r="L71" s="7" t="s">
        <v>29</v>
      </c>
      <c r="M71" s="7" t="s">
        <v>30</v>
      </c>
    </row>
    <row r="72" customFormat="false" ht="15" hidden="false" customHeight="true" outlineLevel="0" collapsed="false">
      <c r="A72" s="7" t="n">
        <v>1085</v>
      </c>
      <c r="B72" s="7" t="n">
        <v>24</v>
      </c>
      <c r="C72" s="7" t="s">
        <v>33</v>
      </c>
      <c r="D72" s="7" t="s">
        <v>25</v>
      </c>
      <c r="E72" s="7" t="n">
        <v>0</v>
      </c>
      <c r="F72" s="7" t="n">
        <v>0</v>
      </c>
      <c r="G72" s="7" t="s">
        <v>36</v>
      </c>
      <c r="H72" s="7" t="s">
        <v>32</v>
      </c>
      <c r="I72" s="7" t="n">
        <v>41.5</v>
      </c>
      <c r="J72" s="7" t="s">
        <v>28</v>
      </c>
      <c r="K72" s="7" t="n">
        <v>208.8</v>
      </c>
      <c r="L72" s="7" t="s">
        <v>29</v>
      </c>
      <c r="M72" s="7" t="s">
        <v>30</v>
      </c>
    </row>
    <row r="73" customFormat="false" ht="15" hidden="false" customHeight="true" outlineLevel="0" collapsed="false">
      <c r="A73" s="7" t="n">
        <v>1087</v>
      </c>
      <c r="B73" s="7" t="n">
        <v>34</v>
      </c>
      <c r="C73" s="7" t="s">
        <v>24</v>
      </c>
      <c r="D73" s="7" t="s">
        <v>25</v>
      </c>
      <c r="E73" s="7" t="n">
        <v>0</v>
      </c>
      <c r="F73" s="7" t="n">
        <v>0</v>
      </c>
      <c r="G73" s="7" t="s">
        <v>31</v>
      </c>
      <c r="H73" s="7" t="s">
        <v>32</v>
      </c>
      <c r="I73" s="7" t="n">
        <v>21.9</v>
      </c>
      <c r="J73" s="7" t="s">
        <v>28</v>
      </c>
      <c r="K73" s="7" t="n">
        <v>236.2</v>
      </c>
      <c r="L73" s="7" t="s">
        <v>29</v>
      </c>
      <c r="M73" s="7" t="s">
        <v>30</v>
      </c>
    </row>
    <row r="74" customFormat="false" ht="15" hidden="false" customHeight="true" outlineLevel="0" collapsed="false">
      <c r="A74" s="7" t="n">
        <v>1093</v>
      </c>
      <c r="B74" s="7" t="n">
        <v>37</v>
      </c>
      <c r="C74" s="7" t="s">
        <v>33</v>
      </c>
      <c r="D74" s="7" t="s">
        <v>25</v>
      </c>
      <c r="E74" s="7" t="n">
        <v>0</v>
      </c>
      <c r="F74" s="7" t="n">
        <v>0</v>
      </c>
      <c r="G74" s="7" t="s">
        <v>36</v>
      </c>
      <c r="H74" s="7" t="s">
        <v>32</v>
      </c>
      <c r="I74" s="7" t="n">
        <v>27.5</v>
      </c>
      <c r="J74" s="7" t="s">
        <v>28</v>
      </c>
      <c r="K74" s="7" t="n">
        <v>277.1</v>
      </c>
      <c r="L74" s="7" t="s">
        <v>29</v>
      </c>
      <c r="M74" s="7" t="s">
        <v>30</v>
      </c>
    </row>
    <row r="75" customFormat="false" ht="15" hidden="false" customHeight="true" outlineLevel="0" collapsed="false">
      <c r="A75" s="7" t="n">
        <v>1097</v>
      </c>
      <c r="B75" s="7" t="n">
        <v>79</v>
      </c>
      <c r="C75" s="7" t="s">
        <v>24</v>
      </c>
      <c r="D75" s="7" t="s">
        <v>25</v>
      </c>
      <c r="E75" s="7" t="n">
        <v>0</v>
      </c>
      <c r="F75" s="7" t="n">
        <v>0</v>
      </c>
      <c r="G75" s="7" t="s">
        <v>36</v>
      </c>
      <c r="H75" s="7" t="s">
        <v>32</v>
      </c>
      <c r="I75" s="7" t="n">
        <v>19.3</v>
      </c>
      <c r="J75" s="7" t="s">
        <v>28</v>
      </c>
      <c r="K75" s="7" t="n">
        <v>145.3</v>
      </c>
      <c r="L75" s="7" t="s">
        <v>29</v>
      </c>
      <c r="M75" s="7" t="s">
        <v>30</v>
      </c>
    </row>
    <row r="76" customFormat="false" ht="15" hidden="false" customHeight="true" outlineLevel="0" collapsed="false">
      <c r="A76" s="7" t="n">
        <v>1122</v>
      </c>
      <c r="B76" s="7" t="n">
        <v>81</v>
      </c>
      <c r="C76" s="7" t="s">
        <v>33</v>
      </c>
      <c r="D76" s="7" t="s">
        <v>25</v>
      </c>
      <c r="E76" s="7" t="n">
        <v>0</v>
      </c>
      <c r="F76" s="7" t="n">
        <v>0</v>
      </c>
      <c r="G76" s="7" t="s">
        <v>26</v>
      </c>
      <c r="H76" s="7" t="s">
        <v>27</v>
      </c>
      <c r="I76" s="7" t="n">
        <v>27.8</v>
      </c>
      <c r="J76" s="7" t="s">
        <v>28</v>
      </c>
      <c r="K76" s="7" t="n">
        <v>197.3</v>
      </c>
      <c r="L76" s="7" t="s">
        <v>29</v>
      </c>
      <c r="M76" s="7" t="s">
        <v>30</v>
      </c>
    </row>
    <row r="77" customFormat="false" ht="15" hidden="false" customHeight="true" outlineLevel="0" collapsed="false">
      <c r="A77" s="7" t="n">
        <v>1124</v>
      </c>
      <c r="B77" s="7" t="n">
        <v>76</v>
      </c>
      <c r="C77" s="7" t="s">
        <v>33</v>
      </c>
      <c r="D77" s="7" t="s">
        <v>25</v>
      </c>
      <c r="E77" s="7" t="n">
        <v>0</v>
      </c>
      <c r="F77" s="7" t="n">
        <v>0</v>
      </c>
      <c r="G77" s="7" t="s">
        <v>35</v>
      </c>
      <c r="H77" s="7" t="s">
        <v>27</v>
      </c>
      <c r="I77" s="7" t="n">
        <v>28.5</v>
      </c>
      <c r="J77" s="7" t="s">
        <v>28</v>
      </c>
      <c r="K77" s="7" t="n">
        <v>217.9</v>
      </c>
      <c r="L77" s="7" t="s">
        <v>29</v>
      </c>
      <c r="M77" s="7" t="s">
        <v>30</v>
      </c>
    </row>
    <row r="78" customFormat="false" ht="15" hidden="false" customHeight="true" outlineLevel="0" collapsed="false">
      <c r="A78" s="7" t="n">
        <v>1137</v>
      </c>
      <c r="B78" s="7" t="n">
        <v>65</v>
      </c>
      <c r="C78" s="7" t="s">
        <v>33</v>
      </c>
      <c r="D78" s="7" t="s">
        <v>25</v>
      </c>
      <c r="E78" s="7" t="n">
        <v>0</v>
      </c>
      <c r="F78" s="7" t="n">
        <v>0</v>
      </c>
      <c r="G78" s="7" t="s">
        <v>26</v>
      </c>
      <c r="H78" s="7" t="s">
        <v>27</v>
      </c>
      <c r="I78" s="7" t="n">
        <v>22.5</v>
      </c>
      <c r="J78" s="7" t="s">
        <v>28</v>
      </c>
      <c r="K78" s="7" t="n">
        <v>131.7</v>
      </c>
      <c r="L78" s="7" t="s">
        <v>29</v>
      </c>
      <c r="M78" s="7" t="s">
        <v>30</v>
      </c>
    </row>
    <row r="79" customFormat="false" ht="15" hidden="false" customHeight="true" outlineLevel="0" collapsed="false">
      <c r="A79" s="7" t="n">
        <v>1146</v>
      </c>
      <c r="B79" s="7" t="n">
        <v>45</v>
      </c>
      <c r="C79" s="7" t="s">
        <v>24</v>
      </c>
      <c r="D79" s="7" t="s">
        <v>25</v>
      </c>
      <c r="E79" s="7" t="n">
        <v>0</v>
      </c>
      <c r="F79" s="7" t="n">
        <v>0</v>
      </c>
      <c r="G79" s="7" t="s">
        <v>31</v>
      </c>
      <c r="H79" s="7" t="s">
        <v>32</v>
      </c>
      <c r="I79" s="7" t="n">
        <v>38.7</v>
      </c>
      <c r="J79" s="7" t="s">
        <v>28</v>
      </c>
      <c r="K79" s="7" t="n">
        <v>134.6</v>
      </c>
      <c r="L79" s="7" t="s">
        <v>29</v>
      </c>
      <c r="M79" s="7" t="s">
        <v>30</v>
      </c>
    </row>
    <row r="80" customFormat="false" ht="15" hidden="false" customHeight="true" outlineLevel="0" collapsed="false">
      <c r="A80" s="7" t="n">
        <v>1149</v>
      </c>
      <c r="B80" s="7" t="n">
        <v>27</v>
      </c>
      <c r="C80" s="7" t="s">
        <v>24</v>
      </c>
      <c r="D80" s="7" t="s">
        <v>25</v>
      </c>
      <c r="E80" s="7" t="n">
        <v>0</v>
      </c>
      <c r="F80" s="7" t="n">
        <v>0</v>
      </c>
      <c r="G80" s="7" t="s">
        <v>26</v>
      </c>
      <c r="H80" s="7" t="s">
        <v>32</v>
      </c>
      <c r="I80" s="7" t="n">
        <v>35.1</v>
      </c>
      <c r="J80" s="7" t="s">
        <v>28</v>
      </c>
      <c r="K80" s="7" t="n">
        <v>294.3</v>
      </c>
      <c r="L80" s="7" t="s">
        <v>29</v>
      </c>
      <c r="M80" s="7" t="s">
        <v>30</v>
      </c>
    </row>
    <row r="81" customFormat="false" ht="15" hidden="false" customHeight="true" outlineLevel="0" collapsed="false">
      <c r="A81" s="7" t="n">
        <v>1171</v>
      </c>
      <c r="B81" s="7" t="n">
        <v>51</v>
      </c>
      <c r="C81" s="7" t="s">
        <v>24</v>
      </c>
      <c r="D81" s="7" t="s">
        <v>25</v>
      </c>
      <c r="E81" s="7" t="n">
        <v>0</v>
      </c>
      <c r="F81" s="7" t="n">
        <v>0</v>
      </c>
      <c r="G81" s="7" t="s">
        <v>35</v>
      </c>
      <c r="H81" s="7" t="s">
        <v>27</v>
      </c>
      <c r="I81" s="7" t="n">
        <v>34.2</v>
      </c>
      <c r="J81" s="7" t="s">
        <v>28</v>
      </c>
      <c r="K81" s="7" t="n">
        <v>157.1</v>
      </c>
      <c r="L81" s="7" t="s">
        <v>29</v>
      </c>
      <c r="M81" s="7" t="s">
        <v>30</v>
      </c>
    </row>
    <row r="82" customFormat="false" ht="15" hidden="false" customHeight="true" outlineLevel="0" collapsed="false">
      <c r="A82" s="7" t="n">
        <v>1185</v>
      </c>
      <c r="B82" s="7" t="n">
        <v>57</v>
      </c>
      <c r="C82" s="7" t="s">
        <v>24</v>
      </c>
      <c r="D82" s="7" t="s">
        <v>25</v>
      </c>
      <c r="E82" s="7" t="n">
        <v>0</v>
      </c>
      <c r="F82" s="7" t="n">
        <v>0</v>
      </c>
      <c r="G82" s="7" t="s">
        <v>31</v>
      </c>
      <c r="H82" s="7" t="s">
        <v>32</v>
      </c>
      <c r="I82" s="7" t="n">
        <v>23.8</v>
      </c>
      <c r="J82" s="7" t="s">
        <v>28</v>
      </c>
      <c r="K82" s="7" t="n">
        <v>269</v>
      </c>
      <c r="L82" s="7" t="s">
        <v>29</v>
      </c>
      <c r="M82" s="7" t="s">
        <v>30</v>
      </c>
    </row>
    <row r="83" customFormat="false" ht="15" hidden="false" customHeight="true" outlineLevel="0" collapsed="false">
      <c r="A83" s="7" t="n">
        <v>1188</v>
      </c>
      <c r="B83" s="7" t="n">
        <v>26</v>
      </c>
      <c r="C83" s="7" t="s">
        <v>33</v>
      </c>
      <c r="D83" s="7" t="s">
        <v>25</v>
      </c>
      <c r="E83" s="7" t="n">
        <v>0</v>
      </c>
      <c r="F83" s="7" t="n">
        <v>0</v>
      </c>
      <c r="G83" s="7" t="s">
        <v>34</v>
      </c>
      <c r="H83" s="7" t="s">
        <v>27</v>
      </c>
      <c r="I83" s="7" t="n">
        <v>24.4</v>
      </c>
      <c r="J83" s="7" t="s">
        <v>28</v>
      </c>
      <c r="K83" s="7" t="n">
        <v>191.6</v>
      </c>
      <c r="L83" s="7" t="s">
        <v>29</v>
      </c>
      <c r="M83" s="7" t="s">
        <v>30</v>
      </c>
    </row>
    <row r="84" customFormat="false" ht="15" hidden="false" customHeight="true" outlineLevel="0" collapsed="false">
      <c r="A84" s="7" t="n">
        <v>1202</v>
      </c>
      <c r="B84" s="7" t="n">
        <v>20</v>
      </c>
      <c r="C84" s="7" t="s">
        <v>24</v>
      </c>
      <c r="D84" s="7" t="s">
        <v>25</v>
      </c>
      <c r="E84" s="7" t="n">
        <v>0</v>
      </c>
      <c r="F84" s="7" t="n">
        <v>0</v>
      </c>
      <c r="G84" s="7" t="s">
        <v>31</v>
      </c>
      <c r="H84" s="7" t="s">
        <v>27</v>
      </c>
      <c r="I84" s="7" t="n">
        <v>26.4</v>
      </c>
      <c r="J84" s="7" t="s">
        <v>28</v>
      </c>
      <c r="K84" s="7" t="n">
        <v>165.5</v>
      </c>
      <c r="L84" s="7" t="s">
        <v>29</v>
      </c>
      <c r="M84" s="7" t="s">
        <v>30</v>
      </c>
    </row>
    <row r="85" customFormat="false" ht="15" hidden="false" customHeight="true" outlineLevel="0" collapsed="false">
      <c r="A85" s="7" t="n">
        <v>1206</v>
      </c>
      <c r="B85" s="7" t="n">
        <v>68</v>
      </c>
      <c r="C85" s="7" t="s">
        <v>33</v>
      </c>
      <c r="D85" s="7" t="s">
        <v>25</v>
      </c>
      <c r="E85" s="7" t="n">
        <v>0</v>
      </c>
      <c r="F85" s="7" t="n">
        <v>0</v>
      </c>
      <c r="G85" s="7" t="s">
        <v>36</v>
      </c>
      <c r="H85" s="7" t="s">
        <v>32</v>
      </c>
      <c r="I85" s="7" t="n">
        <v>27</v>
      </c>
      <c r="J85" s="7" t="s">
        <v>28</v>
      </c>
      <c r="K85" s="7" t="n">
        <v>234.7</v>
      </c>
      <c r="L85" s="7" t="s">
        <v>29</v>
      </c>
      <c r="M85" s="7" t="s">
        <v>30</v>
      </c>
    </row>
    <row r="86" customFormat="false" ht="15" hidden="false" customHeight="true" outlineLevel="0" collapsed="false">
      <c r="A86" s="7" t="n">
        <v>1216</v>
      </c>
      <c r="B86" s="7" t="n">
        <v>24</v>
      </c>
      <c r="C86" s="7" t="s">
        <v>33</v>
      </c>
      <c r="D86" s="7" t="s">
        <v>25</v>
      </c>
      <c r="E86" s="7" t="n">
        <v>0</v>
      </c>
      <c r="F86" s="7" t="n">
        <v>0</v>
      </c>
      <c r="G86" s="7" t="s">
        <v>31</v>
      </c>
      <c r="H86" s="7" t="s">
        <v>32</v>
      </c>
      <c r="I86" s="7" t="n">
        <v>32.3</v>
      </c>
      <c r="J86" s="7" t="s">
        <v>28</v>
      </c>
      <c r="K86" s="7" t="n">
        <v>120.2</v>
      </c>
      <c r="L86" s="7" t="s">
        <v>29</v>
      </c>
      <c r="M86" s="7" t="s">
        <v>30</v>
      </c>
    </row>
    <row r="87" customFormat="false" ht="15" hidden="false" customHeight="true" outlineLevel="0" collapsed="false">
      <c r="A87" s="7" t="n">
        <v>1218</v>
      </c>
      <c r="B87" s="7" t="n">
        <v>70</v>
      </c>
      <c r="C87" s="7" t="s">
        <v>24</v>
      </c>
      <c r="D87" s="7" t="s">
        <v>25</v>
      </c>
      <c r="E87" s="7" t="n">
        <v>0</v>
      </c>
      <c r="F87" s="7" t="n">
        <v>0</v>
      </c>
      <c r="G87" s="7" t="s">
        <v>26</v>
      </c>
      <c r="H87" s="7" t="s">
        <v>27</v>
      </c>
      <c r="I87" s="7" t="n">
        <v>34.9</v>
      </c>
      <c r="J87" s="7" t="s">
        <v>28</v>
      </c>
      <c r="K87" s="7" t="n">
        <v>230.5</v>
      </c>
      <c r="L87" s="7" t="s">
        <v>29</v>
      </c>
      <c r="M87" s="7" t="s">
        <v>30</v>
      </c>
    </row>
    <row r="88" customFormat="false" ht="15" hidden="false" customHeight="true" outlineLevel="0" collapsed="false">
      <c r="A88" s="7" t="n">
        <v>1222</v>
      </c>
      <c r="B88" s="7" t="n">
        <v>82</v>
      </c>
      <c r="C88" s="7" t="s">
        <v>24</v>
      </c>
      <c r="D88" s="7" t="s">
        <v>25</v>
      </c>
      <c r="E88" s="7" t="n">
        <v>0</v>
      </c>
      <c r="F88" s="7" t="n">
        <v>0</v>
      </c>
      <c r="G88" s="7" t="s">
        <v>35</v>
      </c>
      <c r="H88" s="7" t="s">
        <v>27</v>
      </c>
      <c r="I88" s="7" t="n">
        <v>28.6</v>
      </c>
      <c r="J88" s="7" t="s">
        <v>28</v>
      </c>
      <c r="K88" s="7" t="n">
        <v>166.3</v>
      </c>
      <c r="L88" s="7" t="s">
        <v>29</v>
      </c>
      <c r="M88" s="7" t="s">
        <v>30</v>
      </c>
    </row>
    <row r="89" customFormat="false" ht="15" hidden="false" customHeight="true" outlineLevel="0" collapsed="false">
      <c r="A89" s="7" t="n">
        <v>1223</v>
      </c>
      <c r="B89" s="7" t="n">
        <v>71</v>
      </c>
      <c r="C89" s="7" t="s">
        <v>33</v>
      </c>
      <c r="D89" s="7" t="s">
        <v>25</v>
      </c>
      <c r="E89" s="7" t="n">
        <v>0</v>
      </c>
      <c r="F89" s="7" t="n">
        <v>0</v>
      </c>
      <c r="G89" s="7" t="s">
        <v>26</v>
      </c>
      <c r="H89" s="7" t="s">
        <v>27</v>
      </c>
      <c r="I89" s="7" t="n">
        <v>32.1</v>
      </c>
      <c r="J89" s="7" t="s">
        <v>28</v>
      </c>
      <c r="K89" s="7" t="n">
        <v>215.3</v>
      </c>
      <c r="L89" s="7" t="s">
        <v>29</v>
      </c>
      <c r="M89" s="7" t="s">
        <v>30</v>
      </c>
    </row>
    <row r="90" customFormat="false" ht="15" hidden="false" customHeight="true" outlineLevel="0" collapsed="false">
      <c r="A90" s="7" t="n">
        <v>1237</v>
      </c>
      <c r="B90" s="7" t="n">
        <v>85</v>
      </c>
      <c r="C90" s="7" t="s">
        <v>33</v>
      </c>
      <c r="D90" s="7" t="s">
        <v>25</v>
      </c>
      <c r="E90" s="7" t="n">
        <v>0</v>
      </c>
      <c r="F90" s="7" t="n">
        <v>0</v>
      </c>
      <c r="G90" s="7" t="s">
        <v>34</v>
      </c>
      <c r="H90" s="7" t="s">
        <v>32</v>
      </c>
      <c r="I90" s="7" t="n">
        <v>18.6</v>
      </c>
      <c r="J90" s="7" t="s">
        <v>28</v>
      </c>
      <c r="K90" s="7" t="n">
        <v>214.9</v>
      </c>
      <c r="L90" s="7" t="s">
        <v>29</v>
      </c>
      <c r="M90" s="7" t="s">
        <v>30</v>
      </c>
    </row>
    <row r="91" customFormat="false" ht="15" hidden="false" customHeight="true" outlineLevel="0" collapsed="false">
      <c r="A91" s="7" t="n">
        <v>1247</v>
      </c>
      <c r="B91" s="7" t="n">
        <v>43</v>
      </c>
      <c r="C91" s="7" t="s">
        <v>24</v>
      </c>
      <c r="D91" s="7" t="s">
        <v>25</v>
      </c>
      <c r="E91" s="7" t="n">
        <v>0</v>
      </c>
      <c r="F91" s="7" t="n">
        <v>0</v>
      </c>
      <c r="G91" s="7" t="s">
        <v>34</v>
      </c>
      <c r="H91" s="7" t="s">
        <v>27</v>
      </c>
      <c r="I91" s="7" t="n">
        <v>30.8</v>
      </c>
      <c r="J91" s="7" t="s">
        <v>28</v>
      </c>
      <c r="K91" s="7" t="n">
        <v>247</v>
      </c>
      <c r="L91" s="7" t="s">
        <v>29</v>
      </c>
      <c r="M91" s="7" t="s">
        <v>30</v>
      </c>
    </row>
    <row r="92" customFormat="false" ht="15" hidden="false" customHeight="true" outlineLevel="0" collapsed="false">
      <c r="A92" s="7" t="n">
        <v>1287</v>
      </c>
      <c r="B92" s="7" t="n">
        <v>25</v>
      </c>
      <c r="C92" s="7" t="s">
        <v>33</v>
      </c>
      <c r="D92" s="7" t="s">
        <v>25</v>
      </c>
      <c r="E92" s="7" t="n">
        <v>0</v>
      </c>
      <c r="F92" s="7" t="n">
        <v>0</v>
      </c>
      <c r="G92" s="7" t="s">
        <v>26</v>
      </c>
      <c r="H92" s="7" t="s">
        <v>27</v>
      </c>
      <c r="I92" s="7" t="n">
        <v>31.6</v>
      </c>
      <c r="J92" s="7" t="s">
        <v>28</v>
      </c>
      <c r="K92" s="7" t="n">
        <v>248.3</v>
      </c>
      <c r="L92" s="7" t="s">
        <v>29</v>
      </c>
      <c r="M92" s="7" t="s">
        <v>30</v>
      </c>
    </row>
    <row r="93" customFormat="false" ht="15" hidden="false" customHeight="true" outlineLevel="0" collapsed="false">
      <c r="A93" s="7" t="n">
        <v>1326</v>
      </c>
      <c r="B93" s="7" t="n">
        <v>24</v>
      </c>
      <c r="C93" s="7" t="s">
        <v>24</v>
      </c>
      <c r="D93" s="7" t="s">
        <v>25</v>
      </c>
      <c r="E93" s="7" t="n">
        <v>0</v>
      </c>
      <c r="F93" s="7" t="n">
        <v>0</v>
      </c>
      <c r="G93" s="7" t="s">
        <v>35</v>
      </c>
      <c r="H93" s="7" t="s">
        <v>27</v>
      </c>
      <c r="I93" s="7" t="n">
        <v>22.3</v>
      </c>
      <c r="J93" s="7" t="s">
        <v>28</v>
      </c>
      <c r="K93" s="7" t="n">
        <v>137.1</v>
      </c>
      <c r="L93" s="7" t="s">
        <v>29</v>
      </c>
      <c r="M93" s="7" t="s">
        <v>30</v>
      </c>
    </row>
    <row r="94" customFormat="false" ht="15" hidden="false" customHeight="true" outlineLevel="0" collapsed="false">
      <c r="A94" s="7" t="n">
        <v>1327</v>
      </c>
      <c r="B94" s="7" t="n">
        <v>25</v>
      </c>
      <c r="C94" s="7" t="s">
        <v>24</v>
      </c>
      <c r="D94" s="7" t="s">
        <v>25</v>
      </c>
      <c r="E94" s="7" t="n">
        <v>0</v>
      </c>
      <c r="F94" s="7" t="n">
        <v>0</v>
      </c>
      <c r="G94" s="7" t="s">
        <v>35</v>
      </c>
      <c r="H94" s="7" t="s">
        <v>27</v>
      </c>
      <c r="I94" s="7" t="n">
        <v>21.6</v>
      </c>
      <c r="J94" s="7" t="s">
        <v>28</v>
      </c>
      <c r="K94" s="7" t="n">
        <v>164.7</v>
      </c>
      <c r="L94" s="7" t="s">
        <v>29</v>
      </c>
      <c r="M94" s="7" t="s">
        <v>30</v>
      </c>
    </row>
    <row r="95" customFormat="false" ht="15" hidden="false" customHeight="true" outlineLevel="0" collapsed="false">
      <c r="A95" s="7" t="n">
        <v>1333</v>
      </c>
      <c r="B95" s="7" t="n">
        <v>75</v>
      </c>
      <c r="C95" s="7" t="s">
        <v>24</v>
      </c>
      <c r="D95" s="7" t="s">
        <v>25</v>
      </c>
      <c r="E95" s="7" t="n">
        <v>0</v>
      </c>
      <c r="F95" s="7" t="n">
        <v>0</v>
      </c>
      <c r="G95" s="7" t="s">
        <v>36</v>
      </c>
      <c r="H95" s="7" t="s">
        <v>27</v>
      </c>
      <c r="I95" s="7" t="n">
        <v>29.3</v>
      </c>
      <c r="J95" s="7" t="s">
        <v>28</v>
      </c>
      <c r="K95" s="7" t="n">
        <v>178.7</v>
      </c>
      <c r="L95" s="7" t="s">
        <v>29</v>
      </c>
      <c r="M95" s="7" t="s">
        <v>30</v>
      </c>
    </row>
    <row r="96" customFormat="false" ht="15" hidden="false" customHeight="true" outlineLevel="0" collapsed="false">
      <c r="A96" s="7" t="n">
        <v>1339</v>
      </c>
      <c r="B96" s="7" t="n">
        <v>61</v>
      </c>
      <c r="C96" s="7" t="s">
        <v>33</v>
      </c>
      <c r="D96" s="7" t="s">
        <v>25</v>
      </c>
      <c r="E96" s="7" t="n">
        <v>0</v>
      </c>
      <c r="F96" s="7" t="n">
        <v>0</v>
      </c>
      <c r="G96" s="7" t="s">
        <v>35</v>
      </c>
      <c r="H96" s="7" t="s">
        <v>32</v>
      </c>
      <c r="I96" s="7" t="n">
        <v>38.9</v>
      </c>
      <c r="J96" s="7" t="s">
        <v>28</v>
      </c>
      <c r="K96" s="7" t="n">
        <v>238</v>
      </c>
      <c r="L96" s="7" t="s">
        <v>29</v>
      </c>
      <c r="M96" s="7" t="s">
        <v>30</v>
      </c>
    </row>
    <row r="97" customFormat="false" ht="15" hidden="false" customHeight="true" outlineLevel="0" collapsed="false">
      <c r="A97" s="7" t="n">
        <v>1344</v>
      </c>
      <c r="B97" s="7" t="n">
        <v>39</v>
      </c>
      <c r="C97" s="7" t="s">
        <v>24</v>
      </c>
      <c r="D97" s="7" t="s">
        <v>25</v>
      </c>
      <c r="E97" s="7" t="n">
        <v>0</v>
      </c>
      <c r="F97" s="7" t="n">
        <v>0</v>
      </c>
      <c r="G97" s="7" t="s">
        <v>34</v>
      </c>
      <c r="H97" s="7" t="s">
        <v>32</v>
      </c>
      <c r="I97" s="7" t="n">
        <v>23.9</v>
      </c>
      <c r="J97" s="7" t="s">
        <v>28</v>
      </c>
      <c r="K97" s="7" t="n">
        <v>156.4</v>
      </c>
      <c r="L97" s="7" t="s">
        <v>29</v>
      </c>
      <c r="M97" s="7" t="s">
        <v>30</v>
      </c>
    </row>
    <row r="98" customFormat="false" ht="15" hidden="false" customHeight="true" outlineLevel="0" collapsed="false">
      <c r="A98" s="7" t="n">
        <v>1348</v>
      </c>
      <c r="B98" s="7" t="n">
        <v>21</v>
      </c>
      <c r="C98" s="7" t="s">
        <v>33</v>
      </c>
      <c r="D98" s="7" t="s">
        <v>25</v>
      </c>
      <c r="E98" s="7" t="n">
        <v>0</v>
      </c>
      <c r="F98" s="7" t="n">
        <v>0</v>
      </c>
      <c r="G98" s="7" t="s">
        <v>36</v>
      </c>
      <c r="H98" s="7" t="s">
        <v>27</v>
      </c>
      <c r="I98" s="7" t="n">
        <v>20.9</v>
      </c>
      <c r="J98" s="7" t="s">
        <v>28</v>
      </c>
      <c r="K98" s="7" t="n">
        <v>165.1</v>
      </c>
      <c r="L98" s="7" t="s">
        <v>29</v>
      </c>
      <c r="M98" s="7" t="s">
        <v>30</v>
      </c>
    </row>
    <row r="99" customFormat="false" ht="15" hidden="false" customHeight="true" outlineLevel="0" collapsed="false">
      <c r="A99" s="7" t="n">
        <v>1356</v>
      </c>
      <c r="B99" s="7" t="n">
        <v>69</v>
      </c>
      <c r="C99" s="7" t="s">
        <v>33</v>
      </c>
      <c r="D99" s="7" t="s">
        <v>25</v>
      </c>
      <c r="E99" s="7" t="n">
        <v>0</v>
      </c>
      <c r="F99" s="7" t="n">
        <v>0</v>
      </c>
      <c r="G99" s="7" t="s">
        <v>34</v>
      </c>
      <c r="H99" s="7" t="s">
        <v>32</v>
      </c>
      <c r="I99" s="7" t="n">
        <v>19.5</v>
      </c>
      <c r="J99" s="7" t="s">
        <v>28</v>
      </c>
      <c r="K99" s="7" t="n">
        <v>216.9</v>
      </c>
      <c r="L99" s="7" t="s">
        <v>29</v>
      </c>
      <c r="M99" s="7" t="s">
        <v>30</v>
      </c>
    </row>
    <row r="100" customFormat="false" ht="15" hidden="false" customHeight="true" outlineLevel="0" collapsed="false">
      <c r="A100" s="7" t="n">
        <v>1361</v>
      </c>
      <c r="B100" s="7" t="n">
        <v>82</v>
      </c>
      <c r="C100" s="7" t="s">
        <v>33</v>
      </c>
      <c r="D100" s="7" t="s">
        <v>25</v>
      </c>
      <c r="E100" s="7" t="n">
        <v>0</v>
      </c>
      <c r="F100" s="7" t="n">
        <v>0</v>
      </c>
      <c r="G100" s="7" t="s">
        <v>31</v>
      </c>
      <c r="H100" s="7" t="s">
        <v>27</v>
      </c>
      <c r="I100" s="7" t="n">
        <v>30.9</v>
      </c>
      <c r="J100" s="7" t="s">
        <v>28</v>
      </c>
      <c r="K100" s="7" t="n">
        <v>129.4</v>
      </c>
      <c r="L100" s="7" t="s">
        <v>29</v>
      </c>
      <c r="M100" s="7" t="s">
        <v>30</v>
      </c>
    </row>
    <row r="101" customFormat="false" ht="15" hidden="false" customHeight="true" outlineLevel="0" collapsed="false">
      <c r="A101" s="7" t="n">
        <v>1365</v>
      </c>
      <c r="B101" s="7" t="n">
        <v>20</v>
      </c>
      <c r="C101" s="7" t="s">
        <v>24</v>
      </c>
      <c r="D101" s="7" t="s">
        <v>25</v>
      </c>
      <c r="E101" s="7" t="n">
        <v>0</v>
      </c>
      <c r="F101" s="7" t="n">
        <v>0</v>
      </c>
      <c r="G101" s="7" t="s">
        <v>26</v>
      </c>
      <c r="H101" s="7" t="s">
        <v>32</v>
      </c>
      <c r="I101" s="7" t="n">
        <v>39.6</v>
      </c>
      <c r="J101" s="7" t="s">
        <v>28</v>
      </c>
      <c r="K101" s="7" t="n">
        <v>223.9</v>
      </c>
      <c r="L101" s="7" t="s">
        <v>29</v>
      </c>
      <c r="M101" s="7" t="s">
        <v>30</v>
      </c>
    </row>
    <row r="102" customFormat="false" ht="15" hidden="false" customHeight="true" outlineLevel="0" collapsed="false">
      <c r="A102" s="7" t="n">
        <v>1377</v>
      </c>
      <c r="B102" s="7" t="n">
        <v>67</v>
      </c>
      <c r="C102" s="7" t="s">
        <v>24</v>
      </c>
      <c r="D102" s="7" t="s">
        <v>25</v>
      </c>
      <c r="E102" s="7" t="n">
        <v>0</v>
      </c>
      <c r="F102" s="7" t="n">
        <v>0</v>
      </c>
      <c r="G102" s="7" t="s">
        <v>31</v>
      </c>
      <c r="H102" s="7" t="s">
        <v>32</v>
      </c>
      <c r="I102" s="7" t="n">
        <v>21.6</v>
      </c>
      <c r="J102" s="7" t="s">
        <v>28</v>
      </c>
      <c r="K102" s="7" t="n">
        <v>122.5</v>
      </c>
      <c r="L102" s="7" t="s">
        <v>29</v>
      </c>
      <c r="M102" s="7" t="s">
        <v>30</v>
      </c>
    </row>
    <row r="103" customFormat="false" ht="15" hidden="false" customHeight="true" outlineLevel="0" collapsed="false">
      <c r="A103" s="7" t="n">
        <v>1385</v>
      </c>
      <c r="B103" s="7" t="n">
        <v>59</v>
      </c>
      <c r="C103" s="7" t="s">
        <v>33</v>
      </c>
      <c r="D103" s="7" t="s">
        <v>25</v>
      </c>
      <c r="E103" s="7" t="n">
        <v>0</v>
      </c>
      <c r="F103" s="7" t="n">
        <v>0</v>
      </c>
      <c r="G103" s="7" t="s">
        <v>35</v>
      </c>
      <c r="H103" s="7" t="s">
        <v>32</v>
      </c>
      <c r="I103" s="7" t="n">
        <v>28.6</v>
      </c>
      <c r="J103" s="7" t="s">
        <v>28</v>
      </c>
      <c r="K103" s="7" t="n">
        <v>143.1</v>
      </c>
      <c r="L103" s="7" t="s">
        <v>29</v>
      </c>
      <c r="M103" s="7" t="s">
        <v>30</v>
      </c>
    </row>
    <row r="104" customFormat="false" ht="15" hidden="false" customHeight="true" outlineLevel="0" collapsed="false">
      <c r="A104" s="7" t="n">
        <v>1403</v>
      </c>
      <c r="B104" s="7" t="n">
        <v>43</v>
      </c>
      <c r="C104" s="7" t="s">
        <v>24</v>
      </c>
      <c r="D104" s="7" t="s">
        <v>25</v>
      </c>
      <c r="E104" s="7" t="n">
        <v>0</v>
      </c>
      <c r="F104" s="7" t="n">
        <v>0</v>
      </c>
      <c r="G104" s="7" t="s">
        <v>36</v>
      </c>
      <c r="H104" s="7" t="s">
        <v>32</v>
      </c>
      <c r="I104" s="7" t="n">
        <v>23.9</v>
      </c>
      <c r="J104" s="7" t="s">
        <v>28</v>
      </c>
      <c r="K104" s="7" t="n">
        <v>159</v>
      </c>
      <c r="L104" s="7" t="s">
        <v>29</v>
      </c>
      <c r="M104" s="7" t="s">
        <v>30</v>
      </c>
    </row>
    <row r="105" customFormat="false" ht="15" hidden="false" customHeight="true" outlineLevel="0" collapsed="false">
      <c r="A105" s="7" t="n">
        <v>1456</v>
      </c>
      <c r="B105" s="7" t="n">
        <v>23</v>
      </c>
      <c r="C105" s="7" t="s">
        <v>24</v>
      </c>
      <c r="D105" s="7" t="s">
        <v>25</v>
      </c>
      <c r="E105" s="7" t="n">
        <v>0</v>
      </c>
      <c r="F105" s="7" t="n">
        <v>0</v>
      </c>
      <c r="G105" s="7" t="s">
        <v>35</v>
      </c>
      <c r="H105" s="7" t="s">
        <v>27</v>
      </c>
      <c r="I105" s="7" t="n">
        <v>32</v>
      </c>
      <c r="J105" s="7" t="s">
        <v>28</v>
      </c>
      <c r="K105" s="7" t="n">
        <v>237.8</v>
      </c>
      <c r="L105" s="7" t="s">
        <v>29</v>
      </c>
      <c r="M105" s="7" t="s">
        <v>30</v>
      </c>
    </row>
    <row r="106" customFormat="false" ht="15" hidden="false" customHeight="true" outlineLevel="0" collapsed="false">
      <c r="A106" s="7" t="n">
        <v>1469</v>
      </c>
      <c r="B106" s="7" t="n">
        <v>62</v>
      </c>
      <c r="C106" s="7" t="s">
        <v>24</v>
      </c>
      <c r="D106" s="7" t="s">
        <v>25</v>
      </c>
      <c r="E106" s="7" t="n">
        <v>0</v>
      </c>
      <c r="F106" s="7" t="n">
        <v>0</v>
      </c>
      <c r="G106" s="7" t="s">
        <v>36</v>
      </c>
      <c r="H106" s="7" t="s">
        <v>32</v>
      </c>
      <c r="I106" s="7" t="n">
        <v>19.9</v>
      </c>
      <c r="J106" s="7" t="s">
        <v>28</v>
      </c>
      <c r="K106" s="7" t="n">
        <v>127.6</v>
      </c>
      <c r="L106" s="7" t="s">
        <v>29</v>
      </c>
      <c r="M106" s="7" t="s">
        <v>30</v>
      </c>
    </row>
    <row r="107" customFormat="false" ht="15" hidden="false" customHeight="true" outlineLevel="0" collapsed="false">
      <c r="A107" s="7" t="n">
        <v>1483</v>
      </c>
      <c r="B107" s="7" t="n">
        <v>61</v>
      </c>
      <c r="C107" s="7" t="s">
        <v>24</v>
      </c>
      <c r="D107" s="7" t="s">
        <v>25</v>
      </c>
      <c r="E107" s="7" t="n">
        <v>0</v>
      </c>
      <c r="F107" s="7" t="n">
        <v>0</v>
      </c>
      <c r="G107" s="7" t="s">
        <v>36</v>
      </c>
      <c r="H107" s="7" t="s">
        <v>27</v>
      </c>
      <c r="I107" s="7" t="n">
        <v>30.1</v>
      </c>
      <c r="J107" s="7" t="s">
        <v>28</v>
      </c>
      <c r="K107" s="7" t="n">
        <v>120.2</v>
      </c>
      <c r="L107" s="7" t="s">
        <v>29</v>
      </c>
      <c r="M107" s="7" t="s">
        <v>30</v>
      </c>
    </row>
    <row r="108" customFormat="false" ht="15" hidden="false" customHeight="true" outlineLevel="0" collapsed="false">
      <c r="A108" s="7" t="n">
        <v>1522</v>
      </c>
      <c r="B108" s="7" t="n">
        <v>28</v>
      </c>
      <c r="C108" s="7" t="s">
        <v>24</v>
      </c>
      <c r="D108" s="7" t="s">
        <v>25</v>
      </c>
      <c r="E108" s="7" t="n">
        <v>0</v>
      </c>
      <c r="F108" s="7" t="n">
        <v>0</v>
      </c>
      <c r="G108" s="7" t="s">
        <v>31</v>
      </c>
      <c r="H108" s="7" t="s">
        <v>32</v>
      </c>
      <c r="I108" s="7" t="n">
        <v>18.5</v>
      </c>
      <c r="J108" s="7" t="s">
        <v>28</v>
      </c>
      <c r="K108" s="7" t="n">
        <v>217.1</v>
      </c>
      <c r="L108" s="7" t="s">
        <v>29</v>
      </c>
      <c r="M108" s="7" t="s">
        <v>30</v>
      </c>
    </row>
    <row r="109" customFormat="false" ht="15" hidden="false" customHeight="true" outlineLevel="0" collapsed="false">
      <c r="A109" s="7" t="n">
        <v>1574</v>
      </c>
      <c r="B109" s="7" t="n">
        <v>64</v>
      </c>
      <c r="C109" s="7" t="s">
        <v>24</v>
      </c>
      <c r="D109" s="7" t="s">
        <v>25</v>
      </c>
      <c r="E109" s="7" t="n">
        <v>0</v>
      </c>
      <c r="F109" s="7" t="n">
        <v>0</v>
      </c>
      <c r="G109" s="7" t="s">
        <v>34</v>
      </c>
      <c r="H109" s="7" t="s">
        <v>27</v>
      </c>
      <c r="I109" s="7" t="n">
        <v>18.2</v>
      </c>
      <c r="J109" s="7" t="s">
        <v>28</v>
      </c>
      <c r="K109" s="7" t="n">
        <v>153.1</v>
      </c>
      <c r="L109" s="7" t="s">
        <v>29</v>
      </c>
      <c r="M109" s="7" t="s">
        <v>30</v>
      </c>
    </row>
    <row r="110" customFormat="false" ht="15" hidden="false" customHeight="true" outlineLevel="0" collapsed="false">
      <c r="A110" s="7" t="n">
        <v>1578</v>
      </c>
      <c r="B110" s="7" t="n">
        <v>87</v>
      </c>
      <c r="C110" s="7" t="s">
        <v>33</v>
      </c>
      <c r="D110" s="7" t="s">
        <v>25</v>
      </c>
      <c r="E110" s="7" t="n">
        <v>0</v>
      </c>
      <c r="F110" s="7" t="n">
        <v>0</v>
      </c>
      <c r="G110" s="7" t="s">
        <v>35</v>
      </c>
      <c r="H110" s="7" t="s">
        <v>32</v>
      </c>
      <c r="I110" s="7" t="n">
        <v>35.6</v>
      </c>
      <c r="J110" s="7" t="s">
        <v>28</v>
      </c>
      <c r="K110" s="7" t="n">
        <v>135</v>
      </c>
      <c r="L110" s="7" t="s">
        <v>29</v>
      </c>
      <c r="M110" s="7" t="s">
        <v>30</v>
      </c>
    </row>
    <row r="111" customFormat="false" ht="15" hidden="false" customHeight="true" outlineLevel="0" collapsed="false">
      <c r="A111" s="7" t="n">
        <v>1587</v>
      </c>
      <c r="B111" s="7" t="n">
        <v>41</v>
      </c>
      <c r="C111" s="7" t="s">
        <v>33</v>
      </c>
      <c r="D111" s="7" t="s">
        <v>25</v>
      </c>
      <c r="E111" s="7" t="n">
        <v>0</v>
      </c>
      <c r="F111" s="7" t="n">
        <v>0</v>
      </c>
      <c r="G111" s="7" t="s">
        <v>31</v>
      </c>
      <c r="H111" s="7" t="s">
        <v>27</v>
      </c>
      <c r="I111" s="7" t="n">
        <v>40.4</v>
      </c>
      <c r="J111" s="7" t="s">
        <v>28</v>
      </c>
      <c r="K111" s="7" t="n">
        <v>199</v>
      </c>
      <c r="L111" s="7" t="s">
        <v>29</v>
      </c>
      <c r="M111" s="7" t="s">
        <v>30</v>
      </c>
    </row>
    <row r="112" customFormat="false" ht="15" hidden="false" customHeight="true" outlineLevel="0" collapsed="false">
      <c r="A112" s="7" t="n">
        <v>1595</v>
      </c>
      <c r="B112" s="7" t="n">
        <v>82</v>
      </c>
      <c r="C112" s="7" t="s">
        <v>24</v>
      </c>
      <c r="D112" s="7" t="s">
        <v>25</v>
      </c>
      <c r="E112" s="7" t="n">
        <v>0</v>
      </c>
      <c r="F112" s="7" t="n">
        <v>0</v>
      </c>
      <c r="G112" s="7" t="s">
        <v>34</v>
      </c>
      <c r="H112" s="7" t="s">
        <v>27</v>
      </c>
      <c r="I112" s="7" t="n">
        <v>31.1</v>
      </c>
      <c r="J112" s="7" t="s">
        <v>28</v>
      </c>
      <c r="K112" s="7" t="n">
        <v>253.6</v>
      </c>
      <c r="L112" s="7" t="s">
        <v>29</v>
      </c>
      <c r="M112" s="7" t="s">
        <v>30</v>
      </c>
    </row>
    <row r="113" customFormat="false" ht="15" hidden="false" customHeight="true" outlineLevel="0" collapsed="false">
      <c r="A113" s="7" t="n">
        <v>1604</v>
      </c>
      <c r="B113" s="7" t="n">
        <v>84</v>
      </c>
      <c r="C113" s="7" t="s">
        <v>24</v>
      </c>
      <c r="D113" s="7" t="s">
        <v>25</v>
      </c>
      <c r="E113" s="7" t="n">
        <v>0</v>
      </c>
      <c r="F113" s="7" t="n">
        <v>0</v>
      </c>
      <c r="G113" s="7" t="s">
        <v>36</v>
      </c>
      <c r="H113" s="7" t="s">
        <v>32</v>
      </c>
      <c r="I113" s="7" t="n">
        <v>35.6</v>
      </c>
      <c r="J113" s="7" t="s">
        <v>28</v>
      </c>
      <c r="K113" s="7" t="n">
        <v>277.6</v>
      </c>
      <c r="L113" s="7" t="s">
        <v>29</v>
      </c>
      <c r="M113" s="7" t="s">
        <v>30</v>
      </c>
    </row>
    <row r="114" customFormat="false" ht="15" hidden="false" customHeight="true" outlineLevel="0" collapsed="false">
      <c r="A114" s="7" t="n">
        <v>1613</v>
      </c>
      <c r="B114" s="7" t="n">
        <v>49</v>
      </c>
      <c r="C114" s="7" t="s">
        <v>24</v>
      </c>
      <c r="D114" s="7" t="s">
        <v>25</v>
      </c>
      <c r="E114" s="7" t="n">
        <v>0</v>
      </c>
      <c r="F114" s="7" t="n">
        <v>0</v>
      </c>
      <c r="G114" s="7" t="s">
        <v>35</v>
      </c>
      <c r="H114" s="7" t="s">
        <v>32</v>
      </c>
      <c r="I114" s="7" t="n">
        <v>34.5</v>
      </c>
      <c r="J114" s="7" t="s">
        <v>28</v>
      </c>
      <c r="K114" s="7" t="n">
        <v>131</v>
      </c>
      <c r="L114" s="7" t="s">
        <v>29</v>
      </c>
      <c r="M114" s="7" t="s">
        <v>30</v>
      </c>
    </row>
    <row r="115" customFormat="false" ht="15" hidden="false" customHeight="true" outlineLevel="0" collapsed="false">
      <c r="A115" s="7" t="n">
        <v>1618</v>
      </c>
      <c r="B115" s="7" t="n">
        <v>73</v>
      </c>
      <c r="C115" s="7" t="s">
        <v>33</v>
      </c>
      <c r="D115" s="7" t="s">
        <v>25</v>
      </c>
      <c r="E115" s="7" t="n">
        <v>0</v>
      </c>
      <c r="F115" s="7" t="n">
        <v>0</v>
      </c>
      <c r="G115" s="7" t="s">
        <v>31</v>
      </c>
      <c r="H115" s="7" t="s">
        <v>27</v>
      </c>
      <c r="I115" s="7" t="n">
        <v>32.2</v>
      </c>
      <c r="J115" s="7" t="s">
        <v>28</v>
      </c>
      <c r="K115" s="7" t="n">
        <v>195.8</v>
      </c>
      <c r="L115" s="7" t="s">
        <v>29</v>
      </c>
      <c r="M115" s="7" t="s">
        <v>30</v>
      </c>
    </row>
    <row r="116" customFormat="false" ht="15" hidden="false" customHeight="true" outlineLevel="0" collapsed="false">
      <c r="A116" s="7" t="n">
        <v>1620</v>
      </c>
      <c r="B116" s="7" t="n">
        <v>29</v>
      </c>
      <c r="C116" s="7" t="s">
        <v>24</v>
      </c>
      <c r="D116" s="7" t="s">
        <v>25</v>
      </c>
      <c r="E116" s="7" t="n">
        <v>0</v>
      </c>
      <c r="F116" s="7" t="n">
        <v>0</v>
      </c>
      <c r="G116" s="7" t="s">
        <v>35</v>
      </c>
      <c r="H116" s="7" t="s">
        <v>32</v>
      </c>
      <c r="I116" s="7" t="n">
        <v>28.2</v>
      </c>
      <c r="J116" s="7" t="s">
        <v>28</v>
      </c>
      <c r="K116" s="7" t="n">
        <v>145.4</v>
      </c>
      <c r="L116" s="7" t="s">
        <v>29</v>
      </c>
      <c r="M116" s="7" t="s">
        <v>30</v>
      </c>
    </row>
    <row r="117" customFormat="false" ht="15" hidden="false" customHeight="true" outlineLevel="0" collapsed="false">
      <c r="A117" s="7" t="n">
        <v>1634</v>
      </c>
      <c r="B117" s="7" t="n">
        <v>85</v>
      </c>
      <c r="C117" s="7" t="s">
        <v>33</v>
      </c>
      <c r="D117" s="7" t="s">
        <v>25</v>
      </c>
      <c r="E117" s="7" t="n">
        <v>0</v>
      </c>
      <c r="F117" s="7" t="n">
        <v>0</v>
      </c>
      <c r="G117" s="7" t="s">
        <v>36</v>
      </c>
      <c r="H117" s="7" t="s">
        <v>27</v>
      </c>
      <c r="I117" s="7" t="n">
        <v>36.6</v>
      </c>
      <c r="J117" s="7" t="s">
        <v>28</v>
      </c>
      <c r="K117" s="7" t="n">
        <v>275.5</v>
      </c>
      <c r="L117" s="7" t="s">
        <v>29</v>
      </c>
      <c r="M117" s="7" t="s">
        <v>30</v>
      </c>
    </row>
    <row r="118" customFormat="false" ht="15" hidden="false" customHeight="true" outlineLevel="0" collapsed="false">
      <c r="A118" s="7" t="n">
        <v>1637</v>
      </c>
      <c r="B118" s="7" t="n">
        <v>66</v>
      </c>
      <c r="C118" s="7" t="s">
        <v>24</v>
      </c>
      <c r="D118" s="7" t="s">
        <v>25</v>
      </c>
      <c r="E118" s="7" t="n">
        <v>0</v>
      </c>
      <c r="F118" s="7" t="n">
        <v>0</v>
      </c>
      <c r="G118" s="7" t="s">
        <v>26</v>
      </c>
      <c r="H118" s="7" t="s">
        <v>32</v>
      </c>
      <c r="I118" s="7" t="n">
        <v>27.8</v>
      </c>
      <c r="J118" s="7" t="s">
        <v>28</v>
      </c>
      <c r="K118" s="7" t="n">
        <v>284.9</v>
      </c>
      <c r="L118" s="7" t="s">
        <v>29</v>
      </c>
      <c r="M118" s="7" t="s">
        <v>30</v>
      </c>
    </row>
    <row r="119" customFormat="false" ht="15" hidden="false" customHeight="true" outlineLevel="0" collapsed="false">
      <c r="A119" s="7" t="n">
        <v>1645</v>
      </c>
      <c r="B119" s="7" t="n">
        <v>39</v>
      </c>
      <c r="C119" s="7" t="s">
        <v>33</v>
      </c>
      <c r="D119" s="7" t="s">
        <v>25</v>
      </c>
      <c r="E119" s="7" t="n">
        <v>0</v>
      </c>
      <c r="F119" s="7" t="n">
        <v>0</v>
      </c>
      <c r="G119" s="7" t="s">
        <v>31</v>
      </c>
      <c r="H119" s="7" t="s">
        <v>32</v>
      </c>
      <c r="I119" s="7" t="n">
        <v>23.7</v>
      </c>
      <c r="J119" s="7" t="s">
        <v>28</v>
      </c>
      <c r="K119" s="7" t="n">
        <v>199.9</v>
      </c>
      <c r="L119" s="7" t="s">
        <v>29</v>
      </c>
      <c r="M119" s="7" t="s">
        <v>30</v>
      </c>
    </row>
    <row r="120" customFormat="false" ht="15" hidden="false" customHeight="true" outlineLevel="0" collapsed="false">
      <c r="A120" s="7" t="n">
        <v>1648</v>
      </c>
      <c r="B120" s="7" t="n">
        <v>34</v>
      </c>
      <c r="C120" s="7" t="s">
        <v>24</v>
      </c>
      <c r="D120" s="7" t="s">
        <v>25</v>
      </c>
      <c r="E120" s="7" t="n">
        <v>0</v>
      </c>
      <c r="F120" s="7" t="n">
        <v>0</v>
      </c>
      <c r="G120" s="7" t="s">
        <v>31</v>
      </c>
      <c r="H120" s="7" t="s">
        <v>32</v>
      </c>
      <c r="I120" s="7" t="n">
        <v>23.1</v>
      </c>
      <c r="J120" s="7" t="s">
        <v>28</v>
      </c>
      <c r="K120" s="7" t="n">
        <v>127.8</v>
      </c>
      <c r="L120" s="7" t="s">
        <v>29</v>
      </c>
      <c r="M120" s="7" t="s">
        <v>30</v>
      </c>
    </row>
    <row r="121" customFormat="false" ht="15" hidden="false" customHeight="true" outlineLevel="0" collapsed="false">
      <c r="A121" s="7" t="n">
        <v>1651</v>
      </c>
      <c r="B121" s="7" t="n">
        <v>37</v>
      </c>
      <c r="C121" s="7" t="s">
        <v>24</v>
      </c>
      <c r="D121" s="7" t="s">
        <v>25</v>
      </c>
      <c r="E121" s="7" t="n">
        <v>0</v>
      </c>
      <c r="F121" s="7" t="n">
        <v>0</v>
      </c>
      <c r="G121" s="7" t="s">
        <v>36</v>
      </c>
      <c r="H121" s="7" t="s">
        <v>27</v>
      </c>
      <c r="I121" s="7" t="n">
        <v>41.2</v>
      </c>
      <c r="J121" s="7" t="s">
        <v>28</v>
      </c>
      <c r="K121" s="7" t="n">
        <v>297.6</v>
      </c>
      <c r="L121" s="7" t="s">
        <v>29</v>
      </c>
      <c r="M121" s="7" t="s">
        <v>30</v>
      </c>
    </row>
    <row r="122" customFormat="false" ht="15" hidden="false" customHeight="true" outlineLevel="0" collapsed="false">
      <c r="A122" s="7" t="n">
        <v>1675</v>
      </c>
      <c r="B122" s="7" t="n">
        <v>42</v>
      </c>
      <c r="C122" s="7" t="s">
        <v>24</v>
      </c>
      <c r="D122" s="7" t="s">
        <v>25</v>
      </c>
      <c r="E122" s="7" t="n">
        <v>0</v>
      </c>
      <c r="F122" s="7" t="n">
        <v>0</v>
      </c>
      <c r="G122" s="7" t="s">
        <v>36</v>
      </c>
      <c r="H122" s="7" t="s">
        <v>27</v>
      </c>
      <c r="I122" s="7" t="n">
        <v>26.4</v>
      </c>
      <c r="J122" s="7" t="s">
        <v>28</v>
      </c>
      <c r="K122" s="7" t="n">
        <v>282.1</v>
      </c>
      <c r="L122" s="7" t="s">
        <v>29</v>
      </c>
      <c r="M122" s="7" t="s">
        <v>30</v>
      </c>
    </row>
    <row r="123" customFormat="false" ht="15" hidden="false" customHeight="true" outlineLevel="0" collapsed="false">
      <c r="A123" s="7" t="n">
        <v>1687</v>
      </c>
      <c r="B123" s="7" t="n">
        <v>63</v>
      </c>
      <c r="C123" s="7" t="s">
        <v>33</v>
      </c>
      <c r="D123" s="7" t="s">
        <v>25</v>
      </c>
      <c r="E123" s="7" t="n">
        <v>0</v>
      </c>
      <c r="F123" s="7" t="n">
        <v>0</v>
      </c>
      <c r="G123" s="7" t="s">
        <v>26</v>
      </c>
      <c r="H123" s="7" t="s">
        <v>32</v>
      </c>
      <c r="I123" s="7" t="n">
        <v>33.6</v>
      </c>
      <c r="J123" s="7" t="s">
        <v>28</v>
      </c>
      <c r="K123" s="7" t="n">
        <v>187.7</v>
      </c>
      <c r="L123" s="7" t="s">
        <v>29</v>
      </c>
      <c r="M123" s="7" t="s">
        <v>30</v>
      </c>
    </row>
    <row r="124" customFormat="false" ht="15" hidden="false" customHeight="true" outlineLevel="0" collapsed="false">
      <c r="A124" s="7" t="n">
        <v>1712</v>
      </c>
      <c r="B124" s="7" t="n">
        <v>83</v>
      </c>
      <c r="C124" s="7" t="s">
        <v>24</v>
      </c>
      <c r="D124" s="7" t="s">
        <v>25</v>
      </c>
      <c r="E124" s="7" t="n">
        <v>0</v>
      </c>
      <c r="F124" s="7" t="n">
        <v>0</v>
      </c>
      <c r="G124" s="7" t="s">
        <v>34</v>
      </c>
      <c r="H124" s="7" t="s">
        <v>27</v>
      </c>
      <c r="I124" s="7" t="n">
        <v>20.4</v>
      </c>
      <c r="J124" s="7" t="s">
        <v>28</v>
      </c>
      <c r="K124" s="7" t="n">
        <v>165.6</v>
      </c>
      <c r="L124" s="7" t="s">
        <v>29</v>
      </c>
      <c r="M124" s="7" t="s">
        <v>30</v>
      </c>
    </row>
    <row r="125" customFormat="false" ht="15" hidden="false" customHeight="true" outlineLevel="0" collapsed="false">
      <c r="A125" s="7" t="n">
        <v>1713</v>
      </c>
      <c r="B125" s="7" t="n">
        <v>33</v>
      </c>
      <c r="C125" s="7" t="s">
        <v>24</v>
      </c>
      <c r="D125" s="7" t="s">
        <v>25</v>
      </c>
      <c r="E125" s="7" t="n">
        <v>0</v>
      </c>
      <c r="F125" s="7" t="n">
        <v>0</v>
      </c>
      <c r="G125" s="7" t="s">
        <v>36</v>
      </c>
      <c r="H125" s="7" t="s">
        <v>32</v>
      </c>
      <c r="I125" s="7" t="n">
        <v>32.8</v>
      </c>
      <c r="J125" s="7" t="s">
        <v>28</v>
      </c>
      <c r="K125" s="7" t="n">
        <v>282.4</v>
      </c>
      <c r="L125" s="7" t="s">
        <v>29</v>
      </c>
      <c r="M125" s="7" t="s">
        <v>30</v>
      </c>
    </row>
    <row r="126" customFormat="false" ht="15" hidden="false" customHeight="true" outlineLevel="0" collapsed="false">
      <c r="A126" s="7" t="n">
        <v>1729</v>
      </c>
      <c r="B126" s="7" t="n">
        <v>34</v>
      </c>
      <c r="C126" s="7" t="s">
        <v>24</v>
      </c>
      <c r="D126" s="7" t="s">
        <v>25</v>
      </c>
      <c r="E126" s="7" t="n">
        <v>0</v>
      </c>
      <c r="F126" s="7" t="n">
        <v>0</v>
      </c>
      <c r="G126" s="7" t="s">
        <v>31</v>
      </c>
      <c r="H126" s="7" t="s">
        <v>32</v>
      </c>
      <c r="I126" s="7" t="n">
        <v>21.9</v>
      </c>
      <c r="J126" s="7" t="s">
        <v>28</v>
      </c>
      <c r="K126" s="7" t="n">
        <v>271.7</v>
      </c>
      <c r="L126" s="7" t="s">
        <v>29</v>
      </c>
      <c r="M126" s="7" t="s">
        <v>30</v>
      </c>
    </row>
    <row r="127" customFormat="false" ht="15" hidden="false" customHeight="true" outlineLevel="0" collapsed="false">
      <c r="A127" s="7" t="n">
        <v>1730</v>
      </c>
      <c r="B127" s="7" t="n">
        <v>65</v>
      </c>
      <c r="C127" s="7" t="s">
        <v>33</v>
      </c>
      <c r="D127" s="7" t="s">
        <v>25</v>
      </c>
      <c r="E127" s="7" t="n">
        <v>0</v>
      </c>
      <c r="F127" s="7" t="n">
        <v>0</v>
      </c>
      <c r="G127" s="7" t="s">
        <v>31</v>
      </c>
      <c r="H127" s="7" t="s">
        <v>32</v>
      </c>
      <c r="I127" s="7" t="n">
        <v>20</v>
      </c>
      <c r="J127" s="7" t="s">
        <v>28</v>
      </c>
      <c r="K127" s="7" t="n">
        <v>188.3</v>
      </c>
      <c r="L127" s="7" t="s">
        <v>29</v>
      </c>
      <c r="M127" s="7" t="s">
        <v>30</v>
      </c>
    </row>
    <row r="128" customFormat="false" ht="15" hidden="false" customHeight="true" outlineLevel="0" collapsed="false">
      <c r="A128" s="7" t="n">
        <v>1735</v>
      </c>
      <c r="B128" s="7" t="n">
        <v>86</v>
      </c>
      <c r="C128" s="7" t="s">
        <v>33</v>
      </c>
      <c r="D128" s="7" t="s">
        <v>25</v>
      </c>
      <c r="E128" s="7" t="n">
        <v>0</v>
      </c>
      <c r="F128" s="7" t="n">
        <v>0</v>
      </c>
      <c r="G128" s="7" t="s">
        <v>36</v>
      </c>
      <c r="H128" s="7" t="s">
        <v>27</v>
      </c>
      <c r="I128" s="7" t="n">
        <v>37.1</v>
      </c>
      <c r="J128" s="7" t="s">
        <v>28</v>
      </c>
      <c r="K128" s="7" t="n">
        <v>168.5</v>
      </c>
      <c r="L128" s="7" t="s">
        <v>29</v>
      </c>
      <c r="M128" s="7" t="s">
        <v>30</v>
      </c>
    </row>
    <row r="129" customFormat="false" ht="15" hidden="false" customHeight="true" outlineLevel="0" collapsed="false">
      <c r="A129" s="7" t="n">
        <v>1744</v>
      </c>
      <c r="B129" s="7" t="n">
        <v>58</v>
      </c>
      <c r="C129" s="7" t="s">
        <v>24</v>
      </c>
      <c r="D129" s="7" t="s">
        <v>25</v>
      </c>
      <c r="E129" s="7" t="n">
        <v>0</v>
      </c>
      <c r="F129" s="7" t="n">
        <v>0</v>
      </c>
      <c r="G129" s="7" t="s">
        <v>35</v>
      </c>
      <c r="H129" s="7" t="s">
        <v>27</v>
      </c>
      <c r="I129" s="7" t="n">
        <v>26.9</v>
      </c>
      <c r="J129" s="7" t="s">
        <v>28</v>
      </c>
      <c r="K129" s="7" t="n">
        <v>233.1</v>
      </c>
      <c r="L129" s="7" t="s">
        <v>29</v>
      </c>
      <c r="M129" s="7" t="s">
        <v>30</v>
      </c>
    </row>
    <row r="130" customFormat="false" ht="15" hidden="false" customHeight="true" outlineLevel="0" collapsed="false">
      <c r="A130" s="7" t="n">
        <v>1746</v>
      </c>
      <c r="B130" s="7" t="n">
        <v>37</v>
      </c>
      <c r="C130" s="7" t="s">
        <v>24</v>
      </c>
      <c r="D130" s="7" t="s">
        <v>25</v>
      </c>
      <c r="E130" s="7" t="n">
        <v>0</v>
      </c>
      <c r="F130" s="7" t="n">
        <v>0</v>
      </c>
      <c r="G130" s="7" t="s">
        <v>35</v>
      </c>
      <c r="H130" s="7" t="s">
        <v>32</v>
      </c>
      <c r="I130" s="7" t="n">
        <v>40.9</v>
      </c>
      <c r="J130" s="7" t="s">
        <v>28</v>
      </c>
      <c r="K130" s="7" t="n">
        <v>241.4</v>
      </c>
      <c r="L130" s="7" t="s">
        <v>29</v>
      </c>
      <c r="M130" s="7" t="s">
        <v>30</v>
      </c>
    </row>
    <row r="131" customFormat="false" ht="15" hidden="false" customHeight="true" outlineLevel="0" collapsed="false">
      <c r="A131" s="7" t="n">
        <v>1760</v>
      </c>
      <c r="B131" s="7" t="n">
        <v>52</v>
      </c>
      <c r="C131" s="7" t="s">
        <v>24</v>
      </c>
      <c r="D131" s="7" t="s">
        <v>25</v>
      </c>
      <c r="E131" s="7" t="n">
        <v>0</v>
      </c>
      <c r="F131" s="7" t="n">
        <v>0</v>
      </c>
      <c r="G131" s="7" t="s">
        <v>31</v>
      </c>
      <c r="H131" s="7" t="s">
        <v>27</v>
      </c>
      <c r="I131" s="7" t="n">
        <v>19.4</v>
      </c>
      <c r="J131" s="7" t="s">
        <v>28</v>
      </c>
      <c r="K131" s="7" t="n">
        <v>294.4</v>
      </c>
      <c r="L131" s="7" t="s">
        <v>29</v>
      </c>
      <c r="M131" s="7" t="s">
        <v>30</v>
      </c>
    </row>
    <row r="132" customFormat="false" ht="15" hidden="false" customHeight="true" outlineLevel="0" collapsed="false">
      <c r="A132" s="7" t="n">
        <v>1778</v>
      </c>
      <c r="B132" s="7" t="n">
        <v>65</v>
      </c>
      <c r="C132" s="7" t="s">
        <v>24</v>
      </c>
      <c r="D132" s="7" t="s">
        <v>25</v>
      </c>
      <c r="E132" s="7" t="n">
        <v>0</v>
      </c>
      <c r="F132" s="7" t="n">
        <v>0</v>
      </c>
      <c r="G132" s="7" t="s">
        <v>31</v>
      </c>
      <c r="H132" s="7" t="s">
        <v>32</v>
      </c>
      <c r="I132" s="7" t="n">
        <v>38.4</v>
      </c>
      <c r="J132" s="7" t="s">
        <v>28</v>
      </c>
      <c r="K132" s="7" t="n">
        <v>174.2</v>
      </c>
      <c r="L132" s="7" t="s">
        <v>29</v>
      </c>
      <c r="M132" s="7" t="s">
        <v>30</v>
      </c>
    </row>
    <row r="133" customFormat="false" ht="15" hidden="false" customHeight="true" outlineLevel="0" collapsed="false">
      <c r="A133" s="7" t="n">
        <v>1793</v>
      </c>
      <c r="B133" s="7" t="n">
        <v>51</v>
      </c>
      <c r="C133" s="7" t="s">
        <v>24</v>
      </c>
      <c r="D133" s="7" t="s">
        <v>25</v>
      </c>
      <c r="E133" s="7" t="n">
        <v>0</v>
      </c>
      <c r="F133" s="7" t="n">
        <v>0</v>
      </c>
      <c r="G133" s="7" t="s">
        <v>31</v>
      </c>
      <c r="H133" s="7" t="s">
        <v>32</v>
      </c>
      <c r="I133" s="7" t="n">
        <v>31.7</v>
      </c>
      <c r="J133" s="7" t="s">
        <v>28</v>
      </c>
      <c r="K133" s="7" t="n">
        <v>248.9</v>
      </c>
      <c r="L133" s="7" t="s">
        <v>29</v>
      </c>
      <c r="M133" s="7" t="s">
        <v>30</v>
      </c>
    </row>
    <row r="134" customFormat="false" ht="15" hidden="false" customHeight="true" outlineLevel="0" collapsed="false">
      <c r="A134" s="7" t="n">
        <v>1798</v>
      </c>
      <c r="B134" s="7" t="n">
        <v>28</v>
      </c>
      <c r="C134" s="7" t="s">
        <v>24</v>
      </c>
      <c r="D134" s="7" t="s">
        <v>25</v>
      </c>
      <c r="E134" s="7" t="n">
        <v>0</v>
      </c>
      <c r="F134" s="7" t="n">
        <v>0</v>
      </c>
      <c r="G134" s="7" t="s">
        <v>31</v>
      </c>
      <c r="H134" s="7" t="s">
        <v>27</v>
      </c>
      <c r="I134" s="7" t="n">
        <v>24.7</v>
      </c>
      <c r="J134" s="7" t="s">
        <v>28</v>
      </c>
      <c r="K134" s="7" t="n">
        <v>223.3</v>
      </c>
      <c r="L134" s="7" t="s">
        <v>29</v>
      </c>
      <c r="M134" s="7" t="s">
        <v>30</v>
      </c>
    </row>
    <row r="135" customFormat="false" ht="15" hidden="false" customHeight="true" outlineLevel="0" collapsed="false">
      <c r="A135" s="7" t="n">
        <v>1805</v>
      </c>
      <c r="B135" s="7" t="n">
        <v>79</v>
      </c>
      <c r="C135" s="7" t="s">
        <v>33</v>
      </c>
      <c r="D135" s="7" t="s">
        <v>25</v>
      </c>
      <c r="E135" s="7" t="n">
        <v>0</v>
      </c>
      <c r="F135" s="7" t="n">
        <v>0</v>
      </c>
      <c r="G135" s="7" t="s">
        <v>35</v>
      </c>
      <c r="H135" s="7" t="s">
        <v>27</v>
      </c>
      <c r="I135" s="7" t="n">
        <v>17.6</v>
      </c>
      <c r="J135" s="7" t="s">
        <v>28</v>
      </c>
      <c r="K135" s="7" t="n">
        <v>175.9</v>
      </c>
      <c r="L135" s="7" t="s">
        <v>29</v>
      </c>
      <c r="M135" s="7" t="s">
        <v>30</v>
      </c>
    </row>
    <row r="136" customFormat="false" ht="15" hidden="false" customHeight="true" outlineLevel="0" collapsed="false">
      <c r="A136" s="7" t="n">
        <v>1812</v>
      </c>
      <c r="B136" s="7" t="n">
        <v>80</v>
      </c>
      <c r="C136" s="7" t="s">
        <v>33</v>
      </c>
      <c r="D136" s="7" t="s">
        <v>25</v>
      </c>
      <c r="E136" s="7" t="n">
        <v>0</v>
      </c>
      <c r="F136" s="7" t="n">
        <v>0</v>
      </c>
      <c r="G136" s="7" t="s">
        <v>31</v>
      </c>
      <c r="H136" s="7" t="s">
        <v>32</v>
      </c>
      <c r="I136" s="7" t="n">
        <v>28.3</v>
      </c>
      <c r="J136" s="7" t="s">
        <v>28</v>
      </c>
      <c r="K136" s="7" t="n">
        <v>163.2</v>
      </c>
      <c r="L136" s="7" t="s">
        <v>29</v>
      </c>
      <c r="M136" s="7" t="s">
        <v>30</v>
      </c>
    </row>
    <row r="137" customFormat="false" ht="15" hidden="false" customHeight="true" outlineLevel="0" collapsed="false">
      <c r="A137" s="7" t="n">
        <v>1815</v>
      </c>
      <c r="B137" s="7" t="n">
        <v>79</v>
      </c>
      <c r="C137" s="7" t="s">
        <v>24</v>
      </c>
      <c r="D137" s="7" t="s">
        <v>25</v>
      </c>
      <c r="E137" s="7" t="n">
        <v>0</v>
      </c>
      <c r="F137" s="7" t="n">
        <v>0</v>
      </c>
      <c r="G137" s="7" t="s">
        <v>36</v>
      </c>
      <c r="H137" s="7" t="s">
        <v>27</v>
      </c>
      <c r="I137" s="7" t="n">
        <v>37.2</v>
      </c>
      <c r="J137" s="7" t="s">
        <v>28</v>
      </c>
      <c r="K137" s="7" t="n">
        <v>274.5</v>
      </c>
      <c r="L137" s="7" t="s">
        <v>29</v>
      </c>
      <c r="M137" s="7" t="s">
        <v>30</v>
      </c>
    </row>
    <row r="138" customFormat="false" ht="15" hidden="false" customHeight="true" outlineLevel="0" collapsed="false">
      <c r="A138" s="7" t="n">
        <v>1825</v>
      </c>
      <c r="B138" s="7" t="n">
        <v>47</v>
      </c>
      <c r="C138" s="7" t="s">
        <v>24</v>
      </c>
      <c r="D138" s="7" t="s">
        <v>25</v>
      </c>
      <c r="E138" s="7" t="n">
        <v>0</v>
      </c>
      <c r="F138" s="7" t="n">
        <v>0</v>
      </c>
      <c r="G138" s="7" t="s">
        <v>34</v>
      </c>
      <c r="H138" s="7" t="s">
        <v>27</v>
      </c>
      <c r="I138" s="7" t="n">
        <v>17.5</v>
      </c>
      <c r="J138" s="7" t="s">
        <v>28</v>
      </c>
      <c r="K138" s="7" t="n">
        <v>124.3</v>
      </c>
      <c r="L138" s="7" t="s">
        <v>29</v>
      </c>
      <c r="M138" s="7" t="s">
        <v>30</v>
      </c>
    </row>
    <row r="139" customFormat="false" ht="15" hidden="false" customHeight="true" outlineLevel="0" collapsed="false">
      <c r="A139" s="7" t="n">
        <v>1830</v>
      </c>
      <c r="B139" s="7" t="n">
        <v>86</v>
      </c>
      <c r="C139" s="7" t="s">
        <v>24</v>
      </c>
      <c r="D139" s="7" t="s">
        <v>25</v>
      </c>
      <c r="E139" s="7" t="n">
        <v>0</v>
      </c>
      <c r="F139" s="7" t="n">
        <v>0</v>
      </c>
      <c r="G139" s="7" t="s">
        <v>26</v>
      </c>
      <c r="H139" s="7" t="s">
        <v>32</v>
      </c>
      <c r="I139" s="7" t="n">
        <v>33.5</v>
      </c>
      <c r="J139" s="7" t="s">
        <v>28</v>
      </c>
      <c r="K139" s="7" t="n">
        <v>136.1</v>
      </c>
      <c r="L139" s="7" t="s">
        <v>29</v>
      </c>
      <c r="M139" s="7" t="s">
        <v>30</v>
      </c>
    </row>
    <row r="140" customFormat="false" ht="15" hidden="false" customHeight="true" outlineLevel="0" collapsed="false">
      <c r="A140" s="7" t="n">
        <v>1850</v>
      </c>
      <c r="B140" s="7" t="n">
        <v>26</v>
      </c>
      <c r="C140" s="7" t="s">
        <v>24</v>
      </c>
      <c r="D140" s="7" t="s">
        <v>25</v>
      </c>
      <c r="E140" s="7" t="n">
        <v>0</v>
      </c>
      <c r="F140" s="7" t="n">
        <v>0</v>
      </c>
      <c r="G140" s="7" t="s">
        <v>34</v>
      </c>
      <c r="H140" s="7" t="s">
        <v>27</v>
      </c>
      <c r="I140" s="7" t="n">
        <v>23.1</v>
      </c>
      <c r="J140" s="7" t="s">
        <v>28</v>
      </c>
      <c r="K140" s="7" t="n">
        <v>271.8</v>
      </c>
      <c r="L140" s="7" t="s">
        <v>29</v>
      </c>
      <c r="M140" s="7" t="s">
        <v>30</v>
      </c>
    </row>
    <row r="141" customFormat="false" ht="15" hidden="false" customHeight="true" outlineLevel="0" collapsed="false">
      <c r="A141" s="7" t="n">
        <v>1859</v>
      </c>
      <c r="B141" s="7" t="n">
        <v>74</v>
      </c>
      <c r="C141" s="7" t="s">
        <v>33</v>
      </c>
      <c r="D141" s="7" t="s">
        <v>25</v>
      </c>
      <c r="E141" s="7" t="n">
        <v>0</v>
      </c>
      <c r="F141" s="7" t="n">
        <v>0</v>
      </c>
      <c r="G141" s="7" t="s">
        <v>35</v>
      </c>
      <c r="H141" s="7" t="s">
        <v>32</v>
      </c>
      <c r="I141" s="7" t="n">
        <v>36.5</v>
      </c>
      <c r="J141" s="7" t="s">
        <v>28</v>
      </c>
      <c r="K141" s="7" t="n">
        <v>141</v>
      </c>
      <c r="L141" s="7" t="s">
        <v>29</v>
      </c>
      <c r="M141" s="7" t="s">
        <v>30</v>
      </c>
    </row>
    <row r="142" customFormat="false" ht="15" hidden="false" customHeight="true" outlineLevel="0" collapsed="false">
      <c r="A142" s="7" t="n">
        <v>1876</v>
      </c>
      <c r="B142" s="7" t="n">
        <v>71</v>
      </c>
      <c r="C142" s="7" t="s">
        <v>33</v>
      </c>
      <c r="D142" s="7" t="s">
        <v>25</v>
      </c>
      <c r="E142" s="7" t="n">
        <v>0</v>
      </c>
      <c r="F142" s="7" t="n">
        <v>0</v>
      </c>
      <c r="G142" s="7" t="s">
        <v>26</v>
      </c>
      <c r="H142" s="7" t="s">
        <v>27</v>
      </c>
      <c r="I142" s="7" t="n">
        <v>29.6</v>
      </c>
      <c r="J142" s="7" t="s">
        <v>28</v>
      </c>
      <c r="K142" s="7" t="n">
        <v>239.3</v>
      </c>
      <c r="L142" s="7" t="s">
        <v>29</v>
      </c>
      <c r="M142" s="7" t="s">
        <v>30</v>
      </c>
    </row>
    <row r="143" customFormat="false" ht="15" hidden="false" customHeight="true" outlineLevel="0" collapsed="false">
      <c r="A143" s="7" t="n">
        <v>1891</v>
      </c>
      <c r="B143" s="7" t="n">
        <v>55</v>
      </c>
      <c r="C143" s="7" t="s">
        <v>33</v>
      </c>
      <c r="D143" s="7" t="s">
        <v>25</v>
      </c>
      <c r="E143" s="7" t="n">
        <v>0</v>
      </c>
      <c r="F143" s="7" t="n">
        <v>0</v>
      </c>
      <c r="G143" s="7" t="s">
        <v>36</v>
      </c>
      <c r="H143" s="7" t="s">
        <v>27</v>
      </c>
      <c r="I143" s="7" t="n">
        <v>24.5</v>
      </c>
      <c r="J143" s="7" t="s">
        <v>28</v>
      </c>
      <c r="K143" s="7" t="n">
        <v>236.1</v>
      </c>
      <c r="L143" s="7" t="s">
        <v>29</v>
      </c>
      <c r="M143" s="7" t="s">
        <v>30</v>
      </c>
    </row>
    <row r="144" customFormat="false" ht="15" hidden="false" customHeight="true" outlineLevel="0" collapsed="false">
      <c r="A144" s="7" t="n">
        <v>1897</v>
      </c>
      <c r="B144" s="7" t="n">
        <v>87</v>
      </c>
      <c r="C144" s="7" t="s">
        <v>24</v>
      </c>
      <c r="D144" s="7" t="s">
        <v>25</v>
      </c>
      <c r="E144" s="7" t="n">
        <v>0</v>
      </c>
      <c r="F144" s="7" t="n">
        <v>0</v>
      </c>
      <c r="G144" s="7" t="s">
        <v>26</v>
      </c>
      <c r="H144" s="7" t="s">
        <v>27</v>
      </c>
      <c r="I144" s="7" t="n">
        <v>29.1</v>
      </c>
      <c r="J144" s="7" t="s">
        <v>28</v>
      </c>
      <c r="K144" s="7" t="n">
        <v>144.2</v>
      </c>
      <c r="L144" s="7" t="s">
        <v>29</v>
      </c>
      <c r="M144" s="7" t="s">
        <v>30</v>
      </c>
    </row>
    <row r="145" customFormat="false" ht="15" hidden="false" customHeight="true" outlineLevel="0" collapsed="false">
      <c r="A145" s="7" t="n">
        <v>1900</v>
      </c>
      <c r="B145" s="7" t="n">
        <v>21</v>
      </c>
      <c r="C145" s="7" t="s">
        <v>33</v>
      </c>
      <c r="D145" s="7" t="s">
        <v>25</v>
      </c>
      <c r="E145" s="7" t="n">
        <v>0</v>
      </c>
      <c r="F145" s="7" t="n">
        <v>0</v>
      </c>
      <c r="G145" s="7" t="s">
        <v>26</v>
      </c>
      <c r="H145" s="7" t="s">
        <v>32</v>
      </c>
      <c r="I145" s="7" t="n">
        <v>20.5</v>
      </c>
      <c r="J145" s="7" t="s">
        <v>28</v>
      </c>
      <c r="K145" s="7" t="n">
        <v>137.5</v>
      </c>
      <c r="L145" s="7" t="s">
        <v>29</v>
      </c>
      <c r="M145" s="7" t="s">
        <v>30</v>
      </c>
    </row>
    <row r="146" customFormat="false" ht="15" hidden="false" customHeight="true" outlineLevel="0" collapsed="false">
      <c r="A146" s="7" t="n">
        <v>1902</v>
      </c>
      <c r="B146" s="7" t="n">
        <v>52</v>
      </c>
      <c r="C146" s="7" t="s">
        <v>24</v>
      </c>
      <c r="D146" s="7" t="s">
        <v>25</v>
      </c>
      <c r="E146" s="7" t="n">
        <v>0</v>
      </c>
      <c r="F146" s="7" t="n">
        <v>0</v>
      </c>
      <c r="G146" s="7" t="s">
        <v>31</v>
      </c>
      <c r="H146" s="7" t="s">
        <v>32</v>
      </c>
      <c r="I146" s="7" t="n">
        <v>24.8</v>
      </c>
      <c r="J146" s="7" t="s">
        <v>28</v>
      </c>
      <c r="K146" s="7" t="n">
        <v>133.3</v>
      </c>
      <c r="L146" s="7" t="s">
        <v>29</v>
      </c>
      <c r="M146" s="7" t="s">
        <v>30</v>
      </c>
    </row>
    <row r="147" customFormat="false" ht="15" hidden="false" customHeight="true" outlineLevel="0" collapsed="false">
      <c r="A147" s="7" t="n">
        <v>1936</v>
      </c>
      <c r="B147" s="7" t="n">
        <v>30</v>
      </c>
      <c r="C147" s="7" t="s">
        <v>33</v>
      </c>
      <c r="D147" s="7" t="s">
        <v>25</v>
      </c>
      <c r="E147" s="7" t="n">
        <v>0</v>
      </c>
      <c r="F147" s="7" t="n">
        <v>0</v>
      </c>
      <c r="G147" s="7" t="s">
        <v>26</v>
      </c>
      <c r="H147" s="7" t="s">
        <v>32</v>
      </c>
      <c r="I147" s="7" t="n">
        <v>22.7</v>
      </c>
      <c r="J147" s="7" t="s">
        <v>28</v>
      </c>
      <c r="K147" s="7" t="n">
        <v>285.6</v>
      </c>
      <c r="L147" s="7" t="s">
        <v>29</v>
      </c>
      <c r="M147" s="7" t="s">
        <v>30</v>
      </c>
    </row>
    <row r="148" customFormat="false" ht="15" hidden="false" customHeight="true" outlineLevel="0" collapsed="false">
      <c r="A148" s="7" t="n">
        <v>1948</v>
      </c>
      <c r="B148" s="7" t="n">
        <v>45</v>
      </c>
      <c r="C148" s="7" t="s">
        <v>24</v>
      </c>
      <c r="D148" s="7" t="s">
        <v>25</v>
      </c>
      <c r="E148" s="7" t="n">
        <v>0</v>
      </c>
      <c r="F148" s="7" t="n">
        <v>0</v>
      </c>
      <c r="G148" s="7" t="s">
        <v>34</v>
      </c>
      <c r="H148" s="7" t="s">
        <v>27</v>
      </c>
      <c r="I148" s="7" t="n">
        <v>37</v>
      </c>
      <c r="J148" s="7" t="s">
        <v>28</v>
      </c>
      <c r="K148" s="7" t="n">
        <v>293.6</v>
      </c>
      <c r="L148" s="7" t="s">
        <v>29</v>
      </c>
      <c r="M148" s="7" t="s">
        <v>30</v>
      </c>
    </row>
    <row r="149" customFormat="false" ht="15" hidden="false" customHeight="true" outlineLevel="0" collapsed="false">
      <c r="A149" s="7" t="n">
        <v>1952</v>
      </c>
      <c r="B149" s="7" t="n">
        <v>83</v>
      </c>
      <c r="C149" s="7" t="s">
        <v>24</v>
      </c>
      <c r="D149" s="7" t="s">
        <v>25</v>
      </c>
      <c r="E149" s="7" t="n">
        <v>0</v>
      </c>
      <c r="F149" s="7" t="n">
        <v>0</v>
      </c>
      <c r="G149" s="7" t="s">
        <v>34</v>
      </c>
      <c r="H149" s="7" t="s">
        <v>32</v>
      </c>
      <c r="I149" s="7" t="n">
        <v>31.7</v>
      </c>
      <c r="J149" s="7" t="s">
        <v>28</v>
      </c>
      <c r="K149" s="7" t="n">
        <v>242.8</v>
      </c>
      <c r="L149" s="7" t="s">
        <v>29</v>
      </c>
      <c r="M149" s="7" t="s">
        <v>30</v>
      </c>
    </row>
    <row r="150" customFormat="false" ht="15" hidden="false" customHeight="true" outlineLevel="0" collapsed="false">
      <c r="A150" s="7" t="n">
        <v>1970</v>
      </c>
      <c r="B150" s="7" t="n">
        <v>47</v>
      </c>
      <c r="C150" s="7" t="s">
        <v>33</v>
      </c>
      <c r="D150" s="7" t="s">
        <v>25</v>
      </c>
      <c r="E150" s="7" t="n">
        <v>0</v>
      </c>
      <c r="F150" s="7" t="n">
        <v>0</v>
      </c>
      <c r="G150" s="7" t="s">
        <v>34</v>
      </c>
      <c r="H150" s="7" t="s">
        <v>27</v>
      </c>
      <c r="I150" s="7" t="n">
        <v>34.2</v>
      </c>
      <c r="J150" s="7" t="s">
        <v>28</v>
      </c>
      <c r="K150" s="7" t="n">
        <v>228.1</v>
      </c>
      <c r="L150" s="7" t="s">
        <v>29</v>
      </c>
      <c r="M150" s="7" t="s">
        <v>30</v>
      </c>
    </row>
    <row r="151" customFormat="false" ht="15" hidden="false" customHeight="true" outlineLevel="0" collapsed="false">
      <c r="A151" s="7" t="n">
        <v>1971</v>
      </c>
      <c r="B151" s="7" t="n">
        <v>55</v>
      </c>
      <c r="C151" s="7" t="s">
        <v>33</v>
      </c>
      <c r="D151" s="7" t="s">
        <v>25</v>
      </c>
      <c r="E151" s="7" t="n">
        <v>0</v>
      </c>
      <c r="F151" s="7" t="n">
        <v>0</v>
      </c>
      <c r="G151" s="7" t="s">
        <v>31</v>
      </c>
      <c r="H151" s="7" t="s">
        <v>27</v>
      </c>
      <c r="I151" s="7" t="n">
        <v>26.8</v>
      </c>
      <c r="J151" s="7" t="s">
        <v>28</v>
      </c>
      <c r="K151" s="7" t="n">
        <v>133.7</v>
      </c>
      <c r="L151" s="7" t="s">
        <v>29</v>
      </c>
      <c r="M151" s="7" t="s">
        <v>30</v>
      </c>
    </row>
    <row r="152" customFormat="false" ht="15" hidden="false" customHeight="true" outlineLevel="0" collapsed="false">
      <c r="A152" s="7" t="n">
        <v>1974</v>
      </c>
      <c r="B152" s="7" t="n">
        <v>65</v>
      </c>
      <c r="C152" s="7" t="s">
        <v>33</v>
      </c>
      <c r="D152" s="7" t="s">
        <v>25</v>
      </c>
      <c r="E152" s="7" t="n">
        <v>0</v>
      </c>
      <c r="F152" s="7" t="n">
        <v>0</v>
      </c>
      <c r="G152" s="7" t="s">
        <v>26</v>
      </c>
      <c r="H152" s="7" t="s">
        <v>27</v>
      </c>
      <c r="I152" s="7" t="n">
        <v>34.3</v>
      </c>
      <c r="J152" s="7" t="s">
        <v>28</v>
      </c>
      <c r="K152" s="7" t="n">
        <v>188</v>
      </c>
      <c r="L152" s="7" t="s">
        <v>29</v>
      </c>
      <c r="M152" s="7" t="s">
        <v>30</v>
      </c>
    </row>
    <row r="153" customFormat="false" ht="15" hidden="false" customHeight="true" outlineLevel="0" collapsed="false">
      <c r="A153" s="7" t="n">
        <v>1982</v>
      </c>
      <c r="B153" s="7" t="n">
        <v>54</v>
      </c>
      <c r="C153" s="7" t="s">
        <v>24</v>
      </c>
      <c r="D153" s="7" t="s">
        <v>25</v>
      </c>
      <c r="E153" s="7" t="n">
        <v>0</v>
      </c>
      <c r="F153" s="7" t="n">
        <v>0</v>
      </c>
      <c r="G153" s="7" t="s">
        <v>35</v>
      </c>
      <c r="H153" s="7" t="s">
        <v>27</v>
      </c>
      <c r="I153" s="7" t="n">
        <v>38.5</v>
      </c>
      <c r="J153" s="7" t="s">
        <v>28</v>
      </c>
      <c r="K153" s="7" t="n">
        <v>185.1</v>
      </c>
      <c r="L153" s="7" t="s">
        <v>29</v>
      </c>
      <c r="M153" s="7" t="s">
        <v>30</v>
      </c>
    </row>
    <row r="154" customFormat="false" ht="15" hidden="false" customHeight="true" outlineLevel="0" collapsed="false">
      <c r="A154" s="7" t="n">
        <v>1986</v>
      </c>
      <c r="B154" s="7" t="n">
        <v>58</v>
      </c>
      <c r="C154" s="7" t="s">
        <v>33</v>
      </c>
      <c r="D154" s="7" t="s">
        <v>25</v>
      </c>
      <c r="E154" s="7" t="n">
        <v>0</v>
      </c>
      <c r="F154" s="7" t="n">
        <v>0</v>
      </c>
      <c r="G154" s="7" t="s">
        <v>26</v>
      </c>
      <c r="H154" s="7" t="s">
        <v>32</v>
      </c>
      <c r="I154" s="7" t="n">
        <v>40.9</v>
      </c>
      <c r="J154" s="7" t="s">
        <v>28</v>
      </c>
      <c r="K154" s="7" t="n">
        <v>252.1</v>
      </c>
      <c r="L154" s="7" t="s">
        <v>29</v>
      </c>
      <c r="M154" s="7" t="s">
        <v>30</v>
      </c>
    </row>
    <row r="155" customFormat="false" ht="15" hidden="false" customHeight="true" outlineLevel="0" collapsed="false">
      <c r="A155" s="7" t="n">
        <v>2002</v>
      </c>
      <c r="B155" s="7" t="n">
        <v>84</v>
      </c>
      <c r="C155" s="7" t="s">
        <v>33</v>
      </c>
      <c r="D155" s="7" t="s">
        <v>25</v>
      </c>
      <c r="E155" s="7" t="n">
        <v>0</v>
      </c>
      <c r="F155" s="7" t="n">
        <v>0</v>
      </c>
      <c r="G155" s="7" t="s">
        <v>26</v>
      </c>
      <c r="H155" s="7" t="s">
        <v>27</v>
      </c>
      <c r="I155" s="7" t="n">
        <v>39.5</v>
      </c>
      <c r="J155" s="7" t="s">
        <v>28</v>
      </c>
      <c r="K155" s="7" t="n">
        <v>295</v>
      </c>
      <c r="L155" s="7" t="s">
        <v>29</v>
      </c>
      <c r="M155" s="7" t="s">
        <v>30</v>
      </c>
    </row>
    <row r="156" customFormat="false" ht="15" hidden="false" customHeight="true" outlineLevel="0" collapsed="false">
      <c r="A156" s="7" t="n">
        <v>2025</v>
      </c>
      <c r="B156" s="7" t="n">
        <v>27</v>
      </c>
      <c r="C156" s="7" t="s">
        <v>24</v>
      </c>
      <c r="D156" s="7" t="s">
        <v>25</v>
      </c>
      <c r="E156" s="7" t="n">
        <v>0</v>
      </c>
      <c r="F156" s="7" t="n">
        <v>0</v>
      </c>
      <c r="G156" s="7" t="s">
        <v>36</v>
      </c>
      <c r="H156" s="7" t="s">
        <v>27</v>
      </c>
      <c r="I156" s="7" t="n">
        <v>23.1</v>
      </c>
      <c r="J156" s="7" t="s">
        <v>28</v>
      </c>
      <c r="K156" s="7" t="n">
        <v>162</v>
      </c>
      <c r="L156" s="7" t="s">
        <v>29</v>
      </c>
      <c r="M156" s="7" t="s">
        <v>30</v>
      </c>
    </row>
    <row r="157" customFormat="false" ht="15" hidden="false" customHeight="true" outlineLevel="0" collapsed="false">
      <c r="A157" s="7" t="n">
        <v>2032</v>
      </c>
      <c r="B157" s="7" t="n">
        <v>34</v>
      </c>
      <c r="C157" s="7" t="s">
        <v>24</v>
      </c>
      <c r="D157" s="7" t="s">
        <v>25</v>
      </c>
      <c r="E157" s="7" t="n">
        <v>0</v>
      </c>
      <c r="F157" s="7" t="n">
        <v>0</v>
      </c>
      <c r="G157" s="7" t="s">
        <v>31</v>
      </c>
      <c r="H157" s="7" t="s">
        <v>27</v>
      </c>
      <c r="I157" s="7" t="n">
        <v>23.3</v>
      </c>
      <c r="J157" s="7" t="s">
        <v>28</v>
      </c>
      <c r="K157" s="7" t="n">
        <v>290.8</v>
      </c>
      <c r="L157" s="7" t="s">
        <v>29</v>
      </c>
      <c r="M157" s="7" t="s">
        <v>30</v>
      </c>
    </row>
    <row r="158" customFormat="false" ht="15" hidden="false" customHeight="true" outlineLevel="0" collapsed="false">
      <c r="A158" s="7" t="n">
        <v>2044</v>
      </c>
      <c r="B158" s="7" t="n">
        <v>20</v>
      </c>
      <c r="C158" s="7" t="s">
        <v>33</v>
      </c>
      <c r="D158" s="7" t="s">
        <v>25</v>
      </c>
      <c r="E158" s="7" t="n">
        <v>0</v>
      </c>
      <c r="F158" s="7" t="n">
        <v>0</v>
      </c>
      <c r="G158" s="7" t="s">
        <v>36</v>
      </c>
      <c r="H158" s="7" t="s">
        <v>27</v>
      </c>
      <c r="I158" s="7" t="n">
        <v>26.5</v>
      </c>
      <c r="J158" s="7" t="s">
        <v>28</v>
      </c>
      <c r="K158" s="7" t="n">
        <v>231.3</v>
      </c>
      <c r="L158" s="7" t="s">
        <v>29</v>
      </c>
      <c r="M158" s="7" t="s">
        <v>30</v>
      </c>
    </row>
    <row r="159" customFormat="false" ht="15" hidden="false" customHeight="true" outlineLevel="0" collapsed="false">
      <c r="A159" s="7" t="n">
        <v>2048</v>
      </c>
      <c r="B159" s="7" t="n">
        <v>87</v>
      </c>
      <c r="C159" s="7" t="s">
        <v>33</v>
      </c>
      <c r="D159" s="7" t="s">
        <v>25</v>
      </c>
      <c r="E159" s="7" t="n">
        <v>0</v>
      </c>
      <c r="F159" s="7" t="n">
        <v>0</v>
      </c>
      <c r="G159" s="7" t="s">
        <v>31</v>
      </c>
      <c r="H159" s="7" t="s">
        <v>27</v>
      </c>
      <c r="I159" s="7" t="n">
        <v>38.1</v>
      </c>
      <c r="J159" s="7" t="s">
        <v>28</v>
      </c>
      <c r="K159" s="7" t="n">
        <v>224.5</v>
      </c>
      <c r="L159" s="7" t="s">
        <v>29</v>
      </c>
      <c r="M159" s="7" t="s">
        <v>30</v>
      </c>
    </row>
    <row r="160" customFormat="false" ht="15" hidden="false" customHeight="true" outlineLevel="0" collapsed="false">
      <c r="A160" s="7" t="n">
        <v>2057</v>
      </c>
      <c r="B160" s="7" t="n">
        <v>69</v>
      </c>
      <c r="C160" s="7" t="s">
        <v>24</v>
      </c>
      <c r="D160" s="7" t="s">
        <v>25</v>
      </c>
      <c r="E160" s="7" t="n">
        <v>0</v>
      </c>
      <c r="F160" s="7" t="n">
        <v>0</v>
      </c>
      <c r="G160" s="7" t="s">
        <v>36</v>
      </c>
      <c r="H160" s="7" t="s">
        <v>27</v>
      </c>
      <c r="I160" s="7" t="n">
        <v>39.6</v>
      </c>
      <c r="J160" s="7" t="s">
        <v>28</v>
      </c>
      <c r="K160" s="7" t="n">
        <v>172.7</v>
      </c>
      <c r="L160" s="7" t="s">
        <v>29</v>
      </c>
      <c r="M160" s="7" t="s">
        <v>30</v>
      </c>
    </row>
    <row r="161" customFormat="false" ht="15" hidden="false" customHeight="true" outlineLevel="0" collapsed="false">
      <c r="A161" s="7" t="n">
        <v>2064</v>
      </c>
      <c r="B161" s="7" t="n">
        <v>44</v>
      </c>
      <c r="C161" s="7" t="s">
        <v>33</v>
      </c>
      <c r="D161" s="7" t="s">
        <v>25</v>
      </c>
      <c r="E161" s="7" t="n">
        <v>0</v>
      </c>
      <c r="F161" s="7" t="n">
        <v>0</v>
      </c>
      <c r="G161" s="7" t="s">
        <v>34</v>
      </c>
      <c r="H161" s="7" t="s">
        <v>27</v>
      </c>
      <c r="I161" s="7" t="n">
        <v>24.6</v>
      </c>
      <c r="J161" s="7" t="s">
        <v>28</v>
      </c>
      <c r="K161" s="7" t="n">
        <v>277.7</v>
      </c>
      <c r="L161" s="7" t="s">
        <v>29</v>
      </c>
      <c r="M161" s="7" t="s">
        <v>30</v>
      </c>
    </row>
    <row r="162" customFormat="false" ht="15" hidden="false" customHeight="true" outlineLevel="0" collapsed="false">
      <c r="A162" s="7" t="n">
        <v>2067</v>
      </c>
      <c r="B162" s="7" t="n">
        <v>57</v>
      </c>
      <c r="C162" s="7" t="s">
        <v>33</v>
      </c>
      <c r="D162" s="7" t="s">
        <v>25</v>
      </c>
      <c r="E162" s="7" t="n">
        <v>0</v>
      </c>
      <c r="F162" s="7" t="n">
        <v>0</v>
      </c>
      <c r="G162" s="7" t="s">
        <v>35</v>
      </c>
      <c r="H162" s="7" t="s">
        <v>27</v>
      </c>
      <c r="I162" s="7" t="n">
        <v>41.4</v>
      </c>
      <c r="J162" s="7" t="s">
        <v>28</v>
      </c>
      <c r="K162" s="7" t="n">
        <v>214.1</v>
      </c>
      <c r="L162" s="7" t="s">
        <v>29</v>
      </c>
      <c r="M162" s="7" t="s">
        <v>30</v>
      </c>
    </row>
    <row r="163" customFormat="false" ht="15" hidden="false" customHeight="true" outlineLevel="0" collapsed="false">
      <c r="A163" s="7" t="n">
        <v>2069</v>
      </c>
      <c r="B163" s="7" t="n">
        <v>21</v>
      </c>
      <c r="C163" s="7" t="s">
        <v>24</v>
      </c>
      <c r="D163" s="7" t="s">
        <v>25</v>
      </c>
      <c r="E163" s="7" t="n">
        <v>0</v>
      </c>
      <c r="F163" s="7" t="n">
        <v>0</v>
      </c>
      <c r="G163" s="7" t="s">
        <v>36</v>
      </c>
      <c r="H163" s="7" t="s">
        <v>32</v>
      </c>
      <c r="I163" s="7" t="n">
        <v>33.5</v>
      </c>
      <c r="J163" s="7" t="s">
        <v>28</v>
      </c>
      <c r="K163" s="7" t="n">
        <v>272.6</v>
      </c>
      <c r="L163" s="7" t="s">
        <v>29</v>
      </c>
      <c r="M163" s="7" t="s">
        <v>30</v>
      </c>
    </row>
    <row r="164" customFormat="false" ht="15" hidden="false" customHeight="true" outlineLevel="0" collapsed="false">
      <c r="A164" s="7" t="n">
        <v>2076</v>
      </c>
      <c r="B164" s="7" t="n">
        <v>35</v>
      </c>
      <c r="C164" s="7" t="s">
        <v>24</v>
      </c>
      <c r="D164" s="7" t="s">
        <v>25</v>
      </c>
      <c r="E164" s="7" t="n">
        <v>0</v>
      </c>
      <c r="F164" s="7" t="n">
        <v>0</v>
      </c>
      <c r="G164" s="7" t="s">
        <v>34</v>
      </c>
      <c r="H164" s="7" t="s">
        <v>27</v>
      </c>
      <c r="I164" s="7" t="n">
        <v>24</v>
      </c>
      <c r="J164" s="7" t="s">
        <v>28</v>
      </c>
      <c r="K164" s="7" t="n">
        <v>275.9</v>
      </c>
      <c r="L164" s="7" t="s">
        <v>29</v>
      </c>
      <c r="M164" s="7" t="s">
        <v>30</v>
      </c>
    </row>
    <row r="165" customFormat="false" ht="15" hidden="false" customHeight="true" outlineLevel="0" collapsed="false">
      <c r="A165" s="7" t="n">
        <v>2097</v>
      </c>
      <c r="B165" s="7" t="n">
        <v>59</v>
      </c>
      <c r="C165" s="7" t="s">
        <v>24</v>
      </c>
      <c r="D165" s="7" t="s">
        <v>25</v>
      </c>
      <c r="E165" s="7" t="n">
        <v>0</v>
      </c>
      <c r="F165" s="7" t="n">
        <v>0</v>
      </c>
      <c r="G165" s="7" t="s">
        <v>31</v>
      </c>
      <c r="H165" s="7" t="s">
        <v>27</v>
      </c>
      <c r="I165" s="7" t="n">
        <v>35.1</v>
      </c>
      <c r="J165" s="7" t="s">
        <v>28</v>
      </c>
      <c r="K165" s="7" t="n">
        <v>248</v>
      </c>
      <c r="L165" s="7" t="s">
        <v>29</v>
      </c>
      <c r="M165" s="7" t="s">
        <v>30</v>
      </c>
    </row>
    <row r="166" customFormat="false" ht="15" hidden="false" customHeight="true" outlineLevel="0" collapsed="false">
      <c r="A166" s="7" t="n">
        <v>2101</v>
      </c>
      <c r="B166" s="7" t="n">
        <v>34</v>
      </c>
      <c r="C166" s="7" t="s">
        <v>33</v>
      </c>
      <c r="D166" s="7" t="s">
        <v>25</v>
      </c>
      <c r="E166" s="7" t="n">
        <v>0</v>
      </c>
      <c r="F166" s="7" t="n">
        <v>0</v>
      </c>
      <c r="G166" s="7" t="s">
        <v>31</v>
      </c>
      <c r="H166" s="7" t="s">
        <v>27</v>
      </c>
      <c r="I166" s="7" t="n">
        <v>40.6</v>
      </c>
      <c r="J166" s="7" t="s">
        <v>28</v>
      </c>
      <c r="K166" s="7" t="n">
        <v>248.4</v>
      </c>
      <c r="L166" s="7" t="s">
        <v>29</v>
      </c>
      <c r="M166" s="7" t="s">
        <v>30</v>
      </c>
    </row>
    <row r="167" customFormat="false" ht="15" hidden="false" customHeight="true" outlineLevel="0" collapsed="false">
      <c r="A167" s="7" t="n">
        <v>2143</v>
      </c>
      <c r="B167" s="7" t="n">
        <v>65</v>
      </c>
      <c r="C167" s="7" t="s">
        <v>24</v>
      </c>
      <c r="D167" s="7" t="s">
        <v>25</v>
      </c>
      <c r="E167" s="7" t="n">
        <v>0</v>
      </c>
      <c r="F167" s="7" t="n">
        <v>0</v>
      </c>
      <c r="G167" s="7" t="s">
        <v>36</v>
      </c>
      <c r="H167" s="7" t="s">
        <v>27</v>
      </c>
      <c r="I167" s="7" t="n">
        <v>18.7</v>
      </c>
      <c r="J167" s="7" t="s">
        <v>28</v>
      </c>
      <c r="K167" s="7" t="n">
        <v>213.3</v>
      </c>
      <c r="L167" s="7" t="s">
        <v>29</v>
      </c>
      <c r="M167" s="7" t="s">
        <v>30</v>
      </c>
    </row>
    <row r="168" customFormat="false" ht="15" hidden="false" customHeight="true" outlineLevel="0" collapsed="false">
      <c r="A168" s="7" t="n">
        <v>2145</v>
      </c>
      <c r="B168" s="7" t="n">
        <v>84</v>
      </c>
      <c r="C168" s="7" t="s">
        <v>33</v>
      </c>
      <c r="D168" s="7" t="s">
        <v>25</v>
      </c>
      <c r="E168" s="7" t="n">
        <v>0</v>
      </c>
      <c r="F168" s="7" t="n">
        <v>0</v>
      </c>
      <c r="G168" s="7" t="s">
        <v>34</v>
      </c>
      <c r="H168" s="7" t="s">
        <v>32</v>
      </c>
      <c r="I168" s="7" t="n">
        <v>35</v>
      </c>
      <c r="J168" s="7" t="s">
        <v>28</v>
      </c>
      <c r="K168" s="7" t="n">
        <v>257.9</v>
      </c>
      <c r="L168" s="7" t="s">
        <v>29</v>
      </c>
      <c r="M168" s="7" t="s">
        <v>30</v>
      </c>
    </row>
    <row r="169" customFormat="false" ht="15" hidden="false" customHeight="true" outlineLevel="0" collapsed="false">
      <c r="A169" s="7" t="n">
        <v>2171</v>
      </c>
      <c r="B169" s="7" t="n">
        <v>25</v>
      </c>
      <c r="C169" s="7" t="s">
        <v>33</v>
      </c>
      <c r="D169" s="7" t="s">
        <v>25</v>
      </c>
      <c r="E169" s="7" t="n">
        <v>0</v>
      </c>
      <c r="F169" s="7" t="n">
        <v>0</v>
      </c>
      <c r="G169" s="7" t="s">
        <v>34</v>
      </c>
      <c r="H169" s="7" t="s">
        <v>27</v>
      </c>
      <c r="I169" s="7" t="n">
        <v>29.6</v>
      </c>
      <c r="J169" s="7" t="s">
        <v>28</v>
      </c>
      <c r="K169" s="7" t="n">
        <v>283.7</v>
      </c>
      <c r="L169" s="7" t="s">
        <v>29</v>
      </c>
      <c r="M169" s="7" t="s">
        <v>30</v>
      </c>
    </row>
    <row r="170" customFormat="false" ht="15" hidden="false" customHeight="true" outlineLevel="0" collapsed="false">
      <c r="A170" s="7" t="n">
        <v>2175</v>
      </c>
      <c r="B170" s="7" t="n">
        <v>27</v>
      </c>
      <c r="C170" s="7" t="s">
        <v>33</v>
      </c>
      <c r="D170" s="7" t="s">
        <v>25</v>
      </c>
      <c r="E170" s="7" t="n">
        <v>0</v>
      </c>
      <c r="F170" s="7" t="n">
        <v>0</v>
      </c>
      <c r="G170" s="7" t="s">
        <v>34</v>
      </c>
      <c r="H170" s="7" t="s">
        <v>27</v>
      </c>
      <c r="I170" s="7" t="n">
        <v>34.3</v>
      </c>
      <c r="J170" s="7" t="s">
        <v>28</v>
      </c>
      <c r="K170" s="7" t="n">
        <v>205.6</v>
      </c>
      <c r="L170" s="7" t="s">
        <v>29</v>
      </c>
      <c r="M170" s="7" t="s">
        <v>30</v>
      </c>
    </row>
    <row r="171" customFormat="false" ht="15" hidden="false" customHeight="true" outlineLevel="0" collapsed="false">
      <c r="A171" s="7" t="n">
        <v>2189</v>
      </c>
      <c r="B171" s="7" t="n">
        <v>29</v>
      </c>
      <c r="C171" s="7" t="s">
        <v>33</v>
      </c>
      <c r="D171" s="7" t="s">
        <v>25</v>
      </c>
      <c r="E171" s="7" t="n">
        <v>0</v>
      </c>
      <c r="F171" s="7" t="n">
        <v>0</v>
      </c>
      <c r="G171" s="7" t="s">
        <v>35</v>
      </c>
      <c r="H171" s="7" t="s">
        <v>27</v>
      </c>
      <c r="I171" s="7" t="n">
        <v>40.3</v>
      </c>
      <c r="J171" s="7" t="s">
        <v>28</v>
      </c>
      <c r="K171" s="7" t="n">
        <v>163.8</v>
      </c>
      <c r="L171" s="7" t="s">
        <v>29</v>
      </c>
      <c r="M171" s="7" t="s">
        <v>30</v>
      </c>
    </row>
    <row r="172" customFormat="false" ht="15" hidden="false" customHeight="true" outlineLevel="0" collapsed="false">
      <c r="A172" s="7" t="n">
        <v>2190</v>
      </c>
      <c r="B172" s="7" t="n">
        <v>18</v>
      </c>
      <c r="C172" s="7" t="s">
        <v>24</v>
      </c>
      <c r="D172" s="7" t="s">
        <v>25</v>
      </c>
      <c r="E172" s="7" t="n">
        <v>0</v>
      </c>
      <c r="F172" s="7" t="n">
        <v>0</v>
      </c>
      <c r="G172" s="7" t="s">
        <v>36</v>
      </c>
      <c r="H172" s="7" t="s">
        <v>32</v>
      </c>
      <c r="I172" s="7" t="n">
        <v>35.8</v>
      </c>
      <c r="J172" s="7" t="s">
        <v>28</v>
      </c>
      <c r="K172" s="7" t="n">
        <v>147.2</v>
      </c>
      <c r="L172" s="7" t="s">
        <v>29</v>
      </c>
      <c r="M172" s="7" t="s">
        <v>30</v>
      </c>
    </row>
    <row r="173" customFormat="false" ht="15" hidden="false" customHeight="true" outlineLevel="0" collapsed="false">
      <c r="A173" s="7" t="n">
        <v>2200</v>
      </c>
      <c r="B173" s="7" t="n">
        <v>42</v>
      </c>
      <c r="C173" s="7" t="s">
        <v>33</v>
      </c>
      <c r="D173" s="7" t="s">
        <v>25</v>
      </c>
      <c r="E173" s="7" t="n">
        <v>0</v>
      </c>
      <c r="F173" s="7" t="n">
        <v>0</v>
      </c>
      <c r="G173" s="7" t="s">
        <v>36</v>
      </c>
      <c r="H173" s="7" t="s">
        <v>27</v>
      </c>
      <c r="I173" s="7" t="n">
        <v>37</v>
      </c>
      <c r="J173" s="7" t="s">
        <v>28</v>
      </c>
      <c r="K173" s="7" t="n">
        <v>213.7</v>
      </c>
      <c r="L173" s="7" t="s">
        <v>29</v>
      </c>
      <c r="M173" s="7" t="s">
        <v>30</v>
      </c>
    </row>
    <row r="174" customFormat="false" ht="15" hidden="false" customHeight="true" outlineLevel="0" collapsed="false">
      <c r="A174" s="7" t="n">
        <v>2208</v>
      </c>
      <c r="B174" s="7" t="n">
        <v>87</v>
      </c>
      <c r="C174" s="7" t="s">
        <v>33</v>
      </c>
      <c r="D174" s="7" t="s">
        <v>25</v>
      </c>
      <c r="E174" s="7" t="n">
        <v>0</v>
      </c>
      <c r="F174" s="7" t="n">
        <v>0</v>
      </c>
      <c r="G174" s="7" t="s">
        <v>31</v>
      </c>
      <c r="H174" s="7" t="s">
        <v>27</v>
      </c>
      <c r="I174" s="7" t="n">
        <v>31.8</v>
      </c>
      <c r="J174" s="7" t="s">
        <v>28</v>
      </c>
      <c r="K174" s="7" t="n">
        <v>249.4</v>
      </c>
      <c r="L174" s="7" t="s">
        <v>29</v>
      </c>
      <c r="M174" s="7" t="s">
        <v>30</v>
      </c>
    </row>
    <row r="175" customFormat="false" ht="15" hidden="false" customHeight="true" outlineLevel="0" collapsed="false">
      <c r="A175" s="7" t="n">
        <v>2212</v>
      </c>
      <c r="B175" s="7" t="n">
        <v>84</v>
      </c>
      <c r="C175" s="7" t="s">
        <v>24</v>
      </c>
      <c r="D175" s="7" t="s">
        <v>25</v>
      </c>
      <c r="E175" s="7" t="n">
        <v>0</v>
      </c>
      <c r="F175" s="7" t="n">
        <v>0</v>
      </c>
      <c r="G175" s="7" t="s">
        <v>35</v>
      </c>
      <c r="H175" s="7" t="s">
        <v>27</v>
      </c>
      <c r="I175" s="7" t="n">
        <v>21.3</v>
      </c>
      <c r="J175" s="7" t="s">
        <v>28</v>
      </c>
      <c r="K175" s="7" t="n">
        <v>285.5</v>
      </c>
      <c r="L175" s="7" t="s">
        <v>29</v>
      </c>
      <c r="M175" s="7" t="s">
        <v>30</v>
      </c>
    </row>
    <row r="176" customFormat="false" ht="15" hidden="false" customHeight="true" outlineLevel="0" collapsed="false">
      <c r="A176" s="7" t="n">
        <v>2215</v>
      </c>
      <c r="B176" s="7" t="n">
        <v>71</v>
      </c>
      <c r="C176" s="7" t="s">
        <v>33</v>
      </c>
      <c r="D176" s="7" t="s">
        <v>25</v>
      </c>
      <c r="E176" s="7" t="n">
        <v>0</v>
      </c>
      <c r="F176" s="7" t="n">
        <v>0</v>
      </c>
      <c r="G176" s="7" t="s">
        <v>36</v>
      </c>
      <c r="H176" s="7" t="s">
        <v>32</v>
      </c>
      <c r="I176" s="7" t="n">
        <v>22.7</v>
      </c>
      <c r="J176" s="7" t="s">
        <v>28</v>
      </c>
      <c r="K176" s="7" t="n">
        <v>147.9</v>
      </c>
      <c r="L176" s="7" t="s">
        <v>29</v>
      </c>
      <c r="M176" s="7" t="s">
        <v>30</v>
      </c>
    </row>
    <row r="177" customFormat="false" ht="15" hidden="false" customHeight="true" outlineLevel="0" collapsed="false">
      <c r="A177" s="7" t="n">
        <v>2227</v>
      </c>
      <c r="B177" s="7" t="n">
        <v>50</v>
      </c>
      <c r="C177" s="7" t="s">
        <v>24</v>
      </c>
      <c r="D177" s="7" t="s">
        <v>25</v>
      </c>
      <c r="E177" s="7" t="n">
        <v>0</v>
      </c>
      <c r="F177" s="7" t="n">
        <v>0</v>
      </c>
      <c r="G177" s="7" t="s">
        <v>26</v>
      </c>
      <c r="H177" s="7" t="s">
        <v>32</v>
      </c>
      <c r="I177" s="7" t="n">
        <v>37.6</v>
      </c>
      <c r="J177" s="7" t="s">
        <v>28</v>
      </c>
      <c r="K177" s="7" t="n">
        <v>273.9</v>
      </c>
      <c r="L177" s="7" t="s">
        <v>29</v>
      </c>
      <c r="M177" s="7" t="s">
        <v>30</v>
      </c>
    </row>
    <row r="178" customFormat="false" ht="15" hidden="false" customHeight="true" outlineLevel="0" collapsed="false">
      <c r="A178" s="7" t="n">
        <v>2238</v>
      </c>
      <c r="B178" s="7" t="n">
        <v>20</v>
      </c>
      <c r="C178" s="7" t="s">
        <v>24</v>
      </c>
      <c r="D178" s="7" t="s">
        <v>25</v>
      </c>
      <c r="E178" s="7" t="n">
        <v>0</v>
      </c>
      <c r="F178" s="7" t="n">
        <v>0</v>
      </c>
      <c r="G178" s="7" t="s">
        <v>34</v>
      </c>
      <c r="H178" s="7" t="s">
        <v>27</v>
      </c>
      <c r="I178" s="7" t="n">
        <v>36.9</v>
      </c>
      <c r="J178" s="7" t="s">
        <v>28</v>
      </c>
      <c r="K178" s="7" t="n">
        <v>208.5</v>
      </c>
      <c r="L178" s="7" t="s">
        <v>29</v>
      </c>
      <c r="M178" s="7" t="s">
        <v>30</v>
      </c>
    </row>
    <row r="179" customFormat="false" ht="15" hidden="false" customHeight="true" outlineLevel="0" collapsed="false">
      <c r="A179" s="7" t="n">
        <v>2254</v>
      </c>
      <c r="B179" s="7" t="n">
        <v>33</v>
      </c>
      <c r="C179" s="7" t="s">
        <v>24</v>
      </c>
      <c r="D179" s="7" t="s">
        <v>25</v>
      </c>
      <c r="E179" s="7" t="n">
        <v>0</v>
      </c>
      <c r="F179" s="7" t="n">
        <v>0</v>
      </c>
      <c r="G179" s="7" t="s">
        <v>34</v>
      </c>
      <c r="H179" s="7" t="s">
        <v>27</v>
      </c>
      <c r="I179" s="7" t="n">
        <v>37.5</v>
      </c>
      <c r="J179" s="7" t="s">
        <v>28</v>
      </c>
      <c r="K179" s="7" t="n">
        <v>170.4</v>
      </c>
      <c r="L179" s="7" t="s">
        <v>29</v>
      </c>
      <c r="M179" s="7" t="s">
        <v>30</v>
      </c>
    </row>
    <row r="180" customFormat="false" ht="15" hidden="false" customHeight="true" outlineLevel="0" collapsed="false">
      <c r="A180" s="7" t="n">
        <v>2258</v>
      </c>
      <c r="B180" s="7" t="n">
        <v>59</v>
      </c>
      <c r="C180" s="7" t="s">
        <v>33</v>
      </c>
      <c r="D180" s="7" t="s">
        <v>25</v>
      </c>
      <c r="E180" s="7" t="n">
        <v>0</v>
      </c>
      <c r="F180" s="7" t="n">
        <v>0</v>
      </c>
      <c r="G180" s="7" t="s">
        <v>35</v>
      </c>
      <c r="H180" s="7" t="s">
        <v>27</v>
      </c>
      <c r="I180" s="7" t="n">
        <v>41.5</v>
      </c>
      <c r="J180" s="7" t="s">
        <v>28</v>
      </c>
      <c r="K180" s="7" t="n">
        <v>299.3</v>
      </c>
      <c r="L180" s="7" t="s">
        <v>29</v>
      </c>
      <c r="M180" s="7" t="s">
        <v>30</v>
      </c>
    </row>
    <row r="181" customFormat="false" ht="15" hidden="false" customHeight="true" outlineLevel="0" collapsed="false">
      <c r="A181" s="7" t="n">
        <v>2272</v>
      </c>
      <c r="B181" s="7" t="n">
        <v>84</v>
      </c>
      <c r="C181" s="7" t="s">
        <v>33</v>
      </c>
      <c r="D181" s="7" t="s">
        <v>25</v>
      </c>
      <c r="E181" s="7" t="n">
        <v>0</v>
      </c>
      <c r="F181" s="7" t="n">
        <v>0</v>
      </c>
      <c r="G181" s="7" t="s">
        <v>35</v>
      </c>
      <c r="H181" s="7" t="s">
        <v>27</v>
      </c>
      <c r="I181" s="7" t="n">
        <v>22.5</v>
      </c>
      <c r="J181" s="7" t="s">
        <v>28</v>
      </c>
      <c r="K181" s="7" t="n">
        <v>125</v>
      </c>
      <c r="L181" s="7" t="s">
        <v>29</v>
      </c>
      <c r="M181" s="7" t="s">
        <v>30</v>
      </c>
    </row>
    <row r="182" customFormat="false" ht="15" hidden="false" customHeight="true" outlineLevel="0" collapsed="false">
      <c r="A182" s="7" t="n">
        <v>2278</v>
      </c>
      <c r="B182" s="7" t="n">
        <v>89</v>
      </c>
      <c r="C182" s="7" t="s">
        <v>24</v>
      </c>
      <c r="D182" s="7" t="s">
        <v>25</v>
      </c>
      <c r="E182" s="7" t="n">
        <v>0</v>
      </c>
      <c r="F182" s="7" t="n">
        <v>0</v>
      </c>
      <c r="G182" s="7" t="s">
        <v>34</v>
      </c>
      <c r="H182" s="7" t="s">
        <v>32</v>
      </c>
      <c r="I182" s="7" t="n">
        <v>22.1</v>
      </c>
      <c r="J182" s="7" t="s">
        <v>28</v>
      </c>
      <c r="K182" s="7" t="n">
        <v>245.4</v>
      </c>
      <c r="L182" s="7" t="s">
        <v>29</v>
      </c>
      <c r="M182" s="7" t="s">
        <v>30</v>
      </c>
    </row>
    <row r="183" customFormat="false" ht="15" hidden="false" customHeight="true" outlineLevel="0" collapsed="false">
      <c r="A183" s="7" t="n">
        <v>2282</v>
      </c>
      <c r="B183" s="7" t="n">
        <v>34</v>
      </c>
      <c r="C183" s="7" t="s">
        <v>33</v>
      </c>
      <c r="D183" s="7" t="s">
        <v>25</v>
      </c>
      <c r="E183" s="7" t="n">
        <v>0</v>
      </c>
      <c r="F183" s="7" t="n">
        <v>0</v>
      </c>
      <c r="G183" s="7" t="s">
        <v>34</v>
      </c>
      <c r="H183" s="7" t="s">
        <v>27</v>
      </c>
      <c r="I183" s="7" t="n">
        <v>30.9</v>
      </c>
      <c r="J183" s="7" t="s">
        <v>28</v>
      </c>
      <c r="K183" s="7" t="n">
        <v>132.4</v>
      </c>
      <c r="L183" s="7" t="s">
        <v>29</v>
      </c>
      <c r="M183" s="7" t="s">
        <v>30</v>
      </c>
    </row>
    <row r="184" customFormat="false" ht="15" hidden="false" customHeight="true" outlineLevel="0" collapsed="false">
      <c r="A184" s="7" t="n">
        <v>2301</v>
      </c>
      <c r="B184" s="7" t="n">
        <v>36</v>
      </c>
      <c r="C184" s="7" t="s">
        <v>33</v>
      </c>
      <c r="D184" s="7" t="s">
        <v>25</v>
      </c>
      <c r="E184" s="7" t="n">
        <v>0</v>
      </c>
      <c r="F184" s="7" t="n">
        <v>0</v>
      </c>
      <c r="G184" s="7" t="s">
        <v>31</v>
      </c>
      <c r="H184" s="7" t="s">
        <v>32</v>
      </c>
      <c r="I184" s="7" t="n">
        <v>21</v>
      </c>
      <c r="J184" s="7" t="s">
        <v>28</v>
      </c>
      <c r="K184" s="7" t="n">
        <v>261.3</v>
      </c>
      <c r="L184" s="7" t="s">
        <v>29</v>
      </c>
      <c r="M184" s="7" t="s">
        <v>30</v>
      </c>
    </row>
    <row r="185" customFormat="false" ht="15" hidden="false" customHeight="true" outlineLevel="0" collapsed="false">
      <c r="A185" s="7" t="n">
        <v>2312</v>
      </c>
      <c r="B185" s="7" t="n">
        <v>32</v>
      </c>
      <c r="C185" s="7" t="s">
        <v>24</v>
      </c>
      <c r="D185" s="7" t="s">
        <v>25</v>
      </c>
      <c r="E185" s="7" t="n">
        <v>0</v>
      </c>
      <c r="F185" s="7" t="n">
        <v>0</v>
      </c>
      <c r="G185" s="7" t="s">
        <v>35</v>
      </c>
      <c r="H185" s="7" t="s">
        <v>27</v>
      </c>
      <c r="I185" s="7" t="n">
        <v>25</v>
      </c>
      <c r="J185" s="7" t="s">
        <v>28</v>
      </c>
      <c r="K185" s="7" t="n">
        <v>281</v>
      </c>
      <c r="L185" s="7" t="s">
        <v>29</v>
      </c>
      <c r="M185" s="7" t="s">
        <v>30</v>
      </c>
    </row>
    <row r="186" customFormat="false" ht="15" hidden="false" customHeight="true" outlineLevel="0" collapsed="false">
      <c r="A186" s="7" t="n">
        <v>2313</v>
      </c>
      <c r="B186" s="7" t="n">
        <v>54</v>
      </c>
      <c r="C186" s="7" t="s">
        <v>24</v>
      </c>
      <c r="D186" s="7" t="s">
        <v>25</v>
      </c>
      <c r="E186" s="7" t="n">
        <v>0</v>
      </c>
      <c r="F186" s="7" t="n">
        <v>0</v>
      </c>
      <c r="G186" s="7" t="s">
        <v>35</v>
      </c>
      <c r="H186" s="7" t="s">
        <v>27</v>
      </c>
      <c r="I186" s="7" t="n">
        <v>23.4</v>
      </c>
      <c r="J186" s="7" t="s">
        <v>28</v>
      </c>
      <c r="K186" s="7" t="n">
        <v>247.2</v>
      </c>
      <c r="L186" s="7" t="s">
        <v>29</v>
      </c>
      <c r="M186" s="7" t="s">
        <v>30</v>
      </c>
    </row>
    <row r="187" customFormat="false" ht="15" hidden="false" customHeight="true" outlineLevel="0" collapsed="false">
      <c r="A187" s="7" t="n">
        <v>2315</v>
      </c>
      <c r="B187" s="7" t="n">
        <v>78</v>
      </c>
      <c r="C187" s="7" t="s">
        <v>24</v>
      </c>
      <c r="D187" s="7" t="s">
        <v>25</v>
      </c>
      <c r="E187" s="7" t="n">
        <v>0</v>
      </c>
      <c r="F187" s="7" t="n">
        <v>0</v>
      </c>
      <c r="G187" s="7" t="s">
        <v>34</v>
      </c>
      <c r="H187" s="7" t="s">
        <v>32</v>
      </c>
      <c r="I187" s="7" t="n">
        <v>38.3</v>
      </c>
      <c r="J187" s="7" t="s">
        <v>28</v>
      </c>
      <c r="K187" s="7" t="n">
        <v>206.6</v>
      </c>
      <c r="L187" s="7" t="s">
        <v>29</v>
      </c>
      <c r="M187" s="7" t="s">
        <v>30</v>
      </c>
    </row>
    <row r="188" customFormat="false" ht="15" hidden="false" customHeight="true" outlineLevel="0" collapsed="false">
      <c r="A188" s="7" t="n">
        <v>2341</v>
      </c>
      <c r="B188" s="7" t="n">
        <v>44</v>
      </c>
      <c r="C188" s="7" t="s">
        <v>33</v>
      </c>
      <c r="D188" s="7" t="s">
        <v>25</v>
      </c>
      <c r="E188" s="7" t="n">
        <v>0</v>
      </c>
      <c r="F188" s="7" t="n">
        <v>0</v>
      </c>
      <c r="G188" s="7" t="s">
        <v>35</v>
      </c>
      <c r="H188" s="7" t="s">
        <v>32</v>
      </c>
      <c r="I188" s="7" t="n">
        <v>41</v>
      </c>
      <c r="J188" s="7" t="s">
        <v>28</v>
      </c>
      <c r="K188" s="7" t="n">
        <v>221.1</v>
      </c>
      <c r="L188" s="7" t="s">
        <v>29</v>
      </c>
      <c r="M188" s="7" t="s">
        <v>30</v>
      </c>
    </row>
    <row r="189" customFormat="false" ht="15" hidden="false" customHeight="true" outlineLevel="0" collapsed="false">
      <c r="A189" s="7" t="n">
        <v>2355</v>
      </c>
      <c r="B189" s="7" t="n">
        <v>43</v>
      </c>
      <c r="C189" s="7" t="s">
        <v>33</v>
      </c>
      <c r="D189" s="7" t="s">
        <v>25</v>
      </c>
      <c r="E189" s="7" t="n">
        <v>0</v>
      </c>
      <c r="F189" s="7" t="n">
        <v>0</v>
      </c>
      <c r="G189" s="7" t="s">
        <v>34</v>
      </c>
      <c r="H189" s="7" t="s">
        <v>27</v>
      </c>
      <c r="I189" s="7" t="n">
        <v>27.1</v>
      </c>
      <c r="J189" s="7" t="s">
        <v>28</v>
      </c>
      <c r="K189" s="7" t="n">
        <v>297.7</v>
      </c>
      <c r="L189" s="7" t="s">
        <v>29</v>
      </c>
      <c r="M189" s="7" t="s">
        <v>30</v>
      </c>
    </row>
    <row r="190" customFormat="false" ht="15" hidden="false" customHeight="true" outlineLevel="0" collapsed="false">
      <c r="A190" s="7" t="n">
        <v>2361</v>
      </c>
      <c r="B190" s="7" t="n">
        <v>40</v>
      </c>
      <c r="C190" s="7" t="s">
        <v>24</v>
      </c>
      <c r="D190" s="7" t="s">
        <v>25</v>
      </c>
      <c r="E190" s="7" t="n">
        <v>0</v>
      </c>
      <c r="F190" s="7" t="n">
        <v>0</v>
      </c>
      <c r="G190" s="7" t="s">
        <v>35</v>
      </c>
      <c r="H190" s="7" t="s">
        <v>27</v>
      </c>
      <c r="I190" s="7" t="n">
        <v>30.7</v>
      </c>
      <c r="J190" s="7" t="s">
        <v>28</v>
      </c>
      <c r="K190" s="7" t="n">
        <v>234.4</v>
      </c>
      <c r="L190" s="7" t="s">
        <v>29</v>
      </c>
      <c r="M190" s="7" t="s">
        <v>30</v>
      </c>
    </row>
    <row r="191" customFormat="false" ht="15" hidden="false" customHeight="true" outlineLevel="0" collapsed="false">
      <c r="A191" s="7" t="n">
        <v>2366</v>
      </c>
      <c r="B191" s="7" t="n">
        <v>32</v>
      </c>
      <c r="C191" s="7" t="s">
        <v>24</v>
      </c>
      <c r="D191" s="7" t="s">
        <v>25</v>
      </c>
      <c r="E191" s="7" t="n">
        <v>0</v>
      </c>
      <c r="F191" s="7" t="n">
        <v>0</v>
      </c>
      <c r="G191" s="7" t="s">
        <v>31</v>
      </c>
      <c r="H191" s="7" t="s">
        <v>27</v>
      </c>
      <c r="I191" s="7" t="n">
        <v>27.7</v>
      </c>
      <c r="J191" s="7" t="s">
        <v>28</v>
      </c>
      <c r="K191" s="7" t="n">
        <v>205.8</v>
      </c>
      <c r="L191" s="7" t="s">
        <v>29</v>
      </c>
      <c r="M191" s="7" t="s">
        <v>30</v>
      </c>
    </row>
    <row r="192" customFormat="false" ht="15" hidden="false" customHeight="true" outlineLevel="0" collapsed="false">
      <c r="A192" s="7" t="n">
        <v>2381</v>
      </c>
      <c r="B192" s="7" t="n">
        <v>46</v>
      </c>
      <c r="C192" s="7" t="s">
        <v>33</v>
      </c>
      <c r="D192" s="7" t="s">
        <v>25</v>
      </c>
      <c r="E192" s="7" t="n">
        <v>0</v>
      </c>
      <c r="F192" s="7" t="n">
        <v>0</v>
      </c>
      <c r="G192" s="7" t="s">
        <v>35</v>
      </c>
      <c r="H192" s="7" t="s">
        <v>32</v>
      </c>
      <c r="I192" s="7" t="n">
        <v>36.4</v>
      </c>
      <c r="J192" s="7" t="s">
        <v>28</v>
      </c>
      <c r="K192" s="7" t="n">
        <v>256.8</v>
      </c>
      <c r="L192" s="7" t="s">
        <v>29</v>
      </c>
      <c r="M192" s="7" t="s">
        <v>30</v>
      </c>
    </row>
    <row r="193" customFormat="false" ht="15" hidden="false" customHeight="true" outlineLevel="0" collapsed="false">
      <c r="A193" s="7" t="n">
        <v>2382</v>
      </c>
      <c r="B193" s="7" t="n">
        <v>43</v>
      </c>
      <c r="C193" s="7" t="s">
        <v>33</v>
      </c>
      <c r="D193" s="7" t="s">
        <v>25</v>
      </c>
      <c r="E193" s="7" t="n">
        <v>0</v>
      </c>
      <c r="F193" s="7" t="n">
        <v>0</v>
      </c>
      <c r="G193" s="7" t="s">
        <v>35</v>
      </c>
      <c r="H193" s="7" t="s">
        <v>32</v>
      </c>
      <c r="I193" s="7" t="n">
        <v>22.9</v>
      </c>
      <c r="J193" s="7" t="s">
        <v>28</v>
      </c>
      <c r="K193" s="7" t="n">
        <v>160.6</v>
      </c>
      <c r="L193" s="7" t="s">
        <v>29</v>
      </c>
      <c r="M193" s="7" t="s">
        <v>30</v>
      </c>
    </row>
    <row r="194" customFormat="false" ht="15" hidden="false" customHeight="true" outlineLevel="0" collapsed="false">
      <c r="A194" s="7" t="n">
        <v>2384</v>
      </c>
      <c r="B194" s="7" t="n">
        <v>79</v>
      </c>
      <c r="C194" s="7" t="s">
        <v>33</v>
      </c>
      <c r="D194" s="7" t="s">
        <v>25</v>
      </c>
      <c r="E194" s="7" t="n">
        <v>0</v>
      </c>
      <c r="F194" s="7" t="n">
        <v>0</v>
      </c>
      <c r="G194" s="7" t="s">
        <v>36</v>
      </c>
      <c r="H194" s="7" t="s">
        <v>27</v>
      </c>
      <c r="I194" s="7" t="n">
        <v>30.1</v>
      </c>
      <c r="J194" s="7" t="s">
        <v>28</v>
      </c>
      <c r="K194" s="7" t="n">
        <v>133.6</v>
      </c>
      <c r="L194" s="7" t="s">
        <v>29</v>
      </c>
      <c r="M194" s="7" t="s">
        <v>30</v>
      </c>
    </row>
    <row r="195" customFormat="false" ht="15" hidden="false" customHeight="true" outlineLevel="0" collapsed="false">
      <c r="A195" s="7" t="n">
        <v>2397</v>
      </c>
      <c r="B195" s="7" t="n">
        <v>74</v>
      </c>
      <c r="C195" s="7" t="s">
        <v>24</v>
      </c>
      <c r="D195" s="7" t="s">
        <v>25</v>
      </c>
      <c r="E195" s="7" t="n">
        <v>0</v>
      </c>
      <c r="F195" s="7" t="n">
        <v>0</v>
      </c>
      <c r="G195" s="7" t="s">
        <v>34</v>
      </c>
      <c r="H195" s="7" t="s">
        <v>27</v>
      </c>
      <c r="I195" s="7" t="n">
        <v>23.6</v>
      </c>
      <c r="J195" s="7" t="s">
        <v>28</v>
      </c>
      <c r="K195" s="7" t="n">
        <v>182</v>
      </c>
      <c r="L195" s="7" t="s">
        <v>29</v>
      </c>
      <c r="M195" s="7" t="s">
        <v>30</v>
      </c>
    </row>
    <row r="196" customFormat="false" ht="15" hidden="false" customHeight="true" outlineLevel="0" collapsed="false">
      <c r="A196" s="7" t="n">
        <v>2404</v>
      </c>
      <c r="B196" s="7" t="n">
        <v>54</v>
      </c>
      <c r="C196" s="7" t="s">
        <v>33</v>
      </c>
      <c r="D196" s="7" t="s">
        <v>25</v>
      </c>
      <c r="E196" s="7" t="n">
        <v>0</v>
      </c>
      <c r="F196" s="7" t="n">
        <v>0</v>
      </c>
      <c r="G196" s="7" t="s">
        <v>26</v>
      </c>
      <c r="H196" s="7" t="s">
        <v>27</v>
      </c>
      <c r="I196" s="7" t="n">
        <v>23.8</v>
      </c>
      <c r="J196" s="7" t="s">
        <v>28</v>
      </c>
      <c r="K196" s="7" t="n">
        <v>173.2</v>
      </c>
      <c r="L196" s="7" t="s">
        <v>29</v>
      </c>
      <c r="M196" s="7" t="s">
        <v>30</v>
      </c>
    </row>
    <row r="197" customFormat="false" ht="15" hidden="false" customHeight="true" outlineLevel="0" collapsed="false">
      <c r="A197" s="7" t="n">
        <v>2405</v>
      </c>
      <c r="B197" s="7" t="n">
        <v>25</v>
      </c>
      <c r="C197" s="7" t="s">
        <v>33</v>
      </c>
      <c r="D197" s="7" t="s">
        <v>25</v>
      </c>
      <c r="E197" s="7" t="n">
        <v>0</v>
      </c>
      <c r="F197" s="7" t="n">
        <v>0</v>
      </c>
      <c r="G197" s="7" t="s">
        <v>34</v>
      </c>
      <c r="H197" s="7" t="s">
        <v>32</v>
      </c>
      <c r="I197" s="7" t="n">
        <v>33.3</v>
      </c>
      <c r="J197" s="7" t="s">
        <v>28</v>
      </c>
      <c r="K197" s="7" t="n">
        <v>135.8</v>
      </c>
      <c r="L197" s="7" t="s">
        <v>29</v>
      </c>
      <c r="M197" s="7" t="s">
        <v>30</v>
      </c>
    </row>
    <row r="198" customFormat="false" ht="15" hidden="false" customHeight="true" outlineLevel="0" collapsed="false">
      <c r="A198" s="7" t="n">
        <v>2406</v>
      </c>
      <c r="B198" s="7" t="n">
        <v>28</v>
      </c>
      <c r="C198" s="7" t="s">
        <v>24</v>
      </c>
      <c r="D198" s="7" t="s">
        <v>25</v>
      </c>
      <c r="E198" s="7" t="n">
        <v>0</v>
      </c>
      <c r="F198" s="7" t="n">
        <v>0</v>
      </c>
      <c r="G198" s="7" t="s">
        <v>26</v>
      </c>
      <c r="H198" s="7" t="s">
        <v>32</v>
      </c>
      <c r="I198" s="7" t="n">
        <v>19.2</v>
      </c>
      <c r="J198" s="7" t="s">
        <v>28</v>
      </c>
      <c r="K198" s="7" t="n">
        <v>131.2</v>
      </c>
      <c r="L198" s="7" t="s">
        <v>29</v>
      </c>
      <c r="M198" s="7" t="s">
        <v>30</v>
      </c>
    </row>
    <row r="199" customFormat="false" ht="15" hidden="false" customHeight="true" outlineLevel="0" collapsed="false">
      <c r="A199" s="7" t="n">
        <v>2409</v>
      </c>
      <c r="B199" s="7" t="n">
        <v>81</v>
      </c>
      <c r="C199" s="7" t="s">
        <v>33</v>
      </c>
      <c r="D199" s="7" t="s">
        <v>25</v>
      </c>
      <c r="E199" s="7" t="n">
        <v>0</v>
      </c>
      <c r="F199" s="7" t="n">
        <v>0</v>
      </c>
      <c r="G199" s="7" t="s">
        <v>26</v>
      </c>
      <c r="H199" s="7" t="s">
        <v>32</v>
      </c>
      <c r="I199" s="7" t="n">
        <v>23.6</v>
      </c>
      <c r="J199" s="7" t="s">
        <v>28</v>
      </c>
      <c r="K199" s="7" t="n">
        <v>230.5</v>
      </c>
      <c r="L199" s="7" t="s">
        <v>29</v>
      </c>
      <c r="M199" s="7" t="s">
        <v>30</v>
      </c>
    </row>
    <row r="200" customFormat="false" ht="15" hidden="false" customHeight="true" outlineLevel="0" collapsed="false">
      <c r="A200" s="7" t="n">
        <v>2418</v>
      </c>
      <c r="B200" s="7" t="n">
        <v>76</v>
      </c>
      <c r="C200" s="7" t="s">
        <v>33</v>
      </c>
      <c r="D200" s="7" t="s">
        <v>25</v>
      </c>
      <c r="E200" s="7" t="n">
        <v>0</v>
      </c>
      <c r="F200" s="7" t="n">
        <v>0</v>
      </c>
      <c r="G200" s="7" t="s">
        <v>35</v>
      </c>
      <c r="H200" s="7" t="s">
        <v>32</v>
      </c>
      <c r="I200" s="7" t="n">
        <v>38</v>
      </c>
      <c r="J200" s="7" t="s">
        <v>28</v>
      </c>
      <c r="K200" s="7" t="n">
        <v>222.6</v>
      </c>
      <c r="L200" s="7" t="s">
        <v>29</v>
      </c>
      <c r="M200" s="7" t="s">
        <v>30</v>
      </c>
    </row>
    <row r="201" customFormat="false" ht="15" hidden="false" customHeight="true" outlineLevel="0" collapsed="false">
      <c r="A201" s="7" t="n">
        <v>2462</v>
      </c>
      <c r="B201" s="7" t="n">
        <v>77</v>
      </c>
      <c r="C201" s="7" t="s">
        <v>33</v>
      </c>
      <c r="D201" s="7" t="s">
        <v>25</v>
      </c>
      <c r="E201" s="7" t="n">
        <v>0</v>
      </c>
      <c r="F201" s="7" t="n">
        <v>0</v>
      </c>
      <c r="G201" s="7" t="s">
        <v>36</v>
      </c>
      <c r="H201" s="7" t="s">
        <v>32</v>
      </c>
      <c r="I201" s="7" t="n">
        <v>17.3</v>
      </c>
      <c r="J201" s="7" t="s">
        <v>28</v>
      </c>
      <c r="K201" s="7" t="n">
        <v>286.8</v>
      </c>
      <c r="L201" s="7" t="s">
        <v>29</v>
      </c>
      <c r="M201" s="7" t="s">
        <v>30</v>
      </c>
    </row>
    <row r="202" customFormat="false" ht="15" hidden="false" customHeight="true" outlineLevel="0" collapsed="false">
      <c r="A202" s="7" t="n">
        <v>2471</v>
      </c>
      <c r="B202" s="7" t="n">
        <v>79</v>
      </c>
      <c r="C202" s="7" t="s">
        <v>33</v>
      </c>
      <c r="D202" s="7" t="s">
        <v>25</v>
      </c>
      <c r="E202" s="7" t="n">
        <v>0</v>
      </c>
      <c r="F202" s="7" t="n">
        <v>0</v>
      </c>
      <c r="G202" s="7" t="s">
        <v>36</v>
      </c>
      <c r="H202" s="7" t="s">
        <v>32</v>
      </c>
      <c r="I202" s="7" t="n">
        <v>32.3</v>
      </c>
      <c r="J202" s="7" t="s">
        <v>28</v>
      </c>
      <c r="K202" s="7" t="n">
        <v>212.2</v>
      </c>
      <c r="L202" s="7" t="s">
        <v>29</v>
      </c>
      <c r="M202" s="7" t="s">
        <v>30</v>
      </c>
    </row>
    <row r="203" customFormat="false" ht="15" hidden="false" customHeight="true" outlineLevel="0" collapsed="false">
      <c r="A203" s="7" t="n">
        <v>2489</v>
      </c>
      <c r="B203" s="7" t="n">
        <v>61</v>
      </c>
      <c r="C203" s="7" t="s">
        <v>24</v>
      </c>
      <c r="D203" s="7" t="s">
        <v>25</v>
      </c>
      <c r="E203" s="7" t="n">
        <v>0</v>
      </c>
      <c r="F203" s="7" t="n">
        <v>0</v>
      </c>
      <c r="G203" s="7" t="s">
        <v>36</v>
      </c>
      <c r="H203" s="7" t="s">
        <v>27</v>
      </c>
      <c r="I203" s="7" t="n">
        <v>34.9</v>
      </c>
      <c r="J203" s="7" t="s">
        <v>28</v>
      </c>
      <c r="K203" s="7" t="n">
        <v>187.1</v>
      </c>
      <c r="L203" s="7" t="s">
        <v>29</v>
      </c>
      <c r="M203" s="7" t="s">
        <v>30</v>
      </c>
    </row>
    <row r="204" customFormat="false" ht="15" hidden="false" customHeight="true" outlineLevel="0" collapsed="false">
      <c r="A204" s="7" t="n">
        <v>2496</v>
      </c>
      <c r="B204" s="7" t="n">
        <v>59</v>
      </c>
      <c r="C204" s="7" t="s">
        <v>33</v>
      </c>
      <c r="D204" s="7" t="s">
        <v>25</v>
      </c>
      <c r="E204" s="7" t="n">
        <v>0</v>
      </c>
      <c r="F204" s="7" t="n">
        <v>0</v>
      </c>
      <c r="G204" s="7" t="s">
        <v>34</v>
      </c>
      <c r="H204" s="7" t="s">
        <v>32</v>
      </c>
      <c r="I204" s="7" t="n">
        <v>31</v>
      </c>
      <c r="J204" s="7" t="s">
        <v>28</v>
      </c>
      <c r="K204" s="7" t="n">
        <v>193.8</v>
      </c>
      <c r="L204" s="7" t="s">
        <v>29</v>
      </c>
      <c r="M204" s="7" t="s">
        <v>30</v>
      </c>
    </row>
    <row r="205" customFormat="false" ht="15" hidden="false" customHeight="true" outlineLevel="0" collapsed="false">
      <c r="A205" s="7" t="n">
        <v>33</v>
      </c>
      <c r="B205" s="7" t="n">
        <v>18</v>
      </c>
      <c r="C205" s="7" t="s">
        <v>24</v>
      </c>
      <c r="D205" s="7" t="s">
        <v>25</v>
      </c>
      <c r="E205" s="7" t="n">
        <v>0</v>
      </c>
      <c r="F205" s="7" t="n">
        <v>0</v>
      </c>
      <c r="G205" s="7" t="s">
        <v>26</v>
      </c>
      <c r="H205" s="7" t="s">
        <v>32</v>
      </c>
      <c r="I205" s="7" t="n">
        <v>30.9</v>
      </c>
      <c r="J205" s="7" t="s">
        <v>28</v>
      </c>
      <c r="K205" s="7" t="n">
        <v>195.5</v>
      </c>
      <c r="L205" s="7" t="s">
        <v>37</v>
      </c>
      <c r="M205" s="7" t="s">
        <v>30</v>
      </c>
    </row>
    <row r="206" customFormat="false" ht="15" hidden="false" customHeight="true" outlineLevel="0" collapsed="false">
      <c r="A206" s="7" t="n">
        <v>38</v>
      </c>
      <c r="B206" s="7" t="n">
        <v>52</v>
      </c>
      <c r="C206" s="7" t="s">
        <v>33</v>
      </c>
      <c r="D206" s="7" t="s">
        <v>25</v>
      </c>
      <c r="E206" s="7" t="n">
        <v>0</v>
      </c>
      <c r="F206" s="7" t="n">
        <v>0</v>
      </c>
      <c r="G206" s="7" t="s">
        <v>34</v>
      </c>
      <c r="H206" s="7" t="s">
        <v>32</v>
      </c>
      <c r="I206" s="7" t="n">
        <v>26.6</v>
      </c>
      <c r="J206" s="7" t="s">
        <v>28</v>
      </c>
      <c r="K206" s="7" t="n">
        <v>181.3</v>
      </c>
      <c r="L206" s="7" t="s">
        <v>37</v>
      </c>
      <c r="M206" s="7" t="s">
        <v>30</v>
      </c>
    </row>
    <row r="207" customFormat="false" ht="15" hidden="false" customHeight="true" outlineLevel="0" collapsed="false">
      <c r="A207" s="7" t="n">
        <v>87</v>
      </c>
      <c r="B207" s="7" t="n">
        <v>64</v>
      </c>
      <c r="C207" s="7" t="s">
        <v>24</v>
      </c>
      <c r="D207" s="7" t="s">
        <v>25</v>
      </c>
      <c r="E207" s="7" t="n">
        <v>0</v>
      </c>
      <c r="F207" s="7" t="n">
        <v>0</v>
      </c>
      <c r="G207" s="7" t="s">
        <v>36</v>
      </c>
      <c r="H207" s="7" t="s">
        <v>27</v>
      </c>
      <c r="I207" s="7" t="n">
        <v>29</v>
      </c>
      <c r="J207" s="7" t="s">
        <v>28</v>
      </c>
      <c r="K207" s="7" t="n">
        <v>257.8</v>
      </c>
      <c r="L207" s="7" t="s">
        <v>37</v>
      </c>
      <c r="M207" s="7" t="s">
        <v>30</v>
      </c>
    </row>
    <row r="208" customFormat="false" ht="15" hidden="false" customHeight="true" outlineLevel="0" collapsed="false">
      <c r="A208" s="7" t="n">
        <v>96</v>
      </c>
      <c r="B208" s="7" t="n">
        <v>70</v>
      </c>
      <c r="C208" s="7" t="s">
        <v>33</v>
      </c>
      <c r="D208" s="7" t="s">
        <v>25</v>
      </c>
      <c r="E208" s="7" t="n">
        <v>0</v>
      </c>
      <c r="F208" s="7" t="n">
        <v>0</v>
      </c>
      <c r="G208" s="7" t="s">
        <v>36</v>
      </c>
      <c r="H208" s="7" t="s">
        <v>32</v>
      </c>
      <c r="I208" s="7" t="n">
        <v>27.5</v>
      </c>
      <c r="J208" s="7" t="s">
        <v>28</v>
      </c>
      <c r="K208" s="7" t="n">
        <v>213.4</v>
      </c>
      <c r="L208" s="7" t="s">
        <v>37</v>
      </c>
      <c r="M208" s="7" t="s">
        <v>30</v>
      </c>
    </row>
    <row r="209" customFormat="false" ht="15" hidden="false" customHeight="true" outlineLevel="0" collapsed="false">
      <c r="A209" s="7" t="n">
        <v>123</v>
      </c>
      <c r="B209" s="7" t="n">
        <v>76</v>
      </c>
      <c r="C209" s="7" t="s">
        <v>24</v>
      </c>
      <c r="D209" s="7" t="s">
        <v>25</v>
      </c>
      <c r="E209" s="7" t="n">
        <v>0</v>
      </c>
      <c r="F209" s="7" t="n">
        <v>0</v>
      </c>
      <c r="G209" s="7" t="s">
        <v>35</v>
      </c>
      <c r="H209" s="7" t="s">
        <v>27</v>
      </c>
      <c r="I209" s="7" t="n">
        <v>41.6</v>
      </c>
      <c r="J209" s="7" t="s">
        <v>28</v>
      </c>
      <c r="K209" s="7" t="n">
        <v>280.9</v>
      </c>
      <c r="L209" s="7" t="s">
        <v>37</v>
      </c>
      <c r="M209" s="7" t="s">
        <v>30</v>
      </c>
    </row>
    <row r="210" customFormat="false" ht="15" hidden="false" customHeight="true" outlineLevel="0" collapsed="false">
      <c r="A210" s="7" t="n">
        <v>124</v>
      </c>
      <c r="B210" s="7" t="n">
        <v>42</v>
      </c>
      <c r="C210" s="7" t="s">
        <v>24</v>
      </c>
      <c r="D210" s="7" t="s">
        <v>25</v>
      </c>
      <c r="E210" s="7" t="n">
        <v>0</v>
      </c>
      <c r="F210" s="7" t="n">
        <v>0</v>
      </c>
      <c r="G210" s="7" t="s">
        <v>31</v>
      </c>
      <c r="H210" s="7" t="s">
        <v>27</v>
      </c>
      <c r="I210" s="7" t="n">
        <v>28.8</v>
      </c>
      <c r="J210" s="7" t="s">
        <v>28</v>
      </c>
      <c r="K210" s="7" t="n">
        <v>148.7</v>
      </c>
      <c r="L210" s="7" t="s">
        <v>37</v>
      </c>
      <c r="M210" s="7" t="s">
        <v>30</v>
      </c>
    </row>
    <row r="211" customFormat="false" ht="15" hidden="false" customHeight="true" outlineLevel="0" collapsed="false">
      <c r="A211" s="7" t="n">
        <v>235</v>
      </c>
      <c r="B211" s="7" t="n">
        <v>62</v>
      </c>
      <c r="C211" s="7" t="s">
        <v>24</v>
      </c>
      <c r="D211" s="7" t="s">
        <v>25</v>
      </c>
      <c r="E211" s="7" t="n">
        <v>0</v>
      </c>
      <c r="F211" s="7" t="n">
        <v>0</v>
      </c>
      <c r="G211" s="7" t="s">
        <v>31</v>
      </c>
      <c r="H211" s="7" t="s">
        <v>32</v>
      </c>
      <c r="I211" s="7" t="n">
        <v>17</v>
      </c>
      <c r="J211" s="7" t="s">
        <v>28</v>
      </c>
      <c r="K211" s="7" t="n">
        <v>129.2</v>
      </c>
      <c r="L211" s="7" t="s">
        <v>37</v>
      </c>
      <c r="M211" s="7" t="s">
        <v>30</v>
      </c>
    </row>
    <row r="212" customFormat="false" ht="15" hidden="false" customHeight="true" outlineLevel="0" collapsed="false">
      <c r="A212" s="7" t="n">
        <v>292</v>
      </c>
      <c r="B212" s="7" t="n">
        <v>40</v>
      </c>
      <c r="C212" s="7" t="s">
        <v>33</v>
      </c>
      <c r="D212" s="7" t="s">
        <v>25</v>
      </c>
      <c r="E212" s="7" t="n">
        <v>0</v>
      </c>
      <c r="F212" s="7" t="n">
        <v>0</v>
      </c>
      <c r="G212" s="7" t="s">
        <v>26</v>
      </c>
      <c r="H212" s="7" t="s">
        <v>27</v>
      </c>
      <c r="I212" s="7" t="n">
        <v>30.7</v>
      </c>
      <c r="J212" s="7" t="s">
        <v>28</v>
      </c>
      <c r="K212" s="7" t="n">
        <v>226.3</v>
      </c>
      <c r="L212" s="7" t="s">
        <v>37</v>
      </c>
      <c r="M212" s="7" t="s">
        <v>30</v>
      </c>
    </row>
    <row r="213" customFormat="false" ht="15" hidden="false" customHeight="true" outlineLevel="0" collapsed="false">
      <c r="A213" s="7" t="n">
        <v>354</v>
      </c>
      <c r="B213" s="7" t="n">
        <v>89</v>
      </c>
      <c r="C213" s="7" t="s">
        <v>24</v>
      </c>
      <c r="D213" s="7" t="s">
        <v>25</v>
      </c>
      <c r="E213" s="7" t="n">
        <v>0</v>
      </c>
      <c r="F213" s="7" t="n">
        <v>0</v>
      </c>
      <c r="G213" s="7" t="s">
        <v>31</v>
      </c>
      <c r="H213" s="7" t="s">
        <v>27</v>
      </c>
      <c r="I213" s="7" t="n">
        <v>37</v>
      </c>
      <c r="J213" s="7" t="s">
        <v>28</v>
      </c>
      <c r="K213" s="7" t="n">
        <v>173.9</v>
      </c>
      <c r="L213" s="7" t="s">
        <v>37</v>
      </c>
      <c r="M213" s="7" t="s">
        <v>30</v>
      </c>
    </row>
    <row r="214" customFormat="false" ht="15" hidden="false" customHeight="true" outlineLevel="0" collapsed="false">
      <c r="A214" s="7" t="n">
        <v>376</v>
      </c>
      <c r="B214" s="7" t="n">
        <v>38</v>
      </c>
      <c r="C214" s="7" t="s">
        <v>33</v>
      </c>
      <c r="D214" s="7" t="s">
        <v>25</v>
      </c>
      <c r="E214" s="7" t="n">
        <v>0</v>
      </c>
      <c r="F214" s="7" t="n">
        <v>0</v>
      </c>
      <c r="G214" s="7" t="s">
        <v>31</v>
      </c>
      <c r="H214" s="7" t="s">
        <v>32</v>
      </c>
      <c r="I214" s="7" t="n">
        <v>20</v>
      </c>
      <c r="J214" s="7" t="s">
        <v>28</v>
      </c>
      <c r="K214" s="7" t="n">
        <v>215.7</v>
      </c>
      <c r="L214" s="7" t="s">
        <v>37</v>
      </c>
      <c r="M214" s="7" t="s">
        <v>30</v>
      </c>
    </row>
    <row r="215" customFormat="false" ht="15" hidden="false" customHeight="true" outlineLevel="0" collapsed="false">
      <c r="A215" s="7" t="n">
        <v>385</v>
      </c>
      <c r="B215" s="7" t="n">
        <v>23</v>
      </c>
      <c r="C215" s="7" t="s">
        <v>24</v>
      </c>
      <c r="D215" s="7" t="s">
        <v>25</v>
      </c>
      <c r="E215" s="7" t="n">
        <v>0</v>
      </c>
      <c r="F215" s="7" t="n">
        <v>0</v>
      </c>
      <c r="G215" s="7" t="s">
        <v>35</v>
      </c>
      <c r="H215" s="7" t="s">
        <v>32</v>
      </c>
      <c r="I215" s="7" t="n">
        <v>41.3</v>
      </c>
      <c r="J215" s="7" t="s">
        <v>28</v>
      </c>
      <c r="K215" s="7" t="n">
        <v>248.7</v>
      </c>
      <c r="L215" s="7" t="s">
        <v>37</v>
      </c>
      <c r="M215" s="7" t="s">
        <v>30</v>
      </c>
    </row>
    <row r="216" customFormat="false" ht="15" hidden="false" customHeight="true" outlineLevel="0" collapsed="false">
      <c r="A216" s="7" t="n">
        <v>428</v>
      </c>
      <c r="B216" s="7" t="n">
        <v>18</v>
      </c>
      <c r="C216" s="7" t="s">
        <v>24</v>
      </c>
      <c r="D216" s="7" t="s">
        <v>25</v>
      </c>
      <c r="E216" s="7" t="n">
        <v>0</v>
      </c>
      <c r="F216" s="7" t="n">
        <v>0</v>
      </c>
      <c r="G216" s="7" t="s">
        <v>26</v>
      </c>
      <c r="H216" s="7" t="s">
        <v>32</v>
      </c>
      <c r="I216" s="7" t="n">
        <v>18</v>
      </c>
      <c r="J216" s="7" t="s">
        <v>28</v>
      </c>
      <c r="K216" s="7" t="n">
        <v>245.7</v>
      </c>
      <c r="L216" s="7" t="s">
        <v>37</v>
      </c>
      <c r="M216" s="7" t="s">
        <v>30</v>
      </c>
    </row>
    <row r="217" customFormat="false" ht="15" hidden="false" customHeight="true" outlineLevel="0" collapsed="false">
      <c r="A217" s="7" t="n">
        <v>450</v>
      </c>
      <c r="B217" s="7" t="n">
        <v>66</v>
      </c>
      <c r="C217" s="7" t="s">
        <v>33</v>
      </c>
      <c r="D217" s="7" t="s">
        <v>25</v>
      </c>
      <c r="E217" s="7" t="n">
        <v>0</v>
      </c>
      <c r="F217" s="7" t="n">
        <v>0</v>
      </c>
      <c r="G217" s="7" t="s">
        <v>31</v>
      </c>
      <c r="H217" s="7" t="s">
        <v>27</v>
      </c>
      <c r="I217" s="7" t="n">
        <v>27.5</v>
      </c>
      <c r="J217" s="7" t="s">
        <v>28</v>
      </c>
      <c r="K217" s="7" t="n">
        <v>212.5</v>
      </c>
      <c r="L217" s="7" t="s">
        <v>37</v>
      </c>
      <c r="M217" s="7" t="s">
        <v>30</v>
      </c>
    </row>
    <row r="218" customFormat="false" ht="15" hidden="false" customHeight="true" outlineLevel="0" collapsed="false">
      <c r="A218" s="7" t="n">
        <v>458</v>
      </c>
      <c r="B218" s="7" t="n">
        <v>69</v>
      </c>
      <c r="C218" s="7" t="s">
        <v>33</v>
      </c>
      <c r="D218" s="7" t="s">
        <v>25</v>
      </c>
      <c r="E218" s="7" t="n">
        <v>0</v>
      </c>
      <c r="F218" s="7" t="n">
        <v>0</v>
      </c>
      <c r="G218" s="7" t="s">
        <v>36</v>
      </c>
      <c r="H218" s="7" t="s">
        <v>32</v>
      </c>
      <c r="I218" s="7" t="n">
        <v>40.3</v>
      </c>
      <c r="J218" s="7" t="s">
        <v>28</v>
      </c>
      <c r="K218" s="7" t="n">
        <v>264.7</v>
      </c>
      <c r="L218" s="7" t="s">
        <v>37</v>
      </c>
      <c r="M218" s="7" t="s">
        <v>30</v>
      </c>
    </row>
    <row r="219" customFormat="false" ht="15" hidden="false" customHeight="true" outlineLevel="0" collapsed="false">
      <c r="A219" s="7" t="n">
        <v>491</v>
      </c>
      <c r="B219" s="7" t="n">
        <v>26</v>
      </c>
      <c r="C219" s="7" t="s">
        <v>24</v>
      </c>
      <c r="D219" s="7" t="s">
        <v>25</v>
      </c>
      <c r="E219" s="7" t="n">
        <v>0</v>
      </c>
      <c r="F219" s="7" t="n">
        <v>0</v>
      </c>
      <c r="G219" s="7" t="s">
        <v>34</v>
      </c>
      <c r="H219" s="7" t="s">
        <v>27</v>
      </c>
      <c r="I219" s="7" t="n">
        <v>31.3</v>
      </c>
      <c r="J219" s="7" t="s">
        <v>28</v>
      </c>
      <c r="K219" s="7" t="n">
        <v>248.6</v>
      </c>
      <c r="L219" s="7" t="s">
        <v>37</v>
      </c>
      <c r="M219" s="7" t="s">
        <v>30</v>
      </c>
    </row>
    <row r="220" customFormat="false" ht="15" hidden="false" customHeight="true" outlineLevel="0" collapsed="false">
      <c r="A220" s="7" t="n">
        <v>498</v>
      </c>
      <c r="B220" s="7" t="n">
        <v>19</v>
      </c>
      <c r="C220" s="7" t="s">
        <v>24</v>
      </c>
      <c r="D220" s="7" t="s">
        <v>25</v>
      </c>
      <c r="E220" s="7" t="n">
        <v>0</v>
      </c>
      <c r="F220" s="7" t="n">
        <v>0</v>
      </c>
      <c r="G220" s="7" t="s">
        <v>31</v>
      </c>
      <c r="H220" s="7" t="s">
        <v>27</v>
      </c>
      <c r="I220" s="7" t="n">
        <v>39.4</v>
      </c>
      <c r="J220" s="7" t="s">
        <v>28</v>
      </c>
      <c r="K220" s="7" t="n">
        <v>247.3</v>
      </c>
      <c r="L220" s="7" t="s">
        <v>37</v>
      </c>
      <c r="M220" s="7" t="s">
        <v>30</v>
      </c>
    </row>
    <row r="221" customFormat="false" ht="15" hidden="false" customHeight="true" outlineLevel="0" collapsed="false">
      <c r="A221" s="7" t="n">
        <v>513</v>
      </c>
      <c r="B221" s="7" t="n">
        <v>85</v>
      </c>
      <c r="C221" s="7" t="s">
        <v>24</v>
      </c>
      <c r="D221" s="7" t="s">
        <v>25</v>
      </c>
      <c r="E221" s="7" t="n">
        <v>0</v>
      </c>
      <c r="F221" s="7" t="n">
        <v>0</v>
      </c>
      <c r="G221" s="7" t="s">
        <v>35</v>
      </c>
      <c r="H221" s="7" t="s">
        <v>32</v>
      </c>
      <c r="I221" s="7" t="n">
        <v>24.3</v>
      </c>
      <c r="J221" s="7" t="s">
        <v>28</v>
      </c>
      <c r="K221" s="7" t="n">
        <v>167.7</v>
      </c>
      <c r="L221" s="7" t="s">
        <v>37</v>
      </c>
      <c r="M221" s="7" t="s">
        <v>30</v>
      </c>
    </row>
    <row r="222" customFormat="false" ht="15" hidden="false" customHeight="true" outlineLevel="0" collapsed="false">
      <c r="A222" s="7" t="n">
        <v>524</v>
      </c>
      <c r="B222" s="7" t="n">
        <v>52</v>
      </c>
      <c r="C222" s="7" t="s">
        <v>24</v>
      </c>
      <c r="D222" s="7" t="s">
        <v>25</v>
      </c>
      <c r="E222" s="7" t="n">
        <v>0</v>
      </c>
      <c r="F222" s="7" t="n">
        <v>0</v>
      </c>
      <c r="G222" s="7" t="s">
        <v>36</v>
      </c>
      <c r="H222" s="7" t="s">
        <v>32</v>
      </c>
      <c r="I222" s="7" t="n">
        <v>17.4</v>
      </c>
      <c r="J222" s="7" t="s">
        <v>28</v>
      </c>
      <c r="K222" s="7" t="n">
        <v>263.2</v>
      </c>
      <c r="L222" s="7" t="s">
        <v>37</v>
      </c>
      <c r="M222" s="7" t="s">
        <v>30</v>
      </c>
    </row>
    <row r="223" customFormat="false" ht="15" hidden="false" customHeight="true" outlineLevel="0" collapsed="false">
      <c r="A223" s="7" t="n">
        <v>533</v>
      </c>
      <c r="B223" s="7" t="n">
        <v>37</v>
      </c>
      <c r="C223" s="7" t="s">
        <v>24</v>
      </c>
      <c r="D223" s="7" t="s">
        <v>25</v>
      </c>
      <c r="E223" s="7" t="n">
        <v>0</v>
      </c>
      <c r="F223" s="7" t="n">
        <v>0</v>
      </c>
      <c r="G223" s="7" t="s">
        <v>34</v>
      </c>
      <c r="H223" s="7" t="s">
        <v>32</v>
      </c>
      <c r="I223" s="7" t="n">
        <v>20.6</v>
      </c>
      <c r="J223" s="7" t="s">
        <v>28</v>
      </c>
      <c r="K223" s="7" t="n">
        <v>170.9</v>
      </c>
      <c r="L223" s="7" t="s">
        <v>37</v>
      </c>
      <c r="M223" s="7" t="s">
        <v>30</v>
      </c>
    </row>
    <row r="224" customFormat="false" ht="15" hidden="false" customHeight="true" outlineLevel="0" collapsed="false">
      <c r="A224" s="7" t="n">
        <v>644</v>
      </c>
      <c r="B224" s="7" t="n">
        <v>29</v>
      </c>
      <c r="C224" s="7" t="s">
        <v>24</v>
      </c>
      <c r="D224" s="7" t="s">
        <v>25</v>
      </c>
      <c r="E224" s="7" t="n">
        <v>0</v>
      </c>
      <c r="F224" s="7" t="n">
        <v>0</v>
      </c>
      <c r="G224" s="7" t="s">
        <v>34</v>
      </c>
      <c r="H224" s="7" t="s">
        <v>32</v>
      </c>
      <c r="I224" s="7" t="n">
        <v>36.9</v>
      </c>
      <c r="J224" s="7" t="s">
        <v>28</v>
      </c>
      <c r="K224" s="7" t="n">
        <v>279.7</v>
      </c>
      <c r="L224" s="7" t="s">
        <v>37</v>
      </c>
      <c r="M224" s="7" t="s">
        <v>30</v>
      </c>
    </row>
    <row r="225" customFormat="false" ht="15" hidden="false" customHeight="true" outlineLevel="0" collapsed="false">
      <c r="A225" s="7" t="n">
        <v>659</v>
      </c>
      <c r="B225" s="7" t="n">
        <v>23</v>
      </c>
      <c r="C225" s="7" t="s">
        <v>24</v>
      </c>
      <c r="D225" s="7" t="s">
        <v>25</v>
      </c>
      <c r="E225" s="7" t="n">
        <v>0</v>
      </c>
      <c r="F225" s="7" t="n">
        <v>0</v>
      </c>
      <c r="G225" s="7" t="s">
        <v>26</v>
      </c>
      <c r="H225" s="7" t="s">
        <v>27</v>
      </c>
      <c r="I225" s="7" t="n">
        <v>26.7</v>
      </c>
      <c r="J225" s="7" t="s">
        <v>28</v>
      </c>
      <c r="K225" s="7" t="n">
        <v>221.2</v>
      </c>
      <c r="L225" s="7" t="s">
        <v>37</v>
      </c>
      <c r="M225" s="7" t="s">
        <v>30</v>
      </c>
    </row>
    <row r="226" customFormat="false" ht="15" hidden="false" customHeight="true" outlineLevel="0" collapsed="false">
      <c r="A226" s="7" t="n">
        <v>667</v>
      </c>
      <c r="B226" s="7" t="n">
        <v>74</v>
      </c>
      <c r="C226" s="7" t="s">
        <v>24</v>
      </c>
      <c r="D226" s="7" t="s">
        <v>25</v>
      </c>
      <c r="E226" s="7" t="n">
        <v>0</v>
      </c>
      <c r="F226" s="7" t="n">
        <v>0</v>
      </c>
      <c r="G226" s="7" t="s">
        <v>36</v>
      </c>
      <c r="H226" s="7" t="s">
        <v>27</v>
      </c>
      <c r="I226" s="7" t="n">
        <v>38.6</v>
      </c>
      <c r="J226" s="7" t="s">
        <v>28</v>
      </c>
      <c r="K226" s="7" t="n">
        <v>152.1</v>
      </c>
      <c r="L226" s="7" t="s">
        <v>37</v>
      </c>
      <c r="M226" s="7" t="s">
        <v>30</v>
      </c>
    </row>
    <row r="227" customFormat="false" ht="15" hidden="false" customHeight="true" outlineLevel="0" collapsed="false">
      <c r="A227" s="7" t="n">
        <v>678</v>
      </c>
      <c r="B227" s="7" t="n">
        <v>88</v>
      </c>
      <c r="C227" s="7" t="s">
        <v>24</v>
      </c>
      <c r="D227" s="7" t="s">
        <v>25</v>
      </c>
      <c r="E227" s="7" t="n">
        <v>0</v>
      </c>
      <c r="F227" s="7" t="n">
        <v>0</v>
      </c>
      <c r="G227" s="7" t="s">
        <v>31</v>
      </c>
      <c r="H227" s="7" t="s">
        <v>27</v>
      </c>
      <c r="I227" s="7" t="n">
        <v>37.9</v>
      </c>
      <c r="J227" s="7" t="s">
        <v>28</v>
      </c>
      <c r="K227" s="7" t="n">
        <v>299.9</v>
      </c>
      <c r="L227" s="7" t="s">
        <v>37</v>
      </c>
      <c r="M227" s="7" t="s">
        <v>30</v>
      </c>
    </row>
    <row r="228" customFormat="false" ht="15" hidden="false" customHeight="true" outlineLevel="0" collapsed="false">
      <c r="A228" s="7" t="n">
        <v>703</v>
      </c>
      <c r="B228" s="7" t="n">
        <v>22</v>
      </c>
      <c r="C228" s="7" t="s">
        <v>33</v>
      </c>
      <c r="D228" s="7" t="s">
        <v>25</v>
      </c>
      <c r="E228" s="7" t="n">
        <v>0</v>
      </c>
      <c r="F228" s="7" t="n">
        <v>0</v>
      </c>
      <c r="G228" s="7" t="s">
        <v>35</v>
      </c>
      <c r="H228" s="7" t="s">
        <v>27</v>
      </c>
      <c r="I228" s="7" t="n">
        <v>26.4</v>
      </c>
      <c r="J228" s="7" t="s">
        <v>28</v>
      </c>
      <c r="K228" s="7" t="n">
        <v>120</v>
      </c>
      <c r="L228" s="7" t="s">
        <v>37</v>
      </c>
      <c r="M228" s="7" t="s">
        <v>30</v>
      </c>
    </row>
    <row r="229" customFormat="false" ht="15" hidden="false" customHeight="true" outlineLevel="0" collapsed="false">
      <c r="A229" s="7" t="n">
        <v>745</v>
      </c>
      <c r="B229" s="7" t="n">
        <v>62</v>
      </c>
      <c r="C229" s="7" t="s">
        <v>24</v>
      </c>
      <c r="D229" s="7" t="s">
        <v>25</v>
      </c>
      <c r="E229" s="7" t="n">
        <v>0</v>
      </c>
      <c r="F229" s="7" t="n">
        <v>0</v>
      </c>
      <c r="G229" s="7" t="s">
        <v>34</v>
      </c>
      <c r="H229" s="7" t="s">
        <v>32</v>
      </c>
      <c r="I229" s="7" t="n">
        <v>29.1</v>
      </c>
      <c r="J229" s="7" t="s">
        <v>28</v>
      </c>
      <c r="K229" s="7" t="n">
        <v>174.9</v>
      </c>
      <c r="L229" s="7" t="s">
        <v>37</v>
      </c>
      <c r="M229" s="7" t="s">
        <v>30</v>
      </c>
    </row>
    <row r="230" customFormat="false" ht="15" hidden="false" customHeight="true" outlineLevel="0" collapsed="false">
      <c r="A230" s="7" t="n">
        <v>771</v>
      </c>
      <c r="B230" s="7" t="n">
        <v>89</v>
      </c>
      <c r="C230" s="7" t="s">
        <v>33</v>
      </c>
      <c r="D230" s="7" t="s">
        <v>25</v>
      </c>
      <c r="E230" s="7" t="n">
        <v>0</v>
      </c>
      <c r="F230" s="7" t="n">
        <v>0</v>
      </c>
      <c r="G230" s="7" t="s">
        <v>36</v>
      </c>
      <c r="H230" s="7" t="s">
        <v>27</v>
      </c>
      <c r="I230" s="7" t="n">
        <v>31.4</v>
      </c>
      <c r="J230" s="7" t="s">
        <v>28</v>
      </c>
      <c r="K230" s="7" t="n">
        <v>293.6</v>
      </c>
      <c r="L230" s="7" t="s">
        <v>37</v>
      </c>
      <c r="M230" s="7" t="s">
        <v>30</v>
      </c>
    </row>
    <row r="231" customFormat="false" ht="15" hidden="false" customHeight="true" outlineLevel="0" collapsed="false">
      <c r="A231" s="7" t="n">
        <v>778</v>
      </c>
      <c r="B231" s="7" t="n">
        <v>61</v>
      </c>
      <c r="C231" s="7" t="s">
        <v>33</v>
      </c>
      <c r="D231" s="7" t="s">
        <v>25</v>
      </c>
      <c r="E231" s="7" t="n">
        <v>0</v>
      </c>
      <c r="F231" s="7" t="n">
        <v>0</v>
      </c>
      <c r="G231" s="7" t="s">
        <v>36</v>
      </c>
      <c r="H231" s="7" t="s">
        <v>32</v>
      </c>
      <c r="I231" s="7" t="n">
        <v>41.7</v>
      </c>
      <c r="J231" s="7" t="s">
        <v>28</v>
      </c>
      <c r="K231" s="7" t="n">
        <v>200.1</v>
      </c>
      <c r="L231" s="7" t="s">
        <v>37</v>
      </c>
      <c r="M231" s="7" t="s">
        <v>30</v>
      </c>
    </row>
    <row r="232" customFormat="false" ht="15" hidden="false" customHeight="true" outlineLevel="0" collapsed="false">
      <c r="A232" s="7" t="n">
        <v>780</v>
      </c>
      <c r="B232" s="7" t="n">
        <v>65</v>
      </c>
      <c r="C232" s="7" t="s">
        <v>24</v>
      </c>
      <c r="D232" s="7" t="s">
        <v>25</v>
      </c>
      <c r="E232" s="7" t="n">
        <v>0</v>
      </c>
      <c r="F232" s="7" t="n">
        <v>0</v>
      </c>
      <c r="G232" s="7" t="s">
        <v>26</v>
      </c>
      <c r="H232" s="7" t="s">
        <v>27</v>
      </c>
      <c r="I232" s="7" t="n">
        <v>34.8</v>
      </c>
      <c r="J232" s="7" t="s">
        <v>28</v>
      </c>
      <c r="K232" s="7" t="n">
        <v>232.4</v>
      </c>
      <c r="L232" s="7" t="s">
        <v>37</v>
      </c>
      <c r="M232" s="7" t="s">
        <v>30</v>
      </c>
    </row>
    <row r="233" customFormat="false" ht="15" hidden="false" customHeight="true" outlineLevel="0" collapsed="false">
      <c r="A233" s="7" t="n">
        <v>783</v>
      </c>
      <c r="B233" s="7" t="n">
        <v>18</v>
      </c>
      <c r="C233" s="7" t="s">
        <v>33</v>
      </c>
      <c r="D233" s="7" t="s">
        <v>25</v>
      </c>
      <c r="E233" s="7" t="n">
        <v>0</v>
      </c>
      <c r="F233" s="7" t="n">
        <v>0</v>
      </c>
      <c r="G233" s="7" t="s">
        <v>35</v>
      </c>
      <c r="H233" s="7" t="s">
        <v>27</v>
      </c>
      <c r="I233" s="7" t="n">
        <v>40.9</v>
      </c>
      <c r="J233" s="7" t="s">
        <v>28</v>
      </c>
      <c r="K233" s="7" t="n">
        <v>288.1</v>
      </c>
      <c r="L233" s="7" t="s">
        <v>37</v>
      </c>
      <c r="M233" s="7" t="s">
        <v>30</v>
      </c>
    </row>
    <row r="234" customFormat="false" ht="15" hidden="false" customHeight="true" outlineLevel="0" collapsed="false">
      <c r="A234" s="7" t="n">
        <v>800</v>
      </c>
      <c r="B234" s="7" t="n">
        <v>79</v>
      </c>
      <c r="C234" s="7" t="s">
        <v>33</v>
      </c>
      <c r="D234" s="7" t="s">
        <v>25</v>
      </c>
      <c r="E234" s="7" t="n">
        <v>0</v>
      </c>
      <c r="F234" s="7" t="n">
        <v>0</v>
      </c>
      <c r="G234" s="7" t="s">
        <v>31</v>
      </c>
      <c r="H234" s="7" t="s">
        <v>27</v>
      </c>
      <c r="I234" s="7" t="n">
        <v>20.2</v>
      </c>
      <c r="J234" s="7" t="s">
        <v>28</v>
      </c>
      <c r="K234" s="7" t="n">
        <v>227.7</v>
      </c>
      <c r="L234" s="7" t="s">
        <v>37</v>
      </c>
      <c r="M234" s="7" t="s">
        <v>30</v>
      </c>
    </row>
    <row r="235" customFormat="false" ht="15" hidden="false" customHeight="true" outlineLevel="0" collapsed="false">
      <c r="A235" s="7" t="n">
        <v>802</v>
      </c>
      <c r="B235" s="7" t="n">
        <v>58</v>
      </c>
      <c r="C235" s="7" t="s">
        <v>24</v>
      </c>
      <c r="D235" s="7" t="s">
        <v>25</v>
      </c>
      <c r="E235" s="7" t="n">
        <v>0</v>
      </c>
      <c r="F235" s="7" t="n">
        <v>0</v>
      </c>
      <c r="G235" s="7" t="s">
        <v>26</v>
      </c>
      <c r="H235" s="7" t="s">
        <v>32</v>
      </c>
      <c r="I235" s="7" t="n">
        <v>22</v>
      </c>
      <c r="J235" s="7" t="s">
        <v>28</v>
      </c>
      <c r="K235" s="7" t="n">
        <v>243.9</v>
      </c>
      <c r="L235" s="7" t="s">
        <v>37</v>
      </c>
      <c r="M235" s="7" t="s">
        <v>30</v>
      </c>
    </row>
    <row r="236" customFormat="false" ht="15" hidden="false" customHeight="true" outlineLevel="0" collapsed="false">
      <c r="A236" s="7" t="n">
        <v>812</v>
      </c>
      <c r="B236" s="7" t="n">
        <v>75</v>
      </c>
      <c r="C236" s="7" t="s">
        <v>24</v>
      </c>
      <c r="D236" s="7" t="s">
        <v>25</v>
      </c>
      <c r="E236" s="7" t="n">
        <v>0</v>
      </c>
      <c r="F236" s="7" t="n">
        <v>0</v>
      </c>
      <c r="G236" s="7" t="s">
        <v>31</v>
      </c>
      <c r="H236" s="7" t="s">
        <v>27</v>
      </c>
      <c r="I236" s="7" t="n">
        <v>26.2</v>
      </c>
      <c r="J236" s="7" t="s">
        <v>28</v>
      </c>
      <c r="K236" s="7" t="n">
        <v>176.5</v>
      </c>
      <c r="L236" s="7" t="s">
        <v>37</v>
      </c>
      <c r="M236" s="7" t="s">
        <v>30</v>
      </c>
    </row>
    <row r="237" customFormat="false" ht="15" hidden="false" customHeight="true" outlineLevel="0" collapsed="false">
      <c r="A237" s="7" t="n">
        <v>821</v>
      </c>
      <c r="B237" s="7" t="n">
        <v>71</v>
      </c>
      <c r="C237" s="7" t="s">
        <v>33</v>
      </c>
      <c r="D237" s="7" t="s">
        <v>25</v>
      </c>
      <c r="E237" s="7" t="n">
        <v>0</v>
      </c>
      <c r="F237" s="7" t="n">
        <v>0</v>
      </c>
      <c r="G237" s="7" t="s">
        <v>35</v>
      </c>
      <c r="H237" s="7" t="s">
        <v>27</v>
      </c>
      <c r="I237" s="7" t="n">
        <v>41.7</v>
      </c>
      <c r="J237" s="7" t="s">
        <v>28</v>
      </c>
      <c r="K237" s="7" t="n">
        <v>237.2</v>
      </c>
      <c r="L237" s="7" t="s">
        <v>37</v>
      </c>
      <c r="M237" s="7" t="s">
        <v>30</v>
      </c>
    </row>
    <row r="238" customFormat="false" ht="15" hidden="false" customHeight="true" outlineLevel="0" collapsed="false">
      <c r="A238" s="7" t="n">
        <v>826</v>
      </c>
      <c r="B238" s="7" t="n">
        <v>43</v>
      </c>
      <c r="C238" s="7" t="s">
        <v>24</v>
      </c>
      <c r="D238" s="7" t="s">
        <v>25</v>
      </c>
      <c r="E238" s="7" t="n">
        <v>0</v>
      </c>
      <c r="F238" s="7" t="n">
        <v>0</v>
      </c>
      <c r="G238" s="7" t="s">
        <v>35</v>
      </c>
      <c r="H238" s="7" t="s">
        <v>27</v>
      </c>
      <c r="I238" s="7" t="n">
        <v>24.4</v>
      </c>
      <c r="J238" s="7" t="s">
        <v>28</v>
      </c>
      <c r="K238" s="7" t="n">
        <v>276.8</v>
      </c>
      <c r="L238" s="7" t="s">
        <v>37</v>
      </c>
      <c r="M238" s="7" t="s">
        <v>30</v>
      </c>
    </row>
    <row r="239" customFormat="false" ht="15" hidden="false" customHeight="true" outlineLevel="0" collapsed="false">
      <c r="A239" s="7" t="n">
        <v>831</v>
      </c>
      <c r="B239" s="7" t="n">
        <v>80</v>
      </c>
      <c r="C239" s="7" t="s">
        <v>24</v>
      </c>
      <c r="D239" s="7" t="s">
        <v>25</v>
      </c>
      <c r="E239" s="7" t="n">
        <v>0</v>
      </c>
      <c r="F239" s="7" t="n">
        <v>0</v>
      </c>
      <c r="G239" s="7" t="s">
        <v>31</v>
      </c>
      <c r="H239" s="7" t="s">
        <v>27</v>
      </c>
      <c r="I239" s="7" t="n">
        <v>32.3</v>
      </c>
      <c r="J239" s="7" t="s">
        <v>28</v>
      </c>
      <c r="K239" s="7" t="n">
        <v>181.6</v>
      </c>
      <c r="L239" s="7" t="s">
        <v>37</v>
      </c>
      <c r="M239" s="7" t="s">
        <v>30</v>
      </c>
    </row>
    <row r="240" customFormat="false" ht="15" hidden="false" customHeight="true" outlineLevel="0" collapsed="false">
      <c r="A240" s="7" t="n">
        <v>861</v>
      </c>
      <c r="B240" s="7" t="n">
        <v>38</v>
      </c>
      <c r="C240" s="7" t="s">
        <v>24</v>
      </c>
      <c r="D240" s="7" t="s">
        <v>25</v>
      </c>
      <c r="E240" s="7" t="n">
        <v>0</v>
      </c>
      <c r="F240" s="7" t="n">
        <v>0</v>
      </c>
      <c r="G240" s="7" t="s">
        <v>35</v>
      </c>
      <c r="H240" s="7" t="s">
        <v>27</v>
      </c>
      <c r="I240" s="7" t="n">
        <v>33.5</v>
      </c>
      <c r="J240" s="7" t="s">
        <v>28</v>
      </c>
      <c r="K240" s="7" t="n">
        <v>158.8</v>
      </c>
      <c r="L240" s="7" t="s">
        <v>37</v>
      </c>
      <c r="M240" s="7" t="s">
        <v>30</v>
      </c>
    </row>
    <row r="241" customFormat="false" ht="15" hidden="false" customHeight="true" outlineLevel="0" collapsed="false">
      <c r="A241" s="7" t="n">
        <v>862</v>
      </c>
      <c r="B241" s="7" t="n">
        <v>66</v>
      </c>
      <c r="C241" s="7" t="s">
        <v>33</v>
      </c>
      <c r="D241" s="7" t="s">
        <v>25</v>
      </c>
      <c r="E241" s="7" t="n">
        <v>0</v>
      </c>
      <c r="F241" s="7" t="n">
        <v>0</v>
      </c>
      <c r="G241" s="7" t="s">
        <v>36</v>
      </c>
      <c r="H241" s="7" t="s">
        <v>32</v>
      </c>
      <c r="I241" s="7" t="n">
        <v>29.8</v>
      </c>
      <c r="J241" s="7" t="s">
        <v>28</v>
      </c>
      <c r="K241" s="7" t="n">
        <v>272.5</v>
      </c>
      <c r="L241" s="7" t="s">
        <v>37</v>
      </c>
      <c r="M241" s="7" t="s">
        <v>30</v>
      </c>
    </row>
    <row r="242" customFormat="false" ht="15" hidden="false" customHeight="true" outlineLevel="0" collapsed="false">
      <c r="A242" s="7" t="n">
        <v>887</v>
      </c>
      <c r="B242" s="7" t="n">
        <v>47</v>
      </c>
      <c r="C242" s="7" t="s">
        <v>33</v>
      </c>
      <c r="D242" s="7" t="s">
        <v>25</v>
      </c>
      <c r="E242" s="7" t="n">
        <v>0</v>
      </c>
      <c r="F242" s="7" t="n">
        <v>0</v>
      </c>
      <c r="G242" s="7" t="s">
        <v>34</v>
      </c>
      <c r="H242" s="7" t="s">
        <v>27</v>
      </c>
      <c r="I242" s="7" t="n">
        <v>24.5</v>
      </c>
      <c r="J242" s="7" t="s">
        <v>28</v>
      </c>
      <c r="K242" s="7" t="n">
        <v>121.5</v>
      </c>
      <c r="L242" s="7" t="s">
        <v>37</v>
      </c>
      <c r="M242" s="7" t="s">
        <v>30</v>
      </c>
    </row>
    <row r="243" customFormat="false" ht="15" hidden="false" customHeight="true" outlineLevel="0" collapsed="false">
      <c r="A243" s="7" t="n">
        <v>893</v>
      </c>
      <c r="B243" s="7" t="n">
        <v>26</v>
      </c>
      <c r="C243" s="7" t="s">
        <v>33</v>
      </c>
      <c r="D243" s="7" t="s">
        <v>25</v>
      </c>
      <c r="E243" s="7" t="n">
        <v>0</v>
      </c>
      <c r="F243" s="7" t="n">
        <v>0</v>
      </c>
      <c r="G243" s="7" t="s">
        <v>34</v>
      </c>
      <c r="H243" s="7" t="s">
        <v>27</v>
      </c>
      <c r="I243" s="7" t="n">
        <v>40.6</v>
      </c>
      <c r="J243" s="7" t="s">
        <v>28</v>
      </c>
      <c r="K243" s="7" t="n">
        <v>178.5</v>
      </c>
      <c r="L243" s="7" t="s">
        <v>37</v>
      </c>
      <c r="M243" s="7" t="s">
        <v>30</v>
      </c>
    </row>
    <row r="244" customFormat="false" ht="15" hidden="false" customHeight="true" outlineLevel="0" collapsed="false">
      <c r="A244" s="7" t="n">
        <v>900</v>
      </c>
      <c r="B244" s="7" t="n">
        <v>70</v>
      </c>
      <c r="C244" s="7" t="s">
        <v>33</v>
      </c>
      <c r="D244" s="7" t="s">
        <v>25</v>
      </c>
      <c r="E244" s="7" t="n">
        <v>0</v>
      </c>
      <c r="F244" s="7" t="n">
        <v>0</v>
      </c>
      <c r="G244" s="7" t="s">
        <v>34</v>
      </c>
      <c r="H244" s="7" t="s">
        <v>32</v>
      </c>
      <c r="I244" s="7" t="n">
        <v>31.8</v>
      </c>
      <c r="J244" s="7" t="s">
        <v>28</v>
      </c>
      <c r="K244" s="7" t="n">
        <v>222.8</v>
      </c>
      <c r="L244" s="7" t="s">
        <v>37</v>
      </c>
      <c r="M244" s="7" t="s">
        <v>30</v>
      </c>
    </row>
    <row r="245" customFormat="false" ht="15" hidden="false" customHeight="true" outlineLevel="0" collapsed="false">
      <c r="A245" s="7" t="n">
        <v>931</v>
      </c>
      <c r="B245" s="7" t="n">
        <v>27</v>
      </c>
      <c r="C245" s="7" t="s">
        <v>33</v>
      </c>
      <c r="D245" s="7" t="s">
        <v>25</v>
      </c>
      <c r="E245" s="7" t="n">
        <v>0</v>
      </c>
      <c r="F245" s="7" t="n">
        <v>0</v>
      </c>
      <c r="G245" s="7" t="s">
        <v>34</v>
      </c>
      <c r="H245" s="7" t="s">
        <v>27</v>
      </c>
      <c r="I245" s="7" t="n">
        <v>24.4</v>
      </c>
      <c r="J245" s="7" t="s">
        <v>28</v>
      </c>
      <c r="K245" s="7" t="n">
        <v>146.3</v>
      </c>
      <c r="L245" s="7" t="s">
        <v>37</v>
      </c>
      <c r="M245" s="7" t="s">
        <v>30</v>
      </c>
    </row>
    <row r="246" customFormat="false" ht="15" hidden="false" customHeight="true" outlineLevel="0" collapsed="false">
      <c r="A246" s="7" t="n">
        <v>948</v>
      </c>
      <c r="B246" s="7" t="n">
        <v>74</v>
      </c>
      <c r="C246" s="7" t="s">
        <v>33</v>
      </c>
      <c r="D246" s="7" t="s">
        <v>25</v>
      </c>
      <c r="E246" s="7" t="n">
        <v>0</v>
      </c>
      <c r="F246" s="7" t="n">
        <v>0</v>
      </c>
      <c r="G246" s="7" t="s">
        <v>34</v>
      </c>
      <c r="H246" s="7" t="s">
        <v>27</v>
      </c>
      <c r="I246" s="7" t="n">
        <v>31.4</v>
      </c>
      <c r="J246" s="7" t="s">
        <v>28</v>
      </c>
      <c r="K246" s="7" t="n">
        <v>149.6</v>
      </c>
      <c r="L246" s="7" t="s">
        <v>37</v>
      </c>
      <c r="M246" s="7" t="s">
        <v>30</v>
      </c>
    </row>
    <row r="247" customFormat="false" ht="15" hidden="false" customHeight="true" outlineLevel="0" collapsed="false">
      <c r="A247" s="7" t="n">
        <v>962</v>
      </c>
      <c r="B247" s="7" t="n">
        <v>19</v>
      </c>
      <c r="C247" s="7" t="s">
        <v>33</v>
      </c>
      <c r="D247" s="7" t="s">
        <v>25</v>
      </c>
      <c r="E247" s="7" t="n">
        <v>0</v>
      </c>
      <c r="F247" s="7" t="n">
        <v>0</v>
      </c>
      <c r="G247" s="7" t="s">
        <v>31</v>
      </c>
      <c r="H247" s="7" t="s">
        <v>27</v>
      </c>
      <c r="I247" s="7" t="n">
        <v>25.4</v>
      </c>
      <c r="J247" s="7" t="s">
        <v>28</v>
      </c>
      <c r="K247" s="7" t="n">
        <v>253.7</v>
      </c>
      <c r="L247" s="7" t="s">
        <v>37</v>
      </c>
      <c r="M247" s="7" t="s">
        <v>30</v>
      </c>
    </row>
    <row r="248" customFormat="false" ht="15" hidden="false" customHeight="true" outlineLevel="0" collapsed="false">
      <c r="A248" s="7" t="n">
        <v>965</v>
      </c>
      <c r="B248" s="7" t="n">
        <v>26</v>
      </c>
      <c r="C248" s="7" t="s">
        <v>24</v>
      </c>
      <c r="D248" s="7" t="s">
        <v>25</v>
      </c>
      <c r="E248" s="7" t="n">
        <v>0</v>
      </c>
      <c r="F248" s="7" t="n">
        <v>0</v>
      </c>
      <c r="G248" s="7" t="s">
        <v>26</v>
      </c>
      <c r="H248" s="7" t="s">
        <v>27</v>
      </c>
      <c r="I248" s="7" t="n">
        <v>29.3</v>
      </c>
      <c r="J248" s="7" t="s">
        <v>28</v>
      </c>
      <c r="K248" s="7" t="n">
        <v>269</v>
      </c>
      <c r="L248" s="7" t="s">
        <v>37</v>
      </c>
      <c r="M248" s="7" t="s">
        <v>30</v>
      </c>
    </row>
    <row r="249" customFormat="false" ht="15" hidden="false" customHeight="true" outlineLevel="0" collapsed="false">
      <c r="A249" s="7" t="n">
        <v>971</v>
      </c>
      <c r="B249" s="7" t="n">
        <v>84</v>
      </c>
      <c r="C249" s="7" t="s">
        <v>24</v>
      </c>
      <c r="D249" s="7" t="s">
        <v>25</v>
      </c>
      <c r="E249" s="7" t="n">
        <v>0</v>
      </c>
      <c r="F249" s="7" t="n">
        <v>0</v>
      </c>
      <c r="G249" s="7" t="s">
        <v>26</v>
      </c>
      <c r="H249" s="7" t="s">
        <v>27</v>
      </c>
      <c r="I249" s="7" t="n">
        <v>38.8</v>
      </c>
      <c r="J249" s="7" t="s">
        <v>28</v>
      </c>
      <c r="K249" s="7" t="n">
        <v>228</v>
      </c>
      <c r="L249" s="7" t="s">
        <v>37</v>
      </c>
      <c r="M249" s="7" t="s">
        <v>30</v>
      </c>
    </row>
    <row r="250" customFormat="false" ht="15" hidden="false" customHeight="true" outlineLevel="0" collapsed="false">
      <c r="A250" s="7" t="n">
        <v>1103</v>
      </c>
      <c r="B250" s="7" t="n">
        <v>84</v>
      </c>
      <c r="C250" s="7" t="s">
        <v>33</v>
      </c>
      <c r="D250" s="7" t="s">
        <v>25</v>
      </c>
      <c r="E250" s="7" t="n">
        <v>0</v>
      </c>
      <c r="F250" s="7" t="n">
        <v>0</v>
      </c>
      <c r="G250" s="7" t="s">
        <v>26</v>
      </c>
      <c r="H250" s="7" t="s">
        <v>27</v>
      </c>
      <c r="I250" s="7" t="n">
        <v>20.7</v>
      </c>
      <c r="J250" s="7" t="s">
        <v>28</v>
      </c>
      <c r="K250" s="7" t="n">
        <v>269.6</v>
      </c>
      <c r="L250" s="7" t="s">
        <v>37</v>
      </c>
      <c r="M250" s="7" t="s">
        <v>30</v>
      </c>
    </row>
    <row r="251" customFormat="false" ht="15" hidden="false" customHeight="true" outlineLevel="0" collapsed="false">
      <c r="A251" s="7" t="n">
        <v>1116</v>
      </c>
      <c r="B251" s="7" t="n">
        <v>65</v>
      </c>
      <c r="C251" s="7" t="s">
        <v>24</v>
      </c>
      <c r="D251" s="7" t="s">
        <v>25</v>
      </c>
      <c r="E251" s="7" t="n">
        <v>0</v>
      </c>
      <c r="F251" s="7" t="n">
        <v>0</v>
      </c>
      <c r="G251" s="7" t="s">
        <v>26</v>
      </c>
      <c r="H251" s="7" t="s">
        <v>32</v>
      </c>
      <c r="I251" s="7" t="n">
        <v>21.5</v>
      </c>
      <c r="J251" s="7" t="s">
        <v>28</v>
      </c>
      <c r="K251" s="7" t="n">
        <v>241</v>
      </c>
      <c r="L251" s="7" t="s">
        <v>37</v>
      </c>
      <c r="M251" s="7" t="s">
        <v>30</v>
      </c>
    </row>
    <row r="252" customFormat="false" ht="15" hidden="false" customHeight="true" outlineLevel="0" collapsed="false">
      <c r="A252" s="7" t="n">
        <v>1129</v>
      </c>
      <c r="B252" s="7" t="n">
        <v>69</v>
      </c>
      <c r="C252" s="7" t="s">
        <v>24</v>
      </c>
      <c r="D252" s="7" t="s">
        <v>25</v>
      </c>
      <c r="E252" s="7" t="n">
        <v>0</v>
      </c>
      <c r="F252" s="7" t="n">
        <v>0</v>
      </c>
      <c r="G252" s="7" t="s">
        <v>35</v>
      </c>
      <c r="H252" s="7" t="s">
        <v>27</v>
      </c>
      <c r="I252" s="7" t="n">
        <v>24.9</v>
      </c>
      <c r="J252" s="7" t="s">
        <v>28</v>
      </c>
      <c r="K252" s="7" t="n">
        <v>251.5</v>
      </c>
      <c r="L252" s="7" t="s">
        <v>37</v>
      </c>
      <c r="M252" s="7" t="s">
        <v>30</v>
      </c>
    </row>
    <row r="253" customFormat="false" ht="15" hidden="false" customHeight="true" outlineLevel="0" collapsed="false">
      <c r="A253" s="7" t="n">
        <v>1180</v>
      </c>
      <c r="B253" s="7" t="n">
        <v>57</v>
      </c>
      <c r="C253" s="7" t="s">
        <v>33</v>
      </c>
      <c r="D253" s="7" t="s">
        <v>25</v>
      </c>
      <c r="E253" s="7" t="n">
        <v>0</v>
      </c>
      <c r="F253" s="7" t="n">
        <v>0</v>
      </c>
      <c r="G253" s="7" t="s">
        <v>26</v>
      </c>
      <c r="H253" s="7" t="s">
        <v>32</v>
      </c>
      <c r="I253" s="7" t="n">
        <v>19.9</v>
      </c>
      <c r="J253" s="7" t="s">
        <v>28</v>
      </c>
      <c r="K253" s="7" t="n">
        <v>129.3</v>
      </c>
      <c r="L253" s="7" t="s">
        <v>37</v>
      </c>
      <c r="M253" s="7" t="s">
        <v>30</v>
      </c>
    </row>
    <row r="254" customFormat="false" ht="15" hidden="false" customHeight="true" outlineLevel="0" collapsed="false">
      <c r="A254" s="7" t="n">
        <v>1232</v>
      </c>
      <c r="B254" s="7" t="n">
        <v>89</v>
      </c>
      <c r="C254" s="7" t="s">
        <v>33</v>
      </c>
      <c r="D254" s="7" t="s">
        <v>25</v>
      </c>
      <c r="E254" s="7" t="n">
        <v>0</v>
      </c>
      <c r="F254" s="7" t="n">
        <v>0</v>
      </c>
      <c r="G254" s="7" t="s">
        <v>31</v>
      </c>
      <c r="H254" s="7" t="s">
        <v>27</v>
      </c>
      <c r="I254" s="7" t="n">
        <v>31.5</v>
      </c>
      <c r="J254" s="7" t="s">
        <v>28</v>
      </c>
      <c r="K254" s="7" t="n">
        <v>237.8</v>
      </c>
      <c r="L254" s="7" t="s">
        <v>37</v>
      </c>
      <c r="M254" s="7" t="s">
        <v>30</v>
      </c>
    </row>
    <row r="255" customFormat="false" ht="15" hidden="false" customHeight="true" outlineLevel="0" collapsed="false">
      <c r="A255" s="7" t="n">
        <v>1265</v>
      </c>
      <c r="B255" s="7" t="n">
        <v>41</v>
      </c>
      <c r="C255" s="7" t="s">
        <v>24</v>
      </c>
      <c r="D255" s="7" t="s">
        <v>25</v>
      </c>
      <c r="E255" s="7" t="n">
        <v>0</v>
      </c>
      <c r="F255" s="7" t="n">
        <v>0</v>
      </c>
      <c r="G255" s="7" t="s">
        <v>36</v>
      </c>
      <c r="H255" s="7" t="s">
        <v>27</v>
      </c>
      <c r="I255" s="7" t="n">
        <v>38.4</v>
      </c>
      <c r="J255" s="7" t="s">
        <v>28</v>
      </c>
      <c r="K255" s="7" t="n">
        <v>132.5</v>
      </c>
      <c r="L255" s="7" t="s">
        <v>37</v>
      </c>
      <c r="M255" s="7" t="s">
        <v>30</v>
      </c>
    </row>
    <row r="256" customFormat="false" ht="15" hidden="false" customHeight="true" outlineLevel="0" collapsed="false">
      <c r="A256" s="7" t="n">
        <v>1273</v>
      </c>
      <c r="B256" s="7" t="n">
        <v>48</v>
      </c>
      <c r="C256" s="7" t="s">
        <v>33</v>
      </c>
      <c r="D256" s="7" t="s">
        <v>25</v>
      </c>
      <c r="E256" s="7" t="n">
        <v>0</v>
      </c>
      <c r="F256" s="7" t="n">
        <v>0</v>
      </c>
      <c r="G256" s="7" t="s">
        <v>26</v>
      </c>
      <c r="H256" s="7" t="s">
        <v>32</v>
      </c>
      <c r="I256" s="7" t="n">
        <v>37.7</v>
      </c>
      <c r="J256" s="7" t="s">
        <v>28</v>
      </c>
      <c r="K256" s="7" t="n">
        <v>175.1</v>
      </c>
      <c r="L256" s="7" t="s">
        <v>37</v>
      </c>
      <c r="M256" s="7" t="s">
        <v>30</v>
      </c>
    </row>
    <row r="257" customFormat="false" ht="15" hidden="false" customHeight="true" outlineLevel="0" collapsed="false">
      <c r="A257" s="7" t="n">
        <v>1278</v>
      </c>
      <c r="B257" s="7" t="n">
        <v>55</v>
      </c>
      <c r="C257" s="7" t="s">
        <v>24</v>
      </c>
      <c r="D257" s="7" t="s">
        <v>25</v>
      </c>
      <c r="E257" s="7" t="n">
        <v>0</v>
      </c>
      <c r="F257" s="7" t="n">
        <v>0</v>
      </c>
      <c r="G257" s="7" t="s">
        <v>35</v>
      </c>
      <c r="H257" s="7" t="s">
        <v>27</v>
      </c>
      <c r="I257" s="7" t="n">
        <v>22</v>
      </c>
      <c r="J257" s="7" t="s">
        <v>28</v>
      </c>
      <c r="K257" s="7" t="n">
        <v>230.5</v>
      </c>
      <c r="L257" s="7" t="s">
        <v>37</v>
      </c>
      <c r="M257" s="7" t="s">
        <v>30</v>
      </c>
    </row>
    <row r="258" customFormat="false" ht="15" hidden="false" customHeight="true" outlineLevel="0" collapsed="false">
      <c r="A258" s="7" t="n">
        <v>1281</v>
      </c>
      <c r="B258" s="7" t="n">
        <v>34</v>
      </c>
      <c r="C258" s="7" t="s">
        <v>33</v>
      </c>
      <c r="D258" s="7" t="s">
        <v>25</v>
      </c>
      <c r="E258" s="7" t="n">
        <v>0</v>
      </c>
      <c r="F258" s="7" t="n">
        <v>0</v>
      </c>
      <c r="G258" s="7" t="s">
        <v>26</v>
      </c>
      <c r="H258" s="7" t="s">
        <v>32</v>
      </c>
      <c r="I258" s="7" t="n">
        <v>21</v>
      </c>
      <c r="J258" s="7" t="s">
        <v>28</v>
      </c>
      <c r="K258" s="7" t="n">
        <v>281.3</v>
      </c>
      <c r="L258" s="7" t="s">
        <v>37</v>
      </c>
      <c r="M258" s="7" t="s">
        <v>30</v>
      </c>
    </row>
    <row r="259" customFormat="false" ht="15" hidden="false" customHeight="true" outlineLevel="0" collapsed="false">
      <c r="A259" s="7" t="n">
        <v>1298</v>
      </c>
      <c r="B259" s="7" t="n">
        <v>47</v>
      </c>
      <c r="C259" s="7" t="s">
        <v>33</v>
      </c>
      <c r="D259" s="7" t="s">
        <v>25</v>
      </c>
      <c r="E259" s="7" t="n">
        <v>0</v>
      </c>
      <c r="F259" s="7" t="n">
        <v>0</v>
      </c>
      <c r="G259" s="7" t="s">
        <v>36</v>
      </c>
      <c r="H259" s="7" t="s">
        <v>27</v>
      </c>
      <c r="I259" s="7" t="n">
        <v>18.6</v>
      </c>
      <c r="J259" s="7" t="s">
        <v>28</v>
      </c>
      <c r="K259" s="7" t="n">
        <v>273.1</v>
      </c>
      <c r="L259" s="7" t="s">
        <v>37</v>
      </c>
      <c r="M259" s="7" t="s">
        <v>30</v>
      </c>
    </row>
    <row r="260" customFormat="false" ht="15" hidden="false" customHeight="true" outlineLevel="0" collapsed="false">
      <c r="A260" s="7" t="n">
        <v>1303</v>
      </c>
      <c r="B260" s="7" t="n">
        <v>81</v>
      </c>
      <c r="C260" s="7" t="s">
        <v>24</v>
      </c>
      <c r="D260" s="7" t="s">
        <v>25</v>
      </c>
      <c r="E260" s="7" t="n">
        <v>0</v>
      </c>
      <c r="F260" s="7" t="n">
        <v>0</v>
      </c>
      <c r="G260" s="7" t="s">
        <v>36</v>
      </c>
      <c r="H260" s="7" t="s">
        <v>27</v>
      </c>
      <c r="I260" s="7" t="n">
        <v>34</v>
      </c>
      <c r="J260" s="7" t="s">
        <v>28</v>
      </c>
      <c r="K260" s="7" t="n">
        <v>205.6</v>
      </c>
      <c r="L260" s="7" t="s">
        <v>37</v>
      </c>
      <c r="M260" s="7" t="s">
        <v>30</v>
      </c>
    </row>
    <row r="261" customFormat="false" ht="15" hidden="false" customHeight="true" outlineLevel="0" collapsed="false">
      <c r="A261" s="7" t="n">
        <v>1310</v>
      </c>
      <c r="B261" s="7" t="n">
        <v>62</v>
      </c>
      <c r="C261" s="7" t="s">
        <v>33</v>
      </c>
      <c r="D261" s="7" t="s">
        <v>25</v>
      </c>
      <c r="E261" s="7" t="n">
        <v>0</v>
      </c>
      <c r="F261" s="7" t="n">
        <v>0</v>
      </c>
      <c r="G261" s="7" t="s">
        <v>36</v>
      </c>
      <c r="H261" s="7" t="s">
        <v>27</v>
      </c>
      <c r="I261" s="7" t="n">
        <v>18.4</v>
      </c>
      <c r="J261" s="7" t="s">
        <v>28</v>
      </c>
      <c r="K261" s="7" t="n">
        <v>203.1</v>
      </c>
      <c r="L261" s="7" t="s">
        <v>37</v>
      </c>
      <c r="M261" s="7" t="s">
        <v>30</v>
      </c>
    </row>
    <row r="262" customFormat="false" ht="15" hidden="false" customHeight="true" outlineLevel="0" collapsed="false">
      <c r="A262" s="7" t="n">
        <v>1335</v>
      </c>
      <c r="B262" s="7" t="n">
        <v>57</v>
      </c>
      <c r="C262" s="7" t="s">
        <v>33</v>
      </c>
      <c r="D262" s="7" t="s">
        <v>25</v>
      </c>
      <c r="E262" s="7" t="n">
        <v>0</v>
      </c>
      <c r="F262" s="7" t="n">
        <v>0</v>
      </c>
      <c r="G262" s="7" t="s">
        <v>34</v>
      </c>
      <c r="H262" s="7" t="s">
        <v>32</v>
      </c>
      <c r="I262" s="7" t="n">
        <v>31.1</v>
      </c>
      <c r="J262" s="7" t="s">
        <v>28</v>
      </c>
      <c r="K262" s="7" t="n">
        <v>217.2</v>
      </c>
      <c r="L262" s="7" t="s">
        <v>37</v>
      </c>
      <c r="M262" s="7" t="s">
        <v>30</v>
      </c>
    </row>
    <row r="263" customFormat="false" ht="15" hidden="false" customHeight="true" outlineLevel="0" collapsed="false">
      <c r="A263" s="7" t="n">
        <v>1340</v>
      </c>
      <c r="B263" s="7" t="n">
        <v>81</v>
      </c>
      <c r="C263" s="7" t="s">
        <v>33</v>
      </c>
      <c r="D263" s="7" t="s">
        <v>25</v>
      </c>
      <c r="E263" s="7" t="n">
        <v>0</v>
      </c>
      <c r="F263" s="7" t="n">
        <v>0</v>
      </c>
      <c r="G263" s="7" t="s">
        <v>31</v>
      </c>
      <c r="H263" s="7" t="s">
        <v>27</v>
      </c>
      <c r="I263" s="7" t="n">
        <v>21.4</v>
      </c>
      <c r="J263" s="7" t="s">
        <v>28</v>
      </c>
      <c r="K263" s="7" t="n">
        <v>206.6</v>
      </c>
      <c r="L263" s="7" t="s">
        <v>37</v>
      </c>
      <c r="M263" s="7" t="s">
        <v>30</v>
      </c>
    </row>
    <row r="264" customFormat="false" ht="15" hidden="false" customHeight="true" outlineLevel="0" collapsed="false">
      <c r="A264" s="7" t="n">
        <v>1346</v>
      </c>
      <c r="B264" s="7" t="n">
        <v>32</v>
      </c>
      <c r="C264" s="7" t="s">
        <v>24</v>
      </c>
      <c r="D264" s="7" t="s">
        <v>25</v>
      </c>
      <c r="E264" s="7" t="n">
        <v>0</v>
      </c>
      <c r="F264" s="7" t="n">
        <v>0</v>
      </c>
      <c r="G264" s="7" t="s">
        <v>36</v>
      </c>
      <c r="H264" s="7" t="s">
        <v>27</v>
      </c>
      <c r="I264" s="7" t="n">
        <v>36.6</v>
      </c>
      <c r="J264" s="7" t="s">
        <v>28</v>
      </c>
      <c r="K264" s="7" t="n">
        <v>280.8</v>
      </c>
      <c r="L264" s="7" t="s">
        <v>37</v>
      </c>
      <c r="M264" s="7" t="s">
        <v>30</v>
      </c>
    </row>
    <row r="265" customFormat="false" ht="15" hidden="false" customHeight="true" outlineLevel="0" collapsed="false">
      <c r="A265" s="7" t="n">
        <v>1363</v>
      </c>
      <c r="B265" s="7" t="n">
        <v>29</v>
      </c>
      <c r="C265" s="7" t="s">
        <v>24</v>
      </c>
      <c r="D265" s="7" t="s">
        <v>25</v>
      </c>
      <c r="E265" s="7" t="n">
        <v>0</v>
      </c>
      <c r="F265" s="7" t="n">
        <v>0</v>
      </c>
      <c r="G265" s="7" t="s">
        <v>26</v>
      </c>
      <c r="H265" s="7" t="s">
        <v>32</v>
      </c>
      <c r="I265" s="7" t="n">
        <v>19.7</v>
      </c>
      <c r="J265" s="7" t="s">
        <v>28</v>
      </c>
      <c r="K265" s="7" t="n">
        <v>123.2</v>
      </c>
      <c r="L265" s="7" t="s">
        <v>37</v>
      </c>
      <c r="M265" s="7" t="s">
        <v>30</v>
      </c>
    </row>
    <row r="266" customFormat="false" ht="15" hidden="false" customHeight="true" outlineLevel="0" collapsed="false">
      <c r="A266" s="7" t="n">
        <v>1413</v>
      </c>
      <c r="B266" s="7" t="n">
        <v>55</v>
      </c>
      <c r="C266" s="7" t="s">
        <v>33</v>
      </c>
      <c r="D266" s="7" t="s">
        <v>25</v>
      </c>
      <c r="E266" s="7" t="n">
        <v>0</v>
      </c>
      <c r="F266" s="7" t="n">
        <v>0</v>
      </c>
      <c r="G266" s="7" t="s">
        <v>35</v>
      </c>
      <c r="H266" s="7" t="s">
        <v>32</v>
      </c>
      <c r="I266" s="7" t="n">
        <v>18.8</v>
      </c>
      <c r="J266" s="7" t="s">
        <v>28</v>
      </c>
      <c r="K266" s="7" t="n">
        <v>151.6</v>
      </c>
      <c r="L266" s="7" t="s">
        <v>37</v>
      </c>
      <c r="M266" s="7" t="s">
        <v>30</v>
      </c>
    </row>
    <row r="267" customFormat="false" ht="15" hidden="false" customHeight="true" outlineLevel="0" collapsed="false">
      <c r="A267" s="7" t="n">
        <v>1479</v>
      </c>
      <c r="B267" s="7" t="n">
        <v>76</v>
      </c>
      <c r="C267" s="7" t="s">
        <v>24</v>
      </c>
      <c r="D267" s="7" t="s">
        <v>25</v>
      </c>
      <c r="E267" s="7" t="n">
        <v>0</v>
      </c>
      <c r="F267" s="7" t="n">
        <v>0</v>
      </c>
      <c r="G267" s="7" t="s">
        <v>31</v>
      </c>
      <c r="H267" s="7" t="s">
        <v>32</v>
      </c>
      <c r="I267" s="7" t="n">
        <v>41.2</v>
      </c>
      <c r="J267" s="7" t="s">
        <v>28</v>
      </c>
      <c r="K267" s="7" t="n">
        <v>189.2</v>
      </c>
      <c r="L267" s="7" t="s">
        <v>37</v>
      </c>
      <c r="M267" s="7" t="s">
        <v>30</v>
      </c>
    </row>
    <row r="268" customFormat="false" ht="15" hidden="false" customHeight="true" outlineLevel="0" collapsed="false">
      <c r="A268" s="7" t="n">
        <v>1518</v>
      </c>
      <c r="B268" s="7" t="n">
        <v>53</v>
      </c>
      <c r="C268" s="7" t="s">
        <v>24</v>
      </c>
      <c r="D268" s="7" t="s">
        <v>25</v>
      </c>
      <c r="E268" s="7" t="n">
        <v>0</v>
      </c>
      <c r="F268" s="7" t="n">
        <v>0</v>
      </c>
      <c r="G268" s="7" t="s">
        <v>36</v>
      </c>
      <c r="H268" s="7" t="s">
        <v>32</v>
      </c>
      <c r="I268" s="7" t="n">
        <v>25.2</v>
      </c>
      <c r="J268" s="7" t="s">
        <v>28</v>
      </c>
      <c r="K268" s="7" t="n">
        <v>214.3</v>
      </c>
      <c r="L268" s="7" t="s">
        <v>37</v>
      </c>
      <c r="M268" s="7" t="s">
        <v>30</v>
      </c>
    </row>
    <row r="269" customFormat="false" ht="15" hidden="false" customHeight="true" outlineLevel="0" collapsed="false">
      <c r="A269" s="7" t="n">
        <v>1608</v>
      </c>
      <c r="B269" s="7" t="n">
        <v>89</v>
      </c>
      <c r="C269" s="7" t="s">
        <v>24</v>
      </c>
      <c r="D269" s="7" t="s">
        <v>25</v>
      </c>
      <c r="E269" s="7" t="n">
        <v>0</v>
      </c>
      <c r="F269" s="7" t="n">
        <v>0</v>
      </c>
      <c r="G269" s="7" t="s">
        <v>36</v>
      </c>
      <c r="H269" s="7" t="s">
        <v>27</v>
      </c>
      <c r="I269" s="7" t="n">
        <v>18.3</v>
      </c>
      <c r="J269" s="7" t="s">
        <v>28</v>
      </c>
      <c r="K269" s="7" t="n">
        <v>133.3</v>
      </c>
      <c r="L269" s="7" t="s">
        <v>37</v>
      </c>
      <c r="M269" s="7" t="s">
        <v>30</v>
      </c>
    </row>
    <row r="270" customFormat="false" ht="15" hidden="false" customHeight="true" outlineLevel="0" collapsed="false">
      <c r="A270" s="7" t="n">
        <v>1636</v>
      </c>
      <c r="B270" s="7" t="n">
        <v>82</v>
      </c>
      <c r="C270" s="7" t="s">
        <v>33</v>
      </c>
      <c r="D270" s="7" t="s">
        <v>25</v>
      </c>
      <c r="E270" s="7" t="n">
        <v>0</v>
      </c>
      <c r="F270" s="7" t="n">
        <v>0</v>
      </c>
      <c r="G270" s="7" t="s">
        <v>31</v>
      </c>
      <c r="H270" s="7" t="s">
        <v>27</v>
      </c>
      <c r="I270" s="7" t="n">
        <v>41.6</v>
      </c>
      <c r="J270" s="7" t="s">
        <v>28</v>
      </c>
      <c r="K270" s="7" t="n">
        <v>255</v>
      </c>
      <c r="L270" s="7" t="s">
        <v>37</v>
      </c>
      <c r="M270" s="7" t="s">
        <v>30</v>
      </c>
    </row>
    <row r="271" customFormat="false" ht="15" hidden="false" customHeight="true" outlineLevel="0" collapsed="false">
      <c r="A271" s="7" t="n">
        <v>1639</v>
      </c>
      <c r="B271" s="7" t="n">
        <v>52</v>
      </c>
      <c r="C271" s="7" t="s">
        <v>24</v>
      </c>
      <c r="D271" s="7" t="s">
        <v>25</v>
      </c>
      <c r="E271" s="7" t="n">
        <v>0</v>
      </c>
      <c r="F271" s="7" t="n">
        <v>0</v>
      </c>
      <c r="G271" s="7" t="s">
        <v>34</v>
      </c>
      <c r="H271" s="7" t="s">
        <v>27</v>
      </c>
      <c r="I271" s="7" t="n">
        <v>35.9</v>
      </c>
      <c r="J271" s="7" t="s">
        <v>28</v>
      </c>
      <c r="K271" s="7" t="n">
        <v>195.6</v>
      </c>
      <c r="L271" s="7" t="s">
        <v>37</v>
      </c>
      <c r="M271" s="7" t="s">
        <v>30</v>
      </c>
    </row>
    <row r="272" customFormat="false" ht="15" hidden="false" customHeight="true" outlineLevel="0" collapsed="false">
      <c r="A272" s="7" t="n">
        <v>1642</v>
      </c>
      <c r="B272" s="7" t="n">
        <v>73</v>
      </c>
      <c r="C272" s="7" t="s">
        <v>24</v>
      </c>
      <c r="D272" s="7" t="s">
        <v>25</v>
      </c>
      <c r="E272" s="7" t="n">
        <v>0</v>
      </c>
      <c r="F272" s="7" t="n">
        <v>0</v>
      </c>
      <c r="G272" s="7" t="s">
        <v>26</v>
      </c>
      <c r="H272" s="7" t="s">
        <v>32</v>
      </c>
      <c r="I272" s="7" t="n">
        <v>27.3</v>
      </c>
      <c r="J272" s="7" t="s">
        <v>28</v>
      </c>
      <c r="K272" s="7" t="n">
        <v>246.2</v>
      </c>
      <c r="L272" s="7" t="s">
        <v>37</v>
      </c>
      <c r="M272" s="7" t="s">
        <v>30</v>
      </c>
    </row>
    <row r="273" customFormat="false" ht="15" hidden="false" customHeight="true" outlineLevel="0" collapsed="false">
      <c r="A273" s="7" t="n">
        <v>1653</v>
      </c>
      <c r="B273" s="7" t="n">
        <v>37</v>
      </c>
      <c r="C273" s="7" t="s">
        <v>33</v>
      </c>
      <c r="D273" s="7" t="s">
        <v>25</v>
      </c>
      <c r="E273" s="7" t="n">
        <v>0</v>
      </c>
      <c r="F273" s="7" t="n">
        <v>0</v>
      </c>
      <c r="G273" s="7" t="s">
        <v>26</v>
      </c>
      <c r="H273" s="7" t="s">
        <v>27</v>
      </c>
      <c r="I273" s="7" t="n">
        <v>26.2</v>
      </c>
      <c r="J273" s="7" t="s">
        <v>28</v>
      </c>
      <c r="K273" s="7" t="n">
        <v>183.1</v>
      </c>
      <c r="L273" s="7" t="s">
        <v>37</v>
      </c>
      <c r="M273" s="7" t="s">
        <v>30</v>
      </c>
    </row>
    <row r="274" customFormat="false" ht="15" hidden="false" customHeight="true" outlineLevel="0" collapsed="false">
      <c r="A274" s="7" t="n">
        <v>1668</v>
      </c>
      <c r="B274" s="7" t="n">
        <v>57</v>
      </c>
      <c r="C274" s="7" t="s">
        <v>33</v>
      </c>
      <c r="D274" s="7" t="s">
        <v>25</v>
      </c>
      <c r="E274" s="7" t="n">
        <v>0</v>
      </c>
      <c r="F274" s="7" t="n">
        <v>0</v>
      </c>
      <c r="G274" s="7" t="s">
        <v>26</v>
      </c>
      <c r="H274" s="7" t="s">
        <v>32</v>
      </c>
      <c r="I274" s="7" t="n">
        <v>29.8</v>
      </c>
      <c r="J274" s="7" t="s">
        <v>28</v>
      </c>
      <c r="K274" s="7" t="n">
        <v>121.1</v>
      </c>
      <c r="L274" s="7" t="s">
        <v>37</v>
      </c>
      <c r="M274" s="7" t="s">
        <v>30</v>
      </c>
    </row>
    <row r="275" customFormat="false" ht="15" hidden="false" customHeight="true" outlineLevel="0" collapsed="false">
      <c r="A275" s="7" t="n">
        <v>1684</v>
      </c>
      <c r="B275" s="7" t="n">
        <v>71</v>
      </c>
      <c r="C275" s="7" t="s">
        <v>24</v>
      </c>
      <c r="D275" s="7" t="s">
        <v>25</v>
      </c>
      <c r="E275" s="7" t="n">
        <v>0</v>
      </c>
      <c r="F275" s="7" t="n">
        <v>0</v>
      </c>
      <c r="G275" s="7" t="s">
        <v>31</v>
      </c>
      <c r="H275" s="7" t="s">
        <v>27</v>
      </c>
      <c r="I275" s="7" t="n">
        <v>37.4</v>
      </c>
      <c r="J275" s="7" t="s">
        <v>28</v>
      </c>
      <c r="K275" s="7" t="n">
        <v>214.9</v>
      </c>
      <c r="L275" s="7" t="s">
        <v>37</v>
      </c>
      <c r="M275" s="7" t="s">
        <v>30</v>
      </c>
    </row>
    <row r="276" customFormat="false" ht="15" hidden="false" customHeight="true" outlineLevel="0" collapsed="false">
      <c r="A276" s="7" t="n">
        <v>1771</v>
      </c>
      <c r="B276" s="7" t="n">
        <v>49</v>
      </c>
      <c r="C276" s="7" t="s">
        <v>33</v>
      </c>
      <c r="D276" s="7" t="s">
        <v>25</v>
      </c>
      <c r="E276" s="7" t="n">
        <v>0</v>
      </c>
      <c r="F276" s="7" t="n">
        <v>0</v>
      </c>
      <c r="G276" s="7" t="s">
        <v>36</v>
      </c>
      <c r="H276" s="7" t="s">
        <v>32</v>
      </c>
      <c r="I276" s="7" t="n">
        <v>40.8</v>
      </c>
      <c r="J276" s="7" t="s">
        <v>28</v>
      </c>
      <c r="K276" s="7" t="n">
        <v>211.7</v>
      </c>
      <c r="L276" s="7" t="s">
        <v>37</v>
      </c>
      <c r="M276" s="7" t="s">
        <v>30</v>
      </c>
    </row>
    <row r="277" customFormat="false" ht="15" hidden="false" customHeight="true" outlineLevel="0" collapsed="false">
      <c r="A277" s="7" t="n">
        <v>1803</v>
      </c>
      <c r="B277" s="7" t="n">
        <v>33</v>
      </c>
      <c r="C277" s="7" t="s">
        <v>33</v>
      </c>
      <c r="D277" s="7" t="s">
        <v>25</v>
      </c>
      <c r="E277" s="7" t="n">
        <v>0</v>
      </c>
      <c r="F277" s="7" t="n">
        <v>0</v>
      </c>
      <c r="G277" s="7" t="s">
        <v>35</v>
      </c>
      <c r="H277" s="7" t="s">
        <v>32</v>
      </c>
      <c r="I277" s="7" t="n">
        <v>35.5</v>
      </c>
      <c r="J277" s="7" t="s">
        <v>28</v>
      </c>
      <c r="K277" s="7" t="n">
        <v>288.6</v>
      </c>
      <c r="L277" s="7" t="s">
        <v>37</v>
      </c>
      <c r="M277" s="7" t="s">
        <v>30</v>
      </c>
    </row>
    <row r="278" customFormat="false" ht="15" hidden="false" customHeight="true" outlineLevel="0" collapsed="false">
      <c r="A278" s="7" t="n">
        <v>1824</v>
      </c>
      <c r="B278" s="7" t="n">
        <v>58</v>
      </c>
      <c r="C278" s="7" t="s">
        <v>33</v>
      </c>
      <c r="D278" s="7" t="s">
        <v>25</v>
      </c>
      <c r="E278" s="7" t="n">
        <v>0</v>
      </c>
      <c r="F278" s="7" t="n">
        <v>0</v>
      </c>
      <c r="G278" s="7" t="s">
        <v>26</v>
      </c>
      <c r="H278" s="7" t="s">
        <v>27</v>
      </c>
      <c r="I278" s="7" t="n">
        <v>35</v>
      </c>
      <c r="J278" s="7" t="s">
        <v>28</v>
      </c>
      <c r="K278" s="7" t="n">
        <v>261.5</v>
      </c>
      <c r="L278" s="7" t="s">
        <v>37</v>
      </c>
      <c r="M278" s="7" t="s">
        <v>30</v>
      </c>
    </row>
    <row r="279" customFormat="false" ht="15" hidden="false" customHeight="true" outlineLevel="0" collapsed="false">
      <c r="A279" s="7" t="n">
        <v>1828</v>
      </c>
      <c r="B279" s="7" t="n">
        <v>71</v>
      </c>
      <c r="C279" s="7" t="s">
        <v>24</v>
      </c>
      <c r="D279" s="7" t="s">
        <v>25</v>
      </c>
      <c r="E279" s="7" t="n">
        <v>0</v>
      </c>
      <c r="F279" s="7" t="n">
        <v>0</v>
      </c>
      <c r="G279" s="7" t="s">
        <v>34</v>
      </c>
      <c r="H279" s="7" t="s">
        <v>32</v>
      </c>
      <c r="I279" s="7" t="n">
        <v>35.6</v>
      </c>
      <c r="J279" s="7" t="s">
        <v>28</v>
      </c>
      <c r="K279" s="7" t="n">
        <v>131.6</v>
      </c>
      <c r="L279" s="7" t="s">
        <v>37</v>
      </c>
      <c r="M279" s="7" t="s">
        <v>30</v>
      </c>
    </row>
    <row r="280" customFormat="false" ht="15" hidden="false" customHeight="true" outlineLevel="0" collapsed="false">
      <c r="A280" s="7" t="n">
        <v>1839</v>
      </c>
      <c r="B280" s="7" t="n">
        <v>62</v>
      </c>
      <c r="C280" s="7" t="s">
        <v>24</v>
      </c>
      <c r="D280" s="7" t="s">
        <v>25</v>
      </c>
      <c r="E280" s="7" t="n">
        <v>0</v>
      </c>
      <c r="F280" s="7" t="n">
        <v>0</v>
      </c>
      <c r="G280" s="7" t="s">
        <v>35</v>
      </c>
      <c r="H280" s="7" t="s">
        <v>27</v>
      </c>
      <c r="I280" s="7" t="n">
        <v>20.6</v>
      </c>
      <c r="J280" s="7" t="s">
        <v>28</v>
      </c>
      <c r="K280" s="7" t="n">
        <v>148</v>
      </c>
      <c r="L280" s="7" t="s">
        <v>37</v>
      </c>
      <c r="M280" s="7" t="s">
        <v>30</v>
      </c>
    </row>
    <row r="281" customFormat="false" ht="15" hidden="false" customHeight="true" outlineLevel="0" collapsed="false">
      <c r="A281" s="7" t="n">
        <v>1842</v>
      </c>
      <c r="B281" s="7" t="n">
        <v>71</v>
      </c>
      <c r="C281" s="7" t="s">
        <v>33</v>
      </c>
      <c r="D281" s="7" t="s">
        <v>25</v>
      </c>
      <c r="E281" s="7" t="n">
        <v>0</v>
      </c>
      <c r="F281" s="7" t="n">
        <v>0</v>
      </c>
      <c r="G281" s="7" t="s">
        <v>36</v>
      </c>
      <c r="H281" s="7" t="s">
        <v>27</v>
      </c>
      <c r="I281" s="7" t="n">
        <v>17.3</v>
      </c>
      <c r="J281" s="7" t="s">
        <v>28</v>
      </c>
      <c r="K281" s="7" t="n">
        <v>259.7</v>
      </c>
      <c r="L281" s="7" t="s">
        <v>37</v>
      </c>
      <c r="M281" s="7" t="s">
        <v>30</v>
      </c>
    </row>
    <row r="282" customFormat="false" ht="15" hidden="false" customHeight="true" outlineLevel="0" collapsed="false">
      <c r="A282" s="7" t="n">
        <v>1927</v>
      </c>
      <c r="B282" s="7" t="n">
        <v>42</v>
      </c>
      <c r="C282" s="7" t="s">
        <v>33</v>
      </c>
      <c r="D282" s="7" t="s">
        <v>25</v>
      </c>
      <c r="E282" s="7" t="n">
        <v>0</v>
      </c>
      <c r="F282" s="7" t="n">
        <v>0</v>
      </c>
      <c r="G282" s="7" t="s">
        <v>31</v>
      </c>
      <c r="H282" s="7" t="s">
        <v>27</v>
      </c>
      <c r="I282" s="7" t="n">
        <v>26.2</v>
      </c>
      <c r="J282" s="7" t="s">
        <v>28</v>
      </c>
      <c r="K282" s="7" t="n">
        <v>137.9</v>
      </c>
      <c r="L282" s="7" t="s">
        <v>37</v>
      </c>
      <c r="M282" s="7" t="s">
        <v>30</v>
      </c>
    </row>
    <row r="283" customFormat="false" ht="15" hidden="false" customHeight="true" outlineLevel="0" collapsed="false">
      <c r="A283" s="7" t="n">
        <v>1963</v>
      </c>
      <c r="B283" s="7" t="n">
        <v>77</v>
      </c>
      <c r="C283" s="7" t="s">
        <v>33</v>
      </c>
      <c r="D283" s="7" t="s">
        <v>25</v>
      </c>
      <c r="E283" s="7" t="n">
        <v>0</v>
      </c>
      <c r="F283" s="7" t="n">
        <v>0</v>
      </c>
      <c r="G283" s="7" t="s">
        <v>31</v>
      </c>
      <c r="H283" s="7" t="s">
        <v>32</v>
      </c>
      <c r="I283" s="7" t="n">
        <v>30.1</v>
      </c>
      <c r="J283" s="7" t="s">
        <v>28</v>
      </c>
      <c r="K283" s="7" t="n">
        <v>265.7</v>
      </c>
      <c r="L283" s="7" t="s">
        <v>37</v>
      </c>
      <c r="M283" s="7" t="s">
        <v>30</v>
      </c>
    </row>
    <row r="284" customFormat="false" ht="15" hidden="false" customHeight="true" outlineLevel="0" collapsed="false">
      <c r="A284" s="7" t="n">
        <v>1967</v>
      </c>
      <c r="B284" s="7" t="n">
        <v>46</v>
      </c>
      <c r="C284" s="7" t="s">
        <v>33</v>
      </c>
      <c r="D284" s="7" t="s">
        <v>25</v>
      </c>
      <c r="E284" s="7" t="n">
        <v>0</v>
      </c>
      <c r="F284" s="7" t="n">
        <v>0</v>
      </c>
      <c r="G284" s="7" t="s">
        <v>36</v>
      </c>
      <c r="H284" s="7" t="s">
        <v>27</v>
      </c>
      <c r="I284" s="7" t="n">
        <v>32</v>
      </c>
      <c r="J284" s="7" t="s">
        <v>28</v>
      </c>
      <c r="K284" s="7" t="n">
        <v>205.8</v>
      </c>
      <c r="L284" s="7" t="s">
        <v>37</v>
      </c>
      <c r="M284" s="7" t="s">
        <v>30</v>
      </c>
    </row>
    <row r="285" customFormat="false" ht="15" hidden="false" customHeight="true" outlineLevel="0" collapsed="false">
      <c r="A285" s="7" t="n">
        <v>2036</v>
      </c>
      <c r="B285" s="7" t="n">
        <v>63</v>
      </c>
      <c r="C285" s="7" t="s">
        <v>33</v>
      </c>
      <c r="D285" s="7" t="s">
        <v>25</v>
      </c>
      <c r="E285" s="7" t="n">
        <v>0</v>
      </c>
      <c r="F285" s="7" t="n">
        <v>0</v>
      </c>
      <c r="G285" s="7" t="s">
        <v>36</v>
      </c>
      <c r="H285" s="7" t="s">
        <v>32</v>
      </c>
      <c r="I285" s="7" t="n">
        <v>19.9</v>
      </c>
      <c r="J285" s="7" t="s">
        <v>28</v>
      </c>
      <c r="K285" s="7" t="n">
        <v>192.2</v>
      </c>
      <c r="L285" s="7" t="s">
        <v>37</v>
      </c>
      <c r="M285" s="7" t="s">
        <v>30</v>
      </c>
    </row>
    <row r="286" customFormat="false" ht="15" hidden="false" customHeight="true" outlineLevel="0" collapsed="false">
      <c r="A286" s="7" t="n">
        <v>2038</v>
      </c>
      <c r="B286" s="7" t="n">
        <v>81</v>
      </c>
      <c r="C286" s="7" t="s">
        <v>24</v>
      </c>
      <c r="D286" s="7" t="s">
        <v>25</v>
      </c>
      <c r="E286" s="7" t="n">
        <v>0</v>
      </c>
      <c r="F286" s="7" t="n">
        <v>0</v>
      </c>
      <c r="G286" s="7" t="s">
        <v>26</v>
      </c>
      <c r="H286" s="7" t="s">
        <v>27</v>
      </c>
      <c r="I286" s="7" t="n">
        <v>28.3</v>
      </c>
      <c r="J286" s="7" t="s">
        <v>28</v>
      </c>
      <c r="K286" s="7" t="n">
        <v>243.1</v>
      </c>
      <c r="L286" s="7" t="s">
        <v>37</v>
      </c>
      <c r="M286" s="7" t="s">
        <v>30</v>
      </c>
    </row>
    <row r="287" customFormat="false" ht="15" hidden="false" customHeight="true" outlineLevel="0" collapsed="false">
      <c r="A287" s="7" t="n">
        <v>2077</v>
      </c>
      <c r="B287" s="7" t="n">
        <v>19</v>
      </c>
      <c r="C287" s="7" t="s">
        <v>24</v>
      </c>
      <c r="D287" s="7" t="s">
        <v>25</v>
      </c>
      <c r="E287" s="7" t="n">
        <v>0</v>
      </c>
      <c r="F287" s="7" t="n">
        <v>0</v>
      </c>
      <c r="G287" s="7" t="s">
        <v>26</v>
      </c>
      <c r="H287" s="7" t="s">
        <v>32</v>
      </c>
      <c r="I287" s="7" t="n">
        <v>37.5</v>
      </c>
      <c r="J287" s="7" t="s">
        <v>28</v>
      </c>
      <c r="K287" s="7" t="n">
        <v>144.6</v>
      </c>
      <c r="L287" s="7" t="s">
        <v>37</v>
      </c>
      <c r="M287" s="7" t="s">
        <v>30</v>
      </c>
    </row>
    <row r="288" customFormat="false" ht="15" hidden="false" customHeight="true" outlineLevel="0" collapsed="false">
      <c r="A288" s="7" t="n">
        <v>2095</v>
      </c>
      <c r="B288" s="7" t="n">
        <v>73</v>
      </c>
      <c r="C288" s="7" t="s">
        <v>24</v>
      </c>
      <c r="D288" s="7" t="s">
        <v>25</v>
      </c>
      <c r="E288" s="7" t="n">
        <v>0</v>
      </c>
      <c r="F288" s="7" t="n">
        <v>0</v>
      </c>
      <c r="G288" s="7" t="s">
        <v>31</v>
      </c>
      <c r="H288" s="7" t="s">
        <v>32</v>
      </c>
      <c r="I288" s="7" t="n">
        <v>20.6</v>
      </c>
      <c r="J288" s="7" t="s">
        <v>28</v>
      </c>
      <c r="K288" s="7" t="n">
        <v>138.4</v>
      </c>
      <c r="L288" s="7" t="s">
        <v>37</v>
      </c>
      <c r="M288" s="7" t="s">
        <v>30</v>
      </c>
    </row>
    <row r="289" customFormat="false" ht="15" hidden="false" customHeight="true" outlineLevel="0" collapsed="false">
      <c r="A289" s="7" t="n">
        <v>2108</v>
      </c>
      <c r="B289" s="7" t="n">
        <v>25</v>
      </c>
      <c r="C289" s="7" t="s">
        <v>33</v>
      </c>
      <c r="D289" s="7" t="s">
        <v>25</v>
      </c>
      <c r="E289" s="7" t="n">
        <v>0</v>
      </c>
      <c r="F289" s="7" t="n">
        <v>0</v>
      </c>
      <c r="G289" s="7" t="s">
        <v>31</v>
      </c>
      <c r="H289" s="7" t="s">
        <v>27</v>
      </c>
      <c r="I289" s="7" t="n">
        <v>33.7</v>
      </c>
      <c r="J289" s="7" t="s">
        <v>28</v>
      </c>
      <c r="K289" s="7" t="n">
        <v>155</v>
      </c>
      <c r="L289" s="7" t="s">
        <v>37</v>
      </c>
      <c r="M289" s="7" t="s">
        <v>30</v>
      </c>
    </row>
    <row r="290" customFormat="false" ht="15" hidden="false" customHeight="true" outlineLevel="0" collapsed="false">
      <c r="A290" s="7" t="n">
        <v>2120</v>
      </c>
      <c r="B290" s="7" t="n">
        <v>35</v>
      </c>
      <c r="C290" s="7" t="s">
        <v>33</v>
      </c>
      <c r="D290" s="7" t="s">
        <v>25</v>
      </c>
      <c r="E290" s="7" t="n">
        <v>0</v>
      </c>
      <c r="F290" s="7" t="n">
        <v>0</v>
      </c>
      <c r="G290" s="7" t="s">
        <v>35</v>
      </c>
      <c r="H290" s="7" t="s">
        <v>27</v>
      </c>
      <c r="I290" s="7" t="n">
        <v>27.2</v>
      </c>
      <c r="J290" s="7" t="s">
        <v>28</v>
      </c>
      <c r="K290" s="7" t="n">
        <v>150.7</v>
      </c>
      <c r="L290" s="7" t="s">
        <v>37</v>
      </c>
      <c r="M290" s="7" t="s">
        <v>30</v>
      </c>
    </row>
    <row r="291" customFormat="false" ht="15" hidden="false" customHeight="true" outlineLevel="0" collapsed="false">
      <c r="A291" s="7" t="n">
        <v>2160</v>
      </c>
      <c r="B291" s="7" t="n">
        <v>54</v>
      </c>
      <c r="C291" s="7" t="s">
        <v>33</v>
      </c>
      <c r="D291" s="7" t="s">
        <v>25</v>
      </c>
      <c r="E291" s="7" t="n">
        <v>0</v>
      </c>
      <c r="F291" s="7" t="n">
        <v>0</v>
      </c>
      <c r="G291" s="7" t="s">
        <v>34</v>
      </c>
      <c r="H291" s="7" t="s">
        <v>32</v>
      </c>
      <c r="I291" s="7" t="n">
        <v>24.9</v>
      </c>
      <c r="J291" s="7" t="s">
        <v>28</v>
      </c>
      <c r="K291" s="7" t="n">
        <v>128.4</v>
      </c>
      <c r="L291" s="7" t="s">
        <v>37</v>
      </c>
      <c r="M291" s="7" t="s">
        <v>30</v>
      </c>
    </row>
    <row r="292" customFormat="false" ht="15" hidden="false" customHeight="true" outlineLevel="0" collapsed="false">
      <c r="A292" s="7" t="n">
        <v>2233</v>
      </c>
      <c r="B292" s="7" t="n">
        <v>41</v>
      </c>
      <c r="C292" s="7" t="s">
        <v>24</v>
      </c>
      <c r="D292" s="7" t="s">
        <v>25</v>
      </c>
      <c r="E292" s="7" t="n">
        <v>0</v>
      </c>
      <c r="F292" s="7" t="n">
        <v>0</v>
      </c>
      <c r="G292" s="7" t="s">
        <v>26</v>
      </c>
      <c r="H292" s="7" t="s">
        <v>27</v>
      </c>
      <c r="I292" s="7" t="n">
        <v>28.5</v>
      </c>
      <c r="J292" s="7" t="s">
        <v>28</v>
      </c>
      <c r="K292" s="7" t="n">
        <v>167</v>
      </c>
      <c r="L292" s="7" t="s">
        <v>37</v>
      </c>
      <c r="M292" s="7" t="s">
        <v>30</v>
      </c>
    </row>
    <row r="293" customFormat="false" ht="15" hidden="false" customHeight="true" outlineLevel="0" collapsed="false">
      <c r="A293" s="7" t="n">
        <v>2273</v>
      </c>
      <c r="B293" s="7" t="n">
        <v>27</v>
      </c>
      <c r="C293" s="7" t="s">
        <v>33</v>
      </c>
      <c r="D293" s="7" t="s">
        <v>25</v>
      </c>
      <c r="E293" s="7" t="n">
        <v>0</v>
      </c>
      <c r="F293" s="7" t="n">
        <v>0</v>
      </c>
      <c r="G293" s="7" t="s">
        <v>26</v>
      </c>
      <c r="H293" s="7" t="s">
        <v>32</v>
      </c>
      <c r="I293" s="7" t="n">
        <v>36.4</v>
      </c>
      <c r="J293" s="7" t="s">
        <v>28</v>
      </c>
      <c r="K293" s="7" t="n">
        <v>180.7</v>
      </c>
      <c r="L293" s="7" t="s">
        <v>37</v>
      </c>
      <c r="M293" s="7" t="s">
        <v>30</v>
      </c>
    </row>
    <row r="294" customFormat="false" ht="15" hidden="false" customHeight="true" outlineLevel="0" collapsed="false">
      <c r="A294" s="7" t="n">
        <v>2277</v>
      </c>
      <c r="B294" s="7" t="n">
        <v>46</v>
      </c>
      <c r="C294" s="7" t="s">
        <v>24</v>
      </c>
      <c r="D294" s="7" t="s">
        <v>25</v>
      </c>
      <c r="E294" s="7" t="n">
        <v>0</v>
      </c>
      <c r="F294" s="7" t="n">
        <v>0</v>
      </c>
      <c r="G294" s="7" t="s">
        <v>36</v>
      </c>
      <c r="H294" s="7" t="s">
        <v>32</v>
      </c>
      <c r="I294" s="7" t="n">
        <v>34.7</v>
      </c>
      <c r="J294" s="7" t="s">
        <v>28</v>
      </c>
      <c r="K294" s="7" t="n">
        <v>138.5</v>
      </c>
      <c r="L294" s="7" t="s">
        <v>37</v>
      </c>
      <c r="M294" s="7" t="s">
        <v>30</v>
      </c>
    </row>
    <row r="295" customFormat="false" ht="15" hidden="false" customHeight="true" outlineLevel="0" collapsed="false">
      <c r="A295" s="7" t="n">
        <v>2285</v>
      </c>
      <c r="B295" s="7" t="n">
        <v>38</v>
      </c>
      <c r="C295" s="7" t="s">
        <v>33</v>
      </c>
      <c r="D295" s="7" t="s">
        <v>25</v>
      </c>
      <c r="E295" s="7" t="n">
        <v>0</v>
      </c>
      <c r="F295" s="7" t="n">
        <v>0</v>
      </c>
      <c r="G295" s="7" t="s">
        <v>26</v>
      </c>
      <c r="H295" s="7" t="s">
        <v>27</v>
      </c>
      <c r="I295" s="7" t="n">
        <v>19.3</v>
      </c>
      <c r="J295" s="7" t="s">
        <v>28</v>
      </c>
      <c r="K295" s="7" t="n">
        <v>167.3</v>
      </c>
      <c r="L295" s="7" t="s">
        <v>37</v>
      </c>
      <c r="M295" s="7" t="s">
        <v>30</v>
      </c>
    </row>
    <row r="296" customFormat="false" ht="15" hidden="false" customHeight="true" outlineLevel="0" collapsed="false">
      <c r="A296" s="7" t="n">
        <v>2320</v>
      </c>
      <c r="B296" s="7" t="n">
        <v>68</v>
      </c>
      <c r="C296" s="7" t="s">
        <v>33</v>
      </c>
      <c r="D296" s="7" t="s">
        <v>25</v>
      </c>
      <c r="E296" s="7" t="n">
        <v>0</v>
      </c>
      <c r="F296" s="7" t="n">
        <v>0</v>
      </c>
      <c r="G296" s="7" t="s">
        <v>34</v>
      </c>
      <c r="H296" s="7" t="s">
        <v>27</v>
      </c>
      <c r="I296" s="7" t="n">
        <v>39.6</v>
      </c>
      <c r="J296" s="7" t="s">
        <v>28</v>
      </c>
      <c r="K296" s="7" t="n">
        <v>242.2</v>
      </c>
      <c r="L296" s="7" t="s">
        <v>37</v>
      </c>
      <c r="M296" s="7" t="s">
        <v>30</v>
      </c>
    </row>
    <row r="297" customFormat="false" ht="15" hidden="false" customHeight="true" outlineLevel="0" collapsed="false">
      <c r="A297" s="7" t="n">
        <v>2344</v>
      </c>
      <c r="B297" s="7" t="n">
        <v>52</v>
      </c>
      <c r="C297" s="7" t="s">
        <v>33</v>
      </c>
      <c r="D297" s="7" t="s">
        <v>25</v>
      </c>
      <c r="E297" s="7" t="n">
        <v>0</v>
      </c>
      <c r="F297" s="7" t="n">
        <v>0</v>
      </c>
      <c r="G297" s="7" t="s">
        <v>36</v>
      </c>
      <c r="H297" s="7" t="s">
        <v>32</v>
      </c>
      <c r="I297" s="7" t="n">
        <v>36.2</v>
      </c>
      <c r="J297" s="7" t="s">
        <v>28</v>
      </c>
      <c r="K297" s="7" t="n">
        <v>138.3</v>
      </c>
      <c r="L297" s="7" t="s">
        <v>37</v>
      </c>
      <c r="M297" s="7" t="s">
        <v>30</v>
      </c>
    </row>
    <row r="298" customFormat="false" ht="15" hidden="false" customHeight="true" outlineLevel="0" collapsed="false">
      <c r="A298" s="7" t="n">
        <v>2427</v>
      </c>
      <c r="B298" s="7" t="n">
        <v>69</v>
      </c>
      <c r="C298" s="7" t="s">
        <v>33</v>
      </c>
      <c r="D298" s="7" t="s">
        <v>25</v>
      </c>
      <c r="E298" s="7" t="n">
        <v>0</v>
      </c>
      <c r="F298" s="7" t="n">
        <v>0</v>
      </c>
      <c r="G298" s="7" t="s">
        <v>34</v>
      </c>
      <c r="H298" s="7" t="s">
        <v>27</v>
      </c>
      <c r="I298" s="7" t="n">
        <v>27.8</v>
      </c>
      <c r="J298" s="7" t="s">
        <v>28</v>
      </c>
      <c r="K298" s="7" t="n">
        <v>202.6</v>
      </c>
      <c r="L298" s="7" t="s">
        <v>37</v>
      </c>
      <c r="M298" s="7" t="s">
        <v>30</v>
      </c>
    </row>
    <row r="299" customFormat="false" ht="15" hidden="false" customHeight="true" outlineLevel="0" collapsed="false">
      <c r="A299" s="7" t="n">
        <v>2456</v>
      </c>
      <c r="B299" s="7" t="n">
        <v>54</v>
      </c>
      <c r="C299" s="7" t="s">
        <v>24</v>
      </c>
      <c r="D299" s="7" t="s">
        <v>25</v>
      </c>
      <c r="E299" s="7" t="n">
        <v>0</v>
      </c>
      <c r="F299" s="7" t="n">
        <v>0</v>
      </c>
      <c r="G299" s="7" t="s">
        <v>26</v>
      </c>
      <c r="H299" s="7" t="s">
        <v>32</v>
      </c>
      <c r="I299" s="7" t="n">
        <v>41.6</v>
      </c>
      <c r="J299" s="7" t="s">
        <v>28</v>
      </c>
      <c r="K299" s="7" t="n">
        <v>132</v>
      </c>
      <c r="L299" s="7" t="s">
        <v>37</v>
      </c>
      <c r="M299" s="7" t="s">
        <v>30</v>
      </c>
    </row>
    <row r="300" customFormat="false" ht="15" hidden="false" customHeight="true" outlineLevel="0" collapsed="false">
      <c r="A300" s="7" t="n">
        <v>2457</v>
      </c>
      <c r="B300" s="7" t="n">
        <v>35</v>
      </c>
      <c r="C300" s="7" t="s">
        <v>24</v>
      </c>
      <c r="D300" s="7" t="s">
        <v>25</v>
      </c>
      <c r="E300" s="7" t="n">
        <v>0</v>
      </c>
      <c r="F300" s="7" t="n">
        <v>0</v>
      </c>
      <c r="G300" s="7" t="s">
        <v>26</v>
      </c>
      <c r="H300" s="7" t="s">
        <v>27</v>
      </c>
      <c r="I300" s="7" t="n">
        <v>21.7</v>
      </c>
      <c r="J300" s="7" t="s">
        <v>28</v>
      </c>
      <c r="K300" s="7" t="n">
        <v>292.2</v>
      </c>
      <c r="L300" s="7" t="s">
        <v>37</v>
      </c>
      <c r="M300" s="7" t="s">
        <v>30</v>
      </c>
    </row>
    <row r="301" customFormat="false" ht="15" hidden="false" customHeight="true" outlineLevel="0" collapsed="false">
      <c r="A301" s="7" t="n">
        <v>15</v>
      </c>
      <c r="B301" s="7" t="n">
        <v>75</v>
      </c>
      <c r="C301" s="7" t="s">
        <v>24</v>
      </c>
      <c r="D301" s="7" t="s">
        <v>25</v>
      </c>
      <c r="E301" s="7" t="n">
        <v>0</v>
      </c>
      <c r="F301" s="7" t="n">
        <v>0</v>
      </c>
      <c r="G301" s="7" t="s">
        <v>31</v>
      </c>
      <c r="H301" s="7" t="s">
        <v>27</v>
      </c>
      <c r="I301" s="7" t="n">
        <v>29.4</v>
      </c>
      <c r="J301" s="7" t="s">
        <v>28</v>
      </c>
      <c r="K301" s="7" t="n">
        <v>171.3</v>
      </c>
      <c r="L301" s="7" t="s">
        <v>37</v>
      </c>
      <c r="M301" s="7" t="s">
        <v>38</v>
      </c>
    </row>
    <row r="302" customFormat="false" ht="15" hidden="false" customHeight="true" outlineLevel="0" collapsed="false">
      <c r="A302" s="7" t="n">
        <v>64</v>
      </c>
      <c r="B302" s="7" t="n">
        <v>32</v>
      </c>
      <c r="C302" s="7" t="s">
        <v>24</v>
      </c>
      <c r="D302" s="7" t="s">
        <v>25</v>
      </c>
      <c r="E302" s="7" t="n">
        <v>0</v>
      </c>
      <c r="F302" s="7" t="n">
        <v>0</v>
      </c>
      <c r="G302" s="7" t="s">
        <v>34</v>
      </c>
      <c r="H302" s="7" t="s">
        <v>32</v>
      </c>
      <c r="I302" s="7" t="n">
        <v>21.6</v>
      </c>
      <c r="J302" s="7" t="s">
        <v>28</v>
      </c>
      <c r="K302" s="7" t="n">
        <v>271.3</v>
      </c>
      <c r="L302" s="7" t="s">
        <v>37</v>
      </c>
      <c r="M302" s="7" t="s">
        <v>38</v>
      </c>
    </row>
    <row r="303" customFormat="false" ht="15" hidden="false" customHeight="true" outlineLevel="0" collapsed="false">
      <c r="A303" s="7" t="n">
        <v>88</v>
      </c>
      <c r="B303" s="7" t="n">
        <v>20</v>
      </c>
      <c r="C303" s="7" t="s">
        <v>24</v>
      </c>
      <c r="D303" s="7" t="s">
        <v>25</v>
      </c>
      <c r="E303" s="7" t="n">
        <v>0</v>
      </c>
      <c r="F303" s="7" t="n">
        <v>0</v>
      </c>
      <c r="G303" s="7" t="s">
        <v>36</v>
      </c>
      <c r="H303" s="7" t="s">
        <v>27</v>
      </c>
      <c r="I303" s="7" t="n">
        <v>33.1</v>
      </c>
      <c r="J303" s="7" t="s">
        <v>28</v>
      </c>
      <c r="K303" s="7" t="n">
        <v>124.6</v>
      </c>
      <c r="L303" s="7" t="s">
        <v>37</v>
      </c>
      <c r="M303" s="7" t="s">
        <v>38</v>
      </c>
    </row>
    <row r="304" customFormat="false" ht="15" hidden="false" customHeight="true" outlineLevel="0" collapsed="false">
      <c r="A304" s="7" t="n">
        <v>130</v>
      </c>
      <c r="B304" s="7" t="n">
        <v>83</v>
      </c>
      <c r="C304" s="7" t="s">
        <v>24</v>
      </c>
      <c r="D304" s="7" t="s">
        <v>25</v>
      </c>
      <c r="E304" s="7" t="n">
        <v>0</v>
      </c>
      <c r="F304" s="7" t="n">
        <v>0</v>
      </c>
      <c r="G304" s="7" t="s">
        <v>36</v>
      </c>
      <c r="H304" s="7" t="s">
        <v>32</v>
      </c>
      <c r="I304" s="7" t="n">
        <v>37</v>
      </c>
      <c r="J304" s="7" t="s">
        <v>28</v>
      </c>
      <c r="K304" s="7" t="n">
        <v>150.1</v>
      </c>
      <c r="L304" s="7" t="s">
        <v>37</v>
      </c>
      <c r="M304" s="7" t="s">
        <v>38</v>
      </c>
    </row>
    <row r="305" customFormat="false" ht="15" hidden="false" customHeight="true" outlineLevel="0" collapsed="false">
      <c r="A305" s="7" t="n">
        <v>137</v>
      </c>
      <c r="B305" s="7" t="n">
        <v>75</v>
      </c>
      <c r="C305" s="7" t="s">
        <v>24</v>
      </c>
      <c r="D305" s="7" t="s">
        <v>25</v>
      </c>
      <c r="E305" s="7" t="n">
        <v>0</v>
      </c>
      <c r="F305" s="7" t="n">
        <v>0</v>
      </c>
      <c r="G305" s="7" t="s">
        <v>26</v>
      </c>
      <c r="H305" s="7" t="s">
        <v>27</v>
      </c>
      <c r="I305" s="7" t="n">
        <v>32.6</v>
      </c>
      <c r="J305" s="7" t="s">
        <v>28</v>
      </c>
      <c r="K305" s="7" t="n">
        <v>252</v>
      </c>
      <c r="L305" s="7" t="s">
        <v>37</v>
      </c>
      <c r="M305" s="7" t="s">
        <v>38</v>
      </c>
    </row>
    <row r="306" customFormat="false" ht="15" hidden="false" customHeight="true" outlineLevel="0" collapsed="false">
      <c r="A306" s="7" t="n">
        <v>146</v>
      </c>
      <c r="B306" s="7" t="n">
        <v>22</v>
      </c>
      <c r="C306" s="7" t="s">
        <v>33</v>
      </c>
      <c r="D306" s="7" t="s">
        <v>25</v>
      </c>
      <c r="E306" s="7" t="n">
        <v>0</v>
      </c>
      <c r="F306" s="7" t="n">
        <v>0</v>
      </c>
      <c r="G306" s="7" t="s">
        <v>36</v>
      </c>
      <c r="H306" s="7" t="s">
        <v>32</v>
      </c>
      <c r="I306" s="7" t="n">
        <v>41.5</v>
      </c>
      <c r="J306" s="7" t="s">
        <v>28</v>
      </c>
      <c r="K306" s="7" t="n">
        <v>123.2</v>
      </c>
      <c r="L306" s="7" t="s">
        <v>37</v>
      </c>
      <c r="M306" s="7" t="s">
        <v>38</v>
      </c>
    </row>
    <row r="307" customFormat="false" ht="15" hidden="false" customHeight="true" outlineLevel="0" collapsed="false">
      <c r="A307" s="7" t="n">
        <v>163</v>
      </c>
      <c r="B307" s="7" t="n">
        <v>19</v>
      </c>
      <c r="C307" s="7" t="s">
        <v>33</v>
      </c>
      <c r="D307" s="7" t="s">
        <v>25</v>
      </c>
      <c r="E307" s="7" t="n">
        <v>0</v>
      </c>
      <c r="F307" s="7" t="n">
        <v>0</v>
      </c>
      <c r="G307" s="7" t="s">
        <v>31</v>
      </c>
      <c r="H307" s="7" t="s">
        <v>32</v>
      </c>
      <c r="I307" s="7" t="n">
        <v>30.9</v>
      </c>
      <c r="J307" s="7" t="s">
        <v>28</v>
      </c>
      <c r="K307" s="7" t="n">
        <v>203.7</v>
      </c>
      <c r="L307" s="7" t="s">
        <v>37</v>
      </c>
      <c r="M307" s="7" t="s">
        <v>38</v>
      </c>
    </row>
    <row r="308" customFormat="false" ht="15" hidden="false" customHeight="true" outlineLevel="0" collapsed="false">
      <c r="A308" s="7" t="n">
        <v>237</v>
      </c>
      <c r="B308" s="7" t="n">
        <v>32</v>
      </c>
      <c r="C308" s="7" t="s">
        <v>33</v>
      </c>
      <c r="D308" s="7" t="s">
        <v>25</v>
      </c>
      <c r="E308" s="7" t="n">
        <v>0</v>
      </c>
      <c r="F308" s="7" t="n">
        <v>0</v>
      </c>
      <c r="G308" s="7" t="s">
        <v>36</v>
      </c>
      <c r="H308" s="7" t="s">
        <v>32</v>
      </c>
      <c r="I308" s="7" t="n">
        <v>34</v>
      </c>
      <c r="J308" s="7" t="s">
        <v>28</v>
      </c>
      <c r="K308" s="7" t="n">
        <v>226.9</v>
      </c>
      <c r="L308" s="7" t="s">
        <v>37</v>
      </c>
      <c r="M308" s="7" t="s">
        <v>38</v>
      </c>
    </row>
    <row r="309" customFormat="false" ht="15" hidden="false" customHeight="true" outlineLevel="0" collapsed="false">
      <c r="A309" s="7" t="n">
        <v>263</v>
      </c>
      <c r="B309" s="7" t="n">
        <v>74</v>
      </c>
      <c r="C309" s="7" t="s">
        <v>33</v>
      </c>
      <c r="D309" s="7" t="s">
        <v>25</v>
      </c>
      <c r="E309" s="7" t="n">
        <v>0</v>
      </c>
      <c r="F309" s="7" t="n">
        <v>0</v>
      </c>
      <c r="G309" s="7" t="s">
        <v>34</v>
      </c>
      <c r="H309" s="7" t="s">
        <v>27</v>
      </c>
      <c r="I309" s="7" t="n">
        <v>18.2</v>
      </c>
      <c r="J309" s="7" t="s">
        <v>28</v>
      </c>
      <c r="K309" s="7" t="n">
        <v>247.3</v>
      </c>
      <c r="L309" s="7" t="s">
        <v>37</v>
      </c>
      <c r="M309" s="7" t="s">
        <v>38</v>
      </c>
    </row>
    <row r="310" customFormat="false" ht="15" hidden="false" customHeight="true" outlineLevel="0" collapsed="false">
      <c r="A310" s="7" t="n">
        <v>311</v>
      </c>
      <c r="B310" s="7" t="n">
        <v>45</v>
      </c>
      <c r="C310" s="7" t="s">
        <v>33</v>
      </c>
      <c r="D310" s="7" t="s">
        <v>25</v>
      </c>
      <c r="E310" s="7" t="n">
        <v>0</v>
      </c>
      <c r="F310" s="7" t="n">
        <v>0</v>
      </c>
      <c r="G310" s="7" t="s">
        <v>34</v>
      </c>
      <c r="H310" s="7" t="s">
        <v>27</v>
      </c>
      <c r="I310" s="7" t="n">
        <v>40.4</v>
      </c>
      <c r="J310" s="7" t="s">
        <v>28</v>
      </c>
      <c r="K310" s="7" t="n">
        <v>289.1</v>
      </c>
      <c r="L310" s="7" t="s">
        <v>37</v>
      </c>
      <c r="M310" s="7" t="s">
        <v>38</v>
      </c>
    </row>
    <row r="311" customFormat="false" ht="15" hidden="false" customHeight="true" outlineLevel="0" collapsed="false">
      <c r="A311" s="7" t="n">
        <v>344</v>
      </c>
      <c r="B311" s="7" t="n">
        <v>27</v>
      </c>
      <c r="C311" s="7" t="s">
        <v>33</v>
      </c>
      <c r="D311" s="7" t="s">
        <v>25</v>
      </c>
      <c r="E311" s="7" t="n">
        <v>0</v>
      </c>
      <c r="F311" s="7" t="n">
        <v>0</v>
      </c>
      <c r="G311" s="7" t="s">
        <v>34</v>
      </c>
      <c r="H311" s="7" t="s">
        <v>27</v>
      </c>
      <c r="I311" s="7" t="n">
        <v>33</v>
      </c>
      <c r="J311" s="7" t="s">
        <v>28</v>
      </c>
      <c r="K311" s="7" t="n">
        <v>241.7</v>
      </c>
      <c r="L311" s="7" t="s">
        <v>37</v>
      </c>
      <c r="M311" s="7" t="s">
        <v>38</v>
      </c>
    </row>
    <row r="312" customFormat="false" ht="15" hidden="false" customHeight="true" outlineLevel="0" collapsed="false">
      <c r="A312" s="7" t="n">
        <v>381</v>
      </c>
      <c r="B312" s="7" t="n">
        <v>75</v>
      </c>
      <c r="C312" s="7" t="s">
        <v>33</v>
      </c>
      <c r="D312" s="7" t="s">
        <v>25</v>
      </c>
      <c r="E312" s="7" t="n">
        <v>0</v>
      </c>
      <c r="F312" s="7" t="n">
        <v>0</v>
      </c>
      <c r="G312" s="7" t="s">
        <v>36</v>
      </c>
      <c r="H312" s="7" t="s">
        <v>27</v>
      </c>
      <c r="I312" s="7" t="n">
        <v>18.3</v>
      </c>
      <c r="J312" s="7" t="s">
        <v>28</v>
      </c>
      <c r="K312" s="7" t="n">
        <v>202.4</v>
      </c>
      <c r="L312" s="7" t="s">
        <v>37</v>
      </c>
      <c r="M312" s="7" t="s">
        <v>38</v>
      </c>
    </row>
    <row r="313" customFormat="false" ht="15" hidden="false" customHeight="true" outlineLevel="0" collapsed="false">
      <c r="A313" s="7" t="n">
        <v>383</v>
      </c>
      <c r="B313" s="7" t="n">
        <v>30</v>
      </c>
      <c r="C313" s="7" t="s">
        <v>33</v>
      </c>
      <c r="D313" s="7" t="s">
        <v>25</v>
      </c>
      <c r="E313" s="7" t="n">
        <v>0</v>
      </c>
      <c r="F313" s="7" t="n">
        <v>0</v>
      </c>
      <c r="G313" s="7" t="s">
        <v>34</v>
      </c>
      <c r="H313" s="7" t="s">
        <v>27</v>
      </c>
      <c r="I313" s="7" t="n">
        <v>39.8</v>
      </c>
      <c r="J313" s="7" t="s">
        <v>28</v>
      </c>
      <c r="K313" s="7" t="n">
        <v>152.9</v>
      </c>
      <c r="L313" s="7" t="s">
        <v>37</v>
      </c>
      <c r="M313" s="7" t="s">
        <v>38</v>
      </c>
    </row>
    <row r="314" customFormat="false" ht="15" hidden="false" customHeight="true" outlineLevel="0" collapsed="false">
      <c r="A314" s="7" t="n">
        <v>413</v>
      </c>
      <c r="B314" s="7" t="n">
        <v>78</v>
      </c>
      <c r="C314" s="7" t="s">
        <v>24</v>
      </c>
      <c r="D314" s="7" t="s">
        <v>25</v>
      </c>
      <c r="E314" s="7" t="n">
        <v>0</v>
      </c>
      <c r="F314" s="7" t="n">
        <v>0</v>
      </c>
      <c r="G314" s="7" t="s">
        <v>34</v>
      </c>
      <c r="H314" s="7" t="s">
        <v>27</v>
      </c>
      <c r="I314" s="7" t="n">
        <v>37.9</v>
      </c>
      <c r="J314" s="7" t="s">
        <v>28</v>
      </c>
      <c r="K314" s="7" t="n">
        <v>224.6</v>
      </c>
      <c r="L314" s="7" t="s">
        <v>37</v>
      </c>
      <c r="M314" s="7" t="s">
        <v>38</v>
      </c>
    </row>
    <row r="315" customFormat="false" ht="15" hidden="false" customHeight="true" outlineLevel="0" collapsed="false">
      <c r="A315" s="7" t="n">
        <v>449</v>
      </c>
      <c r="B315" s="7" t="n">
        <v>24</v>
      </c>
      <c r="C315" s="7" t="s">
        <v>24</v>
      </c>
      <c r="D315" s="7" t="s">
        <v>25</v>
      </c>
      <c r="E315" s="7" t="n">
        <v>0</v>
      </c>
      <c r="F315" s="7" t="n">
        <v>0</v>
      </c>
      <c r="G315" s="7" t="s">
        <v>31</v>
      </c>
      <c r="H315" s="7" t="s">
        <v>32</v>
      </c>
      <c r="I315" s="7" t="n">
        <v>25.3</v>
      </c>
      <c r="J315" s="7" t="s">
        <v>28</v>
      </c>
      <c r="K315" s="7" t="n">
        <v>194.2</v>
      </c>
      <c r="L315" s="7" t="s">
        <v>37</v>
      </c>
      <c r="M315" s="7" t="s">
        <v>38</v>
      </c>
    </row>
    <row r="316" customFormat="false" ht="15" hidden="false" customHeight="true" outlineLevel="0" collapsed="false">
      <c r="A316" s="7" t="n">
        <v>469</v>
      </c>
      <c r="B316" s="7" t="n">
        <v>20</v>
      </c>
      <c r="C316" s="7" t="s">
        <v>24</v>
      </c>
      <c r="D316" s="7" t="s">
        <v>25</v>
      </c>
      <c r="E316" s="7" t="n">
        <v>0</v>
      </c>
      <c r="F316" s="7" t="n">
        <v>0</v>
      </c>
      <c r="G316" s="7" t="s">
        <v>26</v>
      </c>
      <c r="H316" s="7" t="s">
        <v>27</v>
      </c>
      <c r="I316" s="7" t="n">
        <v>36.4</v>
      </c>
      <c r="J316" s="7" t="s">
        <v>28</v>
      </c>
      <c r="K316" s="7" t="n">
        <v>145.1</v>
      </c>
      <c r="L316" s="7" t="s">
        <v>37</v>
      </c>
      <c r="M316" s="7" t="s">
        <v>38</v>
      </c>
    </row>
    <row r="317" customFormat="false" ht="15" hidden="false" customHeight="true" outlineLevel="0" collapsed="false">
      <c r="A317" s="7" t="n">
        <v>489</v>
      </c>
      <c r="B317" s="7" t="n">
        <v>88</v>
      </c>
      <c r="C317" s="7" t="s">
        <v>33</v>
      </c>
      <c r="D317" s="7" t="s">
        <v>25</v>
      </c>
      <c r="E317" s="7" t="n">
        <v>0</v>
      </c>
      <c r="F317" s="7" t="n">
        <v>0</v>
      </c>
      <c r="G317" s="7" t="s">
        <v>34</v>
      </c>
      <c r="H317" s="7" t="s">
        <v>32</v>
      </c>
      <c r="I317" s="7" t="n">
        <v>17.6</v>
      </c>
      <c r="J317" s="7" t="s">
        <v>28</v>
      </c>
      <c r="K317" s="7" t="n">
        <v>176.9</v>
      </c>
      <c r="L317" s="7" t="s">
        <v>37</v>
      </c>
      <c r="M317" s="7" t="s">
        <v>38</v>
      </c>
    </row>
    <row r="318" customFormat="false" ht="15" hidden="false" customHeight="true" outlineLevel="0" collapsed="false">
      <c r="A318" s="7" t="n">
        <v>503</v>
      </c>
      <c r="B318" s="7" t="n">
        <v>38</v>
      </c>
      <c r="C318" s="7" t="s">
        <v>33</v>
      </c>
      <c r="D318" s="7" t="s">
        <v>25</v>
      </c>
      <c r="E318" s="7" t="n">
        <v>0</v>
      </c>
      <c r="F318" s="7" t="n">
        <v>0</v>
      </c>
      <c r="G318" s="7" t="s">
        <v>35</v>
      </c>
      <c r="H318" s="7" t="s">
        <v>32</v>
      </c>
      <c r="I318" s="7" t="n">
        <v>40.2</v>
      </c>
      <c r="J318" s="7" t="s">
        <v>28</v>
      </c>
      <c r="K318" s="7" t="n">
        <v>175.1</v>
      </c>
      <c r="L318" s="7" t="s">
        <v>37</v>
      </c>
      <c r="M318" s="7" t="s">
        <v>38</v>
      </c>
    </row>
    <row r="319" customFormat="false" ht="15" hidden="false" customHeight="true" outlineLevel="0" collapsed="false">
      <c r="A319" s="7" t="n">
        <v>565</v>
      </c>
      <c r="B319" s="7" t="n">
        <v>45</v>
      </c>
      <c r="C319" s="7" t="s">
        <v>24</v>
      </c>
      <c r="D319" s="7" t="s">
        <v>25</v>
      </c>
      <c r="E319" s="7" t="n">
        <v>0</v>
      </c>
      <c r="F319" s="7" t="n">
        <v>0</v>
      </c>
      <c r="G319" s="7" t="s">
        <v>26</v>
      </c>
      <c r="H319" s="7" t="s">
        <v>27</v>
      </c>
      <c r="I319" s="7" t="n">
        <v>25.7</v>
      </c>
      <c r="J319" s="7" t="s">
        <v>28</v>
      </c>
      <c r="K319" s="7" t="n">
        <v>169.4</v>
      </c>
      <c r="L319" s="7" t="s">
        <v>37</v>
      </c>
      <c r="M319" s="7" t="s">
        <v>38</v>
      </c>
    </row>
    <row r="320" customFormat="false" ht="15" hidden="false" customHeight="true" outlineLevel="0" collapsed="false">
      <c r="A320" s="7" t="n">
        <v>576</v>
      </c>
      <c r="B320" s="7" t="n">
        <v>31</v>
      </c>
      <c r="C320" s="7" t="s">
        <v>33</v>
      </c>
      <c r="D320" s="7" t="s">
        <v>25</v>
      </c>
      <c r="E320" s="7" t="n">
        <v>0</v>
      </c>
      <c r="F320" s="7" t="n">
        <v>0</v>
      </c>
      <c r="G320" s="7" t="s">
        <v>34</v>
      </c>
      <c r="H320" s="7" t="s">
        <v>32</v>
      </c>
      <c r="I320" s="7" t="n">
        <v>34.2</v>
      </c>
      <c r="J320" s="7" t="s">
        <v>28</v>
      </c>
      <c r="K320" s="7" t="n">
        <v>263.7</v>
      </c>
      <c r="L320" s="7" t="s">
        <v>37</v>
      </c>
      <c r="M320" s="7" t="s">
        <v>38</v>
      </c>
    </row>
    <row r="321" customFormat="false" ht="15" hidden="false" customHeight="true" outlineLevel="0" collapsed="false">
      <c r="A321" s="7" t="n">
        <v>589</v>
      </c>
      <c r="B321" s="7" t="n">
        <v>22</v>
      </c>
      <c r="C321" s="7" t="s">
        <v>24</v>
      </c>
      <c r="D321" s="7" t="s">
        <v>25</v>
      </c>
      <c r="E321" s="7" t="n">
        <v>0</v>
      </c>
      <c r="F321" s="7" t="n">
        <v>0</v>
      </c>
      <c r="G321" s="7" t="s">
        <v>31</v>
      </c>
      <c r="H321" s="7" t="s">
        <v>27</v>
      </c>
      <c r="I321" s="7" t="n">
        <v>31.5</v>
      </c>
      <c r="J321" s="7" t="s">
        <v>28</v>
      </c>
      <c r="K321" s="7" t="n">
        <v>253</v>
      </c>
      <c r="L321" s="7" t="s">
        <v>37</v>
      </c>
      <c r="M321" s="7" t="s">
        <v>38</v>
      </c>
    </row>
    <row r="322" customFormat="false" ht="15" hidden="false" customHeight="true" outlineLevel="0" collapsed="false">
      <c r="A322" s="7" t="n">
        <v>603</v>
      </c>
      <c r="B322" s="7" t="n">
        <v>39</v>
      </c>
      <c r="C322" s="7" t="s">
        <v>33</v>
      </c>
      <c r="D322" s="7" t="s">
        <v>25</v>
      </c>
      <c r="E322" s="7" t="n">
        <v>0</v>
      </c>
      <c r="F322" s="7" t="n">
        <v>0</v>
      </c>
      <c r="G322" s="7" t="s">
        <v>26</v>
      </c>
      <c r="H322" s="7" t="s">
        <v>27</v>
      </c>
      <c r="I322" s="7" t="n">
        <v>20</v>
      </c>
      <c r="J322" s="7" t="s">
        <v>28</v>
      </c>
      <c r="K322" s="7" t="n">
        <v>288.2</v>
      </c>
      <c r="L322" s="7" t="s">
        <v>37</v>
      </c>
      <c r="M322" s="7" t="s">
        <v>38</v>
      </c>
    </row>
    <row r="323" customFormat="false" ht="15" hidden="false" customHeight="true" outlineLevel="0" collapsed="false">
      <c r="A323" s="7" t="n">
        <v>672</v>
      </c>
      <c r="B323" s="7" t="n">
        <v>59</v>
      </c>
      <c r="C323" s="7" t="s">
        <v>24</v>
      </c>
      <c r="D323" s="7" t="s">
        <v>25</v>
      </c>
      <c r="E323" s="7" t="n">
        <v>0</v>
      </c>
      <c r="F323" s="7" t="n">
        <v>0</v>
      </c>
      <c r="G323" s="7" t="s">
        <v>36</v>
      </c>
      <c r="H323" s="7" t="s">
        <v>32</v>
      </c>
      <c r="I323" s="7" t="n">
        <v>33.5</v>
      </c>
      <c r="J323" s="7" t="s">
        <v>28</v>
      </c>
      <c r="K323" s="7" t="n">
        <v>265.6</v>
      </c>
      <c r="L323" s="7" t="s">
        <v>37</v>
      </c>
      <c r="M323" s="7" t="s">
        <v>38</v>
      </c>
    </row>
    <row r="324" customFormat="false" ht="15" hidden="false" customHeight="true" outlineLevel="0" collapsed="false">
      <c r="A324" s="7" t="n">
        <v>708</v>
      </c>
      <c r="B324" s="7" t="n">
        <v>42</v>
      </c>
      <c r="C324" s="7" t="s">
        <v>33</v>
      </c>
      <c r="D324" s="7" t="s">
        <v>25</v>
      </c>
      <c r="E324" s="7" t="n">
        <v>0</v>
      </c>
      <c r="F324" s="7" t="n">
        <v>0</v>
      </c>
      <c r="G324" s="7" t="s">
        <v>26</v>
      </c>
      <c r="H324" s="7" t="s">
        <v>27</v>
      </c>
      <c r="I324" s="7" t="n">
        <v>40.2</v>
      </c>
      <c r="J324" s="7" t="s">
        <v>28</v>
      </c>
      <c r="K324" s="7" t="n">
        <v>208.3</v>
      </c>
      <c r="L324" s="7" t="s">
        <v>37</v>
      </c>
      <c r="M324" s="7" t="s">
        <v>38</v>
      </c>
    </row>
    <row r="325" customFormat="false" ht="15" hidden="false" customHeight="true" outlineLevel="0" collapsed="false">
      <c r="A325" s="7" t="n">
        <v>748</v>
      </c>
      <c r="B325" s="7" t="n">
        <v>21</v>
      </c>
      <c r="C325" s="7" t="s">
        <v>33</v>
      </c>
      <c r="D325" s="7" t="s">
        <v>25</v>
      </c>
      <c r="E325" s="7" t="n">
        <v>0</v>
      </c>
      <c r="F325" s="7" t="n">
        <v>0</v>
      </c>
      <c r="G325" s="7" t="s">
        <v>36</v>
      </c>
      <c r="H325" s="7" t="s">
        <v>27</v>
      </c>
      <c r="I325" s="7" t="n">
        <v>25.5</v>
      </c>
      <c r="J325" s="7" t="s">
        <v>28</v>
      </c>
      <c r="K325" s="7" t="n">
        <v>220.3</v>
      </c>
      <c r="L325" s="7" t="s">
        <v>37</v>
      </c>
      <c r="M325" s="7" t="s">
        <v>38</v>
      </c>
    </row>
    <row r="326" customFormat="false" ht="15" hidden="false" customHeight="true" outlineLevel="0" collapsed="false">
      <c r="A326" s="7" t="n">
        <v>754</v>
      </c>
      <c r="B326" s="7" t="n">
        <v>89</v>
      </c>
      <c r="C326" s="7" t="s">
        <v>33</v>
      </c>
      <c r="D326" s="7" t="s">
        <v>25</v>
      </c>
      <c r="E326" s="7" t="n">
        <v>0</v>
      </c>
      <c r="F326" s="7" t="n">
        <v>0</v>
      </c>
      <c r="G326" s="7" t="s">
        <v>31</v>
      </c>
      <c r="H326" s="7" t="s">
        <v>27</v>
      </c>
      <c r="I326" s="7" t="n">
        <v>41.3</v>
      </c>
      <c r="J326" s="7" t="s">
        <v>28</v>
      </c>
      <c r="K326" s="7" t="n">
        <v>262.6</v>
      </c>
      <c r="L326" s="7" t="s">
        <v>37</v>
      </c>
      <c r="M326" s="7" t="s">
        <v>38</v>
      </c>
    </row>
    <row r="327" customFormat="false" ht="15" hidden="false" customHeight="true" outlineLevel="0" collapsed="false">
      <c r="A327" s="7" t="n">
        <v>949</v>
      </c>
      <c r="B327" s="7" t="n">
        <v>80</v>
      </c>
      <c r="C327" s="7" t="s">
        <v>24</v>
      </c>
      <c r="D327" s="7" t="s">
        <v>25</v>
      </c>
      <c r="E327" s="7" t="n">
        <v>0</v>
      </c>
      <c r="F327" s="7" t="n">
        <v>0</v>
      </c>
      <c r="G327" s="7" t="s">
        <v>31</v>
      </c>
      <c r="H327" s="7" t="s">
        <v>27</v>
      </c>
      <c r="I327" s="7" t="n">
        <v>32</v>
      </c>
      <c r="J327" s="7" t="s">
        <v>28</v>
      </c>
      <c r="K327" s="7" t="n">
        <v>144.2</v>
      </c>
      <c r="L327" s="7" t="s">
        <v>37</v>
      </c>
      <c r="M327" s="7" t="s">
        <v>38</v>
      </c>
    </row>
    <row r="328" customFormat="false" ht="15" hidden="false" customHeight="true" outlineLevel="0" collapsed="false">
      <c r="A328" s="7" t="n">
        <v>958</v>
      </c>
      <c r="B328" s="7" t="n">
        <v>46</v>
      </c>
      <c r="C328" s="7" t="s">
        <v>33</v>
      </c>
      <c r="D328" s="7" t="s">
        <v>25</v>
      </c>
      <c r="E328" s="7" t="n">
        <v>0</v>
      </c>
      <c r="F328" s="7" t="n">
        <v>0</v>
      </c>
      <c r="G328" s="7" t="s">
        <v>35</v>
      </c>
      <c r="H328" s="7" t="s">
        <v>27</v>
      </c>
      <c r="I328" s="7" t="n">
        <v>28</v>
      </c>
      <c r="J328" s="7" t="s">
        <v>28</v>
      </c>
      <c r="K328" s="7" t="n">
        <v>259.4</v>
      </c>
      <c r="L328" s="7" t="s">
        <v>37</v>
      </c>
      <c r="M328" s="7" t="s">
        <v>38</v>
      </c>
    </row>
    <row r="329" customFormat="false" ht="15" hidden="false" customHeight="true" outlineLevel="0" collapsed="false">
      <c r="A329" s="7" t="n">
        <v>968</v>
      </c>
      <c r="B329" s="7" t="n">
        <v>62</v>
      </c>
      <c r="C329" s="7" t="s">
        <v>24</v>
      </c>
      <c r="D329" s="7" t="s">
        <v>25</v>
      </c>
      <c r="E329" s="7" t="n">
        <v>0</v>
      </c>
      <c r="F329" s="7" t="n">
        <v>0</v>
      </c>
      <c r="G329" s="7" t="s">
        <v>35</v>
      </c>
      <c r="H329" s="7" t="s">
        <v>32</v>
      </c>
      <c r="I329" s="7" t="n">
        <v>34.2</v>
      </c>
      <c r="J329" s="7" t="s">
        <v>28</v>
      </c>
      <c r="K329" s="7" t="n">
        <v>284.4</v>
      </c>
      <c r="L329" s="7" t="s">
        <v>37</v>
      </c>
      <c r="M329" s="7" t="s">
        <v>38</v>
      </c>
    </row>
    <row r="330" customFormat="false" ht="15" hidden="false" customHeight="true" outlineLevel="0" collapsed="false">
      <c r="A330" s="7" t="n">
        <v>1016</v>
      </c>
      <c r="B330" s="7" t="n">
        <v>30</v>
      </c>
      <c r="C330" s="7" t="s">
        <v>24</v>
      </c>
      <c r="D330" s="7" t="s">
        <v>25</v>
      </c>
      <c r="E330" s="7" t="n">
        <v>0</v>
      </c>
      <c r="F330" s="7" t="n">
        <v>0</v>
      </c>
      <c r="G330" s="7" t="s">
        <v>36</v>
      </c>
      <c r="H330" s="7" t="s">
        <v>32</v>
      </c>
      <c r="I330" s="7" t="n">
        <v>32</v>
      </c>
      <c r="J330" s="7" t="s">
        <v>28</v>
      </c>
      <c r="K330" s="7" t="n">
        <v>298.8</v>
      </c>
      <c r="L330" s="7" t="s">
        <v>37</v>
      </c>
      <c r="M330" s="7" t="s">
        <v>38</v>
      </c>
    </row>
    <row r="331" customFormat="false" ht="15" hidden="false" customHeight="true" outlineLevel="0" collapsed="false">
      <c r="A331" s="7" t="n">
        <v>1035</v>
      </c>
      <c r="B331" s="7" t="n">
        <v>82</v>
      </c>
      <c r="C331" s="7" t="s">
        <v>24</v>
      </c>
      <c r="D331" s="7" t="s">
        <v>25</v>
      </c>
      <c r="E331" s="7" t="n">
        <v>0</v>
      </c>
      <c r="F331" s="7" t="n">
        <v>0</v>
      </c>
      <c r="G331" s="7" t="s">
        <v>34</v>
      </c>
      <c r="H331" s="7" t="s">
        <v>27</v>
      </c>
      <c r="I331" s="7" t="n">
        <v>38.8</v>
      </c>
      <c r="J331" s="7" t="s">
        <v>28</v>
      </c>
      <c r="K331" s="7" t="n">
        <v>224.4</v>
      </c>
      <c r="L331" s="7" t="s">
        <v>37</v>
      </c>
      <c r="M331" s="7" t="s">
        <v>38</v>
      </c>
    </row>
    <row r="332" customFormat="false" ht="15" hidden="false" customHeight="true" outlineLevel="0" collapsed="false">
      <c r="A332" s="7" t="n">
        <v>1047</v>
      </c>
      <c r="B332" s="7" t="n">
        <v>71</v>
      </c>
      <c r="C332" s="7" t="s">
        <v>33</v>
      </c>
      <c r="D332" s="7" t="s">
        <v>25</v>
      </c>
      <c r="E332" s="7" t="n">
        <v>0</v>
      </c>
      <c r="F332" s="7" t="n">
        <v>0</v>
      </c>
      <c r="G332" s="7" t="s">
        <v>34</v>
      </c>
      <c r="H332" s="7" t="s">
        <v>27</v>
      </c>
      <c r="I332" s="7" t="n">
        <v>27.6</v>
      </c>
      <c r="J332" s="7" t="s">
        <v>28</v>
      </c>
      <c r="K332" s="7" t="n">
        <v>123.7</v>
      </c>
      <c r="L332" s="7" t="s">
        <v>37</v>
      </c>
      <c r="M332" s="7" t="s">
        <v>38</v>
      </c>
    </row>
    <row r="333" customFormat="false" ht="15" hidden="false" customHeight="true" outlineLevel="0" collapsed="false">
      <c r="A333" s="7" t="n">
        <v>1100</v>
      </c>
      <c r="B333" s="7" t="n">
        <v>24</v>
      </c>
      <c r="C333" s="7" t="s">
        <v>24</v>
      </c>
      <c r="D333" s="7" t="s">
        <v>25</v>
      </c>
      <c r="E333" s="7" t="n">
        <v>0</v>
      </c>
      <c r="F333" s="7" t="n">
        <v>0</v>
      </c>
      <c r="G333" s="7" t="s">
        <v>35</v>
      </c>
      <c r="H333" s="7" t="s">
        <v>32</v>
      </c>
      <c r="I333" s="7" t="n">
        <v>23.4</v>
      </c>
      <c r="J333" s="7" t="s">
        <v>28</v>
      </c>
      <c r="K333" s="7" t="n">
        <v>215.9</v>
      </c>
      <c r="L333" s="7" t="s">
        <v>37</v>
      </c>
      <c r="M333" s="7" t="s">
        <v>38</v>
      </c>
    </row>
    <row r="334" customFormat="false" ht="15" hidden="false" customHeight="true" outlineLevel="0" collapsed="false">
      <c r="A334" s="7" t="n">
        <v>1119</v>
      </c>
      <c r="B334" s="7" t="n">
        <v>65</v>
      </c>
      <c r="C334" s="7" t="s">
        <v>24</v>
      </c>
      <c r="D334" s="7" t="s">
        <v>25</v>
      </c>
      <c r="E334" s="7" t="n">
        <v>0</v>
      </c>
      <c r="F334" s="7" t="n">
        <v>0</v>
      </c>
      <c r="G334" s="7" t="s">
        <v>36</v>
      </c>
      <c r="H334" s="7" t="s">
        <v>27</v>
      </c>
      <c r="I334" s="7" t="n">
        <v>33</v>
      </c>
      <c r="J334" s="7" t="s">
        <v>28</v>
      </c>
      <c r="K334" s="7" t="n">
        <v>147.6</v>
      </c>
      <c r="L334" s="7" t="s">
        <v>37</v>
      </c>
      <c r="M334" s="7" t="s">
        <v>38</v>
      </c>
    </row>
    <row r="335" customFormat="false" ht="15" hidden="false" customHeight="true" outlineLevel="0" collapsed="false">
      <c r="A335" s="7" t="n">
        <v>1151</v>
      </c>
      <c r="B335" s="7" t="n">
        <v>71</v>
      </c>
      <c r="C335" s="7" t="s">
        <v>24</v>
      </c>
      <c r="D335" s="7" t="s">
        <v>25</v>
      </c>
      <c r="E335" s="7" t="n">
        <v>0</v>
      </c>
      <c r="F335" s="7" t="n">
        <v>0</v>
      </c>
      <c r="G335" s="7" t="s">
        <v>36</v>
      </c>
      <c r="H335" s="7" t="s">
        <v>32</v>
      </c>
      <c r="I335" s="7" t="n">
        <v>21</v>
      </c>
      <c r="J335" s="7" t="s">
        <v>28</v>
      </c>
      <c r="K335" s="7" t="n">
        <v>180.3</v>
      </c>
      <c r="L335" s="7" t="s">
        <v>37</v>
      </c>
      <c r="M335" s="7" t="s">
        <v>38</v>
      </c>
    </row>
    <row r="336" customFormat="false" ht="15" hidden="false" customHeight="true" outlineLevel="0" collapsed="false">
      <c r="A336" s="7" t="n">
        <v>1199</v>
      </c>
      <c r="B336" s="7" t="n">
        <v>24</v>
      </c>
      <c r="C336" s="7" t="s">
        <v>24</v>
      </c>
      <c r="D336" s="7" t="s">
        <v>25</v>
      </c>
      <c r="E336" s="7" t="n">
        <v>0</v>
      </c>
      <c r="F336" s="7" t="n">
        <v>0</v>
      </c>
      <c r="G336" s="7" t="s">
        <v>36</v>
      </c>
      <c r="H336" s="7" t="s">
        <v>32</v>
      </c>
      <c r="I336" s="7" t="n">
        <v>24.9</v>
      </c>
      <c r="J336" s="7" t="s">
        <v>28</v>
      </c>
      <c r="K336" s="7" t="n">
        <v>134.4</v>
      </c>
      <c r="L336" s="7" t="s">
        <v>37</v>
      </c>
      <c r="M336" s="7" t="s">
        <v>38</v>
      </c>
    </row>
    <row r="337" customFormat="false" ht="15" hidden="false" customHeight="true" outlineLevel="0" collapsed="false">
      <c r="A337" s="7" t="n">
        <v>1249</v>
      </c>
      <c r="B337" s="7" t="n">
        <v>19</v>
      </c>
      <c r="C337" s="7" t="s">
        <v>24</v>
      </c>
      <c r="D337" s="7" t="s">
        <v>25</v>
      </c>
      <c r="E337" s="7" t="n">
        <v>0</v>
      </c>
      <c r="F337" s="7" t="n">
        <v>0</v>
      </c>
      <c r="G337" s="7" t="s">
        <v>31</v>
      </c>
      <c r="H337" s="7" t="s">
        <v>32</v>
      </c>
      <c r="I337" s="7" t="n">
        <v>22.3</v>
      </c>
      <c r="J337" s="7" t="s">
        <v>28</v>
      </c>
      <c r="K337" s="7" t="n">
        <v>131.5</v>
      </c>
      <c r="L337" s="7" t="s">
        <v>37</v>
      </c>
      <c r="M337" s="7" t="s">
        <v>38</v>
      </c>
    </row>
    <row r="338" customFormat="false" ht="15" hidden="false" customHeight="true" outlineLevel="0" collapsed="false">
      <c r="A338" s="7" t="n">
        <v>1254</v>
      </c>
      <c r="B338" s="7" t="n">
        <v>85</v>
      </c>
      <c r="C338" s="7" t="s">
        <v>33</v>
      </c>
      <c r="D338" s="7" t="s">
        <v>25</v>
      </c>
      <c r="E338" s="7" t="n">
        <v>0</v>
      </c>
      <c r="F338" s="7" t="n">
        <v>0</v>
      </c>
      <c r="G338" s="7" t="s">
        <v>34</v>
      </c>
      <c r="H338" s="7" t="s">
        <v>27</v>
      </c>
      <c r="I338" s="7" t="n">
        <v>31.1</v>
      </c>
      <c r="J338" s="7" t="s">
        <v>28</v>
      </c>
      <c r="K338" s="7" t="n">
        <v>191.3</v>
      </c>
      <c r="L338" s="7" t="s">
        <v>37</v>
      </c>
      <c r="M338" s="7" t="s">
        <v>38</v>
      </c>
    </row>
    <row r="339" customFormat="false" ht="15" hidden="false" customHeight="true" outlineLevel="0" collapsed="false">
      <c r="A339" s="7" t="n">
        <v>1263</v>
      </c>
      <c r="B339" s="7" t="n">
        <v>39</v>
      </c>
      <c r="C339" s="7" t="s">
        <v>33</v>
      </c>
      <c r="D339" s="7" t="s">
        <v>25</v>
      </c>
      <c r="E339" s="7" t="n">
        <v>0</v>
      </c>
      <c r="F339" s="7" t="n">
        <v>0</v>
      </c>
      <c r="G339" s="7" t="s">
        <v>26</v>
      </c>
      <c r="H339" s="7" t="s">
        <v>27</v>
      </c>
      <c r="I339" s="7" t="n">
        <v>35.5</v>
      </c>
      <c r="J339" s="7" t="s">
        <v>28</v>
      </c>
      <c r="K339" s="7" t="n">
        <v>125.2</v>
      </c>
      <c r="L339" s="7" t="s">
        <v>37</v>
      </c>
      <c r="M339" s="7" t="s">
        <v>38</v>
      </c>
    </row>
    <row r="340" customFormat="false" ht="15" hidden="false" customHeight="true" outlineLevel="0" collapsed="false">
      <c r="A340" s="7" t="n">
        <v>1329</v>
      </c>
      <c r="B340" s="7" t="n">
        <v>22</v>
      </c>
      <c r="C340" s="7" t="s">
        <v>24</v>
      </c>
      <c r="D340" s="7" t="s">
        <v>25</v>
      </c>
      <c r="E340" s="7" t="n">
        <v>0</v>
      </c>
      <c r="F340" s="7" t="n">
        <v>0</v>
      </c>
      <c r="G340" s="7" t="s">
        <v>26</v>
      </c>
      <c r="H340" s="7" t="s">
        <v>32</v>
      </c>
      <c r="I340" s="7" t="n">
        <v>39</v>
      </c>
      <c r="J340" s="7" t="s">
        <v>28</v>
      </c>
      <c r="K340" s="7" t="n">
        <v>172.5</v>
      </c>
      <c r="L340" s="7" t="s">
        <v>37</v>
      </c>
      <c r="M340" s="7" t="s">
        <v>38</v>
      </c>
    </row>
    <row r="341" customFormat="false" ht="15" hidden="false" customHeight="true" outlineLevel="0" collapsed="false">
      <c r="A341" s="7" t="n">
        <v>1358</v>
      </c>
      <c r="B341" s="7" t="n">
        <v>73</v>
      </c>
      <c r="C341" s="7" t="s">
        <v>24</v>
      </c>
      <c r="D341" s="7" t="s">
        <v>25</v>
      </c>
      <c r="E341" s="7" t="n">
        <v>0</v>
      </c>
      <c r="F341" s="7" t="n">
        <v>0</v>
      </c>
      <c r="G341" s="7" t="s">
        <v>31</v>
      </c>
      <c r="H341" s="7" t="s">
        <v>32</v>
      </c>
      <c r="I341" s="7" t="n">
        <v>26.9</v>
      </c>
      <c r="J341" s="7" t="s">
        <v>28</v>
      </c>
      <c r="K341" s="7" t="n">
        <v>230.2</v>
      </c>
      <c r="L341" s="7" t="s">
        <v>37</v>
      </c>
      <c r="M341" s="7" t="s">
        <v>38</v>
      </c>
    </row>
    <row r="342" customFormat="false" ht="15" hidden="false" customHeight="true" outlineLevel="0" collapsed="false">
      <c r="A342" s="7" t="n">
        <v>1380</v>
      </c>
      <c r="B342" s="7" t="n">
        <v>50</v>
      </c>
      <c r="C342" s="7" t="s">
        <v>33</v>
      </c>
      <c r="D342" s="7" t="s">
        <v>25</v>
      </c>
      <c r="E342" s="7" t="n">
        <v>0</v>
      </c>
      <c r="F342" s="7" t="n">
        <v>0</v>
      </c>
      <c r="G342" s="7" t="s">
        <v>34</v>
      </c>
      <c r="H342" s="7" t="s">
        <v>27</v>
      </c>
      <c r="I342" s="7" t="n">
        <v>35.5</v>
      </c>
      <c r="J342" s="7" t="s">
        <v>28</v>
      </c>
      <c r="K342" s="7" t="n">
        <v>165.1</v>
      </c>
      <c r="L342" s="7" t="s">
        <v>37</v>
      </c>
      <c r="M342" s="7" t="s">
        <v>38</v>
      </c>
    </row>
    <row r="343" customFormat="false" ht="15" hidden="false" customHeight="true" outlineLevel="0" collapsed="false">
      <c r="A343" s="7" t="n">
        <v>1386</v>
      </c>
      <c r="B343" s="7" t="n">
        <v>88</v>
      </c>
      <c r="C343" s="7" t="s">
        <v>24</v>
      </c>
      <c r="D343" s="7" t="s">
        <v>25</v>
      </c>
      <c r="E343" s="7" t="n">
        <v>0</v>
      </c>
      <c r="F343" s="7" t="n">
        <v>0</v>
      </c>
      <c r="G343" s="7" t="s">
        <v>26</v>
      </c>
      <c r="H343" s="7" t="s">
        <v>32</v>
      </c>
      <c r="I343" s="7" t="n">
        <v>28.4</v>
      </c>
      <c r="J343" s="7" t="s">
        <v>28</v>
      </c>
      <c r="K343" s="7" t="n">
        <v>146.3</v>
      </c>
      <c r="L343" s="7" t="s">
        <v>37</v>
      </c>
      <c r="M343" s="7" t="s">
        <v>38</v>
      </c>
    </row>
    <row r="344" customFormat="false" ht="15" hidden="false" customHeight="true" outlineLevel="0" collapsed="false">
      <c r="A344" s="7" t="n">
        <v>1454</v>
      </c>
      <c r="B344" s="7" t="n">
        <v>78</v>
      </c>
      <c r="C344" s="7" t="s">
        <v>33</v>
      </c>
      <c r="D344" s="7" t="s">
        <v>25</v>
      </c>
      <c r="E344" s="7" t="n">
        <v>0</v>
      </c>
      <c r="F344" s="7" t="n">
        <v>0</v>
      </c>
      <c r="G344" s="7" t="s">
        <v>26</v>
      </c>
      <c r="H344" s="7" t="s">
        <v>27</v>
      </c>
      <c r="I344" s="7" t="n">
        <v>34.5</v>
      </c>
      <c r="J344" s="7" t="s">
        <v>28</v>
      </c>
      <c r="K344" s="7" t="n">
        <v>199.3</v>
      </c>
      <c r="L344" s="7" t="s">
        <v>37</v>
      </c>
      <c r="M344" s="7" t="s">
        <v>38</v>
      </c>
    </row>
    <row r="345" customFormat="false" ht="15" hidden="false" customHeight="true" outlineLevel="0" collapsed="false">
      <c r="A345" s="7" t="n">
        <v>1468</v>
      </c>
      <c r="B345" s="7" t="n">
        <v>50</v>
      </c>
      <c r="C345" s="7" t="s">
        <v>24</v>
      </c>
      <c r="D345" s="7" t="s">
        <v>25</v>
      </c>
      <c r="E345" s="7" t="n">
        <v>0</v>
      </c>
      <c r="F345" s="7" t="n">
        <v>0</v>
      </c>
      <c r="G345" s="7" t="s">
        <v>31</v>
      </c>
      <c r="H345" s="7" t="s">
        <v>27</v>
      </c>
      <c r="I345" s="7" t="n">
        <v>26.8</v>
      </c>
      <c r="J345" s="7" t="s">
        <v>28</v>
      </c>
      <c r="K345" s="7" t="n">
        <v>277.6</v>
      </c>
      <c r="L345" s="7" t="s">
        <v>37</v>
      </c>
      <c r="M345" s="7" t="s">
        <v>38</v>
      </c>
    </row>
    <row r="346" customFormat="false" ht="15" hidden="false" customHeight="true" outlineLevel="0" collapsed="false">
      <c r="A346" s="7" t="n">
        <v>1590</v>
      </c>
      <c r="B346" s="7" t="n">
        <v>31</v>
      </c>
      <c r="C346" s="7" t="s">
        <v>33</v>
      </c>
      <c r="D346" s="7" t="s">
        <v>25</v>
      </c>
      <c r="E346" s="7" t="n">
        <v>0</v>
      </c>
      <c r="F346" s="7" t="n">
        <v>0</v>
      </c>
      <c r="G346" s="7" t="s">
        <v>26</v>
      </c>
      <c r="H346" s="7" t="s">
        <v>32</v>
      </c>
      <c r="I346" s="7" t="n">
        <v>25.7</v>
      </c>
      <c r="J346" s="7" t="s">
        <v>28</v>
      </c>
      <c r="K346" s="7" t="n">
        <v>288.1</v>
      </c>
      <c r="L346" s="7" t="s">
        <v>37</v>
      </c>
      <c r="M346" s="7" t="s">
        <v>38</v>
      </c>
    </row>
    <row r="347" customFormat="false" ht="15" hidden="false" customHeight="true" outlineLevel="0" collapsed="false">
      <c r="A347" s="7" t="n">
        <v>1616</v>
      </c>
      <c r="B347" s="7" t="n">
        <v>31</v>
      </c>
      <c r="C347" s="7" t="s">
        <v>33</v>
      </c>
      <c r="D347" s="7" t="s">
        <v>25</v>
      </c>
      <c r="E347" s="7" t="n">
        <v>0</v>
      </c>
      <c r="F347" s="7" t="n">
        <v>0</v>
      </c>
      <c r="G347" s="7" t="s">
        <v>26</v>
      </c>
      <c r="H347" s="7" t="s">
        <v>27</v>
      </c>
      <c r="I347" s="7" t="n">
        <v>25.7</v>
      </c>
      <c r="J347" s="7" t="s">
        <v>28</v>
      </c>
      <c r="K347" s="7" t="n">
        <v>122.2</v>
      </c>
      <c r="L347" s="7" t="s">
        <v>37</v>
      </c>
      <c r="M347" s="7" t="s">
        <v>38</v>
      </c>
    </row>
    <row r="348" customFormat="false" ht="15" hidden="false" customHeight="true" outlineLevel="0" collapsed="false">
      <c r="A348" s="7" t="n">
        <v>1665</v>
      </c>
      <c r="B348" s="7" t="n">
        <v>63</v>
      </c>
      <c r="C348" s="7" t="s">
        <v>24</v>
      </c>
      <c r="D348" s="7" t="s">
        <v>25</v>
      </c>
      <c r="E348" s="7" t="n">
        <v>0</v>
      </c>
      <c r="F348" s="7" t="n">
        <v>0</v>
      </c>
      <c r="G348" s="7" t="s">
        <v>34</v>
      </c>
      <c r="H348" s="7" t="s">
        <v>27</v>
      </c>
      <c r="I348" s="7" t="n">
        <v>35.3</v>
      </c>
      <c r="J348" s="7" t="s">
        <v>28</v>
      </c>
      <c r="K348" s="7" t="n">
        <v>168.9</v>
      </c>
      <c r="L348" s="7" t="s">
        <v>37</v>
      </c>
      <c r="M348" s="7" t="s">
        <v>38</v>
      </c>
    </row>
    <row r="349" customFormat="false" ht="15" hidden="false" customHeight="true" outlineLevel="0" collapsed="false">
      <c r="A349" s="7" t="n">
        <v>1714</v>
      </c>
      <c r="B349" s="7" t="n">
        <v>80</v>
      </c>
      <c r="C349" s="7" t="s">
        <v>24</v>
      </c>
      <c r="D349" s="7" t="s">
        <v>25</v>
      </c>
      <c r="E349" s="7" t="n">
        <v>0</v>
      </c>
      <c r="F349" s="7" t="n">
        <v>0</v>
      </c>
      <c r="G349" s="7" t="s">
        <v>35</v>
      </c>
      <c r="H349" s="7" t="s">
        <v>27</v>
      </c>
      <c r="I349" s="7" t="n">
        <v>35.8</v>
      </c>
      <c r="J349" s="7" t="s">
        <v>28</v>
      </c>
      <c r="K349" s="7" t="n">
        <v>299</v>
      </c>
      <c r="L349" s="7" t="s">
        <v>37</v>
      </c>
      <c r="M349" s="7" t="s">
        <v>38</v>
      </c>
    </row>
    <row r="350" customFormat="false" ht="15" hidden="false" customHeight="true" outlineLevel="0" collapsed="false">
      <c r="A350" s="7" t="n">
        <v>1780</v>
      </c>
      <c r="B350" s="7" t="n">
        <v>23</v>
      </c>
      <c r="C350" s="7" t="s">
        <v>24</v>
      </c>
      <c r="D350" s="7" t="s">
        <v>25</v>
      </c>
      <c r="E350" s="7" t="n">
        <v>0</v>
      </c>
      <c r="F350" s="7" t="n">
        <v>0</v>
      </c>
      <c r="G350" s="7" t="s">
        <v>35</v>
      </c>
      <c r="H350" s="7" t="s">
        <v>27</v>
      </c>
      <c r="I350" s="7" t="n">
        <v>19.6</v>
      </c>
      <c r="J350" s="7" t="s">
        <v>28</v>
      </c>
      <c r="K350" s="7" t="n">
        <v>230.7</v>
      </c>
      <c r="L350" s="7" t="s">
        <v>37</v>
      </c>
      <c r="M350" s="7" t="s">
        <v>38</v>
      </c>
    </row>
    <row r="351" customFormat="false" ht="15" hidden="false" customHeight="true" outlineLevel="0" collapsed="false">
      <c r="A351" s="7" t="n">
        <v>1794</v>
      </c>
      <c r="B351" s="7" t="n">
        <v>30</v>
      </c>
      <c r="C351" s="7" t="s">
        <v>24</v>
      </c>
      <c r="D351" s="7" t="s">
        <v>25</v>
      </c>
      <c r="E351" s="7" t="n">
        <v>0</v>
      </c>
      <c r="F351" s="7" t="n">
        <v>0</v>
      </c>
      <c r="G351" s="7" t="s">
        <v>34</v>
      </c>
      <c r="H351" s="7" t="s">
        <v>27</v>
      </c>
      <c r="I351" s="7" t="n">
        <v>31.5</v>
      </c>
      <c r="J351" s="7" t="s">
        <v>28</v>
      </c>
      <c r="K351" s="7" t="n">
        <v>150.3</v>
      </c>
      <c r="L351" s="7" t="s">
        <v>37</v>
      </c>
      <c r="M351" s="7" t="s">
        <v>38</v>
      </c>
    </row>
    <row r="352" customFormat="false" ht="15" hidden="false" customHeight="true" outlineLevel="0" collapsed="false">
      <c r="A352" s="7" t="n">
        <v>1797</v>
      </c>
      <c r="B352" s="7" t="n">
        <v>89</v>
      </c>
      <c r="C352" s="7" t="s">
        <v>33</v>
      </c>
      <c r="D352" s="7" t="s">
        <v>25</v>
      </c>
      <c r="E352" s="7" t="n">
        <v>0</v>
      </c>
      <c r="F352" s="7" t="n">
        <v>0</v>
      </c>
      <c r="G352" s="7" t="s">
        <v>34</v>
      </c>
      <c r="H352" s="7" t="s">
        <v>32</v>
      </c>
      <c r="I352" s="7" t="n">
        <v>36.2</v>
      </c>
      <c r="J352" s="7" t="s">
        <v>28</v>
      </c>
      <c r="K352" s="7" t="n">
        <v>252.7</v>
      </c>
      <c r="L352" s="7" t="s">
        <v>37</v>
      </c>
      <c r="M352" s="7" t="s">
        <v>38</v>
      </c>
    </row>
    <row r="353" customFormat="false" ht="15" hidden="false" customHeight="true" outlineLevel="0" collapsed="false">
      <c r="A353" s="7" t="n">
        <v>1801</v>
      </c>
      <c r="B353" s="7" t="n">
        <v>44</v>
      </c>
      <c r="C353" s="7" t="s">
        <v>33</v>
      </c>
      <c r="D353" s="7" t="s">
        <v>25</v>
      </c>
      <c r="E353" s="7" t="n">
        <v>0</v>
      </c>
      <c r="F353" s="7" t="n">
        <v>0</v>
      </c>
      <c r="G353" s="7" t="s">
        <v>35</v>
      </c>
      <c r="H353" s="7" t="s">
        <v>27</v>
      </c>
      <c r="I353" s="7" t="n">
        <v>34.5</v>
      </c>
      <c r="J353" s="7" t="s">
        <v>28</v>
      </c>
      <c r="K353" s="7" t="n">
        <v>201.4</v>
      </c>
      <c r="L353" s="7" t="s">
        <v>37</v>
      </c>
      <c r="M353" s="7" t="s">
        <v>38</v>
      </c>
    </row>
    <row r="354" customFormat="false" ht="15" hidden="false" customHeight="true" outlineLevel="0" collapsed="false">
      <c r="A354" s="7" t="n">
        <v>1937</v>
      </c>
      <c r="B354" s="7" t="n">
        <v>81</v>
      </c>
      <c r="C354" s="7" t="s">
        <v>33</v>
      </c>
      <c r="D354" s="7" t="s">
        <v>25</v>
      </c>
      <c r="E354" s="7" t="n">
        <v>0</v>
      </c>
      <c r="F354" s="7" t="n">
        <v>0</v>
      </c>
      <c r="G354" s="7" t="s">
        <v>26</v>
      </c>
      <c r="H354" s="7" t="s">
        <v>32</v>
      </c>
      <c r="I354" s="7" t="n">
        <v>20</v>
      </c>
      <c r="J354" s="7" t="s">
        <v>28</v>
      </c>
      <c r="K354" s="7" t="n">
        <v>168.9</v>
      </c>
      <c r="L354" s="7" t="s">
        <v>37</v>
      </c>
      <c r="M354" s="7" t="s">
        <v>38</v>
      </c>
    </row>
    <row r="355" customFormat="false" ht="15" hidden="false" customHeight="true" outlineLevel="0" collapsed="false">
      <c r="A355" s="7" t="n">
        <v>1942</v>
      </c>
      <c r="B355" s="7" t="n">
        <v>63</v>
      </c>
      <c r="C355" s="7" t="s">
        <v>33</v>
      </c>
      <c r="D355" s="7" t="s">
        <v>25</v>
      </c>
      <c r="E355" s="7" t="n">
        <v>0</v>
      </c>
      <c r="F355" s="7" t="n">
        <v>0</v>
      </c>
      <c r="G355" s="7" t="s">
        <v>35</v>
      </c>
      <c r="H355" s="7" t="s">
        <v>27</v>
      </c>
      <c r="I355" s="7" t="n">
        <v>27.6</v>
      </c>
      <c r="J355" s="7" t="s">
        <v>28</v>
      </c>
      <c r="K355" s="7" t="n">
        <v>282.7</v>
      </c>
      <c r="L355" s="7" t="s">
        <v>37</v>
      </c>
      <c r="M355" s="7" t="s">
        <v>38</v>
      </c>
    </row>
    <row r="356" customFormat="false" ht="15" hidden="false" customHeight="true" outlineLevel="0" collapsed="false">
      <c r="A356" s="7" t="n">
        <v>1953</v>
      </c>
      <c r="B356" s="7" t="n">
        <v>78</v>
      </c>
      <c r="C356" s="7" t="s">
        <v>24</v>
      </c>
      <c r="D356" s="7" t="s">
        <v>25</v>
      </c>
      <c r="E356" s="7" t="n">
        <v>0</v>
      </c>
      <c r="F356" s="7" t="n">
        <v>0</v>
      </c>
      <c r="G356" s="7" t="s">
        <v>35</v>
      </c>
      <c r="H356" s="7" t="s">
        <v>27</v>
      </c>
      <c r="I356" s="7" t="n">
        <v>22.5</v>
      </c>
      <c r="J356" s="7" t="s">
        <v>28</v>
      </c>
      <c r="K356" s="7" t="n">
        <v>156.3</v>
      </c>
      <c r="L356" s="7" t="s">
        <v>37</v>
      </c>
      <c r="M356" s="7" t="s">
        <v>38</v>
      </c>
    </row>
    <row r="357" customFormat="false" ht="15" hidden="false" customHeight="true" outlineLevel="0" collapsed="false">
      <c r="A357" s="7" t="n">
        <v>1966</v>
      </c>
      <c r="B357" s="7" t="n">
        <v>66</v>
      </c>
      <c r="C357" s="7" t="s">
        <v>33</v>
      </c>
      <c r="D357" s="7" t="s">
        <v>25</v>
      </c>
      <c r="E357" s="7" t="n">
        <v>0</v>
      </c>
      <c r="F357" s="7" t="n">
        <v>0</v>
      </c>
      <c r="G357" s="7" t="s">
        <v>35</v>
      </c>
      <c r="H357" s="7" t="s">
        <v>32</v>
      </c>
      <c r="I357" s="7" t="n">
        <v>32.3</v>
      </c>
      <c r="J357" s="7" t="s">
        <v>28</v>
      </c>
      <c r="K357" s="7" t="n">
        <v>166.4</v>
      </c>
      <c r="L357" s="7" t="s">
        <v>37</v>
      </c>
      <c r="M357" s="7" t="s">
        <v>38</v>
      </c>
    </row>
    <row r="358" customFormat="false" ht="15" hidden="false" customHeight="true" outlineLevel="0" collapsed="false">
      <c r="A358" s="7" t="n">
        <v>1990</v>
      </c>
      <c r="B358" s="7" t="n">
        <v>56</v>
      </c>
      <c r="C358" s="7" t="s">
        <v>24</v>
      </c>
      <c r="D358" s="7" t="s">
        <v>25</v>
      </c>
      <c r="E358" s="7" t="n">
        <v>0</v>
      </c>
      <c r="F358" s="7" t="n">
        <v>0</v>
      </c>
      <c r="G358" s="7" t="s">
        <v>26</v>
      </c>
      <c r="H358" s="7" t="s">
        <v>27</v>
      </c>
      <c r="I358" s="7" t="n">
        <v>23.8</v>
      </c>
      <c r="J358" s="7" t="s">
        <v>28</v>
      </c>
      <c r="K358" s="7" t="n">
        <v>212.5</v>
      </c>
      <c r="L358" s="7" t="s">
        <v>37</v>
      </c>
      <c r="M358" s="7" t="s">
        <v>38</v>
      </c>
    </row>
    <row r="359" customFormat="false" ht="15" hidden="false" customHeight="true" outlineLevel="0" collapsed="false">
      <c r="A359" s="7" t="n">
        <v>2001</v>
      </c>
      <c r="B359" s="7" t="n">
        <v>39</v>
      </c>
      <c r="C359" s="7" t="s">
        <v>33</v>
      </c>
      <c r="D359" s="7" t="s">
        <v>25</v>
      </c>
      <c r="E359" s="7" t="n">
        <v>0</v>
      </c>
      <c r="F359" s="7" t="n">
        <v>0</v>
      </c>
      <c r="G359" s="7" t="s">
        <v>35</v>
      </c>
      <c r="H359" s="7" t="s">
        <v>32</v>
      </c>
      <c r="I359" s="7" t="n">
        <v>32.9</v>
      </c>
      <c r="J359" s="7" t="s">
        <v>28</v>
      </c>
      <c r="K359" s="7" t="n">
        <v>256.3</v>
      </c>
      <c r="L359" s="7" t="s">
        <v>37</v>
      </c>
      <c r="M359" s="7" t="s">
        <v>38</v>
      </c>
    </row>
    <row r="360" customFormat="false" ht="15" hidden="false" customHeight="true" outlineLevel="0" collapsed="false">
      <c r="A360" s="7" t="n">
        <v>2090</v>
      </c>
      <c r="B360" s="7" t="n">
        <v>33</v>
      </c>
      <c r="C360" s="7" t="s">
        <v>33</v>
      </c>
      <c r="D360" s="7" t="s">
        <v>25</v>
      </c>
      <c r="E360" s="7" t="n">
        <v>0</v>
      </c>
      <c r="F360" s="7" t="n">
        <v>0</v>
      </c>
      <c r="G360" s="7" t="s">
        <v>34</v>
      </c>
      <c r="H360" s="7" t="s">
        <v>32</v>
      </c>
      <c r="I360" s="7" t="n">
        <v>36.6</v>
      </c>
      <c r="J360" s="7" t="s">
        <v>28</v>
      </c>
      <c r="K360" s="7" t="n">
        <v>198.1</v>
      </c>
      <c r="L360" s="7" t="s">
        <v>37</v>
      </c>
      <c r="M360" s="7" t="s">
        <v>38</v>
      </c>
    </row>
    <row r="361" customFormat="false" ht="15" hidden="false" customHeight="true" outlineLevel="0" collapsed="false">
      <c r="A361" s="7" t="n">
        <v>2111</v>
      </c>
      <c r="B361" s="7" t="n">
        <v>70</v>
      </c>
      <c r="C361" s="7" t="s">
        <v>24</v>
      </c>
      <c r="D361" s="7" t="s">
        <v>25</v>
      </c>
      <c r="E361" s="7" t="n">
        <v>0</v>
      </c>
      <c r="F361" s="7" t="n">
        <v>0</v>
      </c>
      <c r="G361" s="7" t="s">
        <v>31</v>
      </c>
      <c r="H361" s="7" t="s">
        <v>32</v>
      </c>
      <c r="I361" s="7" t="n">
        <v>24</v>
      </c>
      <c r="J361" s="7" t="s">
        <v>28</v>
      </c>
      <c r="K361" s="7" t="n">
        <v>194</v>
      </c>
      <c r="L361" s="7" t="s">
        <v>37</v>
      </c>
      <c r="M361" s="7" t="s">
        <v>38</v>
      </c>
    </row>
    <row r="362" customFormat="false" ht="15" hidden="false" customHeight="true" outlineLevel="0" collapsed="false">
      <c r="A362" s="7" t="n">
        <v>2157</v>
      </c>
      <c r="B362" s="7" t="n">
        <v>83</v>
      </c>
      <c r="C362" s="7" t="s">
        <v>24</v>
      </c>
      <c r="D362" s="7" t="s">
        <v>25</v>
      </c>
      <c r="E362" s="7" t="n">
        <v>0</v>
      </c>
      <c r="F362" s="7" t="n">
        <v>0</v>
      </c>
      <c r="G362" s="7" t="s">
        <v>31</v>
      </c>
      <c r="H362" s="7" t="s">
        <v>27</v>
      </c>
      <c r="I362" s="7" t="n">
        <v>38.8</v>
      </c>
      <c r="J362" s="7" t="s">
        <v>28</v>
      </c>
      <c r="K362" s="7" t="n">
        <v>262.5</v>
      </c>
      <c r="L362" s="7" t="s">
        <v>37</v>
      </c>
      <c r="M362" s="7" t="s">
        <v>38</v>
      </c>
    </row>
    <row r="363" customFormat="false" ht="15" hidden="false" customHeight="true" outlineLevel="0" collapsed="false">
      <c r="A363" s="7" t="n">
        <v>2192</v>
      </c>
      <c r="B363" s="7" t="n">
        <v>78</v>
      </c>
      <c r="C363" s="7" t="s">
        <v>33</v>
      </c>
      <c r="D363" s="7" t="s">
        <v>25</v>
      </c>
      <c r="E363" s="7" t="n">
        <v>0</v>
      </c>
      <c r="F363" s="7" t="n">
        <v>0</v>
      </c>
      <c r="G363" s="7" t="s">
        <v>26</v>
      </c>
      <c r="H363" s="7" t="s">
        <v>27</v>
      </c>
      <c r="I363" s="7" t="n">
        <v>19.2</v>
      </c>
      <c r="J363" s="7" t="s">
        <v>28</v>
      </c>
      <c r="K363" s="7" t="n">
        <v>272.5</v>
      </c>
      <c r="L363" s="7" t="s">
        <v>37</v>
      </c>
      <c r="M363" s="7" t="s">
        <v>38</v>
      </c>
    </row>
    <row r="364" customFormat="false" ht="15" hidden="false" customHeight="true" outlineLevel="0" collapsed="false">
      <c r="A364" s="7" t="n">
        <v>2203</v>
      </c>
      <c r="B364" s="7" t="n">
        <v>74</v>
      </c>
      <c r="C364" s="7" t="s">
        <v>24</v>
      </c>
      <c r="D364" s="7" t="s">
        <v>25</v>
      </c>
      <c r="E364" s="7" t="n">
        <v>0</v>
      </c>
      <c r="F364" s="7" t="n">
        <v>0</v>
      </c>
      <c r="G364" s="7" t="s">
        <v>31</v>
      </c>
      <c r="H364" s="7" t="s">
        <v>32</v>
      </c>
      <c r="I364" s="7" t="n">
        <v>26.2</v>
      </c>
      <c r="J364" s="7" t="s">
        <v>28</v>
      </c>
      <c r="K364" s="7" t="n">
        <v>207.9</v>
      </c>
      <c r="L364" s="7" t="s">
        <v>37</v>
      </c>
      <c r="M364" s="7" t="s">
        <v>38</v>
      </c>
    </row>
    <row r="365" customFormat="false" ht="15" hidden="false" customHeight="true" outlineLevel="0" collapsed="false">
      <c r="A365" s="7" t="n">
        <v>2305</v>
      </c>
      <c r="B365" s="7" t="n">
        <v>57</v>
      </c>
      <c r="C365" s="7" t="s">
        <v>24</v>
      </c>
      <c r="D365" s="7" t="s">
        <v>25</v>
      </c>
      <c r="E365" s="7" t="n">
        <v>0</v>
      </c>
      <c r="F365" s="7" t="n">
        <v>0</v>
      </c>
      <c r="G365" s="7" t="s">
        <v>35</v>
      </c>
      <c r="H365" s="7" t="s">
        <v>27</v>
      </c>
      <c r="I365" s="7" t="n">
        <v>39.6</v>
      </c>
      <c r="J365" s="7" t="s">
        <v>28</v>
      </c>
      <c r="K365" s="7" t="n">
        <v>159.1</v>
      </c>
      <c r="L365" s="7" t="s">
        <v>37</v>
      </c>
      <c r="M365" s="7" t="s">
        <v>38</v>
      </c>
    </row>
    <row r="366" customFormat="false" ht="15" hidden="false" customHeight="true" outlineLevel="0" collapsed="false">
      <c r="A366" s="7" t="n">
        <v>2322</v>
      </c>
      <c r="B366" s="7" t="n">
        <v>38</v>
      </c>
      <c r="C366" s="7" t="s">
        <v>24</v>
      </c>
      <c r="D366" s="7" t="s">
        <v>25</v>
      </c>
      <c r="E366" s="7" t="n">
        <v>0</v>
      </c>
      <c r="F366" s="7" t="n">
        <v>0</v>
      </c>
      <c r="G366" s="7" t="s">
        <v>34</v>
      </c>
      <c r="H366" s="7" t="s">
        <v>27</v>
      </c>
      <c r="I366" s="7" t="n">
        <v>37</v>
      </c>
      <c r="J366" s="7" t="s">
        <v>28</v>
      </c>
      <c r="K366" s="7" t="n">
        <v>245.9</v>
      </c>
      <c r="L366" s="7" t="s">
        <v>37</v>
      </c>
      <c r="M366" s="7" t="s">
        <v>38</v>
      </c>
    </row>
    <row r="367" customFormat="false" ht="15" hidden="false" customHeight="true" outlineLevel="0" collapsed="false">
      <c r="A367" s="7" t="n">
        <v>2331</v>
      </c>
      <c r="B367" s="7" t="n">
        <v>18</v>
      </c>
      <c r="C367" s="7" t="s">
        <v>24</v>
      </c>
      <c r="D367" s="7" t="s">
        <v>25</v>
      </c>
      <c r="E367" s="7" t="n">
        <v>0</v>
      </c>
      <c r="F367" s="7" t="n">
        <v>0</v>
      </c>
      <c r="G367" s="7" t="s">
        <v>36</v>
      </c>
      <c r="H367" s="7" t="s">
        <v>27</v>
      </c>
      <c r="I367" s="7" t="n">
        <v>39.2</v>
      </c>
      <c r="J367" s="7" t="s">
        <v>28</v>
      </c>
      <c r="K367" s="7" t="n">
        <v>217.8</v>
      </c>
      <c r="L367" s="7" t="s">
        <v>37</v>
      </c>
      <c r="M367" s="7" t="s">
        <v>38</v>
      </c>
    </row>
    <row r="368" customFormat="false" ht="15" hidden="false" customHeight="true" outlineLevel="0" collapsed="false">
      <c r="A368" s="7" t="n">
        <v>2345</v>
      </c>
      <c r="B368" s="7" t="n">
        <v>76</v>
      </c>
      <c r="C368" s="7" t="s">
        <v>24</v>
      </c>
      <c r="D368" s="7" t="s">
        <v>25</v>
      </c>
      <c r="E368" s="7" t="n">
        <v>0</v>
      </c>
      <c r="F368" s="7" t="n">
        <v>0</v>
      </c>
      <c r="G368" s="7" t="s">
        <v>36</v>
      </c>
      <c r="H368" s="7" t="s">
        <v>32</v>
      </c>
      <c r="I368" s="7" t="n">
        <v>25.2</v>
      </c>
      <c r="J368" s="7" t="s">
        <v>28</v>
      </c>
      <c r="K368" s="7" t="n">
        <v>267.2</v>
      </c>
      <c r="L368" s="7" t="s">
        <v>37</v>
      </c>
      <c r="M368" s="7" t="s">
        <v>38</v>
      </c>
    </row>
    <row r="369" customFormat="false" ht="15" hidden="false" customHeight="true" outlineLevel="0" collapsed="false">
      <c r="A369" s="7" t="n">
        <v>2392</v>
      </c>
      <c r="B369" s="7" t="n">
        <v>38</v>
      </c>
      <c r="C369" s="7" t="s">
        <v>33</v>
      </c>
      <c r="D369" s="7" t="s">
        <v>25</v>
      </c>
      <c r="E369" s="7" t="n">
        <v>0</v>
      </c>
      <c r="F369" s="7" t="n">
        <v>0</v>
      </c>
      <c r="G369" s="7" t="s">
        <v>36</v>
      </c>
      <c r="H369" s="7" t="s">
        <v>27</v>
      </c>
      <c r="I369" s="7" t="n">
        <v>31.3</v>
      </c>
      <c r="J369" s="7" t="s">
        <v>28</v>
      </c>
      <c r="K369" s="7" t="n">
        <v>170.8</v>
      </c>
      <c r="L369" s="7" t="s">
        <v>37</v>
      </c>
      <c r="M369" s="7" t="s">
        <v>38</v>
      </c>
    </row>
    <row r="370" customFormat="false" ht="15" hidden="false" customHeight="true" outlineLevel="0" collapsed="false">
      <c r="A370" s="7" t="n">
        <v>2398</v>
      </c>
      <c r="B370" s="7" t="n">
        <v>61</v>
      </c>
      <c r="C370" s="7" t="s">
        <v>24</v>
      </c>
      <c r="D370" s="7" t="s">
        <v>25</v>
      </c>
      <c r="E370" s="7" t="n">
        <v>0</v>
      </c>
      <c r="F370" s="7" t="n">
        <v>0</v>
      </c>
      <c r="G370" s="7" t="s">
        <v>35</v>
      </c>
      <c r="H370" s="7" t="s">
        <v>27</v>
      </c>
      <c r="I370" s="7" t="n">
        <v>37.3</v>
      </c>
      <c r="J370" s="7" t="s">
        <v>28</v>
      </c>
      <c r="K370" s="7" t="n">
        <v>277.7</v>
      </c>
      <c r="L370" s="7" t="s">
        <v>37</v>
      </c>
      <c r="M370" s="7" t="s">
        <v>38</v>
      </c>
    </row>
    <row r="371" customFormat="false" ht="15" hidden="false" customHeight="true" outlineLevel="0" collapsed="false">
      <c r="A371" s="7" t="n">
        <v>2464</v>
      </c>
      <c r="B371" s="7" t="n">
        <v>55</v>
      </c>
      <c r="C371" s="7" t="s">
        <v>33</v>
      </c>
      <c r="D371" s="7" t="s">
        <v>25</v>
      </c>
      <c r="E371" s="7" t="n">
        <v>0</v>
      </c>
      <c r="F371" s="7" t="n">
        <v>0</v>
      </c>
      <c r="G371" s="7" t="s">
        <v>35</v>
      </c>
      <c r="H371" s="7" t="s">
        <v>27</v>
      </c>
      <c r="I371" s="7" t="n">
        <v>19.8</v>
      </c>
      <c r="J371" s="7" t="s">
        <v>28</v>
      </c>
      <c r="K371" s="7" t="n">
        <v>152</v>
      </c>
      <c r="L371" s="7" t="s">
        <v>37</v>
      </c>
      <c r="M371" s="7" t="s">
        <v>38</v>
      </c>
    </row>
    <row r="372" customFormat="false" ht="15" hidden="false" customHeight="true" outlineLevel="0" collapsed="false">
      <c r="A372" s="7" t="n">
        <v>2472</v>
      </c>
      <c r="B372" s="7" t="n">
        <v>40</v>
      </c>
      <c r="C372" s="7" t="s">
        <v>33</v>
      </c>
      <c r="D372" s="7" t="s">
        <v>25</v>
      </c>
      <c r="E372" s="7" t="n">
        <v>0</v>
      </c>
      <c r="F372" s="7" t="n">
        <v>0</v>
      </c>
      <c r="G372" s="7" t="s">
        <v>36</v>
      </c>
      <c r="H372" s="7" t="s">
        <v>27</v>
      </c>
      <c r="I372" s="7" t="n">
        <v>29.7</v>
      </c>
      <c r="J372" s="7" t="s">
        <v>28</v>
      </c>
      <c r="K372" s="7" t="n">
        <v>295.8</v>
      </c>
      <c r="L372" s="7" t="s">
        <v>37</v>
      </c>
      <c r="M372" s="7" t="s">
        <v>38</v>
      </c>
    </row>
    <row r="373" customFormat="false" ht="15" hidden="false" customHeight="true" outlineLevel="0" collapsed="false">
      <c r="A373" s="7" t="n">
        <v>4</v>
      </c>
      <c r="B373" s="7" t="n">
        <v>77</v>
      </c>
      <c r="C373" s="7" t="s">
        <v>24</v>
      </c>
      <c r="D373" s="7" t="s">
        <v>25</v>
      </c>
      <c r="E373" s="7" t="n">
        <v>0</v>
      </c>
      <c r="F373" s="7" t="n">
        <v>0</v>
      </c>
      <c r="G373" s="7" t="s">
        <v>36</v>
      </c>
      <c r="H373" s="7" t="s">
        <v>27</v>
      </c>
      <c r="I373" s="7" t="n">
        <v>17.4</v>
      </c>
      <c r="J373" s="7" t="s">
        <v>28</v>
      </c>
      <c r="K373" s="7" t="n">
        <v>163.4</v>
      </c>
      <c r="L373" s="7" t="s">
        <v>29</v>
      </c>
      <c r="M373" s="7" t="s">
        <v>38</v>
      </c>
    </row>
    <row r="374" customFormat="false" ht="15" hidden="false" customHeight="true" outlineLevel="0" collapsed="false">
      <c r="A374" s="7" t="n">
        <v>25</v>
      </c>
      <c r="B374" s="7" t="n">
        <v>61</v>
      </c>
      <c r="C374" s="7" t="s">
        <v>24</v>
      </c>
      <c r="D374" s="7" t="s">
        <v>25</v>
      </c>
      <c r="E374" s="7" t="n">
        <v>0</v>
      </c>
      <c r="F374" s="7" t="n">
        <v>0</v>
      </c>
      <c r="G374" s="7" t="s">
        <v>26</v>
      </c>
      <c r="H374" s="7" t="s">
        <v>27</v>
      </c>
      <c r="I374" s="7" t="n">
        <v>39.1</v>
      </c>
      <c r="J374" s="7" t="s">
        <v>28</v>
      </c>
      <c r="K374" s="7" t="n">
        <v>291.6</v>
      </c>
      <c r="L374" s="7" t="s">
        <v>29</v>
      </c>
      <c r="M374" s="7" t="s">
        <v>38</v>
      </c>
    </row>
    <row r="375" customFormat="false" ht="15" hidden="false" customHeight="true" outlineLevel="0" collapsed="false">
      <c r="A375" s="7" t="n">
        <v>35</v>
      </c>
      <c r="B375" s="7" t="n">
        <v>40</v>
      </c>
      <c r="C375" s="7" t="s">
        <v>24</v>
      </c>
      <c r="D375" s="7" t="s">
        <v>25</v>
      </c>
      <c r="E375" s="7" t="n">
        <v>0</v>
      </c>
      <c r="F375" s="7" t="n">
        <v>0</v>
      </c>
      <c r="G375" s="7" t="s">
        <v>36</v>
      </c>
      <c r="H375" s="7" t="s">
        <v>32</v>
      </c>
      <c r="I375" s="7" t="n">
        <v>39.2</v>
      </c>
      <c r="J375" s="7" t="s">
        <v>28</v>
      </c>
      <c r="K375" s="7" t="n">
        <v>122.8</v>
      </c>
      <c r="L375" s="7" t="s">
        <v>29</v>
      </c>
      <c r="M375" s="7" t="s">
        <v>38</v>
      </c>
    </row>
    <row r="376" customFormat="false" ht="15" hidden="false" customHeight="true" outlineLevel="0" collapsed="false">
      <c r="A376" s="7" t="n">
        <v>46</v>
      </c>
      <c r="B376" s="7" t="n">
        <v>36</v>
      </c>
      <c r="C376" s="7" t="s">
        <v>33</v>
      </c>
      <c r="D376" s="7" t="s">
        <v>25</v>
      </c>
      <c r="E376" s="7" t="n">
        <v>0</v>
      </c>
      <c r="F376" s="7" t="n">
        <v>0</v>
      </c>
      <c r="G376" s="7" t="s">
        <v>35</v>
      </c>
      <c r="H376" s="7" t="s">
        <v>27</v>
      </c>
      <c r="I376" s="7" t="n">
        <v>27.1</v>
      </c>
      <c r="J376" s="7" t="s">
        <v>28</v>
      </c>
      <c r="K376" s="7" t="n">
        <v>253.4</v>
      </c>
      <c r="L376" s="7" t="s">
        <v>29</v>
      </c>
      <c r="M376" s="7" t="s">
        <v>38</v>
      </c>
    </row>
    <row r="377" customFormat="false" ht="15" hidden="false" customHeight="true" outlineLevel="0" collapsed="false">
      <c r="A377" s="7" t="n">
        <v>48</v>
      </c>
      <c r="B377" s="7" t="n">
        <v>38</v>
      </c>
      <c r="C377" s="7" t="s">
        <v>24</v>
      </c>
      <c r="D377" s="7" t="s">
        <v>25</v>
      </c>
      <c r="E377" s="7" t="n">
        <v>0</v>
      </c>
      <c r="F377" s="7" t="n">
        <v>0</v>
      </c>
      <c r="G377" s="7" t="s">
        <v>26</v>
      </c>
      <c r="H377" s="7" t="s">
        <v>32</v>
      </c>
      <c r="I377" s="7" t="n">
        <v>18.8</v>
      </c>
      <c r="J377" s="7" t="s">
        <v>28</v>
      </c>
      <c r="K377" s="7" t="n">
        <v>294.5</v>
      </c>
      <c r="L377" s="7" t="s">
        <v>29</v>
      </c>
      <c r="M377" s="7" t="s">
        <v>38</v>
      </c>
    </row>
    <row r="378" customFormat="false" ht="15" hidden="false" customHeight="true" outlineLevel="0" collapsed="false">
      <c r="A378" s="7" t="n">
        <v>65</v>
      </c>
      <c r="B378" s="7" t="n">
        <v>30</v>
      </c>
      <c r="C378" s="7" t="s">
        <v>24</v>
      </c>
      <c r="D378" s="7" t="s">
        <v>25</v>
      </c>
      <c r="E378" s="7" t="n">
        <v>0</v>
      </c>
      <c r="F378" s="7" t="n">
        <v>0</v>
      </c>
      <c r="G378" s="7" t="s">
        <v>34</v>
      </c>
      <c r="H378" s="7" t="s">
        <v>32</v>
      </c>
      <c r="I378" s="7" t="n">
        <v>36.7</v>
      </c>
      <c r="J378" s="7" t="s">
        <v>28</v>
      </c>
      <c r="K378" s="7" t="n">
        <v>135.6</v>
      </c>
      <c r="L378" s="7" t="s">
        <v>29</v>
      </c>
      <c r="M378" s="7" t="s">
        <v>38</v>
      </c>
    </row>
    <row r="379" customFormat="false" ht="15" hidden="false" customHeight="true" outlineLevel="0" collapsed="false">
      <c r="A379" s="7" t="n">
        <v>74</v>
      </c>
      <c r="B379" s="7" t="n">
        <v>59</v>
      </c>
      <c r="C379" s="7" t="s">
        <v>33</v>
      </c>
      <c r="D379" s="7" t="s">
        <v>25</v>
      </c>
      <c r="E379" s="7" t="n">
        <v>0</v>
      </c>
      <c r="F379" s="7" t="n">
        <v>0</v>
      </c>
      <c r="G379" s="7" t="s">
        <v>36</v>
      </c>
      <c r="H379" s="7" t="s">
        <v>32</v>
      </c>
      <c r="I379" s="7" t="n">
        <v>28</v>
      </c>
      <c r="J379" s="7" t="s">
        <v>28</v>
      </c>
      <c r="K379" s="7" t="n">
        <v>203.3</v>
      </c>
      <c r="L379" s="7" t="s">
        <v>29</v>
      </c>
      <c r="M379" s="7" t="s">
        <v>38</v>
      </c>
    </row>
    <row r="380" customFormat="false" ht="15" hidden="false" customHeight="true" outlineLevel="0" collapsed="false">
      <c r="A380" s="7" t="n">
        <v>76</v>
      </c>
      <c r="B380" s="7" t="n">
        <v>32</v>
      </c>
      <c r="C380" s="7" t="s">
        <v>33</v>
      </c>
      <c r="D380" s="7" t="s">
        <v>25</v>
      </c>
      <c r="E380" s="7" t="n">
        <v>0</v>
      </c>
      <c r="F380" s="7" t="n">
        <v>0</v>
      </c>
      <c r="G380" s="7" t="s">
        <v>26</v>
      </c>
      <c r="H380" s="7" t="s">
        <v>27</v>
      </c>
      <c r="I380" s="7" t="n">
        <v>35.5</v>
      </c>
      <c r="J380" s="7" t="s">
        <v>28</v>
      </c>
      <c r="K380" s="7" t="n">
        <v>299.6</v>
      </c>
      <c r="L380" s="7" t="s">
        <v>29</v>
      </c>
      <c r="M380" s="7" t="s">
        <v>38</v>
      </c>
    </row>
    <row r="381" customFormat="false" ht="15" hidden="false" customHeight="true" outlineLevel="0" collapsed="false">
      <c r="A381" s="7" t="n">
        <v>83</v>
      </c>
      <c r="B381" s="7" t="n">
        <v>80</v>
      </c>
      <c r="C381" s="7" t="s">
        <v>24</v>
      </c>
      <c r="D381" s="7" t="s">
        <v>25</v>
      </c>
      <c r="E381" s="7" t="n">
        <v>0</v>
      </c>
      <c r="F381" s="7" t="n">
        <v>0</v>
      </c>
      <c r="G381" s="7" t="s">
        <v>34</v>
      </c>
      <c r="H381" s="7" t="s">
        <v>32</v>
      </c>
      <c r="I381" s="7" t="n">
        <v>40.1</v>
      </c>
      <c r="J381" s="7" t="s">
        <v>28</v>
      </c>
      <c r="K381" s="7" t="n">
        <v>206.6</v>
      </c>
      <c r="L381" s="7" t="s">
        <v>29</v>
      </c>
      <c r="M381" s="7" t="s">
        <v>38</v>
      </c>
    </row>
    <row r="382" customFormat="false" ht="15" hidden="false" customHeight="true" outlineLevel="0" collapsed="false">
      <c r="A382" s="7" t="n">
        <v>85</v>
      </c>
      <c r="B382" s="7" t="n">
        <v>66</v>
      </c>
      <c r="C382" s="7" t="s">
        <v>33</v>
      </c>
      <c r="D382" s="7" t="s">
        <v>25</v>
      </c>
      <c r="E382" s="7" t="n">
        <v>0</v>
      </c>
      <c r="F382" s="7" t="n">
        <v>0</v>
      </c>
      <c r="G382" s="7" t="s">
        <v>34</v>
      </c>
      <c r="H382" s="7" t="s">
        <v>32</v>
      </c>
      <c r="I382" s="7" t="n">
        <v>20.7</v>
      </c>
      <c r="J382" s="7" t="s">
        <v>28</v>
      </c>
      <c r="K382" s="7" t="n">
        <v>135.4</v>
      </c>
      <c r="L382" s="7" t="s">
        <v>29</v>
      </c>
      <c r="M382" s="7" t="s">
        <v>38</v>
      </c>
    </row>
    <row r="383" customFormat="false" ht="15" hidden="false" customHeight="true" outlineLevel="0" collapsed="false">
      <c r="A383" s="7" t="n">
        <v>117</v>
      </c>
      <c r="B383" s="7" t="n">
        <v>30</v>
      </c>
      <c r="C383" s="7" t="s">
        <v>24</v>
      </c>
      <c r="D383" s="7" t="s">
        <v>25</v>
      </c>
      <c r="E383" s="7" t="n">
        <v>0</v>
      </c>
      <c r="F383" s="7" t="n">
        <v>0</v>
      </c>
      <c r="G383" s="7" t="s">
        <v>35</v>
      </c>
      <c r="H383" s="7" t="s">
        <v>32</v>
      </c>
      <c r="I383" s="7" t="n">
        <v>32.8</v>
      </c>
      <c r="J383" s="7" t="s">
        <v>28</v>
      </c>
      <c r="K383" s="7" t="n">
        <v>234.1</v>
      </c>
      <c r="L383" s="7" t="s">
        <v>29</v>
      </c>
      <c r="M383" s="7" t="s">
        <v>38</v>
      </c>
    </row>
    <row r="384" customFormat="false" ht="15" hidden="false" customHeight="true" outlineLevel="0" collapsed="false">
      <c r="A384" s="7" t="n">
        <v>118</v>
      </c>
      <c r="B384" s="7" t="n">
        <v>47</v>
      </c>
      <c r="C384" s="7" t="s">
        <v>33</v>
      </c>
      <c r="D384" s="7" t="s">
        <v>25</v>
      </c>
      <c r="E384" s="7" t="n">
        <v>0</v>
      </c>
      <c r="F384" s="7" t="n">
        <v>0</v>
      </c>
      <c r="G384" s="7" t="s">
        <v>36</v>
      </c>
      <c r="H384" s="7" t="s">
        <v>27</v>
      </c>
      <c r="I384" s="7" t="n">
        <v>38</v>
      </c>
      <c r="J384" s="7" t="s">
        <v>28</v>
      </c>
      <c r="K384" s="7" t="n">
        <v>152.3</v>
      </c>
      <c r="L384" s="7" t="s">
        <v>29</v>
      </c>
      <c r="M384" s="7" t="s">
        <v>38</v>
      </c>
    </row>
    <row r="385" customFormat="false" ht="15" hidden="false" customHeight="true" outlineLevel="0" collapsed="false">
      <c r="A385" s="7" t="n">
        <v>121</v>
      </c>
      <c r="B385" s="7" t="n">
        <v>43</v>
      </c>
      <c r="C385" s="7" t="s">
        <v>24</v>
      </c>
      <c r="D385" s="7" t="s">
        <v>25</v>
      </c>
      <c r="E385" s="7" t="n">
        <v>0</v>
      </c>
      <c r="F385" s="7" t="n">
        <v>0</v>
      </c>
      <c r="G385" s="7" t="s">
        <v>36</v>
      </c>
      <c r="H385" s="7" t="s">
        <v>32</v>
      </c>
      <c r="I385" s="7" t="n">
        <v>27.7</v>
      </c>
      <c r="J385" s="7" t="s">
        <v>28</v>
      </c>
      <c r="K385" s="7" t="n">
        <v>149.5</v>
      </c>
      <c r="L385" s="7" t="s">
        <v>29</v>
      </c>
      <c r="M385" s="7" t="s">
        <v>38</v>
      </c>
    </row>
    <row r="386" customFormat="false" ht="15" hidden="false" customHeight="true" outlineLevel="0" collapsed="false">
      <c r="A386" s="7" t="n">
        <v>144</v>
      </c>
      <c r="B386" s="7" t="n">
        <v>70</v>
      </c>
      <c r="C386" s="7" t="s">
        <v>24</v>
      </c>
      <c r="D386" s="7" t="s">
        <v>25</v>
      </c>
      <c r="E386" s="7" t="n">
        <v>0</v>
      </c>
      <c r="F386" s="7" t="n">
        <v>0</v>
      </c>
      <c r="G386" s="7" t="s">
        <v>35</v>
      </c>
      <c r="H386" s="7" t="s">
        <v>27</v>
      </c>
      <c r="I386" s="7" t="n">
        <v>40.8</v>
      </c>
      <c r="J386" s="7" t="s">
        <v>28</v>
      </c>
      <c r="K386" s="7" t="n">
        <v>276.2</v>
      </c>
      <c r="L386" s="7" t="s">
        <v>29</v>
      </c>
      <c r="M386" s="7" t="s">
        <v>38</v>
      </c>
    </row>
    <row r="387" customFormat="false" ht="15" hidden="false" customHeight="true" outlineLevel="0" collapsed="false">
      <c r="A387" s="7" t="n">
        <v>152</v>
      </c>
      <c r="B387" s="7" t="n">
        <v>65</v>
      </c>
      <c r="C387" s="7" t="s">
        <v>33</v>
      </c>
      <c r="D387" s="7" t="s">
        <v>25</v>
      </c>
      <c r="E387" s="7" t="n">
        <v>0</v>
      </c>
      <c r="F387" s="7" t="n">
        <v>0</v>
      </c>
      <c r="G387" s="7" t="s">
        <v>31</v>
      </c>
      <c r="H387" s="7" t="s">
        <v>27</v>
      </c>
      <c r="I387" s="7" t="n">
        <v>26.9</v>
      </c>
      <c r="J387" s="7" t="s">
        <v>28</v>
      </c>
      <c r="K387" s="7" t="n">
        <v>254.4</v>
      </c>
      <c r="L387" s="7" t="s">
        <v>29</v>
      </c>
      <c r="M387" s="7" t="s">
        <v>38</v>
      </c>
    </row>
    <row r="388" customFormat="false" ht="15" hidden="false" customHeight="true" outlineLevel="0" collapsed="false">
      <c r="A388" s="7" t="n">
        <v>158</v>
      </c>
      <c r="B388" s="7" t="n">
        <v>53</v>
      </c>
      <c r="C388" s="7" t="s">
        <v>24</v>
      </c>
      <c r="D388" s="7" t="s">
        <v>25</v>
      </c>
      <c r="E388" s="7" t="n">
        <v>0</v>
      </c>
      <c r="F388" s="7" t="n">
        <v>0</v>
      </c>
      <c r="G388" s="7" t="s">
        <v>34</v>
      </c>
      <c r="H388" s="7" t="s">
        <v>27</v>
      </c>
      <c r="I388" s="7" t="n">
        <v>20.8</v>
      </c>
      <c r="J388" s="7" t="s">
        <v>28</v>
      </c>
      <c r="K388" s="7" t="n">
        <v>276.5</v>
      </c>
      <c r="L388" s="7" t="s">
        <v>29</v>
      </c>
      <c r="M388" s="7" t="s">
        <v>38</v>
      </c>
    </row>
    <row r="389" customFormat="false" ht="15" hidden="false" customHeight="true" outlineLevel="0" collapsed="false">
      <c r="A389" s="7" t="n">
        <v>175</v>
      </c>
      <c r="B389" s="7" t="n">
        <v>44</v>
      </c>
      <c r="C389" s="7" t="s">
        <v>24</v>
      </c>
      <c r="D389" s="7" t="s">
        <v>25</v>
      </c>
      <c r="E389" s="7" t="n">
        <v>0</v>
      </c>
      <c r="F389" s="7" t="n">
        <v>0</v>
      </c>
      <c r="G389" s="7" t="s">
        <v>26</v>
      </c>
      <c r="H389" s="7" t="s">
        <v>27</v>
      </c>
      <c r="I389" s="7" t="n">
        <v>41.1</v>
      </c>
      <c r="J389" s="7" t="s">
        <v>28</v>
      </c>
      <c r="K389" s="7" t="n">
        <v>144.1</v>
      </c>
      <c r="L389" s="7" t="s">
        <v>29</v>
      </c>
      <c r="M389" s="7" t="s">
        <v>38</v>
      </c>
    </row>
    <row r="390" customFormat="false" ht="15" hidden="false" customHeight="true" outlineLevel="0" collapsed="false">
      <c r="A390" s="7" t="n">
        <v>177</v>
      </c>
      <c r="B390" s="7" t="n">
        <v>28</v>
      </c>
      <c r="C390" s="7" t="s">
        <v>33</v>
      </c>
      <c r="D390" s="7" t="s">
        <v>25</v>
      </c>
      <c r="E390" s="7" t="n">
        <v>0</v>
      </c>
      <c r="F390" s="7" t="n">
        <v>0</v>
      </c>
      <c r="G390" s="7" t="s">
        <v>26</v>
      </c>
      <c r="H390" s="7" t="s">
        <v>32</v>
      </c>
      <c r="I390" s="7" t="n">
        <v>19.5</v>
      </c>
      <c r="J390" s="7" t="s">
        <v>28</v>
      </c>
      <c r="K390" s="7" t="n">
        <v>147</v>
      </c>
      <c r="L390" s="7" t="s">
        <v>29</v>
      </c>
      <c r="M390" s="7" t="s">
        <v>38</v>
      </c>
    </row>
    <row r="391" customFormat="false" ht="15" hidden="false" customHeight="true" outlineLevel="0" collapsed="false">
      <c r="A391" s="7" t="n">
        <v>184</v>
      </c>
      <c r="B391" s="7" t="n">
        <v>53</v>
      </c>
      <c r="C391" s="7" t="s">
        <v>24</v>
      </c>
      <c r="D391" s="7" t="s">
        <v>25</v>
      </c>
      <c r="E391" s="7" t="n">
        <v>0</v>
      </c>
      <c r="F391" s="7" t="n">
        <v>0</v>
      </c>
      <c r="G391" s="7" t="s">
        <v>35</v>
      </c>
      <c r="H391" s="7" t="s">
        <v>32</v>
      </c>
      <c r="I391" s="7" t="n">
        <v>32</v>
      </c>
      <c r="J391" s="7" t="s">
        <v>28</v>
      </c>
      <c r="K391" s="7" t="n">
        <v>254.7</v>
      </c>
      <c r="L391" s="7" t="s">
        <v>29</v>
      </c>
      <c r="M391" s="7" t="s">
        <v>38</v>
      </c>
    </row>
    <row r="392" customFormat="false" ht="15" hidden="false" customHeight="true" outlineLevel="0" collapsed="false">
      <c r="A392" s="7" t="n">
        <v>186</v>
      </c>
      <c r="B392" s="7" t="n">
        <v>61</v>
      </c>
      <c r="C392" s="7" t="s">
        <v>24</v>
      </c>
      <c r="D392" s="7" t="s">
        <v>25</v>
      </c>
      <c r="E392" s="7" t="n">
        <v>0</v>
      </c>
      <c r="F392" s="7" t="n">
        <v>0</v>
      </c>
      <c r="G392" s="7" t="s">
        <v>35</v>
      </c>
      <c r="H392" s="7" t="s">
        <v>32</v>
      </c>
      <c r="I392" s="7" t="n">
        <v>33.1</v>
      </c>
      <c r="J392" s="7" t="s">
        <v>28</v>
      </c>
      <c r="K392" s="7" t="n">
        <v>266.9</v>
      </c>
      <c r="L392" s="7" t="s">
        <v>29</v>
      </c>
      <c r="M392" s="7" t="s">
        <v>38</v>
      </c>
    </row>
    <row r="393" customFormat="false" ht="15" hidden="false" customHeight="true" outlineLevel="0" collapsed="false">
      <c r="A393" s="7" t="n">
        <v>221</v>
      </c>
      <c r="B393" s="7" t="n">
        <v>23</v>
      </c>
      <c r="C393" s="7" t="s">
        <v>33</v>
      </c>
      <c r="D393" s="7" t="s">
        <v>25</v>
      </c>
      <c r="E393" s="7" t="n">
        <v>0</v>
      </c>
      <c r="F393" s="7" t="n">
        <v>0</v>
      </c>
      <c r="G393" s="7" t="s">
        <v>35</v>
      </c>
      <c r="H393" s="7" t="s">
        <v>27</v>
      </c>
      <c r="I393" s="7" t="n">
        <v>19.8</v>
      </c>
      <c r="J393" s="7" t="s">
        <v>28</v>
      </c>
      <c r="K393" s="7" t="n">
        <v>202.9</v>
      </c>
      <c r="L393" s="7" t="s">
        <v>29</v>
      </c>
      <c r="M393" s="7" t="s">
        <v>38</v>
      </c>
    </row>
    <row r="394" customFormat="false" ht="15" hidden="false" customHeight="true" outlineLevel="0" collapsed="false">
      <c r="A394" s="7" t="n">
        <v>226</v>
      </c>
      <c r="B394" s="7" t="n">
        <v>72</v>
      </c>
      <c r="C394" s="7" t="s">
        <v>24</v>
      </c>
      <c r="D394" s="7" t="s">
        <v>25</v>
      </c>
      <c r="E394" s="7" t="n">
        <v>0</v>
      </c>
      <c r="F394" s="7" t="n">
        <v>0</v>
      </c>
      <c r="G394" s="7" t="s">
        <v>26</v>
      </c>
      <c r="H394" s="7" t="s">
        <v>32</v>
      </c>
      <c r="I394" s="7" t="n">
        <v>24.1</v>
      </c>
      <c r="J394" s="7" t="s">
        <v>28</v>
      </c>
      <c r="K394" s="7" t="n">
        <v>168.2</v>
      </c>
      <c r="L394" s="7" t="s">
        <v>29</v>
      </c>
      <c r="M394" s="7" t="s">
        <v>38</v>
      </c>
    </row>
    <row r="395" customFormat="false" ht="15" hidden="false" customHeight="true" outlineLevel="0" collapsed="false">
      <c r="A395" s="7" t="n">
        <v>254</v>
      </c>
      <c r="B395" s="7" t="n">
        <v>86</v>
      </c>
      <c r="C395" s="7" t="s">
        <v>33</v>
      </c>
      <c r="D395" s="7" t="s">
        <v>25</v>
      </c>
      <c r="E395" s="7" t="n">
        <v>0</v>
      </c>
      <c r="F395" s="7" t="n">
        <v>0</v>
      </c>
      <c r="G395" s="7" t="s">
        <v>26</v>
      </c>
      <c r="H395" s="7" t="s">
        <v>32</v>
      </c>
      <c r="I395" s="7" t="n">
        <v>17.5</v>
      </c>
      <c r="J395" s="7" t="s">
        <v>28</v>
      </c>
      <c r="K395" s="7" t="n">
        <v>243.8</v>
      </c>
      <c r="L395" s="7" t="s">
        <v>29</v>
      </c>
      <c r="M395" s="7" t="s">
        <v>38</v>
      </c>
    </row>
    <row r="396" customFormat="false" ht="15" hidden="false" customHeight="true" outlineLevel="0" collapsed="false">
      <c r="A396" s="7" t="n">
        <v>271</v>
      </c>
      <c r="B396" s="7" t="n">
        <v>54</v>
      </c>
      <c r="C396" s="7" t="s">
        <v>24</v>
      </c>
      <c r="D396" s="7" t="s">
        <v>25</v>
      </c>
      <c r="E396" s="7" t="n">
        <v>0</v>
      </c>
      <c r="F396" s="7" t="n">
        <v>0</v>
      </c>
      <c r="G396" s="7" t="s">
        <v>36</v>
      </c>
      <c r="H396" s="7" t="s">
        <v>27</v>
      </c>
      <c r="I396" s="7" t="n">
        <v>20.1</v>
      </c>
      <c r="J396" s="7" t="s">
        <v>28</v>
      </c>
      <c r="K396" s="7" t="n">
        <v>208.7</v>
      </c>
      <c r="L396" s="7" t="s">
        <v>29</v>
      </c>
      <c r="M396" s="7" t="s">
        <v>38</v>
      </c>
    </row>
    <row r="397" customFormat="false" ht="15" hidden="false" customHeight="true" outlineLevel="0" collapsed="false">
      <c r="A397" s="7" t="n">
        <v>279</v>
      </c>
      <c r="B397" s="7" t="n">
        <v>71</v>
      </c>
      <c r="C397" s="7" t="s">
        <v>33</v>
      </c>
      <c r="D397" s="7" t="s">
        <v>25</v>
      </c>
      <c r="E397" s="7" t="n">
        <v>0</v>
      </c>
      <c r="F397" s="7" t="n">
        <v>0</v>
      </c>
      <c r="G397" s="7" t="s">
        <v>36</v>
      </c>
      <c r="H397" s="7" t="s">
        <v>27</v>
      </c>
      <c r="I397" s="7" t="n">
        <v>36</v>
      </c>
      <c r="J397" s="7" t="s">
        <v>28</v>
      </c>
      <c r="K397" s="7" t="n">
        <v>290.8</v>
      </c>
      <c r="L397" s="7" t="s">
        <v>29</v>
      </c>
      <c r="M397" s="7" t="s">
        <v>38</v>
      </c>
    </row>
    <row r="398" customFormat="false" ht="15" hidden="false" customHeight="true" outlineLevel="0" collapsed="false">
      <c r="A398" s="7" t="n">
        <v>307</v>
      </c>
      <c r="B398" s="7" t="n">
        <v>66</v>
      </c>
      <c r="C398" s="7" t="s">
        <v>24</v>
      </c>
      <c r="D398" s="7" t="s">
        <v>25</v>
      </c>
      <c r="E398" s="7" t="n">
        <v>0</v>
      </c>
      <c r="F398" s="7" t="n">
        <v>0</v>
      </c>
      <c r="G398" s="7" t="s">
        <v>35</v>
      </c>
      <c r="H398" s="7" t="s">
        <v>27</v>
      </c>
      <c r="I398" s="7" t="n">
        <v>29.9</v>
      </c>
      <c r="J398" s="7" t="s">
        <v>28</v>
      </c>
      <c r="K398" s="7" t="n">
        <v>233.5</v>
      </c>
      <c r="L398" s="7" t="s">
        <v>29</v>
      </c>
      <c r="M398" s="7" t="s">
        <v>38</v>
      </c>
    </row>
    <row r="399" customFormat="false" ht="15" hidden="false" customHeight="true" outlineLevel="0" collapsed="false">
      <c r="A399" s="7" t="n">
        <v>308</v>
      </c>
      <c r="B399" s="7" t="n">
        <v>72</v>
      </c>
      <c r="C399" s="7" t="s">
        <v>33</v>
      </c>
      <c r="D399" s="7" t="s">
        <v>25</v>
      </c>
      <c r="E399" s="7" t="n">
        <v>0</v>
      </c>
      <c r="F399" s="7" t="n">
        <v>0</v>
      </c>
      <c r="G399" s="7" t="s">
        <v>35</v>
      </c>
      <c r="H399" s="7" t="s">
        <v>27</v>
      </c>
      <c r="I399" s="7" t="n">
        <v>40.8</v>
      </c>
      <c r="J399" s="7" t="s">
        <v>28</v>
      </c>
      <c r="K399" s="7" t="n">
        <v>136.6</v>
      </c>
      <c r="L399" s="7" t="s">
        <v>29</v>
      </c>
      <c r="M399" s="7" t="s">
        <v>38</v>
      </c>
    </row>
    <row r="400" customFormat="false" ht="15" hidden="false" customHeight="true" outlineLevel="0" collapsed="false">
      <c r="A400" s="7" t="n">
        <v>325</v>
      </c>
      <c r="B400" s="7" t="n">
        <v>64</v>
      </c>
      <c r="C400" s="7" t="s">
        <v>24</v>
      </c>
      <c r="D400" s="7" t="s">
        <v>25</v>
      </c>
      <c r="E400" s="7" t="n">
        <v>0</v>
      </c>
      <c r="F400" s="7" t="n">
        <v>0</v>
      </c>
      <c r="G400" s="7" t="s">
        <v>35</v>
      </c>
      <c r="H400" s="7" t="s">
        <v>27</v>
      </c>
      <c r="I400" s="7" t="n">
        <v>35.7</v>
      </c>
      <c r="J400" s="7" t="s">
        <v>28</v>
      </c>
      <c r="K400" s="7" t="n">
        <v>297.5</v>
      </c>
      <c r="L400" s="7" t="s">
        <v>29</v>
      </c>
      <c r="M400" s="7" t="s">
        <v>38</v>
      </c>
    </row>
    <row r="401" customFormat="false" ht="15" hidden="false" customHeight="true" outlineLevel="0" collapsed="false">
      <c r="A401" s="7" t="n">
        <v>334</v>
      </c>
      <c r="B401" s="7" t="n">
        <v>78</v>
      </c>
      <c r="C401" s="7" t="s">
        <v>24</v>
      </c>
      <c r="D401" s="7" t="s">
        <v>25</v>
      </c>
      <c r="E401" s="7" t="n">
        <v>0</v>
      </c>
      <c r="F401" s="7" t="n">
        <v>0</v>
      </c>
      <c r="G401" s="7" t="s">
        <v>34</v>
      </c>
      <c r="H401" s="7" t="s">
        <v>27</v>
      </c>
      <c r="I401" s="7" t="n">
        <v>27.7</v>
      </c>
      <c r="J401" s="7" t="s">
        <v>28</v>
      </c>
      <c r="K401" s="7" t="n">
        <v>213.8</v>
      </c>
      <c r="L401" s="7" t="s">
        <v>29</v>
      </c>
      <c r="M401" s="7" t="s">
        <v>38</v>
      </c>
    </row>
    <row r="402" customFormat="false" ht="15" hidden="false" customHeight="true" outlineLevel="0" collapsed="false">
      <c r="A402" s="7" t="n">
        <v>337</v>
      </c>
      <c r="B402" s="7" t="n">
        <v>27</v>
      </c>
      <c r="C402" s="7" t="s">
        <v>24</v>
      </c>
      <c r="D402" s="7" t="s">
        <v>25</v>
      </c>
      <c r="E402" s="7" t="n">
        <v>0</v>
      </c>
      <c r="F402" s="7" t="n">
        <v>0</v>
      </c>
      <c r="G402" s="7" t="s">
        <v>35</v>
      </c>
      <c r="H402" s="7" t="s">
        <v>27</v>
      </c>
      <c r="I402" s="7" t="n">
        <v>18.9</v>
      </c>
      <c r="J402" s="7" t="s">
        <v>28</v>
      </c>
      <c r="K402" s="7" t="n">
        <v>188.9</v>
      </c>
      <c r="L402" s="7" t="s">
        <v>29</v>
      </c>
      <c r="M402" s="7" t="s">
        <v>38</v>
      </c>
    </row>
    <row r="403" customFormat="false" ht="15" hidden="false" customHeight="true" outlineLevel="0" collapsed="false">
      <c r="A403" s="7" t="n">
        <v>377</v>
      </c>
      <c r="B403" s="7" t="n">
        <v>69</v>
      </c>
      <c r="C403" s="7" t="s">
        <v>33</v>
      </c>
      <c r="D403" s="7" t="s">
        <v>25</v>
      </c>
      <c r="E403" s="7" t="n">
        <v>0</v>
      </c>
      <c r="F403" s="7" t="n">
        <v>0</v>
      </c>
      <c r="G403" s="7" t="s">
        <v>34</v>
      </c>
      <c r="H403" s="7" t="s">
        <v>27</v>
      </c>
      <c r="I403" s="7" t="n">
        <v>19.9</v>
      </c>
      <c r="J403" s="7" t="s">
        <v>28</v>
      </c>
      <c r="K403" s="7" t="n">
        <v>282.4</v>
      </c>
      <c r="L403" s="7" t="s">
        <v>29</v>
      </c>
      <c r="M403" s="7" t="s">
        <v>38</v>
      </c>
    </row>
    <row r="404" customFormat="false" ht="15" hidden="false" customHeight="true" outlineLevel="0" collapsed="false">
      <c r="A404" s="7" t="n">
        <v>379</v>
      </c>
      <c r="B404" s="7" t="n">
        <v>70</v>
      </c>
      <c r="C404" s="7" t="s">
        <v>33</v>
      </c>
      <c r="D404" s="7" t="s">
        <v>25</v>
      </c>
      <c r="E404" s="7" t="n">
        <v>0</v>
      </c>
      <c r="F404" s="7" t="n">
        <v>0</v>
      </c>
      <c r="G404" s="7" t="s">
        <v>26</v>
      </c>
      <c r="H404" s="7" t="s">
        <v>27</v>
      </c>
      <c r="I404" s="7" t="n">
        <v>41.5</v>
      </c>
      <c r="J404" s="7" t="s">
        <v>28</v>
      </c>
      <c r="K404" s="7" t="n">
        <v>132.1</v>
      </c>
      <c r="L404" s="7" t="s">
        <v>29</v>
      </c>
      <c r="M404" s="7" t="s">
        <v>38</v>
      </c>
    </row>
    <row r="405" customFormat="false" ht="15" hidden="false" customHeight="true" outlineLevel="0" collapsed="false">
      <c r="A405" s="7" t="n">
        <v>382</v>
      </c>
      <c r="B405" s="7" t="n">
        <v>80</v>
      </c>
      <c r="C405" s="7" t="s">
        <v>24</v>
      </c>
      <c r="D405" s="7" t="s">
        <v>25</v>
      </c>
      <c r="E405" s="7" t="n">
        <v>0</v>
      </c>
      <c r="F405" s="7" t="n">
        <v>0</v>
      </c>
      <c r="G405" s="7" t="s">
        <v>36</v>
      </c>
      <c r="H405" s="7" t="s">
        <v>32</v>
      </c>
      <c r="I405" s="7" t="n">
        <v>37.5</v>
      </c>
      <c r="J405" s="7" t="s">
        <v>28</v>
      </c>
      <c r="K405" s="7" t="n">
        <v>183.1</v>
      </c>
      <c r="L405" s="7" t="s">
        <v>29</v>
      </c>
      <c r="M405" s="7" t="s">
        <v>38</v>
      </c>
    </row>
    <row r="406" customFormat="false" ht="15" hidden="false" customHeight="true" outlineLevel="0" collapsed="false">
      <c r="A406" s="7" t="n">
        <v>390</v>
      </c>
      <c r="B406" s="7" t="n">
        <v>47</v>
      </c>
      <c r="C406" s="7" t="s">
        <v>24</v>
      </c>
      <c r="D406" s="7" t="s">
        <v>25</v>
      </c>
      <c r="E406" s="7" t="n">
        <v>0</v>
      </c>
      <c r="F406" s="7" t="n">
        <v>0</v>
      </c>
      <c r="G406" s="7" t="s">
        <v>36</v>
      </c>
      <c r="H406" s="7" t="s">
        <v>27</v>
      </c>
      <c r="I406" s="7" t="n">
        <v>36.5</v>
      </c>
      <c r="J406" s="7" t="s">
        <v>28</v>
      </c>
      <c r="K406" s="7" t="n">
        <v>199.9</v>
      </c>
      <c r="L406" s="7" t="s">
        <v>29</v>
      </c>
      <c r="M406" s="7" t="s">
        <v>38</v>
      </c>
    </row>
    <row r="407" customFormat="false" ht="15" hidden="false" customHeight="true" outlineLevel="0" collapsed="false">
      <c r="A407" s="7" t="n">
        <v>430</v>
      </c>
      <c r="B407" s="7" t="n">
        <v>46</v>
      </c>
      <c r="C407" s="7" t="s">
        <v>24</v>
      </c>
      <c r="D407" s="7" t="s">
        <v>25</v>
      </c>
      <c r="E407" s="7" t="n">
        <v>0</v>
      </c>
      <c r="F407" s="7" t="n">
        <v>0</v>
      </c>
      <c r="G407" s="7" t="s">
        <v>35</v>
      </c>
      <c r="H407" s="7" t="s">
        <v>27</v>
      </c>
      <c r="I407" s="7" t="n">
        <v>27.8</v>
      </c>
      <c r="J407" s="7" t="s">
        <v>28</v>
      </c>
      <c r="K407" s="7" t="n">
        <v>134.5</v>
      </c>
      <c r="L407" s="7" t="s">
        <v>29</v>
      </c>
      <c r="M407" s="7" t="s">
        <v>38</v>
      </c>
    </row>
    <row r="408" customFormat="false" ht="15" hidden="false" customHeight="true" outlineLevel="0" collapsed="false">
      <c r="A408" s="7" t="n">
        <v>432</v>
      </c>
      <c r="B408" s="7" t="n">
        <v>23</v>
      </c>
      <c r="C408" s="7" t="s">
        <v>24</v>
      </c>
      <c r="D408" s="7" t="s">
        <v>25</v>
      </c>
      <c r="E408" s="7" t="n">
        <v>0</v>
      </c>
      <c r="F408" s="7" t="n">
        <v>0</v>
      </c>
      <c r="G408" s="7" t="s">
        <v>31</v>
      </c>
      <c r="H408" s="7" t="s">
        <v>27</v>
      </c>
      <c r="I408" s="7" t="n">
        <v>27.1</v>
      </c>
      <c r="J408" s="7" t="s">
        <v>28</v>
      </c>
      <c r="K408" s="7" t="n">
        <v>224.5</v>
      </c>
      <c r="L408" s="7" t="s">
        <v>29</v>
      </c>
      <c r="M408" s="7" t="s">
        <v>38</v>
      </c>
    </row>
    <row r="409" customFormat="false" ht="15" hidden="false" customHeight="true" outlineLevel="0" collapsed="false">
      <c r="A409" s="7" t="n">
        <v>436</v>
      </c>
      <c r="B409" s="7" t="n">
        <v>33</v>
      </c>
      <c r="C409" s="7" t="s">
        <v>33</v>
      </c>
      <c r="D409" s="7" t="s">
        <v>25</v>
      </c>
      <c r="E409" s="7" t="n">
        <v>0</v>
      </c>
      <c r="F409" s="7" t="n">
        <v>0</v>
      </c>
      <c r="G409" s="7" t="s">
        <v>31</v>
      </c>
      <c r="H409" s="7" t="s">
        <v>27</v>
      </c>
      <c r="I409" s="7" t="n">
        <v>17.4</v>
      </c>
      <c r="J409" s="7" t="s">
        <v>28</v>
      </c>
      <c r="K409" s="7" t="n">
        <v>123.8</v>
      </c>
      <c r="L409" s="7" t="s">
        <v>29</v>
      </c>
      <c r="M409" s="7" t="s">
        <v>38</v>
      </c>
    </row>
    <row r="410" customFormat="false" ht="15" hidden="false" customHeight="true" outlineLevel="0" collapsed="false">
      <c r="A410" s="7" t="n">
        <v>445</v>
      </c>
      <c r="B410" s="7" t="n">
        <v>40</v>
      </c>
      <c r="C410" s="7" t="s">
        <v>24</v>
      </c>
      <c r="D410" s="7" t="s">
        <v>25</v>
      </c>
      <c r="E410" s="7" t="n">
        <v>0</v>
      </c>
      <c r="F410" s="7" t="n">
        <v>0</v>
      </c>
      <c r="G410" s="7" t="s">
        <v>35</v>
      </c>
      <c r="H410" s="7" t="s">
        <v>27</v>
      </c>
      <c r="I410" s="7" t="n">
        <v>35.3</v>
      </c>
      <c r="J410" s="7" t="s">
        <v>28</v>
      </c>
      <c r="K410" s="7" t="n">
        <v>224.1</v>
      </c>
      <c r="L410" s="7" t="s">
        <v>29</v>
      </c>
      <c r="M410" s="7" t="s">
        <v>38</v>
      </c>
    </row>
    <row r="411" customFormat="false" ht="15" hidden="false" customHeight="true" outlineLevel="0" collapsed="false">
      <c r="A411" s="7" t="n">
        <v>447</v>
      </c>
      <c r="B411" s="7" t="n">
        <v>72</v>
      </c>
      <c r="C411" s="7" t="s">
        <v>33</v>
      </c>
      <c r="D411" s="7" t="s">
        <v>25</v>
      </c>
      <c r="E411" s="7" t="n">
        <v>0</v>
      </c>
      <c r="F411" s="7" t="n">
        <v>0</v>
      </c>
      <c r="G411" s="7" t="s">
        <v>26</v>
      </c>
      <c r="H411" s="7" t="s">
        <v>27</v>
      </c>
      <c r="I411" s="7" t="n">
        <v>20.2</v>
      </c>
      <c r="J411" s="7" t="s">
        <v>28</v>
      </c>
      <c r="K411" s="7" t="n">
        <v>183.8</v>
      </c>
      <c r="L411" s="7" t="s">
        <v>29</v>
      </c>
      <c r="M411" s="7" t="s">
        <v>38</v>
      </c>
    </row>
    <row r="412" customFormat="false" ht="15" hidden="false" customHeight="true" outlineLevel="0" collapsed="false">
      <c r="A412" s="7" t="n">
        <v>466</v>
      </c>
      <c r="B412" s="7" t="n">
        <v>24</v>
      </c>
      <c r="C412" s="7" t="s">
        <v>33</v>
      </c>
      <c r="D412" s="7" t="s">
        <v>25</v>
      </c>
      <c r="E412" s="7" t="n">
        <v>0</v>
      </c>
      <c r="F412" s="7" t="n">
        <v>0</v>
      </c>
      <c r="G412" s="7" t="s">
        <v>34</v>
      </c>
      <c r="H412" s="7" t="s">
        <v>27</v>
      </c>
      <c r="I412" s="7" t="n">
        <v>38.2</v>
      </c>
      <c r="J412" s="7" t="s">
        <v>28</v>
      </c>
      <c r="K412" s="7" t="n">
        <v>150.3</v>
      </c>
      <c r="L412" s="7" t="s">
        <v>29</v>
      </c>
      <c r="M412" s="7" t="s">
        <v>38</v>
      </c>
    </row>
    <row r="413" customFormat="false" ht="15" hidden="false" customHeight="true" outlineLevel="0" collapsed="false">
      <c r="A413" s="7" t="n">
        <v>479</v>
      </c>
      <c r="B413" s="7" t="n">
        <v>39</v>
      </c>
      <c r="C413" s="7" t="s">
        <v>33</v>
      </c>
      <c r="D413" s="7" t="s">
        <v>25</v>
      </c>
      <c r="E413" s="7" t="n">
        <v>0</v>
      </c>
      <c r="F413" s="7" t="n">
        <v>0</v>
      </c>
      <c r="G413" s="7" t="s">
        <v>31</v>
      </c>
      <c r="H413" s="7" t="s">
        <v>32</v>
      </c>
      <c r="I413" s="7" t="n">
        <v>35.4</v>
      </c>
      <c r="J413" s="7" t="s">
        <v>28</v>
      </c>
      <c r="K413" s="7" t="n">
        <v>271.2</v>
      </c>
      <c r="L413" s="7" t="s">
        <v>29</v>
      </c>
      <c r="M413" s="7" t="s">
        <v>38</v>
      </c>
    </row>
    <row r="414" customFormat="false" ht="15" hidden="false" customHeight="true" outlineLevel="0" collapsed="false">
      <c r="A414" s="7" t="n">
        <v>484</v>
      </c>
      <c r="B414" s="7" t="n">
        <v>35</v>
      </c>
      <c r="C414" s="7" t="s">
        <v>24</v>
      </c>
      <c r="D414" s="7" t="s">
        <v>25</v>
      </c>
      <c r="E414" s="7" t="n">
        <v>0</v>
      </c>
      <c r="F414" s="7" t="n">
        <v>0</v>
      </c>
      <c r="G414" s="7" t="s">
        <v>26</v>
      </c>
      <c r="H414" s="7" t="s">
        <v>27</v>
      </c>
      <c r="I414" s="7" t="n">
        <v>40.8</v>
      </c>
      <c r="J414" s="7" t="s">
        <v>28</v>
      </c>
      <c r="K414" s="7" t="n">
        <v>167</v>
      </c>
      <c r="L414" s="7" t="s">
        <v>29</v>
      </c>
      <c r="M414" s="7" t="s">
        <v>38</v>
      </c>
    </row>
    <row r="415" customFormat="false" ht="15" hidden="false" customHeight="true" outlineLevel="0" collapsed="false">
      <c r="A415" s="7" t="n">
        <v>495</v>
      </c>
      <c r="B415" s="7" t="n">
        <v>73</v>
      </c>
      <c r="C415" s="7" t="s">
        <v>33</v>
      </c>
      <c r="D415" s="7" t="s">
        <v>25</v>
      </c>
      <c r="E415" s="7" t="n">
        <v>0</v>
      </c>
      <c r="F415" s="7" t="n">
        <v>0</v>
      </c>
      <c r="G415" s="7" t="s">
        <v>35</v>
      </c>
      <c r="H415" s="7" t="s">
        <v>27</v>
      </c>
      <c r="I415" s="7" t="n">
        <v>38.2</v>
      </c>
      <c r="J415" s="7" t="s">
        <v>28</v>
      </c>
      <c r="K415" s="7" t="n">
        <v>262.9</v>
      </c>
      <c r="L415" s="7" t="s">
        <v>29</v>
      </c>
      <c r="M415" s="7" t="s">
        <v>38</v>
      </c>
    </row>
    <row r="416" customFormat="false" ht="15" hidden="false" customHeight="true" outlineLevel="0" collapsed="false">
      <c r="A416" s="7" t="n">
        <v>504</v>
      </c>
      <c r="B416" s="7" t="n">
        <v>51</v>
      </c>
      <c r="C416" s="7" t="s">
        <v>33</v>
      </c>
      <c r="D416" s="7" t="s">
        <v>25</v>
      </c>
      <c r="E416" s="7" t="n">
        <v>0</v>
      </c>
      <c r="F416" s="7" t="n">
        <v>0</v>
      </c>
      <c r="G416" s="7" t="s">
        <v>36</v>
      </c>
      <c r="H416" s="7" t="s">
        <v>32</v>
      </c>
      <c r="I416" s="7" t="n">
        <v>20</v>
      </c>
      <c r="J416" s="7" t="s">
        <v>28</v>
      </c>
      <c r="K416" s="7" t="n">
        <v>215.8</v>
      </c>
      <c r="L416" s="7" t="s">
        <v>29</v>
      </c>
      <c r="M416" s="7" t="s">
        <v>38</v>
      </c>
    </row>
    <row r="417" customFormat="false" ht="15" hidden="false" customHeight="true" outlineLevel="0" collapsed="false">
      <c r="A417" s="7" t="n">
        <v>507</v>
      </c>
      <c r="B417" s="7" t="n">
        <v>31</v>
      </c>
      <c r="C417" s="7" t="s">
        <v>24</v>
      </c>
      <c r="D417" s="7" t="s">
        <v>25</v>
      </c>
      <c r="E417" s="7" t="n">
        <v>0</v>
      </c>
      <c r="F417" s="7" t="n">
        <v>0</v>
      </c>
      <c r="G417" s="7" t="s">
        <v>36</v>
      </c>
      <c r="H417" s="7" t="s">
        <v>27</v>
      </c>
      <c r="I417" s="7" t="n">
        <v>31</v>
      </c>
      <c r="J417" s="7" t="s">
        <v>28</v>
      </c>
      <c r="K417" s="7" t="n">
        <v>287.9</v>
      </c>
      <c r="L417" s="7" t="s">
        <v>29</v>
      </c>
      <c r="M417" s="7" t="s">
        <v>38</v>
      </c>
    </row>
    <row r="418" customFormat="false" ht="15" hidden="false" customHeight="true" outlineLevel="0" collapsed="false">
      <c r="A418" s="7" t="n">
        <v>521</v>
      </c>
      <c r="B418" s="7" t="n">
        <v>32</v>
      </c>
      <c r="C418" s="7" t="s">
        <v>33</v>
      </c>
      <c r="D418" s="7" t="s">
        <v>25</v>
      </c>
      <c r="E418" s="7" t="n">
        <v>0</v>
      </c>
      <c r="F418" s="7" t="n">
        <v>0</v>
      </c>
      <c r="G418" s="7" t="s">
        <v>26</v>
      </c>
      <c r="H418" s="7" t="s">
        <v>27</v>
      </c>
      <c r="I418" s="7" t="n">
        <v>24.1</v>
      </c>
      <c r="J418" s="7" t="s">
        <v>28</v>
      </c>
      <c r="K418" s="7" t="n">
        <v>296.9</v>
      </c>
      <c r="L418" s="7" t="s">
        <v>29</v>
      </c>
      <c r="M418" s="7" t="s">
        <v>38</v>
      </c>
    </row>
    <row r="419" customFormat="false" ht="15" hidden="false" customHeight="true" outlineLevel="0" collapsed="false">
      <c r="A419" s="7" t="n">
        <v>527</v>
      </c>
      <c r="B419" s="7" t="n">
        <v>73</v>
      </c>
      <c r="C419" s="7" t="s">
        <v>24</v>
      </c>
      <c r="D419" s="7" t="s">
        <v>25</v>
      </c>
      <c r="E419" s="7" t="n">
        <v>0</v>
      </c>
      <c r="F419" s="7" t="n">
        <v>0</v>
      </c>
      <c r="G419" s="7" t="s">
        <v>31</v>
      </c>
      <c r="H419" s="7" t="s">
        <v>27</v>
      </c>
      <c r="I419" s="7" t="n">
        <v>37.7</v>
      </c>
      <c r="J419" s="7" t="s">
        <v>28</v>
      </c>
      <c r="K419" s="7" t="n">
        <v>129.8</v>
      </c>
      <c r="L419" s="7" t="s">
        <v>29</v>
      </c>
      <c r="M419" s="7" t="s">
        <v>38</v>
      </c>
    </row>
    <row r="420" customFormat="false" ht="15" hidden="false" customHeight="true" outlineLevel="0" collapsed="false">
      <c r="A420" s="7" t="n">
        <v>573</v>
      </c>
      <c r="B420" s="7" t="n">
        <v>72</v>
      </c>
      <c r="C420" s="7" t="s">
        <v>33</v>
      </c>
      <c r="D420" s="7" t="s">
        <v>25</v>
      </c>
      <c r="E420" s="7" t="n">
        <v>0</v>
      </c>
      <c r="F420" s="7" t="n">
        <v>0</v>
      </c>
      <c r="G420" s="7" t="s">
        <v>36</v>
      </c>
      <c r="H420" s="7" t="s">
        <v>27</v>
      </c>
      <c r="I420" s="7" t="n">
        <v>19.7</v>
      </c>
      <c r="J420" s="7" t="s">
        <v>28</v>
      </c>
      <c r="K420" s="7" t="n">
        <v>201.4</v>
      </c>
      <c r="L420" s="7" t="s">
        <v>29</v>
      </c>
      <c r="M420" s="7" t="s">
        <v>38</v>
      </c>
    </row>
    <row r="421" customFormat="false" ht="15" hidden="false" customHeight="true" outlineLevel="0" collapsed="false">
      <c r="A421" s="7" t="n">
        <v>582</v>
      </c>
      <c r="B421" s="7" t="n">
        <v>26</v>
      </c>
      <c r="C421" s="7" t="s">
        <v>24</v>
      </c>
      <c r="D421" s="7" t="s">
        <v>25</v>
      </c>
      <c r="E421" s="7" t="n">
        <v>0</v>
      </c>
      <c r="F421" s="7" t="n">
        <v>0</v>
      </c>
      <c r="G421" s="7" t="s">
        <v>36</v>
      </c>
      <c r="H421" s="7" t="s">
        <v>32</v>
      </c>
      <c r="I421" s="7" t="n">
        <v>32.7</v>
      </c>
      <c r="J421" s="7" t="s">
        <v>28</v>
      </c>
      <c r="K421" s="7" t="n">
        <v>150</v>
      </c>
      <c r="L421" s="7" t="s">
        <v>29</v>
      </c>
      <c r="M421" s="7" t="s">
        <v>38</v>
      </c>
    </row>
    <row r="422" customFormat="false" ht="15" hidden="false" customHeight="true" outlineLevel="0" collapsed="false">
      <c r="A422" s="7" t="n">
        <v>602</v>
      </c>
      <c r="B422" s="7" t="n">
        <v>84</v>
      </c>
      <c r="C422" s="7" t="s">
        <v>33</v>
      </c>
      <c r="D422" s="7" t="s">
        <v>25</v>
      </c>
      <c r="E422" s="7" t="n">
        <v>0</v>
      </c>
      <c r="F422" s="7" t="n">
        <v>0</v>
      </c>
      <c r="G422" s="7" t="s">
        <v>34</v>
      </c>
      <c r="H422" s="7" t="s">
        <v>27</v>
      </c>
      <c r="I422" s="7" t="n">
        <v>38.8</v>
      </c>
      <c r="J422" s="7" t="s">
        <v>28</v>
      </c>
      <c r="K422" s="7" t="n">
        <v>148.3</v>
      </c>
      <c r="L422" s="7" t="s">
        <v>29</v>
      </c>
      <c r="M422" s="7" t="s">
        <v>38</v>
      </c>
    </row>
    <row r="423" customFormat="false" ht="15" hidden="false" customHeight="true" outlineLevel="0" collapsed="false">
      <c r="A423" s="7" t="n">
        <v>608</v>
      </c>
      <c r="B423" s="7" t="n">
        <v>50</v>
      </c>
      <c r="C423" s="7" t="s">
        <v>33</v>
      </c>
      <c r="D423" s="7" t="s">
        <v>25</v>
      </c>
      <c r="E423" s="7" t="n">
        <v>0</v>
      </c>
      <c r="F423" s="7" t="n">
        <v>0</v>
      </c>
      <c r="G423" s="7" t="s">
        <v>36</v>
      </c>
      <c r="H423" s="7" t="s">
        <v>27</v>
      </c>
      <c r="I423" s="7" t="n">
        <v>40.4</v>
      </c>
      <c r="J423" s="7" t="s">
        <v>28</v>
      </c>
      <c r="K423" s="7" t="n">
        <v>285.2</v>
      </c>
      <c r="L423" s="7" t="s">
        <v>29</v>
      </c>
      <c r="M423" s="7" t="s">
        <v>38</v>
      </c>
    </row>
    <row r="424" customFormat="false" ht="15" hidden="false" customHeight="true" outlineLevel="0" collapsed="false">
      <c r="A424" s="7" t="n">
        <v>610</v>
      </c>
      <c r="B424" s="7" t="n">
        <v>52</v>
      </c>
      <c r="C424" s="7" t="s">
        <v>33</v>
      </c>
      <c r="D424" s="7" t="s">
        <v>25</v>
      </c>
      <c r="E424" s="7" t="n">
        <v>0</v>
      </c>
      <c r="F424" s="7" t="n">
        <v>0</v>
      </c>
      <c r="G424" s="7" t="s">
        <v>26</v>
      </c>
      <c r="H424" s="7" t="s">
        <v>32</v>
      </c>
      <c r="I424" s="7" t="n">
        <v>26.4</v>
      </c>
      <c r="J424" s="7" t="s">
        <v>28</v>
      </c>
      <c r="K424" s="7" t="n">
        <v>163.8</v>
      </c>
      <c r="L424" s="7" t="s">
        <v>29</v>
      </c>
      <c r="M424" s="7" t="s">
        <v>38</v>
      </c>
    </row>
    <row r="425" customFormat="false" ht="15" hidden="false" customHeight="true" outlineLevel="0" collapsed="false">
      <c r="A425" s="7" t="n">
        <v>611</v>
      </c>
      <c r="B425" s="7" t="n">
        <v>70</v>
      </c>
      <c r="C425" s="7" t="s">
        <v>33</v>
      </c>
      <c r="D425" s="7" t="s">
        <v>25</v>
      </c>
      <c r="E425" s="7" t="n">
        <v>0</v>
      </c>
      <c r="F425" s="7" t="n">
        <v>0</v>
      </c>
      <c r="G425" s="7" t="s">
        <v>35</v>
      </c>
      <c r="H425" s="7" t="s">
        <v>27</v>
      </c>
      <c r="I425" s="7" t="n">
        <v>24.2</v>
      </c>
      <c r="J425" s="7" t="s">
        <v>28</v>
      </c>
      <c r="K425" s="7" t="n">
        <v>290.2</v>
      </c>
      <c r="L425" s="7" t="s">
        <v>29</v>
      </c>
      <c r="M425" s="7" t="s">
        <v>38</v>
      </c>
    </row>
    <row r="426" customFormat="false" ht="15" hidden="false" customHeight="true" outlineLevel="0" collapsed="false">
      <c r="A426" s="7" t="n">
        <v>613</v>
      </c>
      <c r="B426" s="7" t="n">
        <v>41</v>
      </c>
      <c r="C426" s="7" t="s">
        <v>33</v>
      </c>
      <c r="D426" s="7" t="s">
        <v>25</v>
      </c>
      <c r="E426" s="7" t="n">
        <v>0</v>
      </c>
      <c r="F426" s="7" t="n">
        <v>0</v>
      </c>
      <c r="G426" s="7" t="s">
        <v>35</v>
      </c>
      <c r="H426" s="7" t="s">
        <v>27</v>
      </c>
      <c r="I426" s="7" t="n">
        <v>40.1</v>
      </c>
      <c r="J426" s="7" t="s">
        <v>28</v>
      </c>
      <c r="K426" s="7" t="n">
        <v>168.6</v>
      </c>
      <c r="L426" s="7" t="s">
        <v>29</v>
      </c>
      <c r="M426" s="7" t="s">
        <v>38</v>
      </c>
    </row>
    <row r="427" customFormat="false" ht="15" hidden="false" customHeight="true" outlineLevel="0" collapsed="false">
      <c r="A427" s="7" t="n">
        <v>619</v>
      </c>
      <c r="B427" s="7" t="n">
        <v>52</v>
      </c>
      <c r="C427" s="7" t="s">
        <v>33</v>
      </c>
      <c r="D427" s="7" t="s">
        <v>25</v>
      </c>
      <c r="E427" s="7" t="n">
        <v>0</v>
      </c>
      <c r="F427" s="7" t="n">
        <v>0</v>
      </c>
      <c r="G427" s="7" t="s">
        <v>26</v>
      </c>
      <c r="H427" s="7" t="s">
        <v>27</v>
      </c>
      <c r="I427" s="7" t="n">
        <v>18.3</v>
      </c>
      <c r="J427" s="7" t="s">
        <v>28</v>
      </c>
      <c r="K427" s="7" t="n">
        <v>129.8</v>
      </c>
      <c r="L427" s="7" t="s">
        <v>29</v>
      </c>
      <c r="M427" s="7" t="s">
        <v>38</v>
      </c>
    </row>
    <row r="428" customFormat="false" ht="15" hidden="false" customHeight="true" outlineLevel="0" collapsed="false">
      <c r="A428" s="7" t="n">
        <v>622</v>
      </c>
      <c r="B428" s="7" t="n">
        <v>35</v>
      </c>
      <c r="C428" s="7" t="s">
        <v>24</v>
      </c>
      <c r="D428" s="7" t="s">
        <v>25</v>
      </c>
      <c r="E428" s="7" t="n">
        <v>0</v>
      </c>
      <c r="F428" s="7" t="n">
        <v>0</v>
      </c>
      <c r="G428" s="7" t="s">
        <v>31</v>
      </c>
      <c r="H428" s="7" t="s">
        <v>27</v>
      </c>
      <c r="I428" s="7" t="n">
        <v>18.8</v>
      </c>
      <c r="J428" s="7" t="s">
        <v>28</v>
      </c>
      <c r="K428" s="7" t="n">
        <v>192.5</v>
      </c>
      <c r="L428" s="7" t="s">
        <v>29</v>
      </c>
      <c r="M428" s="7" t="s">
        <v>38</v>
      </c>
    </row>
    <row r="429" customFormat="false" ht="15" hidden="false" customHeight="true" outlineLevel="0" collapsed="false">
      <c r="A429" s="7" t="n">
        <v>653</v>
      </c>
      <c r="B429" s="7" t="n">
        <v>56</v>
      </c>
      <c r="C429" s="7" t="s">
        <v>24</v>
      </c>
      <c r="D429" s="7" t="s">
        <v>25</v>
      </c>
      <c r="E429" s="7" t="n">
        <v>0</v>
      </c>
      <c r="F429" s="7" t="n">
        <v>0</v>
      </c>
      <c r="G429" s="7" t="s">
        <v>34</v>
      </c>
      <c r="H429" s="7" t="s">
        <v>32</v>
      </c>
      <c r="I429" s="7" t="n">
        <v>37</v>
      </c>
      <c r="J429" s="7" t="s">
        <v>28</v>
      </c>
      <c r="K429" s="7" t="n">
        <v>161.9</v>
      </c>
      <c r="L429" s="7" t="s">
        <v>29</v>
      </c>
      <c r="M429" s="7" t="s">
        <v>38</v>
      </c>
    </row>
    <row r="430" customFormat="false" ht="15" hidden="false" customHeight="true" outlineLevel="0" collapsed="false">
      <c r="A430" s="7" t="n">
        <v>657</v>
      </c>
      <c r="B430" s="7" t="n">
        <v>27</v>
      </c>
      <c r="C430" s="7" t="s">
        <v>24</v>
      </c>
      <c r="D430" s="7" t="s">
        <v>25</v>
      </c>
      <c r="E430" s="7" t="n">
        <v>0</v>
      </c>
      <c r="F430" s="7" t="n">
        <v>0</v>
      </c>
      <c r="G430" s="7" t="s">
        <v>35</v>
      </c>
      <c r="H430" s="7" t="s">
        <v>27</v>
      </c>
      <c r="I430" s="7" t="n">
        <v>30</v>
      </c>
      <c r="J430" s="7" t="s">
        <v>28</v>
      </c>
      <c r="K430" s="7" t="n">
        <v>121.5</v>
      </c>
      <c r="L430" s="7" t="s">
        <v>29</v>
      </c>
      <c r="M430" s="7" t="s">
        <v>38</v>
      </c>
    </row>
    <row r="431" customFormat="false" ht="15" hidden="false" customHeight="true" outlineLevel="0" collapsed="false">
      <c r="A431" s="7" t="n">
        <v>658</v>
      </c>
      <c r="B431" s="7" t="n">
        <v>72</v>
      </c>
      <c r="C431" s="7" t="s">
        <v>24</v>
      </c>
      <c r="D431" s="7" t="s">
        <v>25</v>
      </c>
      <c r="E431" s="7" t="n">
        <v>0</v>
      </c>
      <c r="F431" s="7" t="n">
        <v>0</v>
      </c>
      <c r="G431" s="7" t="s">
        <v>26</v>
      </c>
      <c r="H431" s="7" t="s">
        <v>27</v>
      </c>
      <c r="I431" s="7" t="n">
        <v>39</v>
      </c>
      <c r="J431" s="7" t="s">
        <v>28</v>
      </c>
      <c r="K431" s="7" t="n">
        <v>229.4</v>
      </c>
      <c r="L431" s="7" t="s">
        <v>29</v>
      </c>
      <c r="M431" s="7" t="s">
        <v>38</v>
      </c>
    </row>
    <row r="432" customFormat="false" ht="15" hidden="false" customHeight="true" outlineLevel="0" collapsed="false">
      <c r="A432" s="7" t="n">
        <v>668</v>
      </c>
      <c r="B432" s="7" t="n">
        <v>55</v>
      </c>
      <c r="C432" s="7" t="s">
        <v>24</v>
      </c>
      <c r="D432" s="7" t="s">
        <v>25</v>
      </c>
      <c r="E432" s="7" t="n">
        <v>0</v>
      </c>
      <c r="F432" s="7" t="n">
        <v>0</v>
      </c>
      <c r="G432" s="7" t="s">
        <v>36</v>
      </c>
      <c r="H432" s="7" t="s">
        <v>32</v>
      </c>
      <c r="I432" s="7" t="n">
        <v>31</v>
      </c>
      <c r="J432" s="7" t="s">
        <v>28</v>
      </c>
      <c r="K432" s="7" t="n">
        <v>265.5</v>
      </c>
      <c r="L432" s="7" t="s">
        <v>29</v>
      </c>
      <c r="M432" s="7" t="s">
        <v>38</v>
      </c>
    </row>
    <row r="433" customFormat="false" ht="15" hidden="false" customHeight="true" outlineLevel="0" collapsed="false">
      <c r="A433" s="7" t="n">
        <v>671</v>
      </c>
      <c r="B433" s="7" t="n">
        <v>54</v>
      </c>
      <c r="C433" s="7" t="s">
        <v>33</v>
      </c>
      <c r="D433" s="7" t="s">
        <v>25</v>
      </c>
      <c r="E433" s="7" t="n">
        <v>0</v>
      </c>
      <c r="F433" s="7" t="n">
        <v>0</v>
      </c>
      <c r="G433" s="7" t="s">
        <v>36</v>
      </c>
      <c r="H433" s="7" t="s">
        <v>27</v>
      </c>
      <c r="I433" s="7" t="n">
        <v>24.4</v>
      </c>
      <c r="J433" s="7" t="s">
        <v>28</v>
      </c>
      <c r="K433" s="7" t="n">
        <v>157.4</v>
      </c>
      <c r="L433" s="7" t="s">
        <v>29</v>
      </c>
      <c r="M433" s="7" t="s">
        <v>38</v>
      </c>
    </row>
    <row r="434" customFormat="false" ht="15" hidden="false" customHeight="true" outlineLevel="0" collapsed="false">
      <c r="A434" s="7" t="n">
        <v>695</v>
      </c>
      <c r="B434" s="7" t="n">
        <v>61</v>
      </c>
      <c r="C434" s="7" t="s">
        <v>24</v>
      </c>
      <c r="D434" s="7" t="s">
        <v>25</v>
      </c>
      <c r="E434" s="7" t="n">
        <v>0</v>
      </c>
      <c r="F434" s="7" t="n">
        <v>0</v>
      </c>
      <c r="G434" s="7" t="s">
        <v>35</v>
      </c>
      <c r="H434" s="7" t="s">
        <v>27</v>
      </c>
      <c r="I434" s="7" t="n">
        <v>31.1</v>
      </c>
      <c r="J434" s="7" t="s">
        <v>28</v>
      </c>
      <c r="K434" s="7" t="n">
        <v>127.1</v>
      </c>
      <c r="L434" s="7" t="s">
        <v>29</v>
      </c>
      <c r="M434" s="7" t="s">
        <v>38</v>
      </c>
    </row>
    <row r="435" customFormat="false" ht="15" hidden="false" customHeight="true" outlineLevel="0" collapsed="false">
      <c r="A435" s="7" t="n">
        <v>720</v>
      </c>
      <c r="B435" s="7" t="n">
        <v>30</v>
      </c>
      <c r="C435" s="7" t="s">
        <v>33</v>
      </c>
      <c r="D435" s="7" t="s">
        <v>25</v>
      </c>
      <c r="E435" s="7" t="n">
        <v>0</v>
      </c>
      <c r="F435" s="7" t="n">
        <v>0</v>
      </c>
      <c r="G435" s="7" t="s">
        <v>31</v>
      </c>
      <c r="H435" s="7" t="s">
        <v>27</v>
      </c>
      <c r="I435" s="7" t="n">
        <v>37.2</v>
      </c>
      <c r="J435" s="7" t="s">
        <v>28</v>
      </c>
      <c r="K435" s="7" t="n">
        <v>138.2</v>
      </c>
      <c r="L435" s="7" t="s">
        <v>29</v>
      </c>
      <c r="M435" s="7" t="s">
        <v>38</v>
      </c>
    </row>
    <row r="436" customFormat="false" ht="15" hidden="false" customHeight="true" outlineLevel="0" collapsed="false">
      <c r="A436" s="7" t="n">
        <v>735</v>
      </c>
      <c r="B436" s="7" t="n">
        <v>41</v>
      </c>
      <c r="C436" s="7" t="s">
        <v>33</v>
      </c>
      <c r="D436" s="7" t="s">
        <v>25</v>
      </c>
      <c r="E436" s="7" t="n">
        <v>0</v>
      </c>
      <c r="F436" s="7" t="n">
        <v>0</v>
      </c>
      <c r="G436" s="7" t="s">
        <v>36</v>
      </c>
      <c r="H436" s="7" t="s">
        <v>27</v>
      </c>
      <c r="I436" s="7" t="n">
        <v>40.7</v>
      </c>
      <c r="J436" s="7" t="s">
        <v>28</v>
      </c>
      <c r="K436" s="7" t="n">
        <v>215.8</v>
      </c>
      <c r="L436" s="7" t="s">
        <v>29</v>
      </c>
      <c r="M436" s="7" t="s">
        <v>38</v>
      </c>
    </row>
    <row r="437" customFormat="false" ht="15" hidden="false" customHeight="true" outlineLevel="0" collapsed="false">
      <c r="A437" s="7" t="n">
        <v>757</v>
      </c>
      <c r="B437" s="7" t="n">
        <v>30</v>
      </c>
      <c r="C437" s="7" t="s">
        <v>24</v>
      </c>
      <c r="D437" s="7" t="s">
        <v>25</v>
      </c>
      <c r="E437" s="7" t="n">
        <v>0</v>
      </c>
      <c r="F437" s="7" t="n">
        <v>0</v>
      </c>
      <c r="G437" s="7" t="s">
        <v>26</v>
      </c>
      <c r="H437" s="7" t="s">
        <v>27</v>
      </c>
      <c r="I437" s="7" t="n">
        <v>22.6</v>
      </c>
      <c r="J437" s="7" t="s">
        <v>28</v>
      </c>
      <c r="K437" s="7" t="n">
        <v>271.3</v>
      </c>
      <c r="L437" s="7" t="s">
        <v>29</v>
      </c>
      <c r="M437" s="7" t="s">
        <v>38</v>
      </c>
    </row>
    <row r="438" customFormat="false" ht="15" hidden="false" customHeight="true" outlineLevel="0" collapsed="false">
      <c r="A438" s="7" t="n">
        <v>777</v>
      </c>
      <c r="B438" s="7" t="n">
        <v>89</v>
      </c>
      <c r="C438" s="7" t="s">
        <v>33</v>
      </c>
      <c r="D438" s="7" t="s">
        <v>25</v>
      </c>
      <c r="E438" s="7" t="n">
        <v>0</v>
      </c>
      <c r="F438" s="7" t="n">
        <v>0</v>
      </c>
      <c r="G438" s="7" t="s">
        <v>36</v>
      </c>
      <c r="H438" s="7" t="s">
        <v>27</v>
      </c>
      <c r="I438" s="7" t="n">
        <v>38.9</v>
      </c>
      <c r="J438" s="7" t="s">
        <v>28</v>
      </c>
      <c r="K438" s="7" t="n">
        <v>213</v>
      </c>
      <c r="L438" s="7" t="s">
        <v>29</v>
      </c>
      <c r="M438" s="7" t="s">
        <v>38</v>
      </c>
    </row>
    <row r="439" customFormat="false" ht="15" hidden="false" customHeight="true" outlineLevel="0" collapsed="false">
      <c r="A439" s="7" t="n">
        <v>785</v>
      </c>
      <c r="B439" s="7" t="n">
        <v>43</v>
      </c>
      <c r="C439" s="7" t="s">
        <v>33</v>
      </c>
      <c r="D439" s="7" t="s">
        <v>25</v>
      </c>
      <c r="E439" s="7" t="n">
        <v>0</v>
      </c>
      <c r="F439" s="7" t="n">
        <v>0</v>
      </c>
      <c r="G439" s="7" t="s">
        <v>34</v>
      </c>
      <c r="H439" s="7" t="s">
        <v>27</v>
      </c>
      <c r="I439" s="7" t="n">
        <v>29</v>
      </c>
      <c r="J439" s="7" t="s">
        <v>28</v>
      </c>
      <c r="K439" s="7" t="n">
        <v>185.3</v>
      </c>
      <c r="L439" s="7" t="s">
        <v>29</v>
      </c>
      <c r="M439" s="7" t="s">
        <v>38</v>
      </c>
    </row>
    <row r="440" customFormat="false" ht="15" hidden="false" customHeight="true" outlineLevel="0" collapsed="false">
      <c r="A440" s="7" t="n">
        <v>805</v>
      </c>
      <c r="B440" s="7" t="n">
        <v>48</v>
      </c>
      <c r="C440" s="7" t="s">
        <v>33</v>
      </c>
      <c r="D440" s="7" t="s">
        <v>25</v>
      </c>
      <c r="E440" s="7" t="n">
        <v>0</v>
      </c>
      <c r="F440" s="7" t="n">
        <v>0</v>
      </c>
      <c r="G440" s="7" t="s">
        <v>36</v>
      </c>
      <c r="H440" s="7" t="s">
        <v>32</v>
      </c>
      <c r="I440" s="7" t="n">
        <v>28.2</v>
      </c>
      <c r="J440" s="7" t="s">
        <v>28</v>
      </c>
      <c r="K440" s="7" t="n">
        <v>159.8</v>
      </c>
      <c r="L440" s="7" t="s">
        <v>29</v>
      </c>
      <c r="M440" s="7" t="s">
        <v>38</v>
      </c>
    </row>
    <row r="441" customFormat="false" ht="15" hidden="false" customHeight="true" outlineLevel="0" collapsed="false">
      <c r="A441" s="7" t="n">
        <v>834</v>
      </c>
      <c r="B441" s="7" t="n">
        <v>54</v>
      </c>
      <c r="C441" s="7" t="s">
        <v>33</v>
      </c>
      <c r="D441" s="7" t="s">
        <v>25</v>
      </c>
      <c r="E441" s="7" t="n">
        <v>0</v>
      </c>
      <c r="F441" s="7" t="n">
        <v>0</v>
      </c>
      <c r="G441" s="7" t="s">
        <v>31</v>
      </c>
      <c r="H441" s="7" t="s">
        <v>32</v>
      </c>
      <c r="I441" s="7" t="n">
        <v>32.4</v>
      </c>
      <c r="J441" s="7" t="s">
        <v>28</v>
      </c>
      <c r="K441" s="7" t="n">
        <v>125.1</v>
      </c>
      <c r="L441" s="7" t="s">
        <v>29</v>
      </c>
      <c r="M441" s="7" t="s">
        <v>38</v>
      </c>
    </row>
    <row r="442" customFormat="false" ht="15" hidden="false" customHeight="true" outlineLevel="0" collapsed="false">
      <c r="A442" s="7" t="n">
        <v>843</v>
      </c>
      <c r="B442" s="7" t="n">
        <v>66</v>
      </c>
      <c r="C442" s="7" t="s">
        <v>24</v>
      </c>
      <c r="D442" s="7" t="s">
        <v>25</v>
      </c>
      <c r="E442" s="7" t="n">
        <v>0</v>
      </c>
      <c r="F442" s="7" t="n">
        <v>0</v>
      </c>
      <c r="G442" s="7" t="s">
        <v>31</v>
      </c>
      <c r="H442" s="7" t="s">
        <v>32</v>
      </c>
      <c r="I442" s="7" t="n">
        <v>34.6</v>
      </c>
      <c r="J442" s="7" t="s">
        <v>28</v>
      </c>
      <c r="K442" s="7" t="n">
        <v>204.7</v>
      </c>
      <c r="L442" s="7" t="s">
        <v>29</v>
      </c>
      <c r="M442" s="7" t="s">
        <v>38</v>
      </c>
    </row>
    <row r="443" customFormat="false" ht="15" hidden="false" customHeight="true" outlineLevel="0" collapsed="false">
      <c r="A443" s="7" t="n">
        <v>886</v>
      </c>
      <c r="B443" s="7" t="n">
        <v>78</v>
      </c>
      <c r="C443" s="7" t="s">
        <v>24</v>
      </c>
      <c r="D443" s="7" t="s">
        <v>25</v>
      </c>
      <c r="E443" s="7" t="n">
        <v>0</v>
      </c>
      <c r="F443" s="7" t="n">
        <v>0</v>
      </c>
      <c r="G443" s="7" t="s">
        <v>34</v>
      </c>
      <c r="H443" s="7" t="s">
        <v>27</v>
      </c>
      <c r="I443" s="7" t="n">
        <v>18.5</v>
      </c>
      <c r="J443" s="7" t="s">
        <v>28</v>
      </c>
      <c r="K443" s="7" t="n">
        <v>121.5</v>
      </c>
      <c r="L443" s="7" t="s">
        <v>29</v>
      </c>
      <c r="M443" s="7" t="s">
        <v>38</v>
      </c>
    </row>
    <row r="444" customFormat="false" ht="15" hidden="false" customHeight="true" outlineLevel="0" collapsed="false">
      <c r="A444" s="7" t="n">
        <v>899</v>
      </c>
      <c r="B444" s="7" t="n">
        <v>24</v>
      </c>
      <c r="C444" s="7" t="s">
        <v>24</v>
      </c>
      <c r="D444" s="7" t="s">
        <v>25</v>
      </c>
      <c r="E444" s="7" t="n">
        <v>0</v>
      </c>
      <c r="F444" s="7" t="n">
        <v>0</v>
      </c>
      <c r="G444" s="7" t="s">
        <v>26</v>
      </c>
      <c r="H444" s="7" t="s">
        <v>32</v>
      </c>
      <c r="I444" s="7" t="n">
        <v>17.7</v>
      </c>
      <c r="J444" s="7" t="s">
        <v>28</v>
      </c>
      <c r="K444" s="7" t="n">
        <v>158.6</v>
      </c>
      <c r="L444" s="7" t="s">
        <v>29</v>
      </c>
      <c r="M444" s="7" t="s">
        <v>38</v>
      </c>
    </row>
    <row r="445" customFormat="false" ht="15" hidden="false" customHeight="true" outlineLevel="0" collapsed="false">
      <c r="A445" s="7" t="n">
        <v>907</v>
      </c>
      <c r="B445" s="7" t="n">
        <v>43</v>
      </c>
      <c r="C445" s="7" t="s">
        <v>24</v>
      </c>
      <c r="D445" s="7" t="s">
        <v>25</v>
      </c>
      <c r="E445" s="7" t="n">
        <v>0</v>
      </c>
      <c r="F445" s="7" t="n">
        <v>0</v>
      </c>
      <c r="G445" s="7" t="s">
        <v>35</v>
      </c>
      <c r="H445" s="7" t="s">
        <v>32</v>
      </c>
      <c r="I445" s="7" t="n">
        <v>28.4</v>
      </c>
      <c r="J445" s="7" t="s">
        <v>28</v>
      </c>
      <c r="K445" s="7" t="n">
        <v>139.3</v>
      </c>
      <c r="L445" s="7" t="s">
        <v>29</v>
      </c>
      <c r="M445" s="7" t="s">
        <v>38</v>
      </c>
    </row>
    <row r="446" customFormat="false" ht="15" hidden="false" customHeight="true" outlineLevel="0" collapsed="false">
      <c r="A446" s="7" t="n">
        <v>908</v>
      </c>
      <c r="B446" s="7" t="n">
        <v>47</v>
      </c>
      <c r="C446" s="7" t="s">
        <v>24</v>
      </c>
      <c r="D446" s="7" t="s">
        <v>25</v>
      </c>
      <c r="E446" s="7" t="n">
        <v>0</v>
      </c>
      <c r="F446" s="7" t="n">
        <v>0</v>
      </c>
      <c r="G446" s="7" t="s">
        <v>26</v>
      </c>
      <c r="H446" s="7" t="s">
        <v>32</v>
      </c>
      <c r="I446" s="7" t="n">
        <v>23.4</v>
      </c>
      <c r="J446" s="7" t="s">
        <v>28</v>
      </c>
      <c r="K446" s="7" t="n">
        <v>125.4</v>
      </c>
      <c r="L446" s="7" t="s">
        <v>29</v>
      </c>
      <c r="M446" s="7" t="s">
        <v>38</v>
      </c>
    </row>
    <row r="447" customFormat="false" ht="15" hidden="false" customHeight="true" outlineLevel="0" collapsed="false">
      <c r="A447" s="7" t="n">
        <v>935</v>
      </c>
      <c r="B447" s="7" t="n">
        <v>79</v>
      </c>
      <c r="C447" s="7" t="s">
        <v>24</v>
      </c>
      <c r="D447" s="7" t="s">
        <v>25</v>
      </c>
      <c r="E447" s="7" t="n">
        <v>0</v>
      </c>
      <c r="F447" s="7" t="n">
        <v>0</v>
      </c>
      <c r="G447" s="7" t="s">
        <v>36</v>
      </c>
      <c r="H447" s="7" t="s">
        <v>27</v>
      </c>
      <c r="I447" s="7" t="n">
        <v>39</v>
      </c>
      <c r="J447" s="7" t="s">
        <v>28</v>
      </c>
      <c r="K447" s="7" t="n">
        <v>168.4</v>
      </c>
      <c r="L447" s="7" t="s">
        <v>29</v>
      </c>
      <c r="M447" s="7" t="s">
        <v>38</v>
      </c>
    </row>
    <row r="448" customFormat="false" ht="15" hidden="false" customHeight="true" outlineLevel="0" collapsed="false">
      <c r="A448" s="7" t="n">
        <v>938</v>
      </c>
      <c r="B448" s="7" t="n">
        <v>22</v>
      </c>
      <c r="C448" s="7" t="s">
        <v>33</v>
      </c>
      <c r="D448" s="7" t="s">
        <v>25</v>
      </c>
      <c r="E448" s="7" t="n">
        <v>0</v>
      </c>
      <c r="F448" s="7" t="n">
        <v>0</v>
      </c>
      <c r="G448" s="7" t="s">
        <v>31</v>
      </c>
      <c r="H448" s="7" t="s">
        <v>32</v>
      </c>
      <c r="I448" s="7" t="n">
        <v>24.8</v>
      </c>
      <c r="J448" s="7" t="s">
        <v>28</v>
      </c>
      <c r="K448" s="7" t="n">
        <v>241.3</v>
      </c>
      <c r="L448" s="7" t="s">
        <v>29</v>
      </c>
      <c r="M448" s="7" t="s">
        <v>38</v>
      </c>
    </row>
    <row r="449" customFormat="false" ht="15" hidden="false" customHeight="true" outlineLevel="0" collapsed="false">
      <c r="A449" s="7" t="n">
        <v>945</v>
      </c>
      <c r="B449" s="7" t="n">
        <v>66</v>
      </c>
      <c r="C449" s="7" t="s">
        <v>24</v>
      </c>
      <c r="D449" s="7" t="s">
        <v>25</v>
      </c>
      <c r="E449" s="7" t="n">
        <v>0</v>
      </c>
      <c r="F449" s="7" t="n">
        <v>0</v>
      </c>
      <c r="G449" s="7" t="s">
        <v>34</v>
      </c>
      <c r="H449" s="7" t="s">
        <v>27</v>
      </c>
      <c r="I449" s="7" t="n">
        <v>22</v>
      </c>
      <c r="J449" s="7" t="s">
        <v>28</v>
      </c>
      <c r="K449" s="7" t="n">
        <v>148.3</v>
      </c>
      <c r="L449" s="7" t="s">
        <v>29</v>
      </c>
      <c r="M449" s="7" t="s">
        <v>38</v>
      </c>
    </row>
    <row r="450" customFormat="false" ht="15" hidden="false" customHeight="true" outlineLevel="0" collapsed="false">
      <c r="A450" s="7" t="n">
        <v>985</v>
      </c>
      <c r="B450" s="7" t="n">
        <v>53</v>
      </c>
      <c r="C450" s="7" t="s">
        <v>33</v>
      </c>
      <c r="D450" s="7" t="s">
        <v>25</v>
      </c>
      <c r="E450" s="7" t="n">
        <v>0</v>
      </c>
      <c r="F450" s="7" t="n">
        <v>0</v>
      </c>
      <c r="G450" s="7" t="s">
        <v>34</v>
      </c>
      <c r="H450" s="7" t="s">
        <v>27</v>
      </c>
      <c r="I450" s="7" t="n">
        <v>20.3</v>
      </c>
      <c r="J450" s="7" t="s">
        <v>28</v>
      </c>
      <c r="K450" s="7" t="n">
        <v>220.8</v>
      </c>
      <c r="L450" s="7" t="s">
        <v>29</v>
      </c>
      <c r="M450" s="7" t="s">
        <v>38</v>
      </c>
    </row>
    <row r="451" customFormat="false" ht="15" hidden="false" customHeight="true" outlineLevel="0" collapsed="false">
      <c r="A451" s="7" t="n">
        <v>991</v>
      </c>
      <c r="B451" s="7" t="n">
        <v>87</v>
      </c>
      <c r="C451" s="7" t="s">
        <v>33</v>
      </c>
      <c r="D451" s="7" t="s">
        <v>25</v>
      </c>
      <c r="E451" s="7" t="n">
        <v>0</v>
      </c>
      <c r="F451" s="7" t="n">
        <v>0</v>
      </c>
      <c r="G451" s="7" t="s">
        <v>26</v>
      </c>
      <c r="H451" s="7" t="s">
        <v>27</v>
      </c>
      <c r="I451" s="7" t="n">
        <v>31</v>
      </c>
      <c r="J451" s="7" t="s">
        <v>28</v>
      </c>
      <c r="K451" s="7" t="n">
        <v>296.1</v>
      </c>
      <c r="L451" s="7" t="s">
        <v>29</v>
      </c>
      <c r="M451" s="7" t="s">
        <v>38</v>
      </c>
    </row>
    <row r="452" customFormat="false" ht="15" hidden="false" customHeight="true" outlineLevel="0" collapsed="false">
      <c r="A452" s="7" t="n">
        <v>999</v>
      </c>
      <c r="B452" s="7" t="n">
        <v>30</v>
      </c>
      <c r="C452" s="7" t="s">
        <v>24</v>
      </c>
      <c r="D452" s="7" t="s">
        <v>25</v>
      </c>
      <c r="E452" s="7" t="n">
        <v>0</v>
      </c>
      <c r="F452" s="7" t="n">
        <v>0</v>
      </c>
      <c r="G452" s="7" t="s">
        <v>31</v>
      </c>
      <c r="H452" s="7" t="s">
        <v>27</v>
      </c>
      <c r="I452" s="7" t="n">
        <v>25.3</v>
      </c>
      <c r="J452" s="7" t="s">
        <v>28</v>
      </c>
      <c r="K452" s="7" t="n">
        <v>212.1</v>
      </c>
      <c r="L452" s="7" t="s">
        <v>29</v>
      </c>
      <c r="M452" s="7" t="s">
        <v>38</v>
      </c>
    </row>
    <row r="453" customFormat="false" ht="15" hidden="false" customHeight="true" outlineLevel="0" collapsed="false">
      <c r="A453" s="7" t="n">
        <v>1024</v>
      </c>
      <c r="B453" s="7" t="n">
        <v>69</v>
      </c>
      <c r="C453" s="7" t="s">
        <v>33</v>
      </c>
      <c r="D453" s="7" t="s">
        <v>25</v>
      </c>
      <c r="E453" s="7" t="n">
        <v>0</v>
      </c>
      <c r="F453" s="7" t="n">
        <v>0</v>
      </c>
      <c r="G453" s="7" t="s">
        <v>34</v>
      </c>
      <c r="H453" s="7" t="s">
        <v>27</v>
      </c>
      <c r="I453" s="7" t="n">
        <v>20</v>
      </c>
      <c r="J453" s="7" t="s">
        <v>28</v>
      </c>
      <c r="K453" s="7" t="n">
        <v>283.1</v>
      </c>
      <c r="L453" s="7" t="s">
        <v>29</v>
      </c>
      <c r="M453" s="7" t="s">
        <v>38</v>
      </c>
    </row>
    <row r="454" customFormat="false" ht="15" hidden="false" customHeight="true" outlineLevel="0" collapsed="false">
      <c r="A454" s="7" t="n">
        <v>1025</v>
      </c>
      <c r="B454" s="7" t="n">
        <v>50</v>
      </c>
      <c r="C454" s="7" t="s">
        <v>33</v>
      </c>
      <c r="D454" s="7" t="s">
        <v>25</v>
      </c>
      <c r="E454" s="7" t="n">
        <v>0</v>
      </c>
      <c r="F454" s="7" t="n">
        <v>0</v>
      </c>
      <c r="G454" s="7" t="s">
        <v>36</v>
      </c>
      <c r="H454" s="7" t="s">
        <v>27</v>
      </c>
      <c r="I454" s="7" t="n">
        <v>24.1</v>
      </c>
      <c r="J454" s="7" t="s">
        <v>28</v>
      </c>
      <c r="K454" s="7" t="n">
        <v>277.5</v>
      </c>
      <c r="L454" s="7" t="s">
        <v>29</v>
      </c>
      <c r="M454" s="7" t="s">
        <v>38</v>
      </c>
    </row>
    <row r="455" customFormat="false" ht="15" hidden="false" customHeight="true" outlineLevel="0" collapsed="false">
      <c r="A455" s="7" t="n">
        <v>1042</v>
      </c>
      <c r="B455" s="7" t="n">
        <v>51</v>
      </c>
      <c r="C455" s="7" t="s">
        <v>33</v>
      </c>
      <c r="D455" s="7" t="s">
        <v>25</v>
      </c>
      <c r="E455" s="7" t="n">
        <v>0</v>
      </c>
      <c r="F455" s="7" t="n">
        <v>0</v>
      </c>
      <c r="G455" s="7" t="s">
        <v>36</v>
      </c>
      <c r="H455" s="7" t="s">
        <v>27</v>
      </c>
      <c r="I455" s="7" t="n">
        <v>31.8</v>
      </c>
      <c r="J455" s="7" t="s">
        <v>28</v>
      </c>
      <c r="K455" s="7" t="n">
        <v>147.7</v>
      </c>
      <c r="L455" s="7" t="s">
        <v>29</v>
      </c>
      <c r="M455" s="7" t="s">
        <v>38</v>
      </c>
    </row>
    <row r="456" customFormat="false" ht="15" hidden="false" customHeight="true" outlineLevel="0" collapsed="false">
      <c r="A456" s="7" t="n">
        <v>1063</v>
      </c>
      <c r="B456" s="7" t="n">
        <v>81</v>
      </c>
      <c r="C456" s="7" t="s">
        <v>24</v>
      </c>
      <c r="D456" s="7" t="s">
        <v>25</v>
      </c>
      <c r="E456" s="7" t="n">
        <v>0</v>
      </c>
      <c r="F456" s="7" t="n">
        <v>0</v>
      </c>
      <c r="G456" s="7" t="s">
        <v>36</v>
      </c>
      <c r="H456" s="7" t="s">
        <v>27</v>
      </c>
      <c r="I456" s="7" t="n">
        <v>32.4</v>
      </c>
      <c r="J456" s="7" t="s">
        <v>28</v>
      </c>
      <c r="K456" s="7" t="n">
        <v>174.8</v>
      </c>
      <c r="L456" s="7" t="s">
        <v>29</v>
      </c>
      <c r="M456" s="7" t="s">
        <v>38</v>
      </c>
    </row>
    <row r="457" customFormat="false" ht="15" hidden="false" customHeight="true" outlineLevel="0" collapsed="false">
      <c r="A457" s="7" t="n">
        <v>1084</v>
      </c>
      <c r="B457" s="7" t="n">
        <v>24</v>
      </c>
      <c r="C457" s="7" t="s">
        <v>24</v>
      </c>
      <c r="D457" s="7" t="s">
        <v>25</v>
      </c>
      <c r="E457" s="7" t="n">
        <v>0</v>
      </c>
      <c r="F457" s="7" t="n">
        <v>0</v>
      </c>
      <c r="G457" s="7" t="s">
        <v>26</v>
      </c>
      <c r="H457" s="7" t="s">
        <v>32</v>
      </c>
      <c r="I457" s="7" t="n">
        <v>18</v>
      </c>
      <c r="J457" s="7" t="s">
        <v>28</v>
      </c>
      <c r="K457" s="7" t="n">
        <v>263.8</v>
      </c>
      <c r="L457" s="7" t="s">
        <v>29</v>
      </c>
      <c r="M457" s="7" t="s">
        <v>38</v>
      </c>
    </row>
    <row r="458" customFormat="false" ht="15" hidden="false" customHeight="true" outlineLevel="0" collapsed="false">
      <c r="A458" s="7" t="n">
        <v>1092</v>
      </c>
      <c r="B458" s="7" t="n">
        <v>61</v>
      </c>
      <c r="C458" s="7" t="s">
        <v>24</v>
      </c>
      <c r="D458" s="7" t="s">
        <v>25</v>
      </c>
      <c r="E458" s="7" t="n">
        <v>0</v>
      </c>
      <c r="F458" s="7" t="n">
        <v>0</v>
      </c>
      <c r="G458" s="7" t="s">
        <v>36</v>
      </c>
      <c r="H458" s="7" t="s">
        <v>27</v>
      </c>
      <c r="I458" s="7" t="n">
        <v>19</v>
      </c>
      <c r="J458" s="7" t="s">
        <v>28</v>
      </c>
      <c r="K458" s="7" t="n">
        <v>203.7</v>
      </c>
      <c r="L458" s="7" t="s">
        <v>29</v>
      </c>
      <c r="M458" s="7" t="s">
        <v>38</v>
      </c>
    </row>
    <row r="459" customFormat="false" ht="15" hidden="false" customHeight="true" outlineLevel="0" collapsed="false">
      <c r="A459" s="7" t="n">
        <v>1098</v>
      </c>
      <c r="B459" s="7" t="n">
        <v>53</v>
      </c>
      <c r="C459" s="7" t="s">
        <v>24</v>
      </c>
      <c r="D459" s="7" t="s">
        <v>25</v>
      </c>
      <c r="E459" s="7" t="n">
        <v>0</v>
      </c>
      <c r="F459" s="7" t="n">
        <v>0</v>
      </c>
      <c r="G459" s="7" t="s">
        <v>36</v>
      </c>
      <c r="H459" s="7" t="s">
        <v>27</v>
      </c>
      <c r="I459" s="7" t="n">
        <v>40.4</v>
      </c>
      <c r="J459" s="7" t="s">
        <v>28</v>
      </c>
      <c r="K459" s="7" t="n">
        <v>202.4</v>
      </c>
      <c r="L459" s="7" t="s">
        <v>29</v>
      </c>
      <c r="M459" s="7" t="s">
        <v>38</v>
      </c>
    </row>
    <row r="460" customFormat="false" ht="15" hidden="false" customHeight="true" outlineLevel="0" collapsed="false">
      <c r="A460" s="7" t="n">
        <v>1101</v>
      </c>
      <c r="B460" s="7" t="n">
        <v>48</v>
      </c>
      <c r="C460" s="7" t="s">
        <v>33</v>
      </c>
      <c r="D460" s="7" t="s">
        <v>25</v>
      </c>
      <c r="E460" s="7" t="n">
        <v>0</v>
      </c>
      <c r="F460" s="7" t="n">
        <v>0</v>
      </c>
      <c r="G460" s="7" t="s">
        <v>36</v>
      </c>
      <c r="H460" s="7" t="s">
        <v>27</v>
      </c>
      <c r="I460" s="7" t="n">
        <v>38.9</v>
      </c>
      <c r="J460" s="7" t="s">
        <v>28</v>
      </c>
      <c r="K460" s="7" t="n">
        <v>184.3</v>
      </c>
      <c r="L460" s="7" t="s">
        <v>29</v>
      </c>
      <c r="M460" s="7" t="s">
        <v>38</v>
      </c>
    </row>
    <row r="461" customFormat="false" ht="15" hidden="false" customHeight="true" outlineLevel="0" collapsed="false">
      <c r="A461" s="7" t="n">
        <v>1104</v>
      </c>
      <c r="B461" s="7" t="n">
        <v>43</v>
      </c>
      <c r="C461" s="7" t="s">
        <v>24</v>
      </c>
      <c r="D461" s="7" t="s">
        <v>25</v>
      </c>
      <c r="E461" s="7" t="n">
        <v>0</v>
      </c>
      <c r="F461" s="7" t="n">
        <v>0</v>
      </c>
      <c r="G461" s="7" t="s">
        <v>31</v>
      </c>
      <c r="H461" s="7" t="s">
        <v>32</v>
      </c>
      <c r="I461" s="7" t="n">
        <v>40.6</v>
      </c>
      <c r="J461" s="7" t="s">
        <v>28</v>
      </c>
      <c r="K461" s="7" t="n">
        <v>165.8</v>
      </c>
      <c r="L461" s="7" t="s">
        <v>29</v>
      </c>
      <c r="M461" s="7" t="s">
        <v>38</v>
      </c>
    </row>
    <row r="462" customFormat="false" ht="15" hidden="false" customHeight="true" outlineLevel="0" collapsed="false">
      <c r="A462" s="7" t="n">
        <v>1120</v>
      </c>
      <c r="B462" s="7" t="n">
        <v>87</v>
      </c>
      <c r="C462" s="7" t="s">
        <v>33</v>
      </c>
      <c r="D462" s="7" t="s">
        <v>25</v>
      </c>
      <c r="E462" s="7" t="n">
        <v>0</v>
      </c>
      <c r="F462" s="7" t="n">
        <v>0</v>
      </c>
      <c r="G462" s="7" t="s">
        <v>31</v>
      </c>
      <c r="H462" s="7" t="s">
        <v>32</v>
      </c>
      <c r="I462" s="7" t="n">
        <v>36.6</v>
      </c>
      <c r="J462" s="7" t="s">
        <v>28</v>
      </c>
      <c r="K462" s="7" t="n">
        <v>212.2</v>
      </c>
      <c r="L462" s="7" t="s">
        <v>29</v>
      </c>
      <c r="M462" s="7" t="s">
        <v>38</v>
      </c>
    </row>
    <row r="463" customFormat="false" ht="15" hidden="false" customHeight="true" outlineLevel="0" collapsed="false">
      <c r="A463" s="7" t="n">
        <v>1123</v>
      </c>
      <c r="B463" s="7" t="n">
        <v>23</v>
      </c>
      <c r="C463" s="7" t="s">
        <v>24</v>
      </c>
      <c r="D463" s="7" t="s">
        <v>25</v>
      </c>
      <c r="E463" s="7" t="n">
        <v>0</v>
      </c>
      <c r="F463" s="7" t="n">
        <v>0</v>
      </c>
      <c r="G463" s="7" t="s">
        <v>36</v>
      </c>
      <c r="H463" s="7" t="s">
        <v>32</v>
      </c>
      <c r="I463" s="7" t="n">
        <v>40.6</v>
      </c>
      <c r="J463" s="7" t="s">
        <v>28</v>
      </c>
      <c r="K463" s="7" t="n">
        <v>199.2</v>
      </c>
      <c r="L463" s="7" t="s">
        <v>29</v>
      </c>
      <c r="M463" s="7" t="s">
        <v>38</v>
      </c>
    </row>
    <row r="464" customFormat="false" ht="15" hidden="false" customHeight="true" outlineLevel="0" collapsed="false">
      <c r="A464" s="7" t="n">
        <v>1155</v>
      </c>
      <c r="B464" s="7" t="n">
        <v>85</v>
      </c>
      <c r="C464" s="7" t="s">
        <v>24</v>
      </c>
      <c r="D464" s="7" t="s">
        <v>25</v>
      </c>
      <c r="E464" s="7" t="n">
        <v>0</v>
      </c>
      <c r="F464" s="7" t="n">
        <v>0</v>
      </c>
      <c r="G464" s="7" t="s">
        <v>36</v>
      </c>
      <c r="H464" s="7" t="s">
        <v>32</v>
      </c>
      <c r="I464" s="7" t="n">
        <v>21.5</v>
      </c>
      <c r="J464" s="7" t="s">
        <v>28</v>
      </c>
      <c r="K464" s="7" t="n">
        <v>266.2</v>
      </c>
      <c r="L464" s="7" t="s">
        <v>29</v>
      </c>
      <c r="M464" s="7" t="s">
        <v>38</v>
      </c>
    </row>
    <row r="465" customFormat="false" ht="15" hidden="false" customHeight="true" outlineLevel="0" collapsed="false">
      <c r="A465" s="7" t="n">
        <v>1158</v>
      </c>
      <c r="B465" s="7" t="n">
        <v>46</v>
      </c>
      <c r="C465" s="7" t="s">
        <v>24</v>
      </c>
      <c r="D465" s="7" t="s">
        <v>25</v>
      </c>
      <c r="E465" s="7" t="n">
        <v>0</v>
      </c>
      <c r="F465" s="7" t="n">
        <v>0</v>
      </c>
      <c r="G465" s="7" t="s">
        <v>31</v>
      </c>
      <c r="H465" s="7" t="s">
        <v>27</v>
      </c>
      <c r="I465" s="7" t="n">
        <v>29.4</v>
      </c>
      <c r="J465" s="7" t="s">
        <v>28</v>
      </c>
      <c r="K465" s="7" t="n">
        <v>124.2</v>
      </c>
      <c r="L465" s="7" t="s">
        <v>29</v>
      </c>
      <c r="M465" s="7" t="s">
        <v>38</v>
      </c>
    </row>
    <row r="466" customFormat="false" ht="15" hidden="false" customHeight="true" outlineLevel="0" collapsed="false">
      <c r="A466" s="7" t="n">
        <v>1189</v>
      </c>
      <c r="B466" s="7" t="n">
        <v>72</v>
      </c>
      <c r="C466" s="7" t="s">
        <v>33</v>
      </c>
      <c r="D466" s="7" t="s">
        <v>25</v>
      </c>
      <c r="E466" s="7" t="n">
        <v>0</v>
      </c>
      <c r="F466" s="7" t="n">
        <v>0</v>
      </c>
      <c r="G466" s="7" t="s">
        <v>34</v>
      </c>
      <c r="H466" s="7" t="s">
        <v>27</v>
      </c>
      <c r="I466" s="7" t="n">
        <v>28.5</v>
      </c>
      <c r="J466" s="7" t="s">
        <v>28</v>
      </c>
      <c r="K466" s="7" t="n">
        <v>220.9</v>
      </c>
      <c r="L466" s="7" t="s">
        <v>29</v>
      </c>
      <c r="M466" s="7" t="s">
        <v>38</v>
      </c>
    </row>
    <row r="467" customFormat="false" ht="15" hidden="false" customHeight="true" outlineLevel="0" collapsed="false">
      <c r="A467" s="7" t="n">
        <v>1244</v>
      </c>
      <c r="B467" s="7" t="n">
        <v>83</v>
      </c>
      <c r="C467" s="7" t="s">
        <v>24</v>
      </c>
      <c r="D467" s="7" t="s">
        <v>25</v>
      </c>
      <c r="E467" s="7" t="n">
        <v>0</v>
      </c>
      <c r="F467" s="7" t="n">
        <v>0</v>
      </c>
      <c r="G467" s="7" t="s">
        <v>36</v>
      </c>
      <c r="H467" s="7" t="s">
        <v>27</v>
      </c>
      <c r="I467" s="7" t="n">
        <v>20.8</v>
      </c>
      <c r="J467" s="7" t="s">
        <v>28</v>
      </c>
      <c r="K467" s="7" t="n">
        <v>147.9</v>
      </c>
      <c r="L467" s="7" t="s">
        <v>29</v>
      </c>
      <c r="M467" s="7" t="s">
        <v>38</v>
      </c>
    </row>
    <row r="468" customFormat="false" ht="15" hidden="false" customHeight="true" outlineLevel="0" collapsed="false">
      <c r="A468" s="7" t="n">
        <v>1269</v>
      </c>
      <c r="B468" s="7" t="n">
        <v>39</v>
      </c>
      <c r="C468" s="7" t="s">
        <v>24</v>
      </c>
      <c r="D468" s="7" t="s">
        <v>25</v>
      </c>
      <c r="E468" s="7" t="n">
        <v>0</v>
      </c>
      <c r="F468" s="7" t="n">
        <v>0</v>
      </c>
      <c r="G468" s="7" t="s">
        <v>35</v>
      </c>
      <c r="H468" s="7" t="s">
        <v>27</v>
      </c>
      <c r="I468" s="7" t="n">
        <v>34.1</v>
      </c>
      <c r="J468" s="7" t="s">
        <v>28</v>
      </c>
      <c r="K468" s="7" t="n">
        <v>226.5</v>
      </c>
      <c r="L468" s="7" t="s">
        <v>29</v>
      </c>
      <c r="M468" s="7" t="s">
        <v>38</v>
      </c>
    </row>
    <row r="469" customFormat="false" ht="15" hidden="false" customHeight="true" outlineLevel="0" collapsed="false">
      <c r="A469" s="7" t="n">
        <v>1279</v>
      </c>
      <c r="B469" s="7" t="n">
        <v>38</v>
      </c>
      <c r="C469" s="7" t="s">
        <v>24</v>
      </c>
      <c r="D469" s="7" t="s">
        <v>25</v>
      </c>
      <c r="E469" s="7" t="n">
        <v>0</v>
      </c>
      <c r="F469" s="7" t="n">
        <v>0</v>
      </c>
      <c r="G469" s="7" t="s">
        <v>31</v>
      </c>
      <c r="H469" s="7" t="s">
        <v>27</v>
      </c>
      <c r="I469" s="7" t="n">
        <v>26.7</v>
      </c>
      <c r="J469" s="7" t="s">
        <v>28</v>
      </c>
      <c r="K469" s="7" t="n">
        <v>245.1</v>
      </c>
      <c r="L469" s="7" t="s">
        <v>29</v>
      </c>
      <c r="M469" s="7" t="s">
        <v>38</v>
      </c>
    </row>
    <row r="470" customFormat="false" ht="15" hidden="false" customHeight="true" outlineLevel="0" collapsed="false">
      <c r="A470" s="7" t="n">
        <v>1288</v>
      </c>
      <c r="B470" s="7" t="n">
        <v>61</v>
      </c>
      <c r="C470" s="7" t="s">
        <v>33</v>
      </c>
      <c r="D470" s="7" t="s">
        <v>25</v>
      </c>
      <c r="E470" s="7" t="n">
        <v>0</v>
      </c>
      <c r="F470" s="7" t="n">
        <v>0</v>
      </c>
      <c r="G470" s="7" t="s">
        <v>26</v>
      </c>
      <c r="H470" s="7" t="s">
        <v>27</v>
      </c>
      <c r="I470" s="7" t="n">
        <v>33.7</v>
      </c>
      <c r="J470" s="7" t="s">
        <v>28</v>
      </c>
      <c r="K470" s="7" t="n">
        <v>156.9</v>
      </c>
      <c r="L470" s="7" t="s">
        <v>29</v>
      </c>
      <c r="M470" s="7" t="s">
        <v>38</v>
      </c>
    </row>
    <row r="471" customFormat="false" ht="15" hidden="false" customHeight="true" outlineLevel="0" collapsed="false">
      <c r="A471" s="7" t="n">
        <v>1293</v>
      </c>
      <c r="B471" s="7" t="n">
        <v>61</v>
      </c>
      <c r="C471" s="7" t="s">
        <v>24</v>
      </c>
      <c r="D471" s="7" t="s">
        <v>25</v>
      </c>
      <c r="E471" s="7" t="n">
        <v>0</v>
      </c>
      <c r="F471" s="7" t="n">
        <v>0</v>
      </c>
      <c r="G471" s="7" t="s">
        <v>35</v>
      </c>
      <c r="H471" s="7" t="s">
        <v>27</v>
      </c>
      <c r="I471" s="7" t="n">
        <v>20.1</v>
      </c>
      <c r="J471" s="7" t="s">
        <v>28</v>
      </c>
      <c r="K471" s="7" t="n">
        <v>221.7</v>
      </c>
      <c r="L471" s="7" t="s">
        <v>29</v>
      </c>
      <c r="M471" s="7" t="s">
        <v>38</v>
      </c>
    </row>
    <row r="472" customFormat="false" ht="15" hidden="false" customHeight="true" outlineLevel="0" collapsed="false">
      <c r="A472" s="7" t="n">
        <v>1332</v>
      </c>
      <c r="B472" s="7" t="n">
        <v>21</v>
      </c>
      <c r="C472" s="7" t="s">
        <v>33</v>
      </c>
      <c r="D472" s="7" t="s">
        <v>25</v>
      </c>
      <c r="E472" s="7" t="n">
        <v>0</v>
      </c>
      <c r="F472" s="7" t="n">
        <v>0</v>
      </c>
      <c r="G472" s="7" t="s">
        <v>36</v>
      </c>
      <c r="H472" s="7" t="s">
        <v>27</v>
      </c>
      <c r="I472" s="7" t="n">
        <v>21.9</v>
      </c>
      <c r="J472" s="7" t="s">
        <v>28</v>
      </c>
      <c r="K472" s="7" t="n">
        <v>279.8</v>
      </c>
      <c r="L472" s="7" t="s">
        <v>29</v>
      </c>
      <c r="M472" s="7" t="s">
        <v>38</v>
      </c>
    </row>
    <row r="473" customFormat="false" ht="15" hidden="false" customHeight="true" outlineLevel="0" collapsed="false">
      <c r="A473" s="7" t="n">
        <v>1337</v>
      </c>
      <c r="B473" s="7" t="n">
        <v>62</v>
      </c>
      <c r="C473" s="7" t="s">
        <v>24</v>
      </c>
      <c r="D473" s="7" t="s">
        <v>25</v>
      </c>
      <c r="E473" s="7" t="n">
        <v>0</v>
      </c>
      <c r="F473" s="7" t="n">
        <v>0</v>
      </c>
      <c r="G473" s="7" t="s">
        <v>36</v>
      </c>
      <c r="H473" s="7" t="s">
        <v>27</v>
      </c>
      <c r="I473" s="7" t="n">
        <v>25</v>
      </c>
      <c r="J473" s="7" t="s">
        <v>28</v>
      </c>
      <c r="K473" s="7" t="n">
        <v>149.6</v>
      </c>
      <c r="L473" s="7" t="s">
        <v>29</v>
      </c>
      <c r="M473" s="7" t="s">
        <v>38</v>
      </c>
    </row>
    <row r="474" customFormat="false" ht="15" hidden="false" customHeight="true" outlineLevel="0" collapsed="false">
      <c r="A474" s="7" t="n">
        <v>1366</v>
      </c>
      <c r="B474" s="7" t="n">
        <v>28</v>
      </c>
      <c r="C474" s="7" t="s">
        <v>33</v>
      </c>
      <c r="D474" s="7" t="s">
        <v>25</v>
      </c>
      <c r="E474" s="7" t="n">
        <v>0</v>
      </c>
      <c r="F474" s="7" t="n">
        <v>0</v>
      </c>
      <c r="G474" s="7" t="s">
        <v>26</v>
      </c>
      <c r="H474" s="7" t="s">
        <v>27</v>
      </c>
      <c r="I474" s="7" t="n">
        <v>33.1</v>
      </c>
      <c r="J474" s="7" t="s">
        <v>28</v>
      </c>
      <c r="K474" s="7" t="n">
        <v>235.9</v>
      </c>
      <c r="L474" s="7" t="s">
        <v>29</v>
      </c>
      <c r="M474" s="7" t="s">
        <v>38</v>
      </c>
    </row>
    <row r="475" customFormat="false" ht="15" hidden="false" customHeight="true" outlineLevel="0" collapsed="false">
      <c r="A475" s="7" t="n">
        <v>1406</v>
      </c>
      <c r="B475" s="7" t="n">
        <v>55</v>
      </c>
      <c r="C475" s="7" t="s">
        <v>24</v>
      </c>
      <c r="D475" s="7" t="s">
        <v>25</v>
      </c>
      <c r="E475" s="7" t="n">
        <v>0</v>
      </c>
      <c r="F475" s="7" t="n">
        <v>0</v>
      </c>
      <c r="G475" s="7" t="s">
        <v>34</v>
      </c>
      <c r="H475" s="7" t="s">
        <v>32</v>
      </c>
      <c r="I475" s="7" t="n">
        <v>17.5</v>
      </c>
      <c r="J475" s="7" t="s">
        <v>28</v>
      </c>
      <c r="K475" s="7" t="n">
        <v>189.2</v>
      </c>
      <c r="L475" s="7" t="s">
        <v>29</v>
      </c>
      <c r="M475" s="7" t="s">
        <v>38</v>
      </c>
    </row>
    <row r="476" customFormat="false" ht="15" hidden="false" customHeight="true" outlineLevel="0" collapsed="false">
      <c r="A476" s="7" t="n">
        <v>1415</v>
      </c>
      <c r="B476" s="7" t="n">
        <v>55</v>
      </c>
      <c r="C476" s="7" t="s">
        <v>24</v>
      </c>
      <c r="D476" s="7" t="s">
        <v>25</v>
      </c>
      <c r="E476" s="7" t="n">
        <v>0</v>
      </c>
      <c r="F476" s="7" t="n">
        <v>0</v>
      </c>
      <c r="G476" s="7" t="s">
        <v>31</v>
      </c>
      <c r="H476" s="7" t="s">
        <v>32</v>
      </c>
      <c r="I476" s="7" t="n">
        <v>35.3</v>
      </c>
      <c r="J476" s="7" t="s">
        <v>28</v>
      </c>
      <c r="K476" s="7" t="n">
        <v>160.4</v>
      </c>
      <c r="L476" s="7" t="s">
        <v>29</v>
      </c>
      <c r="M476" s="7" t="s">
        <v>38</v>
      </c>
    </row>
    <row r="477" customFormat="false" ht="15" hidden="false" customHeight="true" outlineLevel="0" collapsed="false">
      <c r="A477" s="7" t="n">
        <v>1421</v>
      </c>
      <c r="B477" s="7" t="n">
        <v>50</v>
      </c>
      <c r="C477" s="7" t="s">
        <v>24</v>
      </c>
      <c r="D477" s="7" t="s">
        <v>25</v>
      </c>
      <c r="E477" s="7" t="n">
        <v>0</v>
      </c>
      <c r="F477" s="7" t="n">
        <v>0</v>
      </c>
      <c r="G477" s="7" t="s">
        <v>34</v>
      </c>
      <c r="H477" s="7" t="s">
        <v>32</v>
      </c>
      <c r="I477" s="7" t="n">
        <v>31.1</v>
      </c>
      <c r="J477" s="7" t="s">
        <v>28</v>
      </c>
      <c r="K477" s="7" t="n">
        <v>279.9</v>
      </c>
      <c r="L477" s="7" t="s">
        <v>29</v>
      </c>
      <c r="M477" s="7" t="s">
        <v>38</v>
      </c>
    </row>
    <row r="478" customFormat="false" ht="15" hidden="false" customHeight="true" outlineLevel="0" collapsed="false">
      <c r="A478" s="7" t="n">
        <v>1423</v>
      </c>
      <c r="B478" s="7" t="n">
        <v>20</v>
      </c>
      <c r="C478" s="7" t="s">
        <v>33</v>
      </c>
      <c r="D478" s="7" t="s">
        <v>25</v>
      </c>
      <c r="E478" s="7" t="n">
        <v>0</v>
      </c>
      <c r="F478" s="7" t="n">
        <v>0</v>
      </c>
      <c r="G478" s="7" t="s">
        <v>31</v>
      </c>
      <c r="H478" s="7" t="s">
        <v>27</v>
      </c>
      <c r="I478" s="7" t="n">
        <v>29.2</v>
      </c>
      <c r="J478" s="7" t="s">
        <v>28</v>
      </c>
      <c r="K478" s="7" t="n">
        <v>297.6</v>
      </c>
      <c r="L478" s="7" t="s">
        <v>29</v>
      </c>
      <c r="M478" s="7" t="s">
        <v>38</v>
      </c>
    </row>
    <row r="479" customFormat="false" ht="15" hidden="false" customHeight="true" outlineLevel="0" collapsed="false">
      <c r="A479" s="7" t="n">
        <v>1440</v>
      </c>
      <c r="B479" s="7" t="n">
        <v>65</v>
      </c>
      <c r="C479" s="7" t="s">
        <v>33</v>
      </c>
      <c r="D479" s="7" t="s">
        <v>25</v>
      </c>
      <c r="E479" s="7" t="n">
        <v>0</v>
      </c>
      <c r="F479" s="7" t="n">
        <v>0</v>
      </c>
      <c r="G479" s="7" t="s">
        <v>35</v>
      </c>
      <c r="H479" s="7" t="s">
        <v>32</v>
      </c>
      <c r="I479" s="7" t="n">
        <v>24.2</v>
      </c>
      <c r="J479" s="7" t="s">
        <v>28</v>
      </c>
      <c r="K479" s="7" t="n">
        <v>259.6</v>
      </c>
      <c r="L479" s="7" t="s">
        <v>29</v>
      </c>
      <c r="M479" s="7" t="s">
        <v>38</v>
      </c>
    </row>
    <row r="480" customFormat="false" ht="15" hidden="false" customHeight="true" outlineLevel="0" collapsed="false">
      <c r="A480" s="7" t="n">
        <v>1463</v>
      </c>
      <c r="B480" s="7" t="n">
        <v>89</v>
      </c>
      <c r="C480" s="7" t="s">
        <v>24</v>
      </c>
      <c r="D480" s="7" t="s">
        <v>25</v>
      </c>
      <c r="E480" s="7" t="n">
        <v>0</v>
      </c>
      <c r="F480" s="7" t="n">
        <v>0</v>
      </c>
      <c r="G480" s="7" t="s">
        <v>26</v>
      </c>
      <c r="H480" s="7" t="s">
        <v>32</v>
      </c>
      <c r="I480" s="7" t="n">
        <v>25.7</v>
      </c>
      <c r="J480" s="7" t="s">
        <v>28</v>
      </c>
      <c r="K480" s="7" t="n">
        <v>280</v>
      </c>
      <c r="L480" s="7" t="s">
        <v>29</v>
      </c>
      <c r="M480" s="7" t="s">
        <v>38</v>
      </c>
    </row>
    <row r="481" customFormat="false" ht="15" hidden="false" customHeight="true" outlineLevel="0" collapsed="false">
      <c r="A481" s="7" t="n">
        <v>1485</v>
      </c>
      <c r="B481" s="7" t="n">
        <v>37</v>
      </c>
      <c r="C481" s="7" t="s">
        <v>24</v>
      </c>
      <c r="D481" s="7" t="s">
        <v>25</v>
      </c>
      <c r="E481" s="7" t="n">
        <v>0</v>
      </c>
      <c r="F481" s="7" t="n">
        <v>0</v>
      </c>
      <c r="G481" s="7" t="s">
        <v>35</v>
      </c>
      <c r="H481" s="7" t="s">
        <v>32</v>
      </c>
      <c r="I481" s="7" t="n">
        <v>35.4</v>
      </c>
      <c r="J481" s="7" t="s">
        <v>28</v>
      </c>
      <c r="K481" s="7" t="n">
        <v>279.6</v>
      </c>
      <c r="L481" s="7" t="s">
        <v>29</v>
      </c>
      <c r="M481" s="7" t="s">
        <v>38</v>
      </c>
    </row>
    <row r="482" customFormat="false" ht="15" hidden="false" customHeight="true" outlineLevel="0" collapsed="false">
      <c r="A482" s="7" t="n">
        <v>1489</v>
      </c>
      <c r="B482" s="7" t="n">
        <v>45</v>
      </c>
      <c r="C482" s="7" t="s">
        <v>33</v>
      </c>
      <c r="D482" s="7" t="s">
        <v>25</v>
      </c>
      <c r="E482" s="7" t="n">
        <v>0</v>
      </c>
      <c r="F482" s="7" t="n">
        <v>0</v>
      </c>
      <c r="G482" s="7" t="s">
        <v>34</v>
      </c>
      <c r="H482" s="7" t="s">
        <v>27</v>
      </c>
      <c r="I482" s="7" t="n">
        <v>37.6</v>
      </c>
      <c r="J482" s="7" t="s">
        <v>28</v>
      </c>
      <c r="K482" s="7" t="n">
        <v>122.6</v>
      </c>
      <c r="L482" s="7" t="s">
        <v>29</v>
      </c>
      <c r="M482" s="7" t="s">
        <v>38</v>
      </c>
    </row>
    <row r="483" customFormat="false" ht="15" hidden="false" customHeight="true" outlineLevel="0" collapsed="false">
      <c r="A483" s="7" t="n">
        <v>1493</v>
      </c>
      <c r="B483" s="7" t="n">
        <v>46</v>
      </c>
      <c r="C483" s="7" t="s">
        <v>33</v>
      </c>
      <c r="D483" s="7" t="s">
        <v>25</v>
      </c>
      <c r="E483" s="7" t="n">
        <v>0</v>
      </c>
      <c r="F483" s="7" t="n">
        <v>0</v>
      </c>
      <c r="G483" s="7" t="s">
        <v>36</v>
      </c>
      <c r="H483" s="7" t="s">
        <v>32</v>
      </c>
      <c r="I483" s="7" t="n">
        <v>23.2</v>
      </c>
      <c r="J483" s="7" t="s">
        <v>28</v>
      </c>
      <c r="K483" s="7" t="n">
        <v>178.3</v>
      </c>
      <c r="L483" s="7" t="s">
        <v>29</v>
      </c>
      <c r="M483" s="7" t="s">
        <v>38</v>
      </c>
    </row>
    <row r="484" customFormat="false" ht="15" hidden="false" customHeight="true" outlineLevel="0" collapsed="false">
      <c r="A484" s="7" t="n">
        <v>1496</v>
      </c>
      <c r="B484" s="7" t="n">
        <v>81</v>
      </c>
      <c r="C484" s="7" t="s">
        <v>33</v>
      </c>
      <c r="D484" s="7" t="s">
        <v>25</v>
      </c>
      <c r="E484" s="7" t="n">
        <v>0</v>
      </c>
      <c r="F484" s="7" t="n">
        <v>0</v>
      </c>
      <c r="G484" s="7" t="s">
        <v>31</v>
      </c>
      <c r="H484" s="7" t="s">
        <v>32</v>
      </c>
      <c r="I484" s="7" t="n">
        <v>18.2</v>
      </c>
      <c r="J484" s="7" t="s">
        <v>28</v>
      </c>
      <c r="K484" s="7" t="n">
        <v>201.4</v>
      </c>
      <c r="L484" s="7" t="s">
        <v>29</v>
      </c>
      <c r="M484" s="7" t="s">
        <v>38</v>
      </c>
    </row>
    <row r="485" customFormat="false" ht="15" hidden="false" customHeight="true" outlineLevel="0" collapsed="false">
      <c r="A485" s="7" t="n">
        <v>1535</v>
      </c>
      <c r="B485" s="7" t="n">
        <v>43</v>
      </c>
      <c r="C485" s="7" t="s">
        <v>24</v>
      </c>
      <c r="D485" s="7" t="s">
        <v>25</v>
      </c>
      <c r="E485" s="7" t="n">
        <v>0</v>
      </c>
      <c r="F485" s="7" t="n">
        <v>0</v>
      </c>
      <c r="G485" s="7" t="s">
        <v>35</v>
      </c>
      <c r="H485" s="7" t="s">
        <v>27</v>
      </c>
      <c r="I485" s="7" t="n">
        <v>17.1</v>
      </c>
      <c r="J485" s="7" t="s">
        <v>28</v>
      </c>
      <c r="K485" s="7" t="n">
        <v>270.1</v>
      </c>
      <c r="L485" s="7" t="s">
        <v>29</v>
      </c>
      <c r="M485" s="7" t="s">
        <v>38</v>
      </c>
    </row>
    <row r="486" customFormat="false" ht="15" hidden="false" customHeight="true" outlineLevel="0" collapsed="false">
      <c r="A486" s="7" t="n">
        <v>1542</v>
      </c>
      <c r="B486" s="7" t="n">
        <v>63</v>
      </c>
      <c r="C486" s="7" t="s">
        <v>24</v>
      </c>
      <c r="D486" s="7" t="s">
        <v>25</v>
      </c>
      <c r="E486" s="7" t="n">
        <v>0</v>
      </c>
      <c r="F486" s="7" t="n">
        <v>0</v>
      </c>
      <c r="G486" s="7" t="s">
        <v>31</v>
      </c>
      <c r="H486" s="7" t="s">
        <v>27</v>
      </c>
      <c r="I486" s="7" t="n">
        <v>35.3</v>
      </c>
      <c r="J486" s="7" t="s">
        <v>28</v>
      </c>
      <c r="K486" s="7" t="n">
        <v>177.2</v>
      </c>
      <c r="L486" s="7" t="s">
        <v>29</v>
      </c>
      <c r="M486" s="7" t="s">
        <v>38</v>
      </c>
    </row>
    <row r="487" customFormat="false" ht="15" hidden="false" customHeight="true" outlineLevel="0" collapsed="false">
      <c r="A487" s="7" t="n">
        <v>1567</v>
      </c>
      <c r="B487" s="7" t="n">
        <v>22</v>
      </c>
      <c r="C487" s="7" t="s">
        <v>33</v>
      </c>
      <c r="D487" s="7" t="s">
        <v>25</v>
      </c>
      <c r="E487" s="7" t="n">
        <v>0</v>
      </c>
      <c r="F487" s="7" t="n">
        <v>0</v>
      </c>
      <c r="G487" s="7" t="s">
        <v>31</v>
      </c>
      <c r="H487" s="7" t="s">
        <v>32</v>
      </c>
      <c r="I487" s="7" t="n">
        <v>26</v>
      </c>
      <c r="J487" s="7" t="s">
        <v>28</v>
      </c>
      <c r="K487" s="7" t="n">
        <v>172.6</v>
      </c>
      <c r="L487" s="7" t="s">
        <v>29</v>
      </c>
      <c r="M487" s="7" t="s">
        <v>38</v>
      </c>
    </row>
    <row r="488" customFormat="false" ht="15" hidden="false" customHeight="true" outlineLevel="0" collapsed="false">
      <c r="A488" s="7" t="n">
        <v>1572</v>
      </c>
      <c r="B488" s="7" t="n">
        <v>23</v>
      </c>
      <c r="C488" s="7" t="s">
        <v>33</v>
      </c>
      <c r="D488" s="7" t="s">
        <v>25</v>
      </c>
      <c r="E488" s="7" t="n">
        <v>0</v>
      </c>
      <c r="F488" s="7" t="n">
        <v>0</v>
      </c>
      <c r="G488" s="7" t="s">
        <v>35</v>
      </c>
      <c r="H488" s="7" t="s">
        <v>27</v>
      </c>
      <c r="I488" s="7" t="n">
        <v>40.4</v>
      </c>
      <c r="J488" s="7" t="s">
        <v>28</v>
      </c>
      <c r="K488" s="7" t="n">
        <v>126.3</v>
      </c>
      <c r="L488" s="7" t="s">
        <v>29</v>
      </c>
      <c r="M488" s="7" t="s">
        <v>38</v>
      </c>
    </row>
    <row r="489" customFormat="false" ht="15" hidden="false" customHeight="true" outlineLevel="0" collapsed="false">
      <c r="A489" s="7" t="n">
        <v>1588</v>
      </c>
      <c r="B489" s="7" t="n">
        <v>77</v>
      </c>
      <c r="C489" s="7" t="s">
        <v>24</v>
      </c>
      <c r="D489" s="7" t="s">
        <v>25</v>
      </c>
      <c r="E489" s="7" t="n">
        <v>0</v>
      </c>
      <c r="F489" s="7" t="n">
        <v>0</v>
      </c>
      <c r="G489" s="7" t="s">
        <v>26</v>
      </c>
      <c r="H489" s="7" t="s">
        <v>32</v>
      </c>
      <c r="I489" s="7" t="n">
        <v>25.5</v>
      </c>
      <c r="J489" s="7" t="s">
        <v>28</v>
      </c>
      <c r="K489" s="7" t="n">
        <v>126.3</v>
      </c>
      <c r="L489" s="7" t="s">
        <v>29</v>
      </c>
      <c r="M489" s="7" t="s">
        <v>38</v>
      </c>
    </row>
    <row r="490" customFormat="false" ht="15" hidden="false" customHeight="true" outlineLevel="0" collapsed="false">
      <c r="A490" s="7" t="n">
        <v>1592</v>
      </c>
      <c r="B490" s="7" t="n">
        <v>65</v>
      </c>
      <c r="C490" s="7" t="s">
        <v>24</v>
      </c>
      <c r="D490" s="7" t="s">
        <v>25</v>
      </c>
      <c r="E490" s="7" t="n">
        <v>0</v>
      </c>
      <c r="F490" s="7" t="n">
        <v>0</v>
      </c>
      <c r="G490" s="7" t="s">
        <v>34</v>
      </c>
      <c r="H490" s="7" t="s">
        <v>27</v>
      </c>
      <c r="I490" s="7" t="n">
        <v>40.9</v>
      </c>
      <c r="J490" s="7" t="s">
        <v>28</v>
      </c>
      <c r="K490" s="7" t="n">
        <v>125.3</v>
      </c>
      <c r="L490" s="7" t="s">
        <v>29</v>
      </c>
      <c r="M490" s="7" t="s">
        <v>38</v>
      </c>
    </row>
    <row r="491" customFormat="false" ht="15" hidden="false" customHeight="true" outlineLevel="0" collapsed="false">
      <c r="A491" s="7" t="n">
        <v>1610</v>
      </c>
      <c r="B491" s="7" t="n">
        <v>38</v>
      </c>
      <c r="C491" s="7" t="s">
        <v>24</v>
      </c>
      <c r="D491" s="7" t="s">
        <v>25</v>
      </c>
      <c r="E491" s="7" t="n">
        <v>0</v>
      </c>
      <c r="F491" s="7" t="n">
        <v>0</v>
      </c>
      <c r="G491" s="7" t="s">
        <v>31</v>
      </c>
      <c r="H491" s="7" t="s">
        <v>27</v>
      </c>
      <c r="I491" s="7" t="n">
        <v>23.2</v>
      </c>
      <c r="J491" s="7" t="s">
        <v>28</v>
      </c>
      <c r="K491" s="7" t="n">
        <v>298.3</v>
      </c>
      <c r="L491" s="7" t="s">
        <v>29</v>
      </c>
      <c r="M491" s="7" t="s">
        <v>38</v>
      </c>
    </row>
    <row r="492" customFormat="false" ht="15" hidden="false" customHeight="true" outlineLevel="0" collapsed="false">
      <c r="A492" s="7" t="n">
        <v>1643</v>
      </c>
      <c r="B492" s="7" t="n">
        <v>64</v>
      </c>
      <c r="C492" s="7" t="s">
        <v>33</v>
      </c>
      <c r="D492" s="7" t="s">
        <v>25</v>
      </c>
      <c r="E492" s="7" t="n">
        <v>0</v>
      </c>
      <c r="F492" s="7" t="n">
        <v>0</v>
      </c>
      <c r="G492" s="7" t="s">
        <v>35</v>
      </c>
      <c r="H492" s="7" t="s">
        <v>27</v>
      </c>
      <c r="I492" s="7" t="n">
        <v>22</v>
      </c>
      <c r="J492" s="7" t="s">
        <v>28</v>
      </c>
      <c r="K492" s="7" t="n">
        <v>282</v>
      </c>
      <c r="L492" s="7" t="s">
        <v>29</v>
      </c>
      <c r="M492" s="7" t="s">
        <v>38</v>
      </c>
    </row>
    <row r="493" customFormat="false" ht="15" hidden="false" customHeight="true" outlineLevel="0" collapsed="false">
      <c r="A493" s="7" t="n">
        <v>1661</v>
      </c>
      <c r="B493" s="7" t="n">
        <v>53</v>
      </c>
      <c r="C493" s="7" t="s">
        <v>33</v>
      </c>
      <c r="D493" s="7" t="s">
        <v>25</v>
      </c>
      <c r="E493" s="7" t="n">
        <v>0</v>
      </c>
      <c r="F493" s="7" t="n">
        <v>0</v>
      </c>
      <c r="G493" s="7" t="s">
        <v>34</v>
      </c>
      <c r="H493" s="7" t="s">
        <v>32</v>
      </c>
      <c r="I493" s="7" t="n">
        <v>32.6</v>
      </c>
      <c r="J493" s="7" t="s">
        <v>28</v>
      </c>
      <c r="K493" s="7" t="n">
        <v>291.3</v>
      </c>
      <c r="L493" s="7" t="s">
        <v>29</v>
      </c>
      <c r="M493" s="7" t="s">
        <v>38</v>
      </c>
    </row>
    <row r="494" customFormat="false" ht="15" hidden="false" customHeight="true" outlineLevel="0" collapsed="false">
      <c r="A494" s="7" t="n">
        <v>1674</v>
      </c>
      <c r="B494" s="7" t="n">
        <v>50</v>
      </c>
      <c r="C494" s="7" t="s">
        <v>24</v>
      </c>
      <c r="D494" s="7" t="s">
        <v>25</v>
      </c>
      <c r="E494" s="7" t="n">
        <v>0</v>
      </c>
      <c r="F494" s="7" t="n">
        <v>0</v>
      </c>
      <c r="G494" s="7" t="s">
        <v>35</v>
      </c>
      <c r="H494" s="7" t="s">
        <v>27</v>
      </c>
      <c r="I494" s="7" t="n">
        <v>26.4</v>
      </c>
      <c r="J494" s="7" t="s">
        <v>28</v>
      </c>
      <c r="K494" s="7" t="n">
        <v>257.3</v>
      </c>
      <c r="L494" s="7" t="s">
        <v>29</v>
      </c>
      <c r="M494" s="7" t="s">
        <v>38</v>
      </c>
    </row>
    <row r="495" customFormat="false" ht="15" hidden="false" customHeight="true" outlineLevel="0" collapsed="false">
      <c r="A495" s="7" t="n">
        <v>1676</v>
      </c>
      <c r="B495" s="7" t="n">
        <v>69</v>
      </c>
      <c r="C495" s="7" t="s">
        <v>33</v>
      </c>
      <c r="D495" s="7" t="s">
        <v>25</v>
      </c>
      <c r="E495" s="7" t="n">
        <v>0</v>
      </c>
      <c r="F495" s="7" t="n">
        <v>0</v>
      </c>
      <c r="G495" s="7" t="s">
        <v>26</v>
      </c>
      <c r="H495" s="7" t="s">
        <v>27</v>
      </c>
      <c r="I495" s="7" t="n">
        <v>37.8</v>
      </c>
      <c r="J495" s="7" t="s">
        <v>28</v>
      </c>
      <c r="K495" s="7" t="n">
        <v>213</v>
      </c>
      <c r="L495" s="7" t="s">
        <v>29</v>
      </c>
      <c r="M495" s="7" t="s">
        <v>38</v>
      </c>
    </row>
    <row r="496" customFormat="false" ht="15" hidden="false" customHeight="true" outlineLevel="0" collapsed="false">
      <c r="A496" s="7" t="n">
        <v>1698</v>
      </c>
      <c r="B496" s="7" t="n">
        <v>72</v>
      </c>
      <c r="C496" s="7" t="s">
        <v>33</v>
      </c>
      <c r="D496" s="7" t="s">
        <v>25</v>
      </c>
      <c r="E496" s="7" t="n">
        <v>0</v>
      </c>
      <c r="F496" s="7" t="n">
        <v>0</v>
      </c>
      <c r="G496" s="7" t="s">
        <v>26</v>
      </c>
      <c r="H496" s="7" t="s">
        <v>27</v>
      </c>
      <c r="I496" s="7" t="n">
        <v>36.2</v>
      </c>
      <c r="J496" s="7" t="s">
        <v>28</v>
      </c>
      <c r="K496" s="7" t="n">
        <v>239.1</v>
      </c>
      <c r="L496" s="7" t="s">
        <v>29</v>
      </c>
      <c r="M496" s="7" t="s">
        <v>38</v>
      </c>
    </row>
    <row r="497" customFormat="false" ht="15" hidden="false" customHeight="true" outlineLevel="0" collapsed="false">
      <c r="A497" s="7" t="n">
        <v>1717</v>
      </c>
      <c r="B497" s="7" t="n">
        <v>20</v>
      </c>
      <c r="C497" s="7" t="s">
        <v>33</v>
      </c>
      <c r="D497" s="7" t="s">
        <v>25</v>
      </c>
      <c r="E497" s="7" t="n">
        <v>0</v>
      </c>
      <c r="F497" s="7" t="n">
        <v>0</v>
      </c>
      <c r="G497" s="7" t="s">
        <v>26</v>
      </c>
      <c r="H497" s="7" t="s">
        <v>27</v>
      </c>
      <c r="I497" s="7" t="n">
        <v>20.7</v>
      </c>
      <c r="J497" s="7" t="s">
        <v>28</v>
      </c>
      <c r="K497" s="7" t="n">
        <v>202</v>
      </c>
      <c r="L497" s="7" t="s">
        <v>29</v>
      </c>
      <c r="M497" s="7" t="s">
        <v>38</v>
      </c>
    </row>
    <row r="498" customFormat="false" ht="15" hidden="false" customHeight="true" outlineLevel="0" collapsed="false">
      <c r="A498" s="7" t="n">
        <v>1725</v>
      </c>
      <c r="B498" s="7" t="n">
        <v>79</v>
      </c>
      <c r="C498" s="7" t="s">
        <v>33</v>
      </c>
      <c r="D498" s="7" t="s">
        <v>25</v>
      </c>
      <c r="E498" s="7" t="n">
        <v>0</v>
      </c>
      <c r="F498" s="7" t="n">
        <v>0</v>
      </c>
      <c r="G498" s="7" t="s">
        <v>36</v>
      </c>
      <c r="H498" s="7" t="s">
        <v>27</v>
      </c>
      <c r="I498" s="7" t="n">
        <v>31.6</v>
      </c>
      <c r="J498" s="7" t="s">
        <v>28</v>
      </c>
      <c r="K498" s="7" t="n">
        <v>251.2</v>
      </c>
      <c r="L498" s="7" t="s">
        <v>29</v>
      </c>
      <c r="M498" s="7" t="s">
        <v>38</v>
      </c>
    </row>
    <row r="499" customFormat="false" ht="15" hidden="false" customHeight="true" outlineLevel="0" collapsed="false">
      <c r="A499" s="7" t="n">
        <v>1727</v>
      </c>
      <c r="B499" s="7" t="n">
        <v>54</v>
      </c>
      <c r="C499" s="7" t="s">
        <v>24</v>
      </c>
      <c r="D499" s="7" t="s">
        <v>25</v>
      </c>
      <c r="E499" s="7" t="n">
        <v>0</v>
      </c>
      <c r="F499" s="7" t="n">
        <v>0</v>
      </c>
      <c r="G499" s="7" t="s">
        <v>35</v>
      </c>
      <c r="H499" s="7" t="s">
        <v>32</v>
      </c>
      <c r="I499" s="7" t="n">
        <v>22.8</v>
      </c>
      <c r="J499" s="7" t="s">
        <v>28</v>
      </c>
      <c r="K499" s="7" t="n">
        <v>137.4</v>
      </c>
      <c r="L499" s="7" t="s">
        <v>29</v>
      </c>
      <c r="M499" s="7" t="s">
        <v>38</v>
      </c>
    </row>
    <row r="500" customFormat="false" ht="15" hidden="false" customHeight="true" outlineLevel="0" collapsed="false">
      <c r="A500" s="7" t="n">
        <v>1732</v>
      </c>
      <c r="B500" s="7" t="n">
        <v>69</v>
      </c>
      <c r="C500" s="7" t="s">
        <v>33</v>
      </c>
      <c r="D500" s="7" t="s">
        <v>25</v>
      </c>
      <c r="E500" s="7" t="n">
        <v>0</v>
      </c>
      <c r="F500" s="7" t="n">
        <v>0</v>
      </c>
      <c r="G500" s="7" t="s">
        <v>26</v>
      </c>
      <c r="H500" s="7" t="s">
        <v>32</v>
      </c>
      <c r="I500" s="7" t="n">
        <v>37.4</v>
      </c>
      <c r="J500" s="7" t="s">
        <v>28</v>
      </c>
      <c r="K500" s="7" t="n">
        <v>255.6</v>
      </c>
      <c r="L500" s="7" t="s">
        <v>29</v>
      </c>
      <c r="M500" s="7" t="s">
        <v>38</v>
      </c>
    </row>
    <row r="501" customFormat="false" ht="15" hidden="false" customHeight="true" outlineLevel="0" collapsed="false">
      <c r="A501" s="7" t="n">
        <v>1745</v>
      </c>
      <c r="B501" s="7" t="n">
        <v>89</v>
      </c>
      <c r="C501" s="7" t="s">
        <v>33</v>
      </c>
      <c r="D501" s="7" t="s">
        <v>25</v>
      </c>
      <c r="E501" s="7" t="n">
        <v>0</v>
      </c>
      <c r="F501" s="7" t="n">
        <v>0</v>
      </c>
      <c r="G501" s="7" t="s">
        <v>36</v>
      </c>
      <c r="H501" s="7" t="s">
        <v>27</v>
      </c>
      <c r="I501" s="7" t="n">
        <v>41.7</v>
      </c>
      <c r="J501" s="7" t="s">
        <v>28</v>
      </c>
      <c r="K501" s="7" t="n">
        <v>286.2</v>
      </c>
      <c r="L501" s="7" t="s">
        <v>29</v>
      </c>
      <c r="M501" s="7" t="s">
        <v>38</v>
      </c>
    </row>
    <row r="502" customFormat="false" ht="15" hidden="false" customHeight="true" outlineLevel="0" collapsed="false">
      <c r="A502" s="7" t="n">
        <v>1765</v>
      </c>
      <c r="B502" s="7" t="n">
        <v>87</v>
      </c>
      <c r="C502" s="7" t="s">
        <v>24</v>
      </c>
      <c r="D502" s="7" t="s">
        <v>25</v>
      </c>
      <c r="E502" s="7" t="n">
        <v>0</v>
      </c>
      <c r="F502" s="7" t="n">
        <v>0</v>
      </c>
      <c r="G502" s="7" t="s">
        <v>26</v>
      </c>
      <c r="H502" s="7" t="s">
        <v>32</v>
      </c>
      <c r="I502" s="7" t="n">
        <v>29.1</v>
      </c>
      <c r="J502" s="7" t="s">
        <v>28</v>
      </c>
      <c r="K502" s="7" t="n">
        <v>236.1</v>
      </c>
      <c r="L502" s="7" t="s">
        <v>29</v>
      </c>
      <c r="M502" s="7" t="s">
        <v>38</v>
      </c>
    </row>
    <row r="503" customFormat="false" ht="15" hidden="false" customHeight="true" outlineLevel="0" collapsed="false">
      <c r="A503" s="7" t="n">
        <v>1819</v>
      </c>
      <c r="B503" s="7" t="n">
        <v>48</v>
      </c>
      <c r="C503" s="7" t="s">
        <v>33</v>
      </c>
      <c r="D503" s="7" t="s">
        <v>25</v>
      </c>
      <c r="E503" s="7" t="n">
        <v>0</v>
      </c>
      <c r="F503" s="7" t="n">
        <v>0</v>
      </c>
      <c r="G503" s="7" t="s">
        <v>34</v>
      </c>
      <c r="H503" s="7" t="s">
        <v>32</v>
      </c>
      <c r="I503" s="7" t="n">
        <v>17.3</v>
      </c>
      <c r="J503" s="7" t="s">
        <v>28</v>
      </c>
      <c r="K503" s="7" t="n">
        <v>260.4</v>
      </c>
      <c r="L503" s="7" t="s">
        <v>29</v>
      </c>
      <c r="M503" s="7" t="s">
        <v>38</v>
      </c>
    </row>
    <row r="504" customFormat="false" ht="15" hidden="false" customHeight="true" outlineLevel="0" collapsed="false">
      <c r="A504" s="7" t="n">
        <v>1863</v>
      </c>
      <c r="B504" s="7" t="n">
        <v>83</v>
      </c>
      <c r="C504" s="7" t="s">
        <v>24</v>
      </c>
      <c r="D504" s="7" t="s">
        <v>25</v>
      </c>
      <c r="E504" s="7" t="n">
        <v>0</v>
      </c>
      <c r="F504" s="7" t="n">
        <v>0</v>
      </c>
      <c r="G504" s="7" t="s">
        <v>31</v>
      </c>
      <c r="H504" s="7" t="s">
        <v>27</v>
      </c>
      <c r="I504" s="7" t="n">
        <v>29.5</v>
      </c>
      <c r="J504" s="7" t="s">
        <v>28</v>
      </c>
      <c r="K504" s="7" t="n">
        <v>121.6</v>
      </c>
      <c r="L504" s="7" t="s">
        <v>29</v>
      </c>
      <c r="M504" s="7" t="s">
        <v>38</v>
      </c>
    </row>
    <row r="505" customFormat="false" ht="15" hidden="false" customHeight="true" outlineLevel="0" collapsed="false">
      <c r="A505" s="7" t="n">
        <v>1879</v>
      </c>
      <c r="B505" s="7" t="n">
        <v>34</v>
      </c>
      <c r="C505" s="7" t="s">
        <v>33</v>
      </c>
      <c r="D505" s="7" t="s">
        <v>25</v>
      </c>
      <c r="E505" s="7" t="n">
        <v>0</v>
      </c>
      <c r="F505" s="7" t="n">
        <v>0</v>
      </c>
      <c r="G505" s="7" t="s">
        <v>34</v>
      </c>
      <c r="H505" s="7" t="s">
        <v>27</v>
      </c>
      <c r="I505" s="7" t="n">
        <v>36.6</v>
      </c>
      <c r="J505" s="7" t="s">
        <v>28</v>
      </c>
      <c r="K505" s="7" t="n">
        <v>222.9</v>
      </c>
      <c r="L505" s="7" t="s">
        <v>29</v>
      </c>
      <c r="M505" s="7" t="s">
        <v>38</v>
      </c>
    </row>
    <row r="506" customFormat="false" ht="15" hidden="false" customHeight="true" outlineLevel="0" collapsed="false">
      <c r="A506" s="7" t="n">
        <v>1886</v>
      </c>
      <c r="B506" s="7" t="n">
        <v>27</v>
      </c>
      <c r="C506" s="7" t="s">
        <v>33</v>
      </c>
      <c r="D506" s="7" t="s">
        <v>25</v>
      </c>
      <c r="E506" s="7" t="n">
        <v>0</v>
      </c>
      <c r="F506" s="7" t="n">
        <v>0</v>
      </c>
      <c r="G506" s="7" t="s">
        <v>35</v>
      </c>
      <c r="H506" s="7" t="s">
        <v>32</v>
      </c>
      <c r="I506" s="7" t="n">
        <v>39.1</v>
      </c>
      <c r="J506" s="7" t="s">
        <v>28</v>
      </c>
      <c r="K506" s="7" t="n">
        <v>236.4</v>
      </c>
      <c r="L506" s="7" t="s">
        <v>29</v>
      </c>
      <c r="M506" s="7" t="s">
        <v>38</v>
      </c>
    </row>
    <row r="507" customFormat="false" ht="15" hidden="false" customHeight="true" outlineLevel="0" collapsed="false">
      <c r="A507" s="7" t="n">
        <v>1889</v>
      </c>
      <c r="B507" s="7" t="n">
        <v>72</v>
      </c>
      <c r="C507" s="7" t="s">
        <v>24</v>
      </c>
      <c r="D507" s="7" t="s">
        <v>25</v>
      </c>
      <c r="E507" s="7" t="n">
        <v>0</v>
      </c>
      <c r="F507" s="7" t="n">
        <v>0</v>
      </c>
      <c r="G507" s="7" t="s">
        <v>34</v>
      </c>
      <c r="H507" s="7" t="s">
        <v>32</v>
      </c>
      <c r="I507" s="7" t="n">
        <v>29.2</v>
      </c>
      <c r="J507" s="7" t="s">
        <v>28</v>
      </c>
      <c r="K507" s="7" t="n">
        <v>149.1</v>
      </c>
      <c r="L507" s="7" t="s">
        <v>29</v>
      </c>
      <c r="M507" s="7" t="s">
        <v>38</v>
      </c>
    </row>
    <row r="508" customFormat="false" ht="15" hidden="false" customHeight="true" outlineLevel="0" collapsed="false">
      <c r="A508" s="7" t="n">
        <v>1908</v>
      </c>
      <c r="B508" s="7" t="n">
        <v>87</v>
      </c>
      <c r="C508" s="7" t="s">
        <v>24</v>
      </c>
      <c r="D508" s="7" t="s">
        <v>25</v>
      </c>
      <c r="E508" s="7" t="n">
        <v>0</v>
      </c>
      <c r="F508" s="7" t="n">
        <v>0</v>
      </c>
      <c r="G508" s="7" t="s">
        <v>31</v>
      </c>
      <c r="H508" s="7" t="s">
        <v>32</v>
      </c>
      <c r="I508" s="7" t="n">
        <v>29.9</v>
      </c>
      <c r="J508" s="7" t="s">
        <v>28</v>
      </c>
      <c r="K508" s="7" t="n">
        <v>238.5</v>
      </c>
      <c r="L508" s="7" t="s">
        <v>29</v>
      </c>
      <c r="M508" s="7" t="s">
        <v>38</v>
      </c>
    </row>
    <row r="509" customFormat="false" ht="15" hidden="false" customHeight="true" outlineLevel="0" collapsed="false">
      <c r="A509" s="7" t="n">
        <v>1916</v>
      </c>
      <c r="B509" s="7" t="n">
        <v>32</v>
      </c>
      <c r="C509" s="7" t="s">
        <v>33</v>
      </c>
      <c r="D509" s="7" t="s">
        <v>25</v>
      </c>
      <c r="E509" s="7" t="n">
        <v>0</v>
      </c>
      <c r="F509" s="7" t="n">
        <v>0</v>
      </c>
      <c r="G509" s="7" t="s">
        <v>35</v>
      </c>
      <c r="H509" s="7" t="s">
        <v>27</v>
      </c>
      <c r="I509" s="7" t="n">
        <v>34.8</v>
      </c>
      <c r="J509" s="7" t="s">
        <v>28</v>
      </c>
      <c r="K509" s="7" t="n">
        <v>245.8</v>
      </c>
      <c r="L509" s="7" t="s">
        <v>29</v>
      </c>
      <c r="M509" s="7" t="s">
        <v>38</v>
      </c>
    </row>
    <row r="510" customFormat="false" ht="15" hidden="false" customHeight="true" outlineLevel="0" collapsed="false">
      <c r="A510" s="7" t="n">
        <v>1918</v>
      </c>
      <c r="B510" s="7" t="n">
        <v>58</v>
      </c>
      <c r="C510" s="7" t="s">
        <v>33</v>
      </c>
      <c r="D510" s="7" t="s">
        <v>25</v>
      </c>
      <c r="E510" s="7" t="n">
        <v>0</v>
      </c>
      <c r="F510" s="7" t="n">
        <v>0</v>
      </c>
      <c r="G510" s="7" t="s">
        <v>36</v>
      </c>
      <c r="H510" s="7" t="s">
        <v>27</v>
      </c>
      <c r="I510" s="7" t="n">
        <v>36.8</v>
      </c>
      <c r="J510" s="7" t="s">
        <v>28</v>
      </c>
      <c r="K510" s="7" t="n">
        <v>167</v>
      </c>
      <c r="L510" s="7" t="s">
        <v>29</v>
      </c>
      <c r="M510" s="7" t="s">
        <v>38</v>
      </c>
    </row>
    <row r="511" customFormat="false" ht="15" hidden="false" customHeight="true" outlineLevel="0" collapsed="false">
      <c r="A511" s="7" t="n">
        <v>1929</v>
      </c>
      <c r="B511" s="7" t="n">
        <v>89</v>
      </c>
      <c r="C511" s="7" t="s">
        <v>24</v>
      </c>
      <c r="D511" s="7" t="s">
        <v>25</v>
      </c>
      <c r="E511" s="7" t="n">
        <v>0</v>
      </c>
      <c r="F511" s="7" t="n">
        <v>0</v>
      </c>
      <c r="G511" s="7" t="s">
        <v>34</v>
      </c>
      <c r="H511" s="7" t="s">
        <v>32</v>
      </c>
      <c r="I511" s="7" t="n">
        <v>32.9</v>
      </c>
      <c r="J511" s="7" t="s">
        <v>28</v>
      </c>
      <c r="K511" s="7" t="n">
        <v>277.3</v>
      </c>
      <c r="L511" s="7" t="s">
        <v>29</v>
      </c>
      <c r="M511" s="7" t="s">
        <v>38</v>
      </c>
    </row>
    <row r="512" customFormat="false" ht="15" hidden="false" customHeight="true" outlineLevel="0" collapsed="false">
      <c r="A512" s="7" t="n">
        <v>1997</v>
      </c>
      <c r="B512" s="7" t="n">
        <v>43</v>
      </c>
      <c r="C512" s="7" t="s">
        <v>33</v>
      </c>
      <c r="D512" s="7" t="s">
        <v>25</v>
      </c>
      <c r="E512" s="7" t="n">
        <v>0</v>
      </c>
      <c r="F512" s="7" t="n">
        <v>0</v>
      </c>
      <c r="G512" s="7" t="s">
        <v>26</v>
      </c>
      <c r="H512" s="7" t="s">
        <v>27</v>
      </c>
      <c r="I512" s="7" t="n">
        <v>40</v>
      </c>
      <c r="J512" s="7" t="s">
        <v>28</v>
      </c>
      <c r="K512" s="7" t="n">
        <v>175.2</v>
      </c>
      <c r="L512" s="7" t="s">
        <v>29</v>
      </c>
      <c r="M512" s="7" t="s">
        <v>38</v>
      </c>
    </row>
    <row r="513" customFormat="false" ht="15" hidden="false" customHeight="true" outlineLevel="0" collapsed="false">
      <c r="A513" s="7" t="n">
        <v>2005</v>
      </c>
      <c r="B513" s="7" t="n">
        <v>71</v>
      </c>
      <c r="C513" s="7" t="s">
        <v>24</v>
      </c>
      <c r="D513" s="7" t="s">
        <v>25</v>
      </c>
      <c r="E513" s="7" t="n">
        <v>0</v>
      </c>
      <c r="F513" s="7" t="n">
        <v>0</v>
      </c>
      <c r="G513" s="7" t="s">
        <v>34</v>
      </c>
      <c r="H513" s="7" t="s">
        <v>32</v>
      </c>
      <c r="I513" s="7" t="n">
        <v>24.5</v>
      </c>
      <c r="J513" s="7" t="s">
        <v>28</v>
      </c>
      <c r="K513" s="7" t="n">
        <v>280.3</v>
      </c>
      <c r="L513" s="7" t="s">
        <v>29</v>
      </c>
      <c r="M513" s="7" t="s">
        <v>38</v>
      </c>
    </row>
    <row r="514" customFormat="false" ht="15" hidden="false" customHeight="true" outlineLevel="0" collapsed="false">
      <c r="A514" s="7" t="n">
        <v>2008</v>
      </c>
      <c r="B514" s="7" t="n">
        <v>73</v>
      </c>
      <c r="C514" s="7" t="s">
        <v>33</v>
      </c>
      <c r="D514" s="7" t="s">
        <v>25</v>
      </c>
      <c r="E514" s="7" t="n">
        <v>0</v>
      </c>
      <c r="F514" s="7" t="n">
        <v>0</v>
      </c>
      <c r="G514" s="7" t="s">
        <v>35</v>
      </c>
      <c r="H514" s="7" t="s">
        <v>27</v>
      </c>
      <c r="I514" s="7" t="n">
        <v>21.1</v>
      </c>
      <c r="J514" s="7" t="s">
        <v>28</v>
      </c>
      <c r="K514" s="7" t="n">
        <v>261.5</v>
      </c>
      <c r="L514" s="7" t="s">
        <v>29</v>
      </c>
      <c r="M514" s="7" t="s">
        <v>38</v>
      </c>
    </row>
    <row r="515" customFormat="false" ht="15" hidden="false" customHeight="true" outlineLevel="0" collapsed="false">
      <c r="A515" s="7" t="n">
        <v>2014</v>
      </c>
      <c r="B515" s="7" t="n">
        <v>27</v>
      </c>
      <c r="C515" s="7" t="s">
        <v>33</v>
      </c>
      <c r="D515" s="7" t="s">
        <v>25</v>
      </c>
      <c r="E515" s="7" t="n">
        <v>0</v>
      </c>
      <c r="F515" s="7" t="n">
        <v>0</v>
      </c>
      <c r="G515" s="7" t="s">
        <v>36</v>
      </c>
      <c r="H515" s="7" t="s">
        <v>27</v>
      </c>
      <c r="I515" s="7" t="n">
        <v>39.6</v>
      </c>
      <c r="J515" s="7" t="s">
        <v>28</v>
      </c>
      <c r="K515" s="7" t="n">
        <v>295.9</v>
      </c>
      <c r="L515" s="7" t="s">
        <v>29</v>
      </c>
      <c r="M515" s="7" t="s">
        <v>38</v>
      </c>
    </row>
    <row r="516" customFormat="false" ht="15" hidden="false" customHeight="true" outlineLevel="0" collapsed="false">
      <c r="A516" s="7" t="n">
        <v>2028</v>
      </c>
      <c r="B516" s="7" t="n">
        <v>24</v>
      </c>
      <c r="C516" s="7" t="s">
        <v>24</v>
      </c>
      <c r="D516" s="7" t="s">
        <v>25</v>
      </c>
      <c r="E516" s="7" t="n">
        <v>0</v>
      </c>
      <c r="F516" s="7" t="n">
        <v>0</v>
      </c>
      <c r="G516" s="7" t="s">
        <v>26</v>
      </c>
      <c r="H516" s="7" t="s">
        <v>32</v>
      </c>
      <c r="I516" s="7" t="n">
        <v>36.7</v>
      </c>
      <c r="J516" s="7" t="s">
        <v>28</v>
      </c>
      <c r="K516" s="7" t="n">
        <v>167.6</v>
      </c>
      <c r="L516" s="7" t="s">
        <v>29</v>
      </c>
      <c r="M516" s="7" t="s">
        <v>38</v>
      </c>
    </row>
    <row r="517" customFormat="false" ht="15" hidden="false" customHeight="true" outlineLevel="0" collapsed="false">
      <c r="A517" s="7" t="n">
        <v>2039</v>
      </c>
      <c r="B517" s="7" t="n">
        <v>61</v>
      </c>
      <c r="C517" s="7" t="s">
        <v>24</v>
      </c>
      <c r="D517" s="7" t="s">
        <v>25</v>
      </c>
      <c r="E517" s="7" t="n">
        <v>0</v>
      </c>
      <c r="F517" s="7" t="n">
        <v>0</v>
      </c>
      <c r="G517" s="7" t="s">
        <v>35</v>
      </c>
      <c r="H517" s="7" t="s">
        <v>27</v>
      </c>
      <c r="I517" s="7" t="n">
        <v>26</v>
      </c>
      <c r="J517" s="7" t="s">
        <v>28</v>
      </c>
      <c r="K517" s="7" t="n">
        <v>161.5</v>
      </c>
      <c r="L517" s="7" t="s">
        <v>29</v>
      </c>
      <c r="M517" s="7" t="s">
        <v>38</v>
      </c>
    </row>
    <row r="518" customFormat="false" ht="15" hidden="false" customHeight="true" outlineLevel="0" collapsed="false">
      <c r="A518" s="7" t="n">
        <v>2105</v>
      </c>
      <c r="B518" s="7" t="n">
        <v>44</v>
      </c>
      <c r="C518" s="7" t="s">
        <v>33</v>
      </c>
      <c r="D518" s="7" t="s">
        <v>25</v>
      </c>
      <c r="E518" s="7" t="n">
        <v>0</v>
      </c>
      <c r="F518" s="7" t="n">
        <v>0</v>
      </c>
      <c r="G518" s="7" t="s">
        <v>34</v>
      </c>
      <c r="H518" s="7" t="s">
        <v>27</v>
      </c>
      <c r="I518" s="7" t="n">
        <v>24</v>
      </c>
      <c r="J518" s="7" t="s">
        <v>28</v>
      </c>
      <c r="K518" s="7" t="n">
        <v>227.7</v>
      </c>
      <c r="L518" s="7" t="s">
        <v>29</v>
      </c>
      <c r="M518" s="7" t="s">
        <v>38</v>
      </c>
    </row>
    <row r="519" customFormat="false" ht="15" hidden="false" customHeight="true" outlineLevel="0" collapsed="false">
      <c r="A519" s="7" t="n">
        <v>2131</v>
      </c>
      <c r="B519" s="7" t="n">
        <v>58</v>
      </c>
      <c r="C519" s="7" t="s">
        <v>24</v>
      </c>
      <c r="D519" s="7" t="s">
        <v>25</v>
      </c>
      <c r="E519" s="7" t="n">
        <v>0</v>
      </c>
      <c r="F519" s="7" t="n">
        <v>0</v>
      </c>
      <c r="G519" s="7" t="s">
        <v>31</v>
      </c>
      <c r="H519" s="7" t="s">
        <v>27</v>
      </c>
      <c r="I519" s="7" t="n">
        <v>41.3</v>
      </c>
      <c r="J519" s="7" t="s">
        <v>28</v>
      </c>
      <c r="K519" s="7" t="n">
        <v>203.1</v>
      </c>
      <c r="L519" s="7" t="s">
        <v>29</v>
      </c>
      <c r="M519" s="7" t="s">
        <v>38</v>
      </c>
    </row>
    <row r="520" customFormat="false" ht="15" hidden="false" customHeight="true" outlineLevel="0" collapsed="false">
      <c r="A520" s="7" t="n">
        <v>2132</v>
      </c>
      <c r="B520" s="7" t="n">
        <v>88</v>
      </c>
      <c r="C520" s="7" t="s">
        <v>33</v>
      </c>
      <c r="D520" s="7" t="s">
        <v>25</v>
      </c>
      <c r="E520" s="7" t="n">
        <v>0</v>
      </c>
      <c r="F520" s="7" t="n">
        <v>0</v>
      </c>
      <c r="G520" s="7" t="s">
        <v>26</v>
      </c>
      <c r="H520" s="7" t="s">
        <v>27</v>
      </c>
      <c r="I520" s="7" t="n">
        <v>22.8</v>
      </c>
      <c r="J520" s="7" t="s">
        <v>28</v>
      </c>
      <c r="K520" s="7" t="n">
        <v>239.2</v>
      </c>
      <c r="L520" s="7" t="s">
        <v>29</v>
      </c>
      <c r="M520" s="7" t="s">
        <v>38</v>
      </c>
    </row>
    <row r="521" customFormat="false" ht="15" hidden="false" customHeight="true" outlineLevel="0" collapsed="false">
      <c r="A521" s="7" t="n">
        <v>2138</v>
      </c>
      <c r="B521" s="7" t="n">
        <v>83</v>
      </c>
      <c r="C521" s="7" t="s">
        <v>33</v>
      </c>
      <c r="D521" s="7" t="s">
        <v>25</v>
      </c>
      <c r="E521" s="7" t="n">
        <v>0</v>
      </c>
      <c r="F521" s="7" t="n">
        <v>0</v>
      </c>
      <c r="G521" s="7" t="s">
        <v>26</v>
      </c>
      <c r="H521" s="7" t="s">
        <v>27</v>
      </c>
      <c r="I521" s="7" t="n">
        <v>19.2</v>
      </c>
      <c r="J521" s="7" t="s">
        <v>28</v>
      </c>
      <c r="K521" s="7" t="n">
        <v>139.7</v>
      </c>
      <c r="L521" s="7" t="s">
        <v>29</v>
      </c>
      <c r="M521" s="7" t="s">
        <v>38</v>
      </c>
    </row>
    <row r="522" customFormat="false" ht="15" hidden="false" customHeight="true" outlineLevel="0" collapsed="false">
      <c r="A522" s="7" t="n">
        <v>2156</v>
      </c>
      <c r="B522" s="7" t="n">
        <v>34</v>
      </c>
      <c r="C522" s="7" t="s">
        <v>33</v>
      </c>
      <c r="D522" s="7" t="s">
        <v>25</v>
      </c>
      <c r="E522" s="7" t="n">
        <v>0</v>
      </c>
      <c r="F522" s="7" t="n">
        <v>0</v>
      </c>
      <c r="G522" s="7" t="s">
        <v>26</v>
      </c>
      <c r="H522" s="7" t="s">
        <v>27</v>
      </c>
      <c r="I522" s="7" t="n">
        <v>27.7</v>
      </c>
      <c r="J522" s="7" t="s">
        <v>28</v>
      </c>
      <c r="K522" s="7" t="n">
        <v>136.3</v>
      </c>
      <c r="L522" s="7" t="s">
        <v>29</v>
      </c>
      <c r="M522" s="7" t="s">
        <v>38</v>
      </c>
    </row>
    <row r="523" customFormat="false" ht="15" hidden="false" customHeight="true" outlineLevel="0" collapsed="false">
      <c r="A523" s="7" t="n">
        <v>2177</v>
      </c>
      <c r="B523" s="7" t="n">
        <v>23</v>
      </c>
      <c r="C523" s="7" t="s">
        <v>33</v>
      </c>
      <c r="D523" s="7" t="s">
        <v>25</v>
      </c>
      <c r="E523" s="7" t="n">
        <v>0</v>
      </c>
      <c r="F523" s="7" t="n">
        <v>0</v>
      </c>
      <c r="G523" s="7" t="s">
        <v>26</v>
      </c>
      <c r="H523" s="7" t="s">
        <v>27</v>
      </c>
      <c r="I523" s="7" t="n">
        <v>22.7</v>
      </c>
      <c r="J523" s="7" t="s">
        <v>28</v>
      </c>
      <c r="K523" s="7" t="n">
        <v>165.4</v>
      </c>
      <c r="L523" s="7" t="s">
        <v>29</v>
      </c>
      <c r="M523" s="7" t="s">
        <v>38</v>
      </c>
    </row>
    <row r="524" customFormat="false" ht="15" hidden="false" customHeight="true" outlineLevel="0" collapsed="false">
      <c r="A524" s="7" t="n">
        <v>2180</v>
      </c>
      <c r="B524" s="7" t="n">
        <v>64</v>
      </c>
      <c r="C524" s="7" t="s">
        <v>24</v>
      </c>
      <c r="D524" s="7" t="s">
        <v>25</v>
      </c>
      <c r="E524" s="7" t="n">
        <v>0</v>
      </c>
      <c r="F524" s="7" t="n">
        <v>0</v>
      </c>
      <c r="G524" s="7" t="s">
        <v>31</v>
      </c>
      <c r="H524" s="7" t="s">
        <v>32</v>
      </c>
      <c r="I524" s="7" t="n">
        <v>26.3</v>
      </c>
      <c r="J524" s="7" t="s">
        <v>28</v>
      </c>
      <c r="K524" s="7" t="n">
        <v>236.4</v>
      </c>
      <c r="L524" s="7" t="s">
        <v>29</v>
      </c>
      <c r="M524" s="7" t="s">
        <v>38</v>
      </c>
    </row>
    <row r="525" customFormat="false" ht="15" hidden="false" customHeight="true" outlineLevel="0" collapsed="false">
      <c r="A525" s="7" t="n">
        <v>2185</v>
      </c>
      <c r="B525" s="7" t="n">
        <v>58</v>
      </c>
      <c r="C525" s="7" t="s">
        <v>33</v>
      </c>
      <c r="D525" s="7" t="s">
        <v>25</v>
      </c>
      <c r="E525" s="7" t="n">
        <v>0</v>
      </c>
      <c r="F525" s="7" t="n">
        <v>0</v>
      </c>
      <c r="G525" s="7" t="s">
        <v>36</v>
      </c>
      <c r="H525" s="7" t="s">
        <v>27</v>
      </c>
      <c r="I525" s="7" t="n">
        <v>19.9</v>
      </c>
      <c r="J525" s="7" t="s">
        <v>28</v>
      </c>
      <c r="K525" s="7" t="n">
        <v>152.8</v>
      </c>
      <c r="L525" s="7" t="s">
        <v>29</v>
      </c>
      <c r="M525" s="7" t="s">
        <v>38</v>
      </c>
    </row>
    <row r="526" customFormat="false" ht="15" hidden="false" customHeight="true" outlineLevel="0" collapsed="false">
      <c r="A526" s="7" t="n">
        <v>2197</v>
      </c>
      <c r="B526" s="7" t="n">
        <v>77</v>
      </c>
      <c r="C526" s="7" t="s">
        <v>33</v>
      </c>
      <c r="D526" s="7" t="s">
        <v>25</v>
      </c>
      <c r="E526" s="7" t="n">
        <v>0</v>
      </c>
      <c r="F526" s="7" t="n">
        <v>0</v>
      </c>
      <c r="G526" s="7" t="s">
        <v>34</v>
      </c>
      <c r="H526" s="7" t="s">
        <v>27</v>
      </c>
      <c r="I526" s="7" t="n">
        <v>24.6</v>
      </c>
      <c r="J526" s="7" t="s">
        <v>28</v>
      </c>
      <c r="K526" s="7" t="n">
        <v>290.4</v>
      </c>
      <c r="L526" s="7" t="s">
        <v>29</v>
      </c>
      <c r="M526" s="7" t="s">
        <v>38</v>
      </c>
    </row>
    <row r="527" customFormat="false" ht="15" hidden="false" customHeight="true" outlineLevel="0" collapsed="false">
      <c r="A527" s="7" t="n">
        <v>2206</v>
      </c>
      <c r="B527" s="7" t="n">
        <v>88</v>
      </c>
      <c r="C527" s="7" t="s">
        <v>24</v>
      </c>
      <c r="D527" s="7" t="s">
        <v>25</v>
      </c>
      <c r="E527" s="7" t="n">
        <v>0</v>
      </c>
      <c r="F527" s="7" t="n">
        <v>0</v>
      </c>
      <c r="G527" s="7" t="s">
        <v>34</v>
      </c>
      <c r="H527" s="7" t="s">
        <v>32</v>
      </c>
      <c r="I527" s="7" t="n">
        <v>18.6</v>
      </c>
      <c r="J527" s="7" t="s">
        <v>28</v>
      </c>
      <c r="K527" s="7" t="n">
        <v>135.4</v>
      </c>
      <c r="L527" s="7" t="s">
        <v>29</v>
      </c>
      <c r="M527" s="7" t="s">
        <v>38</v>
      </c>
    </row>
    <row r="528" customFormat="false" ht="15" hidden="false" customHeight="true" outlineLevel="0" collapsed="false">
      <c r="A528" s="7" t="n">
        <v>2230</v>
      </c>
      <c r="B528" s="7" t="n">
        <v>22</v>
      </c>
      <c r="C528" s="7" t="s">
        <v>24</v>
      </c>
      <c r="D528" s="7" t="s">
        <v>25</v>
      </c>
      <c r="E528" s="7" t="n">
        <v>0</v>
      </c>
      <c r="F528" s="7" t="n">
        <v>0</v>
      </c>
      <c r="G528" s="7" t="s">
        <v>26</v>
      </c>
      <c r="H528" s="7" t="s">
        <v>27</v>
      </c>
      <c r="I528" s="7" t="n">
        <v>41.6</v>
      </c>
      <c r="J528" s="7" t="s">
        <v>28</v>
      </c>
      <c r="K528" s="7" t="n">
        <v>250</v>
      </c>
      <c r="L528" s="7" t="s">
        <v>29</v>
      </c>
      <c r="M528" s="7" t="s">
        <v>38</v>
      </c>
    </row>
    <row r="529" customFormat="false" ht="15" hidden="false" customHeight="true" outlineLevel="0" collapsed="false">
      <c r="A529" s="7" t="n">
        <v>2231</v>
      </c>
      <c r="B529" s="7" t="n">
        <v>80</v>
      </c>
      <c r="C529" s="7" t="s">
        <v>24</v>
      </c>
      <c r="D529" s="7" t="s">
        <v>25</v>
      </c>
      <c r="E529" s="7" t="n">
        <v>0</v>
      </c>
      <c r="F529" s="7" t="n">
        <v>0</v>
      </c>
      <c r="G529" s="7" t="s">
        <v>34</v>
      </c>
      <c r="H529" s="7" t="s">
        <v>27</v>
      </c>
      <c r="I529" s="7" t="n">
        <v>32.9</v>
      </c>
      <c r="J529" s="7" t="s">
        <v>28</v>
      </c>
      <c r="K529" s="7" t="n">
        <v>221.7</v>
      </c>
      <c r="L529" s="7" t="s">
        <v>29</v>
      </c>
      <c r="M529" s="7" t="s">
        <v>38</v>
      </c>
    </row>
    <row r="530" customFormat="false" ht="15" hidden="false" customHeight="true" outlineLevel="0" collapsed="false">
      <c r="A530" s="7" t="n">
        <v>2252</v>
      </c>
      <c r="B530" s="7" t="n">
        <v>62</v>
      </c>
      <c r="C530" s="7" t="s">
        <v>24</v>
      </c>
      <c r="D530" s="7" t="s">
        <v>25</v>
      </c>
      <c r="E530" s="7" t="n">
        <v>0</v>
      </c>
      <c r="F530" s="7" t="n">
        <v>0</v>
      </c>
      <c r="G530" s="7" t="s">
        <v>34</v>
      </c>
      <c r="H530" s="7" t="s">
        <v>32</v>
      </c>
      <c r="I530" s="7" t="n">
        <v>18.8</v>
      </c>
      <c r="J530" s="7" t="s">
        <v>28</v>
      </c>
      <c r="K530" s="7" t="n">
        <v>248.9</v>
      </c>
      <c r="L530" s="7" t="s">
        <v>29</v>
      </c>
      <c r="M530" s="7" t="s">
        <v>38</v>
      </c>
    </row>
    <row r="531" customFormat="false" ht="15" hidden="false" customHeight="true" outlineLevel="0" collapsed="false">
      <c r="A531" s="7" t="n">
        <v>2279</v>
      </c>
      <c r="B531" s="7" t="n">
        <v>20</v>
      </c>
      <c r="C531" s="7" t="s">
        <v>33</v>
      </c>
      <c r="D531" s="7" t="s">
        <v>25</v>
      </c>
      <c r="E531" s="7" t="n">
        <v>0</v>
      </c>
      <c r="F531" s="7" t="n">
        <v>0</v>
      </c>
      <c r="G531" s="7" t="s">
        <v>26</v>
      </c>
      <c r="H531" s="7" t="s">
        <v>27</v>
      </c>
      <c r="I531" s="7" t="n">
        <v>36.8</v>
      </c>
      <c r="J531" s="7" t="s">
        <v>28</v>
      </c>
      <c r="K531" s="7" t="n">
        <v>121.8</v>
      </c>
      <c r="L531" s="7" t="s">
        <v>29</v>
      </c>
      <c r="M531" s="7" t="s">
        <v>38</v>
      </c>
    </row>
    <row r="532" customFormat="false" ht="15" hidden="false" customHeight="true" outlineLevel="0" collapsed="false">
      <c r="A532" s="7" t="n">
        <v>2297</v>
      </c>
      <c r="B532" s="7" t="n">
        <v>80</v>
      </c>
      <c r="C532" s="7" t="s">
        <v>24</v>
      </c>
      <c r="D532" s="7" t="s">
        <v>25</v>
      </c>
      <c r="E532" s="7" t="n">
        <v>0</v>
      </c>
      <c r="F532" s="7" t="n">
        <v>0</v>
      </c>
      <c r="G532" s="7" t="s">
        <v>26</v>
      </c>
      <c r="H532" s="7" t="s">
        <v>32</v>
      </c>
      <c r="I532" s="7" t="n">
        <v>37.2</v>
      </c>
      <c r="J532" s="7" t="s">
        <v>28</v>
      </c>
      <c r="K532" s="7" t="n">
        <v>247.7</v>
      </c>
      <c r="L532" s="7" t="s">
        <v>29</v>
      </c>
      <c r="M532" s="7" t="s">
        <v>38</v>
      </c>
    </row>
    <row r="533" customFormat="false" ht="15" hidden="false" customHeight="true" outlineLevel="0" collapsed="false">
      <c r="A533" s="7" t="n">
        <v>2300</v>
      </c>
      <c r="B533" s="7" t="n">
        <v>63</v>
      </c>
      <c r="C533" s="7" t="s">
        <v>33</v>
      </c>
      <c r="D533" s="7" t="s">
        <v>25</v>
      </c>
      <c r="E533" s="7" t="n">
        <v>0</v>
      </c>
      <c r="F533" s="7" t="n">
        <v>0</v>
      </c>
      <c r="G533" s="7" t="s">
        <v>31</v>
      </c>
      <c r="H533" s="7" t="s">
        <v>27</v>
      </c>
      <c r="I533" s="7" t="n">
        <v>39</v>
      </c>
      <c r="J533" s="7" t="s">
        <v>28</v>
      </c>
      <c r="K533" s="7" t="n">
        <v>141.9</v>
      </c>
      <c r="L533" s="7" t="s">
        <v>29</v>
      </c>
      <c r="M533" s="7" t="s">
        <v>38</v>
      </c>
    </row>
    <row r="534" customFormat="false" ht="15" hidden="false" customHeight="true" outlineLevel="0" collapsed="false">
      <c r="A534" s="7" t="n">
        <v>2307</v>
      </c>
      <c r="B534" s="7" t="n">
        <v>41</v>
      </c>
      <c r="C534" s="7" t="s">
        <v>33</v>
      </c>
      <c r="D534" s="7" t="s">
        <v>25</v>
      </c>
      <c r="E534" s="7" t="n">
        <v>0</v>
      </c>
      <c r="F534" s="7" t="n">
        <v>0</v>
      </c>
      <c r="G534" s="7" t="s">
        <v>35</v>
      </c>
      <c r="H534" s="7" t="s">
        <v>27</v>
      </c>
      <c r="I534" s="7" t="n">
        <v>35.1</v>
      </c>
      <c r="J534" s="7" t="s">
        <v>28</v>
      </c>
      <c r="K534" s="7" t="n">
        <v>226.7</v>
      </c>
      <c r="L534" s="7" t="s">
        <v>29</v>
      </c>
      <c r="M534" s="7" t="s">
        <v>38</v>
      </c>
    </row>
    <row r="535" customFormat="false" ht="15" hidden="false" customHeight="true" outlineLevel="0" collapsed="false">
      <c r="A535" s="7" t="n">
        <v>2332</v>
      </c>
      <c r="B535" s="7" t="n">
        <v>18</v>
      </c>
      <c r="C535" s="7" t="s">
        <v>33</v>
      </c>
      <c r="D535" s="7" t="s">
        <v>25</v>
      </c>
      <c r="E535" s="7" t="n">
        <v>0</v>
      </c>
      <c r="F535" s="7" t="n">
        <v>0</v>
      </c>
      <c r="G535" s="7" t="s">
        <v>35</v>
      </c>
      <c r="H535" s="7" t="s">
        <v>32</v>
      </c>
      <c r="I535" s="7" t="n">
        <v>32.8</v>
      </c>
      <c r="J535" s="7" t="s">
        <v>28</v>
      </c>
      <c r="K535" s="7" t="n">
        <v>191.3</v>
      </c>
      <c r="L535" s="7" t="s">
        <v>29</v>
      </c>
      <c r="M535" s="7" t="s">
        <v>38</v>
      </c>
    </row>
    <row r="536" customFormat="false" ht="15" hidden="false" customHeight="true" outlineLevel="0" collapsed="false">
      <c r="A536" s="7" t="n">
        <v>2342</v>
      </c>
      <c r="B536" s="7" t="n">
        <v>70</v>
      </c>
      <c r="C536" s="7" t="s">
        <v>24</v>
      </c>
      <c r="D536" s="7" t="s">
        <v>25</v>
      </c>
      <c r="E536" s="7" t="n">
        <v>0</v>
      </c>
      <c r="F536" s="7" t="n">
        <v>0</v>
      </c>
      <c r="G536" s="7" t="s">
        <v>35</v>
      </c>
      <c r="H536" s="7" t="s">
        <v>32</v>
      </c>
      <c r="I536" s="7" t="n">
        <v>22.9</v>
      </c>
      <c r="J536" s="7" t="s">
        <v>28</v>
      </c>
      <c r="K536" s="7" t="n">
        <v>246.4</v>
      </c>
      <c r="L536" s="7" t="s">
        <v>29</v>
      </c>
      <c r="M536" s="7" t="s">
        <v>38</v>
      </c>
    </row>
    <row r="537" customFormat="false" ht="15" hidden="false" customHeight="true" outlineLevel="0" collapsed="false">
      <c r="A537" s="7" t="n">
        <v>2348</v>
      </c>
      <c r="B537" s="7" t="n">
        <v>79</v>
      </c>
      <c r="C537" s="7" t="s">
        <v>33</v>
      </c>
      <c r="D537" s="7" t="s">
        <v>25</v>
      </c>
      <c r="E537" s="7" t="n">
        <v>0</v>
      </c>
      <c r="F537" s="7" t="n">
        <v>0</v>
      </c>
      <c r="G537" s="7" t="s">
        <v>34</v>
      </c>
      <c r="H537" s="7" t="s">
        <v>27</v>
      </c>
      <c r="I537" s="7" t="n">
        <v>24</v>
      </c>
      <c r="J537" s="7" t="s">
        <v>28</v>
      </c>
      <c r="K537" s="7" t="n">
        <v>184.2</v>
      </c>
      <c r="L537" s="7" t="s">
        <v>29</v>
      </c>
      <c r="M537" s="7" t="s">
        <v>38</v>
      </c>
    </row>
    <row r="538" customFormat="false" ht="15" hidden="false" customHeight="true" outlineLevel="0" collapsed="false">
      <c r="A538" s="7" t="n">
        <v>2364</v>
      </c>
      <c r="B538" s="7" t="n">
        <v>25</v>
      </c>
      <c r="C538" s="7" t="s">
        <v>33</v>
      </c>
      <c r="D538" s="7" t="s">
        <v>25</v>
      </c>
      <c r="E538" s="7" t="n">
        <v>0</v>
      </c>
      <c r="F538" s="7" t="n">
        <v>0</v>
      </c>
      <c r="G538" s="7" t="s">
        <v>35</v>
      </c>
      <c r="H538" s="7" t="s">
        <v>27</v>
      </c>
      <c r="I538" s="7" t="n">
        <v>37.8</v>
      </c>
      <c r="J538" s="7" t="s">
        <v>28</v>
      </c>
      <c r="K538" s="7" t="n">
        <v>187.9</v>
      </c>
      <c r="L538" s="7" t="s">
        <v>29</v>
      </c>
      <c r="M538" s="7" t="s">
        <v>38</v>
      </c>
    </row>
    <row r="539" customFormat="false" ht="15" hidden="false" customHeight="true" outlineLevel="0" collapsed="false">
      <c r="A539" s="7" t="n">
        <v>2379</v>
      </c>
      <c r="B539" s="7" t="n">
        <v>19</v>
      </c>
      <c r="C539" s="7" t="s">
        <v>24</v>
      </c>
      <c r="D539" s="7" t="s">
        <v>25</v>
      </c>
      <c r="E539" s="7" t="n">
        <v>0</v>
      </c>
      <c r="F539" s="7" t="n">
        <v>0</v>
      </c>
      <c r="G539" s="7" t="s">
        <v>34</v>
      </c>
      <c r="H539" s="7" t="s">
        <v>32</v>
      </c>
      <c r="I539" s="7" t="n">
        <v>20.7</v>
      </c>
      <c r="J539" s="7" t="s">
        <v>28</v>
      </c>
      <c r="K539" s="7" t="n">
        <v>132.4</v>
      </c>
      <c r="L539" s="7" t="s">
        <v>29</v>
      </c>
      <c r="M539" s="7" t="s">
        <v>38</v>
      </c>
    </row>
    <row r="540" customFormat="false" ht="15" hidden="false" customHeight="true" outlineLevel="0" collapsed="false">
      <c r="A540" s="7" t="n">
        <v>2383</v>
      </c>
      <c r="B540" s="7" t="n">
        <v>77</v>
      </c>
      <c r="C540" s="7" t="s">
        <v>33</v>
      </c>
      <c r="D540" s="7" t="s">
        <v>25</v>
      </c>
      <c r="E540" s="7" t="n">
        <v>0</v>
      </c>
      <c r="F540" s="7" t="n">
        <v>0</v>
      </c>
      <c r="G540" s="7" t="s">
        <v>35</v>
      </c>
      <c r="H540" s="7" t="s">
        <v>32</v>
      </c>
      <c r="I540" s="7" t="n">
        <v>25</v>
      </c>
      <c r="J540" s="7" t="s">
        <v>28</v>
      </c>
      <c r="K540" s="7" t="n">
        <v>174.9</v>
      </c>
      <c r="L540" s="7" t="s">
        <v>29</v>
      </c>
      <c r="M540" s="7" t="s">
        <v>38</v>
      </c>
    </row>
    <row r="541" customFormat="false" ht="15" hidden="false" customHeight="true" outlineLevel="0" collapsed="false">
      <c r="A541" s="7" t="n">
        <v>2386</v>
      </c>
      <c r="B541" s="7" t="n">
        <v>57</v>
      </c>
      <c r="C541" s="7" t="s">
        <v>24</v>
      </c>
      <c r="D541" s="7" t="s">
        <v>25</v>
      </c>
      <c r="E541" s="7" t="n">
        <v>0</v>
      </c>
      <c r="F541" s="7" t="n">
        <v>0</v>
      </c>
      <c r="G541" s="7" t="s">
        <v>31</v>
      </c>
      <c r="H541" s="7" t="s">
        <v>32</v>
      </c>
      <c r="I541" s="7" t="n">
        <v>28.1</v>
      </c>
      <c r="J541" s="7" t="s">
        <v>28</v>
      </c>
      <c r="K541" s="7" t="n">
        <v>222.4</v>
      </c>
      <c r="L541" s="7" t="s">
        <v>29</v>
      </c>
      <c r="M541" s="7" t="s">
        <v>38</v>
      </c>
    </row>
    <row r="542" customFormat="false" ht="15" hidden="false" customHeight="true" outlineLevel="0" collapsed="false">
      <c r="A542" s="7" t="n">
        <v>2395</v>
      </c>
      <c r="B542" s="7" t="n">
        <v>80</v>
      </c>
      <c r="C542" s="7" t="s">
        <v>24</v>
      </c>
      <c r="D542" s="7" t="s">
        <v>25</v>
      </c>
      <c r="E542" s="7" t="n">
        <v>0</v>
      </c>
      <c r="F542" s="7" t="n">
        <v>0</v>
      </c>
      <c r="G542" s="7" t="s">
        <v>34</v>
      </c>
      <c r="H542" s="7" t="s">
        <v>32</v>
      </c>
      <c r="I542" s="7" t="n">
        <v>28</v>
      </c>
      <c r="J542" s="7" t="s">
        <v>28</v>
      </c>
      <c r="K542" s="7" t="n">
        <v>172.5</v>
      </c>
      <c r="L542" s="7" t="s">
        <v>29</v>
      </c>
      <c r="M542" s="7" t="s">
        <v>38</v>
      </c>
    </row>
    <row r="543" customFormat="false" ht="15" hidden="false" customHeight="true" outlineLevel="0" collapsed="false">
      <c r="A543" s="7" t="n">
        <v>2407</v>
      </c>
      <c r="B543" s="7" t="n">
        <v>42</v>
      </c>
      <c r="C543" s="7" t="s">
        <v>24</v>
      </c>
      <c r="D543" s="7" t="s">
        <v>25</v>
      </c>
      <c r="E543" s="7" t="n">
        <v>0</v>
      </c>
      <c r="F543" s="7" t="n">
        <v>0</v>
      </c>
      <c r="G543" s="7" t="s">
        <v>31</v>
      </c>
      <c r="H543" s="7" t="s">
        <v>27</v>
      </c>
      <c r="I543" s="7" t="n">
        <v>18.6</v>
      </c>
      <c r="J543" s="7" t="s">
        <v>28</v>
      </c>
      <c r="K543" s="7" t="n">
        <v>297.1</v>
      </c>
      <c r="L543" s="7" t="s">
        <v>29</v>
      </c>
      <c r="M543" s="7" t="s">
        <v>38</v>
      </c>
    </row>
    <row r="544" customFormat="false" ht="15" hidden="false" customHeight="true" outlineLevel="0" collapsed="false">
      <c r="A544" s="7" t="n">
        <v>2428</v>
      </c>
      <c r="B544" s="7" t="n">
        <v>42</v>
      </c>
      <c r="C544" s="7" t="s">
        <v>24</v>
      </c>
      <c r="D544" s="7" t="s">
        <v>25</v>
      </c>
      <c r="E544" s="7" t="n">
        <v>0</v>
      </c>
      <c r="F544" s="7" t="n">
        <v>0</v>
      </c>
      <c r="G544" s="7" t="s">
        <v>31</v>
      </c>
      <c r="H544" s="7" t="s">
        <v>27</v>
      </c>
      <c r="I544" s="7" t="n">
        <v>18.6</v>
      </c>
      <c r="J544" s="7" t="s">
        <v>28</v>
      </c>
      <c r="K544" s="7" t="n">
        <v>194.5</v>
      </c>
      <c r="L544" s="7" t="s">
        <v>29</v>
      </c>
      <c r="M544" s="7" t="s">
        <v>38</v>
      </c>
    </row>
    <row r="545" customFormat="false" ht="15" hidden="false" customHeight="true" outlineLevel="0" collapsed="false">
      <c r="A545" s="7" t="n">
        <v>2451</v>
      </c>
      <c r="B545" s="7" t="n">
        <v>39</v>
      </c>
      <c r="C545" s="7" t="s">
        <v>24</v>
      </c>
      <c r="D545" s="7" t="s">
        <v>25</v>
      </c>
      <c r="E545" s="7" t="n">
        <v>0</v>
      </c>
      <c r="F545" s="7" t="n">
        <v>0</v>
      </c>
      <c r="G545" s="7" t="s">
        <v>36</v>
      </c>
      <c r="H545" s="7" t="s">
        <v>27</v>
      </c>
      <c r="I545" s="7" t="n">
        <v>29.2</v>
      </c>
      <c r="J545" s="7" t="s">
        <v>28</v>
      </c>
      <c r="K545" s="7" t="n">
        <v>207.1</v>
      </c>
      <c r="L545" s="7" t="s">
        <v>29</v>
      </c>
      <c r="M545" s="7" t="s">
        <v>38</v>
      </c>
    </row>
    <row r="546" customFormat="false" ht="15" hidden="false" customHeight="true" outlineLevel="0" collapsed="false">
      <c r="A546" s="7" t="n">
        <v>2481</v>
      </c>
      <c r="B546" s="7" t="n">
        <v>19</v>
      </c>
      <c r="C546" s="7" t="s">
        <v>33</v>
      </c>
      <c r="D546" s="7" t="s">
        <v>25</v>
      </c>
      <c r="E546" s="7" t="n">
        <v>0</v>
      </c>
      <c r="F546" s="7" t="n">
        <v>0</v>
      </c>
      <c r="G546" s="7" t="s">
        <v>34</v>
      </c>
      <c r="H546" s="7" t="s">
        <v>27</v>
      </c>
      <c r="I546" s="7" t="n">
        <v>28.1</v>
      </c>
      <c r="J546" s="7" t="s">
        <v>28</v>
      </c>
      <c r="K546" s="7" t="n">
        <v>245.3</v>
      </c>
      <c r="L546" s="7" t="s">
        <v>29</v>
      </c>
      <c r="M546" s="7" t="s">
        <v>38</v>
      </c>
    </row>
    <row r="547" customFormat="false" ht="15" hidden="false" customHeight="true" outlineLevel="0" collapsed="false">
      <c r="A547" s="7" t="n">
        <v>2491</v>
      </c>
      <c r="B547" s="7" t="n">
        <v>65</v>
      </c>
      <c r="C547" s="7" t="s">
        <v>24</v>
      </c>
      <c r="D547" s="7" t="s">
        <v>25</v>
      </c>
      <c r="E547" s="7" t="n">
        <v>0</v>
      </c>
      <c r="F547" s="7" t="n">
        <v>0</v>
      </c>
      <c r="G547" s="7" t="s">
        <v>36</v>
      </c>
      <c r="H547" s="7" t="s">
        <v>32</v>
      </c>
      <c r="I547" s="7" t="n">
        <v>17.6</v>
      </c>
      <c r="J547" s="7" t="s">
        <v>28</v>
      </c>
      <c r="K547" s="7" t="n">
        <v>175.6</v>
      </c>
      <c r="L547" s="7" t="s">
        <v>29</v>
      </c>
      <c r="M547" s="7" t="s">
        <v>38</v>
      </c>
    </row>
    <row r="548" customFormat="false" ht="15" hidden="false" customHeight="true" outlineLevel="0" collapsed="false">
      <c r="A548" s="7" t="n">
        <v>2492</v>
      </c>
      <c r="B548" s="7" t="n">
        <v>51</v>
      </c>
      <c r="C548" s="7" t="s">
        <v>33</v>
      </c>
      <c r="D548" s="7" t="s">
        <v>25</v>
      </c>
      <c r="E548" s="7" t="n">
        <v>0</v>
      </c>
      <c r="F548" s="7" t="n">
        <v>0</v>
      </c>
      <c r="G548" s="7" t="s">
        <v>26</v>
      </c>
      <c r="H548" s="7" t="s">
        <v>32</v>
      </c>
      <c r="I548" s="7" t="n">
        <v>38.1</v>
      </c>
      <c r="J548" s="7" t="s">
        <v>28</v>
      </c>
      <c r="K548" s="7" t="n">
        <v>269.2</v>
      </c>
      <c r="L548" s="7" t="s">
        <v>29</v>
      </c>
      <c r="M548" s="7" t="s">
        <v>38</v>
      </c>
    </row>
    <row r="549" customFormat="false" ht="15" hidden="false" customHeight="true" outlineLevel="0" collapsed="false">
      <c r="A549" s="7" t="n">
        <v>2497</v>
      </c>
      <c r="B549" s="7" t="n">
        <v>69</v>
      </c>
      <c r="C549" s="7" t="s">
        <v>24</v>
      </c>
      <c r="D549" s="7" t="s">
        <v>25</v>
      </c>
      <c r="E549" s="7" t="n">
        <v>0</v>
      </c>
      <c r="F549" s="7" t="n">
        <v>0</v>
      </c>
      <c r="G549" s="7" t="s">
        <v>31</v>
      </c>
      <c r="H549" s="7" t="s">
        <v>27</v>
      </c>
      <c r="I549" s="7" t="n">
        <v>24.2</v>
      </c>
      <c r="J549" s="7" t="s">
        <v>28</v>
      </c>
      <c r="K549" s="7" t="n">
        <v>210.4</v>
      </c>
      <c r="L549" s="7" t="s">
        <v>29</v>
      </c>
      <c r="M549" s="7" t="s">
        <v>38</v>
      </c>
    </row>
    <row r="550" customFormat="false" ht="15" hidden="false" customHeight="true" outlineLevel="0" collapsed="false">
      <c r="A550" s="7" t="n">
        <v>12</v>
      </c>
      <c r="B550" s="7" t="n">
        <v>83</v>
      </c>
      <c r="C550" s="7" t="s">
        <v>24</v>
      </c>
      <c r="D550" s="7" t="s">
        <v>25</v>
      </c>
      <c r="E550" s="7" t="n">
        <v>0</v>
      </c>
      <c r="F550" s="7" t="n">
        <v>0</v>
      </c>
      <c r="G550" s="7" t="s">
        <v>26</v>
      </c>
      <c r="H550" s="7" t="s">
        <v>27</v>
      </c>
      <c r="I550" s="7" t="n">
        <v>19.6</v>
      </c>
      <c r="J550" s="7" t="s">
        <v>28</v>
      </c>
      <c r="K550" s="7" t="n">
        <v>159.3</v>
      </c>
      <c r="L550" s="7" t="s">
        <v>29</v>
      </c>
      <c r="M550" s="7" t="s">
        <v>39</v>
      </c>
    </row>
    <row r="551" customFormat="false" ht="15" hidden="false" customHeight="true" outlineLevel="0" collapsed="false">
      <c r="A551" s="7" t="n">
        <v>23</v>
      </c>
      <c r="B551" s="7" t="n">
        <v>65</v>
      </c>
      <c r="C551" s="7" t="s">
        <v>24</v>
      </c>
      <c r="D551" s="7" t="s">
        <v>25</v>
      </c>
      <c r="E551" s="7" t="n">
        <v>0</v>
      </c>
      <c r="F551" s="7" t="n">
        <v>0</v>
      </c>
      <c r="G551" s="7" t="s">
        <v>35</v>
      </c>
      <c r="H551" s="7" t="s">
        <v>27</v>
      </c>
      <c r="I551" s="7" t="n">
        <v>23.6</v>
      </c>
      <c r="J551" s="7" t="s">
        <v>28</v>
      </c>
      <c r="K551" s="7" t="n">
        <v>295.1</v>
      </c>
      <c r="L551" s="7" t="s">
        <v>29</v>
      </c>
      <c r="M551" s="7" t="s">
        <v>39</v>
      </c>
    </row>
    <row r="552" customFormat="false" ht="15" hidden="false" customHeight="true" outlineLevel="0" collapsed="false">
      <c r="A552" s="7" t="n">
        <v>51</v>
      </c>
      <c r="B552" s="7" t="n">
        <v>46</v>
      </c>
      <c r="C552" s="7" t="s">
        <v>33</v>
      </c>
      <c r="D552" s="7" t="s">
        <v>25</v>
      </c>
      <c r="E552" s="7" t="n">
        <v>0</v>
      </c>
      <c r="F552" s="7" t="n">
        <v>0</v>
      </c>
      <c r="G552" s="7" t="s">
        <v>35</v>
      </c>
      <c r="H552" s="7" t="s">
        <v>32</v>
      </c>
      <c r="I552" s="7" t="n">
        <v>40.7</v>
      </c>
      <c r="J552" s="7" t="s">
        <v>28</v>
      </c>
      <c r="K552" s="7" t="n">
        <v>230.4</v>
      </c>
      <c r="L552" s="7" t="s">
        <v>29</v>
      </c>
      <c r="M552" s="7" t="s">
        <v>39</v>
      </c>
    </row>
    <row r="553" customFormat="false" ht="15" hidden="false" customHeight="true" outlineLevel="0" collapsed="false">
      <c r="A553" s="7" t="n">
        <v>110</v>
      </c>
      <c r="B553" s="7" t="n">
        <v>74</v>
      </c>
      <c r="C553" s="7" t="s">
        <v>24</v>
      </c>
      <c r="D553" s="7" t="s">
        <v>25</v>
      </c>
      <c r="E553" s="7" t="n">
        <v>0</v>
      </c>
      <c r="F553" s="7" t="n">
        <v>0</v>
      </c>
      <c r="G553" s="7" t="s">
        <v>34</v>
      </c>
      <c r="H553" s="7" t="s">
        <v>27</v>
      </c>
      <c r="I553" s="7" t="n">
        <v>36.5</v>
      </c>
      <c r="J553" s="7" t="s">
        <v>28</v>
      </c>
      <c r="K553" s="7" t="n">
        <v>130.4</v>
      </c>
      <c r="L553" s="7" t="s">
        <v>29</v>
      </c>
      <c r="M553" s="7" t="s">
        <v>39</v>
      </c>
    </row>
    <row r="554" customFormat="false" ht="15" hidden="false" customHeight="true" outlineLevel="0" collapsed="false">
      <c r="A554" s="7" t="n">
        <v>119</v>
      </c>
      <c r="B554" s="7" t="n">
        <v>85</v>
      </c>
      <c r="C554" s="7" t="s">
        <v>33</v>
      </c>
      <c r="D554" s="7" t="s">
        <v>25</v>
      </c>
      <c r="E554" s="7" t="n">
        <v>0</v>
      </c>
      <c r="F554" s="7" t="n">
        <v>0</v>
      </c>
      <c r="G554" s="7" t="s">
        <v>34</v>
      </c>
      <c r="H554" s="7" t="s">
        <v>32</v>
      </c>
      <c r="I554" s="7" t="n">
        <v>34.7</v>
      </c>
      <c r="J554" s="7" t="s">
        <v>28</v>
      </c>
      <c r="K554" s="7" t="n">
        <v>130.4</v>
      </c>
      <c r="L554" s="7" t="s">
        <v>37</v>
      </c>
      <c r="M554" s="7" t="s">
        <v>39</v>
      </c>
    </row>
    <row r="555" customFormat="false" ht="15" hidden="false" customHeight="true" outlineLevel="0" collapsed="false">
      <c r="A555" s="7" t="n">
        <v>185</v>
      </c>
      <c r="B555" s="7" t="n">
        <v>32</v>
      </c>
      <c r="C555" s="7" t="s">
        <v>33</v>
      </c>
      <c r="D555" s="7" t="s">
        <v>25</v>
      </c>
      <c r="E555" s="7" t="n">
        <v>0</v>
      </c>
      <c r="F555" s="7" t="n">
        <v>0</v>
      </c>
      <c r="G555" s="7" t="s">
        <v>36</v>
      </c>
      <c r="H555" s="7" t="s">
        <v>27</v>
      </c>
      <c r="I555" s="7" t="n">
        <v>26.3</v>
      </c>
      <c r="J555" s="7" t="s">
        <v>28</v>
      </c>
      <c r="K555" s="7" t="n">
        <v>199.1</v>
      </c>
      <c r="L555" s="7" t="s">
        <v>29</v>
      </c>
      <c r="M555" s="7" t="s">
        <v>39</v>
      </c>
    </row>
    <row r="556" customFormat="false" ht="15" hidden="false" customHeight="true" outlineLevel="0" collapsed="false">
      <c r="A556" s="7" t="n">
        <v>189</v>
      </c>
      <c r="B556" s="7" t="n">
        <v>39</v>
      </c>
      <c r="C556" s="7" t="s">
        <v>33</v>
      </c>
      <c r="D556" s="7" t="s">
        <v>25</v>
      </c>
      <c r="E556" s="7" t="n">
        <v>0</v>
      </c>
      <c r="F556" s="7" t="n">
        <v>0</v>
      </c>
      <c r="G556" s="7" t="s">
        <v>26</v>
      </c>
      <c r="H556" s="7" t="s">
        <v>27</v>
      </c>
      <c r="I556" s="7" t="n">
        <v>29.7</v>
      </c>
      <c r="J556" s="7" t="s">
        <v>28</v>
      </c>
      <c r="K556" s="7" t="n">
        <v>221.7</v>
      </c>
      <c r="L556" s="7" t="s">
        <v>29</v>
      </c>
      <c r="M556" s="7" t="s">
        <v>39</v>
      </c>
    </row>
    <row r="557" customFormat="false" ht="15" hidden="false" customHeight="true" outlineLevel="0" collapsed="false">
      <c r="A557" s="7" t="n">
        <v>206</v>
      </c>
      <c r="B557" s="7" t="n">
        <v>60</v>
      </c>
      <c r="C557" s="7" t="s">
        <v>33</v>
      </c>
      <c r="D557" s="7" t="s">
        <v>25</v>
      </c>
      <c r="E557" s="7" t="n">
        <v>0</v>
      </c>
      <c r="F557" s="7" t="n">
        <v>0</v>
      </c>
      <c r="G557" s="7" t="s">
        <v>34</v>
      </c>
      <c r="H557" s="7" t="s">
        <v>27</v>
      </c>
      <c r="I557" s="7" t="n">
        <v>19</v>
      </c>
      <c r="J557" s="7" t="s">
        <v>28</v>
      </c>
      <c r="K557" s="7" t="n">
        <v>207.2</v>
      </c>
      <c r="L557" s="7" t="s">
        <v>37</v>
      </c>
      <c r="M557" s="7" t="s">
        <v>39</v>
      </c>
    </row>
    <row r="558" customFormat="false" ht="15" hidden="false" customHeight="true" outlineLevel="0" collapsed="false">
      <c r="A558" s="7" t="n">
        <v>211</v>
      </c>
      <c r="B558" s="7" t="n">
        <v>25</v>
      </c>
      <c r="C558" s="7" t="s">
        <v>24</v>
      </c>
      <c r="D558" s="7" t="s">
        <v>25</v>
      </c>
      <c r="E558" s="7" t="n">
        <v>0</v>
      </c>
      <c r="F558" s="7" t="n">
        <v>0</v>
      </c>
      <c r="G558" s="7" t="s">
        <v>31</v>
      </c>
      <c r="H558" s="7" t="s">
        <v>32</v>
      </c>
      <c r="I558" s="7" t="n">
        <v>31.4</v>
      </c>
      <c r="J558" s="7" t="s">
        <v>28</v>
      </c>
      <c r="K558" s="7" t="n">
        <v>263.6</v>
      </c>
      <c r="L558" s="7" t="s">
        <v>29</v>
      </c>
      <c r="M558" s="7" t="s">
        <v>39</v>
      </c>
    </row>
    <row r="559" customFormat="false" ht="15" hidden="false" customHeight="true" outlineLevel="0" collapsed="false">
      <c r="A559" s="7" t="n">
        <v>222</v>
      </c>
      <c r="B559" s="7" t="n">
        <v>47</v>
      </c>
      <c r="C559" s="7" t="s">
        <v>33</v>
      </c>
      <c r="D559" s="7" t="s">
        <v>25</v>
      </c>
      <c r="E559" s="7" t="n">
        <v>0</v>
      </c>
      <c r="F559" s="7" t="n">
        <v>0</v>
      </c>
      <c r="G559" s="7" t="s">
        <v>35</v>
      </c>
      <c r="H559" s="7" t="s">
        <v>27</v>
      </c>
      <c r="I559" s="7" t="n">
        <v>18.1</v>
      </c>
      <c r="J559" s="7" t="s">
        <v>28</v>
      </c>
      <c r="K559" s="7" t="n">
        <v>285.3</v>
      </c>
      <c r="L559" s="7" t="s">
        <v>37</v>
      </c>
      <c r="M559" s="7" t="s">
        <v>39</v>
      </c>
    </row>
    <row r="560" customFormat="false" ht="15" hidden="false" customHeight="true" outlineLevel="0" collapsed="false">
      <c r="A560" s="7" t="n">
        <v>255</v>
      </c>
      <c r="B560" s="7" t="n">
        <v>38</v>
      </c>
      <c r="C560" s="7" t="s">
        <v>24</v>
      </c>
      <c r="D560" s="7" t="s">
        <v>25</v>
      </c>
      <c r="E560" s="7" t="n">
        <v>0</v>
      </c>
      <c r="F560" s="7" t="n">
        <v>0</v>
      </c>
      <c r="G560" s="7" t="s">
        <v>31</v>
      </c>
      <c r="H560" s="7" t="s">
        <v>32</v>
      </c>
      <c r="I560" s="7" t="n">
        <v>24</v>
      </c>
      <c r="J560" s="7" t="s">
        <v>28</v>
      </c>
      <c r="K560" s="7" t="n">
        <v>292.3</v>
      </c>
      <c r="L560" s="7" t="s">
        <v>37</v>
      </c>
      <c r="M560" s="7" t="s">
        <v>39</v>
      </c>
    </row>
    <row r="561" customFormat="false" ht="15" hidden="false" customHeight="true" outlineLevel="0" collapsed="false">
      <c r="A561" s="7" t="n">
        <v>298</v>
      </c>
      <c r="B561" s="7" t="n">
        <v>30</v>
      </c>
      <c r="C561" s="7" t="s">
        <v>24</v>
      </c>
      <c r="D561" s="7" t="s">
        <v>25</v>
      </c>
      <c r="E561" s="7" t="n">
        <v>0</v>
      </c>
      <c r="F561" s="7" t="n">
        <v>0</v>
      </c>
      <c r="G561" s="7" t="s">
        <v>31</v>
      </c>
      <c r="H561" s="7" t="s">
        <v>32</v>
      </c>
      <c r="I561" s="7" t="n">
        <v>38.4</v>
      </c>
      <c r="J561" s="7" t="s">
        <v>28</v>
      </c>
      <c r="K561" s="7" t="n">
        <v>250.9</v>
      </c>
      <c r="L561" s="7" t="s">
        <v>29</v>
      </c>
      <c r="M561" s="7" t="s">
        <v>39</v>
      </c>
    </row>
    <row r="562" customFormat="false" ht="15" hidden="false" customHeight="true" outlineLevel="0" collapsed="false">
      <c r="A562" s="7" t="n">
        <v>302</v>
      </c>
      <c r="B562" s="7" t="n">
        <v>39</v>
      </c>
      <c r="C562" s="7" t="s">
        <v>33</v>
      </c>
      <c r="D562" s="7" t="s">
        <v>25</v>
      </c>
      <c r="E562" s="7" t="n">
        <v>0</v>
      </c>
      <c r="F562" s="7" t="n">
        <v>0</v>
      </c>
      <c r="G562" s="7" t="s">
        <v>34</v>
      </c>
      <c r="H562" s="7" t="s">
        <v>32</v>
      </c>
      <c r="I562" s="7" t="n">
        <v>23.3</v>
      </c>
      <c r="J562" s="7" t="s">
        <v>28</v>
      </c>
      <c r="K562" s="7" t="n">
        <v>222.9</v>
      </c>
      <c r="L562" s="7" t="s">
        <v>29</v>
      </c>
      <c r="M562" s="7" t="s">
        <v>39</v>
      </c>
    </row>
    <row r="563" customFormat="false" ht="15" hidden="false" customHeight="true" outlineLevel="0" collapsed="false">
      <c r="A563" s="7" t="n">
        <v>327</v>
      </c>
      <c r="B563" s="7" t="n">
        <v>66</v>
      </c>
      <c r="C563" s="7" t="s">
        <v>33</v>
      </c>
      <c r="D563" s="7" t="s">
        <v>25</v>
      </c>
      <c r="E563" s="7" t="n">
        <v>0</v>
      </c>
      <c r="F563" s="7" t="n">
        <v>0</v>
      </c>
      <c r="G563" s="7" t="s">
        <v>26</v>
      </c>
      <c r="H563" s="7" t="s">
        <v>27</v>
      </c>
      <c r="I563" s="7" t="n">
        <v>20.6</v>
      </c>
      <c r="J563" s="7" t="s">
        <v>28</v>
      </c>
      <c r="K563" s="7" t="n">
        <v>157.1</v>
      </c>
      <c r="L563" s="7" t="s">
        <v>29</v>
      </c>
      <c r="M563" s="7" t="s">
        <v>39</v>
      </c>
    </row>
    <row r="564" customFormat="false" ht="15" hidden="false" customHeight="true" outlineLevel="0" collapsed="false">
      <c r="A564" s="7" t="n">
        <v>360</v>
      </c>
      <c r="B564" s="7" t="n">
        <v>79</v>
      </c>
      <c r="C564" s="7" t="s">
        <v>24</v>
      </c>
      <c r="D564" s="7" t="s">
        <v>25</v>
      </c>
      <c r="E564" s="7" t="n">
        <v>0</v>
      </c>
      <c r="F564" s="7" t="n">
        <v>0</v>
      </c>
      <c r="G564" s="7" t="s">
        <v>26</v>
      </c>
      <c r="H564" s="7" t="s">
        <v>32</v>
      </c>
      <c r="I564" s="7" t="n">
        <v>37.4</v>
      </c>
      <c r="J564" s="7" t="s">
        <v>28</v>
      </c>
      <c r="K564" s="7" t="n">
        <v>252.5</v>
      </c>
      <c r="L564" s="7" t="s">
        <v>29</v>
      </c>
      <c r="M564" s="7" t="s">
        <v>39</v>
      </c>
    </row>
    <row r="565" customFormat="false" ht="15" hidden="false" customHeight="true" outlineLevel="0" collapsed="false">
      <c r="A565" s="7" t="n">
        <v>386</v>
      </c>
      <c r="B565" s="7" t="n">
        <v>36</v>
      </c>
      <c r="C565" s="7" t="s">
        <v>33</v>
      </c>
      <c r="D565" s="7" t="s">
        <v>25</v>
      </c>
      <c r="E565" s="7" t="n">
        <v>0</v>
      </c>
      <c r="F565" s="7" t="n">
        <v>0</v>
      </c>
      <c r="G565" s="7" t="s">
        <v>35</v>
      </c>
      <c r="H565" s="7" t="s">
        <v>27</v>
      </c>
      <c r="I565" s="7" t="n">
        <v>34.3</v>
      </c>
      <c r="J565" s="7" t="s">
        <v>28</v>
      </c>
      <c r="K565" s="7" t="n">
        <v>161.7</v>
      </c>
      <c r="L565" s="7" t="s">
        <v>29</v>
      </c>
      <c r="M565" s="7" t="s">
        <v>39</v>
      </c>
    </row>
    <row r="566" customFormat="false" ht="15" hidden="false" customHeight="true" outlineLevel="0" collapsed="false">
      <c r="A566" s="7" t="n">
        <v>416</v>
      </c>
      <c r="B566" s="7" t="n">
        <v>60</v>
      </c>
      <c r="C566" s="7" t="s">
        <v>33</v>
      </c>
      <c r="D566" s="7" t="s">
        <v>25</v>
      </c>
      <c r="E566" s="7" t="n">
        <v>0</v>
      </c>
      <c r="F566" s="7" t="n">
        <v>0</v>
      </c>
      <c r="G566" s="7" t="s">
        <v>26</v>
      </c>
      <c r="H566" s="7" t="s">
        <v>32</v>
      </c>
      <c r="I566" s="7" t="n">
        <v>25.9</v>
      </c>
      <c r="J566" s="7" t="s">
        <v>28</v>
      </c>
      <c r="K566" s="7" t="n">
        <v>122.3</v>
      </c>
      <c r="L566" s="7" t="s">
        <v>29</v>
      </c>
      <c r="M566" s="7" t="s">
        <v>39</v>
      </c>
    </row>
    <row r="567" customFormat="false" ht="15" hidden="false" customHeight="true" outlineLevel="0" collapsed="false">
      <c r="A567" s="7" t="n">
        <v>440</v>
      </c>
      <c r="B567" s="7" t="n">
        <v>67</v>
      </c>
      <c r="C567" s="7" t="s">
        <v>24</v>
      </c>
      <c r="D567" s="7" t="s">
        <v>25</v>
      </c>
      <c r="E567" s="7" t="n">
        <v>0</v>
      </c>
      <c r="F567" s="7" t="n">
        <v>0</v>
      </c>
      <c r="G567" s="7" t="s">
        <v>34</v>
      </c>
      <c r="H567" s="7" t="s">
        <v>27</v>
      </c>
      <c r="I567" s="7" t="n">
        <v>20.1</v>
      </c>
      <c r="J567" s="7" t="s">
        <v>28</v>
      </c>
      <c r="K567" s="7" t="n">
        <v>164.3</v>
      </c>
      <c r="L567" s="7" t="s">
        <v>29</v>
      </c>
      <c r="M567" s="7" t="s">
        <v>39</v>
      </c>
    </row>
    <row r="568" customFormat="false" ht="15" hidden="false" customHeight="true" outlineLevel="0" collapsed="false">
      <c r="A568" s="7" t="n">
        <v>456</v>
      </c>
      <c r="B568" s="7" t="n">
        <v>32</v>
      </c>
      <c r="C568" s="7" t="s">
        <v>33</v>
      </c>
      <c r="D568" s="7" t="s">
        <v>25</v>
      </c>
      <c r="E568" s="7" t="n">
        <v>0</v>
      </c>
      <c r="F568" s="7" t="n">
        <v>0</v>
      </c>
      <c r="G568" s="7" t="s">
        <v>34</v>
      </c>
      <c r="H568" s="7" t="s">
        <v>32</v>
      </c>
      <c r="I568" s="7" t="n">
        <v>28.5</v>
      </c>
      <c r="J568" s="7" t="s">
        <v>28</v>
      </c>
      <c r="K568" s="7" t="n">
        <v>239.3</v>
      </c>
      <c r="L568" s="7" t="s">
        <v>29</v>
      </c>
      <c r="M568" s="7" t="s">
        <v>39</v>
      </c>
    </row>
    <row r="569" customFormat="false" ht="15" hidden="false" customHeight="true" outlineLevel="0" collapsed="false">
      <c r="A569" s="7" t="n">
        <v>464</v>
      </c>
      <c r="B569" s="7" t="n">
        <v>55</v>
      </c>
      <c r="C569" s="7" t="s">
        <v>33</v>
      </c>
      <c r="D569" s="7" t="s">
        <v>25</v>
      </c>
      <c r="E569" s="7" t="n">
        <v>0</v>
      </c>
      <c r="F569" s="7" t="n">
        <v>0</v>
      </c>
      <c r="G569" s="7" t="s">
        <v>35</v>
      </c>
      <c r="H569" s="7" t="s">
        <v>32</v>
      </c>
      <c r="I569" s="7" t="n">
        <v>25.2</v>
      </c>
      <c r="J569" s="7" t="s">
        <v>28</v>
      </c>
      <c r="K569" s="7" t="n">
        <v>255.3</v>
      </c>
      <c r="L569" s="7" t="s">
        <v>29</v>
      </c>
      <c r="M569" s="7" t="s">
        <v>39</v>
      </c>
    </row>
    <row r="570" customFormat="false" ht="15" hidden="false" customHeight="true" outlineLevel="0" collapsed="false">
      <c r="A570" s="7" t="n">
        <v>475</v>
      </c>
      <c r="B570" s="7" t="n">
        <v>73</v>
      </c>
      <c r="C570" s="7" t="s">
        <v>33</v>
      </c>
      <c r="D570" s="7" t="s">
        <v>25</v>
      </c>
      <c r="E570" s="7" t="n">
        <v>0</v>
      </c>
      <c r="F570" s="7" t="n">
        <v>0</v>
      </c>
      <c r="G570" s="7" t="s">
        <v>26</v>
      </c>
      <c r="H570" s="7" t="s">
        <v>27</v>
      </c>
      <c r="I570" s="7" t="n">
        <v>28.3</v>
      </c>
      <c r="J570" s="7" t="s">
        <v>28</v>
      </c>
      <c r="K570" s="7" t="n">
        <v>243.6</v>
      </c>
      <c r="L570" s="7" t="s">
        <v>29</v>
      </c>
      <c r="M570" s="7" t="s">
        <v>39</v>
      </c>
    </row>
    <row r="571" customFormat="false" ht="15" hidden="false" customHeight="true" outlineLevel="0" collapsed="false">
      <c r="A571" s="7" t="n">
        <v>515</v>
      </c>
      <c r="B571" s="7" t="n">
        <v>19</v>
      </c>
      <c r="C571" s="7" t="s">
        <v>33</v>
      </c>
      <c r="D571" s="7" t="s">
        <v>25</v>
      </c>
      <c r="E571" s="7" t="n">
        <v>0</v>
      </c>
      <c r="F571" s="7" t="n">
        <v>0</v>
      </c>
      <c r="G571" s="7" t="s">
        <v>31</v>
      </c>
      <c r="H571" s="7" t="s">
        <v>32</v>
      </c>
      <c r="I571" s="7" t="n">
        <v>26.4</v>
      </c>
      <c r="J571" s="7" t="s">
        <v>28</v>
      </c>
      <c r="K571" s="7" t="n">
        <v>134.3</v>
      </c>
      <c r="L571" s="7" t="s">
        <v>29</v>
      </c>
      <c r="M571" s="7" t="s">
        <v>39</v>
      </c>
    </row>
    <row r="572" customFormat="false" ht="15" hidden="false" customHeight="true" outlineLevel="0" collapsed="false">
      <c r="A572" s="7" t="n">
        <v>546</v>
      </c>
      <c r="B572" s="7" t="n">
        <v>23</v>
      </c>
      <c r="C572" s="7" t="s">
        <v>33</v>
      </c>
      <c r="D572" s="7" t="s">
        <v>25</v>
      </c>
      <c r="E572" s="7" t="n">
        <v>0</v>
      </c>
      <c r="F572" s="7" t="n">
        <v>0</v>
      </c>
      <c r="G572" s="7" t="s">
        <v>26</v>
      </c>
      <c r="H572" s="7" t="s">
        <v>32</v>
      </c>
      <c r="I572" s="7" t="n">
        <v>17.2</v>
      </c>
      <c r="J572" s="7" t="s">
        <v>28</v>
      </c>
      <c r="K572" s="7" t="n">
        <v>145.1</v>
      </c>
      <c r="L572" s="7" t="s">
        <v>29</v>
      </c>
      <c r="M572" s="7" t="s">
        <v>39</v>
      </c>
    </row>
    <row r="573" customFormat="false" ht="15" hidden="false" customHeight="true" outlineLevel="0" collapsed="false">
      <c r="A573" s="7" t="n">
        <v>547</v>
      </c>
      <c r="B573" s="7" t="n">
        <v>85</v>
      </c>
      <c r="C573" s="7" t="s">
        <v>33</v>
      </c>
      <c r="D573" s="7" t="s">
        <v>25</v>
      </c>
      <c r="E573" s="7" t="n">
        <v>0</v>
      </c>
      <c r="F573" s="7" t="n">
        <v>0</v>
      </c>
      <c r="G573" s="7" t="s">
        <v>26</v>
      </c>
      <c r="H573" s="7" t="s">
        <v>27</v>
      </c>
      <c r="I573" s="7" t="n">
        <v>24.9</v>
      </c>
      <c r="J573" s="7" t="s">
        <v>28</v>
      </c>
      <c r="K573" s="7" t="n">
        <v>211.1</v>
      </c>
      <c r="L573" s="7" t="s">
        <v>29</v>
      </c>
      <c r="M573" s="7" t="s">
        <v>39</v>
      </c>
    </row>
    <row r="574" customFormat="false" ht="15" hidden="false" customHeight="true" outlineLevel="0" collapsed="false">
      <c r="A574" s="7" t="n">
        <v>562</v>
      </c>
      <c r="B574" s="7" t="n">
        <v>72</v>
      </c>
      <c r="C574" s="7" t="s">
        <v>33</v>
      </c>
      <c r="D574" s="7" t="s">
        <v>25</v>
      </c>
      <c r="E574" s="7" t="n">
        <v>0</v>
      </c>
      <c r="F574" s="7" t="n">
        <v>0</v>
      </c>
      <c r="G574" s="7" t="s">
        <v>26</v>
      </c>
      <c r="H574" s="7" t="s">
        <v>32</v>
      </c>
      <c r="I574" s="7" t="n">
        <v>35.4</v>
      </c>
      <c r="J574" s="7" t="s">
        <v>28</v>
      </c>
      <c r="K574" s="7" t="n">
        <v>223.1</v>
      </c>
      <c r="L574" s="7" t="s">
        <v>37</v>
      </c>
      <c r="M574" s="7" t="s">
        <v>39</v>
      </c>
    </row>
    <row r="575" customFormat="false" ht="15" hidden="false" customHeight="true" outlineLevel="0" collapsed="false">
      <c r="A575" s="7" t="n">
        <v>596</v>
      </c>
      <c r="B575" s="7" t="n">
        <v>60</v>
      </c>
      <c r="C575" s="7" t="s">
        <v>24</v>
      </c>
      <c r="D575" s="7" t="s">
        <v>25</v>
      </c>
      <c r="E575" s="7" t="n">
        <v>0</v>
      </c>
      <c r="F575" s="7" t="n">
        <v>0</v>
      </c>
      <c r="G575" s="7" t="s">
        <v>36</v>
      </c>
      <c r="H575" s="7" t="s">
        <v>27</v>
      </c>
      <c r="I575" s="7" t="n">
        <v>34.6</v>
      </c>
      <c r="J575" s="7" t="s">
        <v>28</v>
      </c>
      <c r="K575" s="7" t="n">
        <v>168.4</v>
      </c>
      <c r="L575" s="7" t="s">
        <v>29</v>
      </c>
      <c r="M575" s="7" t="s">
        <v>39</v>
      </c>
    </row>
    <row r="576" customFormat="false" ht="15" hidden="false" customHeight="true" outlineLevel="0" collapsed="false">
      <c r="A576" s="7" t="n">
        <v>629</v>
      </c>
      <c r="B576" s="7" t="n">
        <v>65</v>
      </c>
      <c r="C576" s="7" t="s">
        <v>24</v>
      </c>
      <c r="D576" s="7" t="s">
        <v>25</v>
      </c>
      <c r="E576" s="7" t="n">
        <v>0</v>
      </c>
      <c r="F576" s="7" t="n">
        <v>0</v>
      </c>
      <c r="G576" s="7" t="s">
        <v>31</v>
      </c>
      <c r="H576" s="7" t="s">
        <v>32</v>
      </c>
      <c r="I576" s="7" t="n">
        <v>19.4</v>
      </c>
      <c r="J576" s="7" t="s">
        <v>28</v>
      </c>
      <c r="K576" s="7" t="n">
        <v>234.9</v>
      </c>
      <c r="L576" s="7" t="s">
        <v>29</v>
      </c>
      <c r="M576" s="7" t="s">
        <v>39</v>
      </c>
    </row>
    <row r="577" customFormat="false" ht="15" hidden="false" customHeight="true" outlineLevel="0" collapsed="false">
      <c r="A577" s="7" t="n">
        <v>635</v>
      </c>
      <c r="B577" s="7" t="n">
        <v>37</v>
      </c>
      <c r="C577" s="7" t="s">
        <v>33</v>
      </c>
      <c r="D577" s="7" t="s">
        <v>25</v>
      </c>
      <c r="E577" s="7" t="n">
        <v>0</v>
      </c>
      <c r="F577" s="7" t="n">
        <v>0</v>
      </c>
      <c r="G577" s="7" t="s">
        <v>36</v>
      </c>
      <c r="H577" s="7" t="s">
        <v>32</v>
      </c>
      <c r="I577" s="7" t="n">
        <v>24.9</v>
      </c>
      <c r="J577" s="7" t="s">
        <v>28</v>
      </c>
      <c r="K577" s="7" t="n">
        <v>276.9</v>
      </c>
      <c r="L577" s="7" t="s">
        <v>37</v>
      </c>
      <c r="M577" s="7" t="s">
        <v>39</v>
      </c>
    </row>
    <row r="578" customFormat="false" ht="15" hidden="false" customHeight="true" outlineLevel="0" collapsed="false">
      <c r="A578" s="7" t="n">
        <v>670</v>
      </c>
      <c r="B578" s="7" t="n">
        <v>72</v>
      </c>
      <c r="C578" s="7" t="s">
        <v>33</v>
      </c>
      <c r="D578" s="7" t="s">
        <v>25</v>
      </c>
      <c r="E578" s="7" t="n">
        <v>0</v>
      </c>
      <c r="F578" s="7" t="n">
        <v>0</v>
      </c>
      <c r="G578" s="7" t="s">
        <v>26</v>
      </c>
      <c r="H578" s="7" t="s">
        <v>27</v>
      </c>
      <c r="I578" s="7" t="n">
        <v>30.9</v>
      </c>
      <c r="J578" s="7" t="s">
        <v>28</v>
      </c>
      <c r="K578" s="7" t="n">
        <v>238</v>
      </c>
      <c r="L578" s="7" t="s">
        <v>37</v>
      </c>
      <c r="M578" s="7" t="s">
        <v>39</v>
      </c>
    </row>
    <row r="579" customFormat="false" ht="15" hidden="false" customHeight="true" outlineLevel="0" collapsed="false">
      <c r="A579" s="7" t="n">
        <v>681</v>
      </c>
      <c r="B579" s="7" t="n">
        <v>56</v>
      </c>
      <c r="C579" s="7" t="s">
        <v>33</v>
      </c>
      <c r="D579" s="7" t="s">
        <v>25</v>
      </c>
      <c r="E579" s="7" t="n">
        <v>0</v>
      </c>
      <c r="F579" s="7" t="n">
        <v>0</v>
      </c>
      <c r="G579" s="7" t="s">
        <v>34</v>
      </c>
      <c r="H579" s="7" t="s">
        <v>27</v>
      </c>
      <c r="I579" s="7" t="n">
        <v>23.9</v>
      </c>
      <c r="J579" s="7" t="s">
        <v>28</v>
      </c>
      <c r="K579" s="7" t="n">
        <v>260.1</v>
      </c>
      <c r="L579" s="7" t="s">
        <v>29</v>
      </c>
      <c r="M579" s="7" t="s">
        <v>39</v>
      </c>
    </row>
    <row r="580" customFormat="false" ht="15" hidden="false" customHeight="true" outlineLevel="0" collapsed="false">
      <c r="A580" s="7" t="n">
        <v>683</v>
      </c>
      <c r="B580" s="7" t="n">
        <v>30</v>
      </c>
      <c r="C580" s="7" t="s">
        <v>24</v>
      </c>
      <c r="D580" s="7" t="s">
        <v>25</v>
      </c>
      <c r="E580" s="7" t="n">
        <v>0</v>
      </c>
      <c r="F580" s="7" t="n">
        <v>0</v>
      </c>
      <c r="G580" s="7" t="s">
        <v>35</v>
      </c>
      <c r="H580" s="7" t="s">
        <v>27</v>
      </c>
      <c r="I580" s="7" t="n">
        <v>26.1</v>
      </c>
      <c r="J580" s="7" t="s">
        <v>28</v>
      </c>
      <c r="K580" s="7" t="n">
        <v>261.9</v>
      </c>
      <c r="L580" s="7" t="s">
        <v>29</v>
      </c>
      <c r="M580" s="7" t="s">
        <v>39</v>
      </c>
    </row>
    <row r="581" customFormat="false" ht="15" hidden="false" customHeight="true" outlineLevel="0" collapsed="false">
      <c r="A581" s="7" t="n">
        <v>731</v>
      </c>
      <c r="B581" s="7" t="n">
        <v>47</v>
      </c>
      <c r="C581" s="7" t="s">
        <v>33</v>
      </c>
      <c r="D581" s="7" t="s">
        <v>25</v>
      </c>
      <c r="E581" s="7" t="n">
        <v>0</v>
      </c>
      <c r="F581" s="7" t="n">
        <v>0</v>
      </c>
      <c r="G581" s="7" t="s">
        <v>31</v>
      </c>
      <c r="H581" s="7" t="s">
        <v>32</v>
      </c>
      <c r="I581" s="7" t="n">
        <v>41.8</v>
      </c>
      <c r="J581" s="7" t="s">
        <v>28</v>
      </c>
      <c r="K581" s="7" t="n">
        <v>129.1</v>
      </c>
      <c r="L581" s="7" t="s">
        <v>37</v>
      </c>
      <c r="M581" s="7" t="s">
        <v>39</v>
      </c>
    </row>
    <row r="582" customFormat="false" ht="15" hidden="false" customHeight="true" outlineLevel="0" collapsed="false">
      <c r="A582" s="7" t="n">
        <v>737</v>
      </c>
      <c r="B582" s="7" t="n">
        <v>78</v>
      </c>
      <c r="C582" s="7" t="s">
        <v>24</v>
      </c>
      <c r="D582" s="7" t="s">
        <v>25</v>
      </c>
      <c r="E582" s="7" t="n">
        <v>0</v>
      </c>
      <c r="F582" s="7" t="n">
        <v>0</v>
      </c>
      <c r="G582" s="7" t="s">
        <v>26</v>
      </c>
      <c r="H582" s="7" t="s">
        <v>27</v>
      </c>
      <c r="I582" s="7" t="n">
        <v>18.2</v>
      </c>
      <c r="J582" s="7" t="s">
        <v>28</v>
      </c>
      <c r="K582" s="7" t="n">
        <v>237.8</v>
      </c>
      <c r="L582" s="7" t="s">
        <v>29</v>
      </c>
      <c r="M582" s="7" t="s">
        <v>39</v>
      </c>
    </row>
    <row r="583" customFormat="false" ht="15" hidden="false" customHeight="true" outlineLevel="0" collapsed="false">
      <c r="A583" s="7" t="n">
        <v>738</v>
      </c>
      <c r="B583" s="7" t="n">
        <v>71</v>
      </c>
      <c r="C583" s="7" t="s">
        <v>33</v>
      </c>
      <c r="D583" s="7" t="s">
        <v>25</v>
      </c>
      <c r="E583" s="7" t="n">
        <v>0</v>
      </c>
      <c r="F583" s="7" t="n">
        <v>0</v>
      </c>
      <c r="G583" s="7" t="s">
        <v>34</v>
      </c>
      <c r="H583" s="7" t="s">
        <v>27</v>
      </c>
      <c r="I583" s="7" t="n">
        <v>23.7</v>
      </c>
      <c r="J583" s="7" t="s">
        <v>28</v>
      </c>
      <c r="K583" s="7" t="n">
        <v>204.7</v>
      </c>
      <c r="L583" s="7" t="s">
        <v>29</v>
      </c>
      <c r="M583" s="7" t="s">
        <v>39</v>
      </c>
    </row>
    <row r="584" customFormat="false" ht="15" hidden="false" customHeight="true" outlineLevel="0" collapsed="false">
      <c r="A584" s="7" t="n">
        <v>752</v>
      </c>
      <c r="B584" s="7" t="n">
        <v>69</v>
      </c>
      <c r="C584" s="7" t="s">
        <v>24</v>
      </c>
      <c r="D584" s="7" t="s">
        <v>25</v>
      </c>
      <c r="E584" s="7" t="n">
        <v>0</v>
      </c>
      <c r="F584" s="7" t="n">
        <v>0</v>
      </c>
      <c r="G584" s="7" t="s">
        <v>34</v>
      </c>
      <c r="H584" s="7" t="s">
        <v>27</v>
      </c>
      <c r="I584" s="7" t="n">
        <v>29.4</v>
      </c>
      <c r="J584" s="7" t="s">
        <v>28</v>
      </c>
      <c r="K584" s="7" t="n">
        <v>242.2</v>
      </c>
      <c r="L584" s="7" t="s">
        <v>29</v>
      </c>
      <c r="M584" s="7" t="s">
        <v>39</v>
      </c>
    </row>
    <row r="585" customFormat="false" ht="15" hidden="false" customHeight="true" outlineLevel="0" collapsed="false">
      <c r="A585" s="7" t="n">
        <v>775</v>
      </c>
      <c r="B585" s="7" t="n">
        <v>77</v>
      </c>
      <c r="C585" s="7" t="s">
        <v>24</v>
      </c>
      <c r="D585" s="7" t="s">
        <v>25</v>
      </c>
      <c r="E585" s="7" t="n">
        <v>0</v>
      </c>
      <c r="F585" s="7" t="n">
        <v>0</v>
      </c>
      <c r="G585" s="7" t="s">
        <v>36</v>
      </c>
      <c r="H585" s="7" t="s">
        <v>27</v>
      </c>
      <c r="I585" s="7" t="n">
        <v>40.9</v>
      </c>
      <c r="J585" s="7" t="s">
        <v>28</v>
      </c>
      <c r="K585" s="7" t="n">
        <v>286</v>
      </c>
      <c r="L585" s="7" t="s">
        <v>29</v>
      </c>
      <c r="M585" s="7" t="s">
        <v>39</v>
      </c>
    </row>
    <row r="586" customFormat="false" ht="15" hidden="false" customHeight="true" outlineLevel="0" collapsed="false">
      <c r="A586" s="7" t="n">
        <v>792</v>
      </c>
      <c r="B586" s="7" t="n">
        <v>28</v>
      </c>
      <c r="C586" s="7" t="s">
        <v>24</v>
      </c>
      <c r="D586" s="7" t="s">
        <v>25</v>
      </c>
      <c r="E586" s="7" t="n">
        <v>0</v>
      </c>
      <c r="F586" s="7" t="n">
        <v>0</v>
      </c>
      <c r="G586" s="7" t="s">
        <v>34</v>
      </c>
      <c r="H586" s="7" t="s">
        <v>27</v>
      </c>
      <c r="I586" s="7" t="n">
        <v>31.1</v>
      </c>
      <c r="J586" s="7" t="s">
        <v>28</v>
      </c>
      <c r="K586" s="7" t="n">
        <v>251.7</v>
      </c>
      <c r="L586" s="7" t="s">
        <v>29</v>
      </c>
      <c r="M586" s="7" t="s">
        <v>39</v>
      </c>
    </row>
    <row r="587" customFormat="false" ht="15" hidden="false" customHeight="true" outlineLevel="0" collapsed="false">
      <c r="A587" s="7" t="n">
        <v>797</v>
      </c>
      <c r="B587" s="7" t="n">
        <v>86</v>
      </c>
      <c r="C587" s="7" t="s">
        <v>33</v>
      </c>
      <c r="D587" s="7" t="s">
        <v>25</v>
      </c>
      <c r="E587" s="7" t="n">
        <v>0</v>
      </c>
      <c r="F587" s="7" t="n">
        <v>0</v>
      </c>
      <c r="G587" s="7" t="s">
        <v>26</v>
      </c>
      <c r="H587" s="7" t="s">
        <v>32</v>
      </c>
      <c r="I587" s="7" t="n">
        <v>17.9</v>
      </c>
      <c r="J587" s="7" t="s">
        <v>28</v>
      </c>
      <c r="K587" s="7" t="n">
        <v>140.4</v>
      </c>
      <c r="L587" s="7" t="s">
        <v>29</v>
      </c>
      <c r="M587" s="7" t="s">
        <v>39</v>
      </c>
    </row>
    <row r="588" customFormat="false" ht="15" hidden="false" customHeight="true" outlineLevel="0" collapsed="false">
      <c r="A588" s="7" t="n">
        <v>801</v>
      </c>
      <c r="B588" s="7" t="n">
        <v>43</v>
      </c>
      <c r="C588" s="7" t="s">
        <v>33</v>
      </c>
      <c r="D588" s="7" t="s">
        <v>25</v>
      </c>
      <c r="E588" s="7" t="n">
        <v>0</v>
      </c>
      <c r="F588" s="7" t="n">
        <v>0</v>
      </c>
      <c r="G588" s="7" t="s">
        <v>36</v>
      </c>
      <c r="H588" s="7" t="s">
        <v>27</v>
      </c>
      <c r="I588" s="7" t="n">
        <v>19.1</v>
      </c>
      <c r="J588" s="7" t="s">
        <v>28</v>
      </c>
      <c r="K588" s="7" t="n">
        <v>123.4</v>
      </c>
      <c r="L588" s="7" t="s">
        <v>37</v>
      </c>
      <c r="M588" s="7" t="s">
        <v>39</v>
      </c>
    </row>
    <row r="589" customFormat="false" ht="15" hidden="false" customHeight="true" outlineLevel="0" collapsed="false">
      <c r="A589" s="7" t="n">
        <v>871</v>
      </c>
      <c r="B589" s="7" t="n">
        <v>24</v>
      </c>
      <c r="C589" s="7" t="s">
        <v>33</v>
      </c>
      <c r="D589" s="7" t="s">
        <v>25</v>
      </c>
      <c r="E589" s="7" t="n">
        <v>0</v>
      </c>
      <c r="F589" s="7" t="n">
        <v>0</v>
      </c>
      <c r="G589" s="7" t="s">
        <v>36</v>
      </c>
      <c r="H589" s="7" t="s">
        <v>27</v>
      </c>
      <c r="I589" s="7" t="n">
        <v>20.7</v>
      </c>
      <c r="J589" s="7" t="s">
        <v>28</v>
      </c>
      <c r="K589" s="7" t="n">
        <v>282.8</v>
      </c>
      <c r="L589" s="7" t="s">
        <v>29</v>
      </c>
      <c r="M589" s="7" t="s">
        <v>39</v>
      </c>
    </row>
    <row r="590" customFormat="false" ht="15" hidden="false" customHeight="true" outlineLevel="0" collapsed="false">
      <c r="A590" s="7" t="n">
        <v>888</v>
      </c>
      <c r="B590" s="7" t="n">
        <v>59</v>
      </c>
      <c r="C590" s="7" t="s">
        <v>24</v>
      </c>
      <c r="D590" s="7" t="s">
        <v>25</v>
      </c>
      <c r="E590" s="7" t="n">
        <v>0</v>
      </c>
      <c r="F590" s="7" t="n">
        <v>0</v>
      </c>
      <c r="G590" s="7" t="s">
        <v>34</v>
      </c>
      <c r="H590" s="7" t="s">
        <v>32</v>
      </c>
      <c r="I590" s="7" t="n">
        <v>18.5</v>
      </c>
      <c r="J590" s="7" t="s">
        <v>28</v>
      </c>
      <c r="K590" s="7" t="n">
        <v>209.4</v>
      </c>
      <c r="L590" s="7" t="s">
        <v>37</v>
      </c>
      <c r="M590" s="7" t="s">
        <v>39</v>
      </c>
    </row>
    <row r="591" customFormat="false" ht="15" hidden="false" customHeight="true" outlineLevel="0" collapsed="false">
      <c r="A591" s="7" t="n">
        <v>889</v>
      </c>
      <c r="B591" s="7" t="n">
        <v>25</v>
      </c>
      <c r="C591" s="7" t="s">
        <v>33</v>
      </c>
      <c r="D591" s="7" t="s">
        <v>25</v>
      </c>
      <c r="E591" s="7" t="n">
        <v>0</v>
      </c>
      <c r="F591" s="7" t="n">
        <v>0</v>
      </c>
      <c r="G591" s="7" t="s">
        <v>26</v>
      </c>
      <c r="H591" s="7" t="s">
        <v>27</v>
      </c>
      <c r="I591" s="7" t="n">
        <v>31.4</v>
      </c>
      <c r="J591" s="7" t="s">
        <v>28</v>
      </c>
      <c r="K591" s="7" t="n">
        <v>211</v>
      </c>
      <c r="L591" s="7" t="s">
        <v>29</v>
      </c>
      <c r="M591" s="7" t="s">
        <v>39</v>
      </c>
    </row>
    <row r="592" customFormat="false" ht="15" hidden="false" customHeight="true" outlineLevel="0" collapsed="false">
      <c r="A592" s="7" t="n">
        <v>926</v>
      </c>
      <c r="B592" s="7" t="n">
        <v>71</v>
      </c>
      <c r="C592" s="7" t="s">
        <v>33</v>
      </c>
      <c r="D592" s="7" t="s">
        <v>25</v>
      </c>
      <c r="E592" s="7" t="n">
        <v>0</v>
      </c>
      <c r="F592" s="7" t="n">
        <v>0</v>
      </c>
      <c r="G592" s="7" t="s">
        <v>31</v>
      </c>
      <c r="H592" s="7" t="s">
        <v>27</v>
      </c>
      <c r="I592" s="7" t="n">
        <v>31.7</v>
      </c>
      <c r="J592" s="7" t="s">
        <v>28</v>
      </c>
      <c r="K592" s="7" t="n">
        <v>167.9</v>
      </c>
      <c r="L592" s="7" t="s">
        <v>29</v>
      </c>
      <c r="M592" s="7" t="s">
        <v>39</v>
      </c>
    </row>
    <row r="593" customFormat="false" ht="15" hidden="false" customHeight="true" outlineLevel="0" collapsed="false">
      <c r="A593" s="7" t="n">
        <v>1010</v>
      </c>
      <c r="B593" s="7" t="n">
        <v>67</v>
      </c>
      <c r="C593" s="7" t="s">
        <v>24</v>
      </c>
      <c r="D593" s="7" t="s">
        <v>25</v>
      </c>
      <c r="E593" s="7" t="n">
        <v>0</v>
      </c>
      <c r="F593" s="7" t="n">
        <v>0</v>
      </c>
      <c r="G593" s="7" t="s">
        <v>35</v>
      </c>
      <c r="H593" s="7" t="s">
        <v>27</v>
      </c>
      <c r="I593" s="7" t="n">
        <v>33.3</v>
      </c>
      <c r="J593" s="7" t="s">
        <v>28</v>
      </c>
      <c r="K593" s="7" t="n">
        <v>255.4</v>
      </c>
      <c r="L593" s="7" t="s">
        <v>29</v>
      </c>
      <c r="M593" s="7" t="s">
        <v>39</v>
      </c>
    </row>
    <row r="594" customFormat="false" ht="15" hidden="false" customHeight="true" outlineLevel="0" collapsed="false">
      <c r="A594" s="7" t="n">
        <v>1080</v>
      </c>
      <c r="B594" s="7" t="n">
        <v>79</v>
      </c>
      <c r="C594" s="7" t="s">
        <v>24</v>
      </c>
      <c r="D594" s="7" t="s">
        <v>25</v>
      </c>
      <c r="E594" s="7" t="n">
        <v>0</v>
      </c>
      <c r="F594" s="7" t="n">
        <v>0</v>
      </c>
      <c r="G594" s="7" t="s">
        <v>31</v>
      </c>
      <c r="H594" s="7" t="s">
        <v>32</v>
      </c>
      <c r="I594" s="7" t="n">
        <v>19.4</v>
      </c>
      <c r="J594" s="7" t="s">
        <v>28</v>
      </c>
      <c r="K594" s="7" t="n">
        <v>270.7</v>
      </c>
      <c r="L594" s="7" t="s">
        <v>37</v>
      </c>
      <c r="M594" s="7" t="s">
        <v>39</v>
      </c>
    </row>
    <row r="595" customFormat="false" ht="15" hidden="false" customHeight="true" outlineLevel="0" collapsed="false">
      <c r="A595" s="7" t="n">
        <v>1111</v>
      </c>
      <c r="B595" s="7" t="n">
        <v>84</v>
      </c>
      <c r="C595" s="7" t="s">
        <v>33</v>
      </c>
      <c r="D595" s="7" t="s">
        <v>25</v>
      </c>
      <c r="E595" s="7" t="n">
        <v>0</v>
      </c>
      <c r="F595" s="7" t="n">
        <v>0</v>
      </c>
      <c r="G595" s="7" t="s">
        <v>35</v>
      </c>
      <c r="H595" s="7" t="s">
        <v>27</v>
      </c>
      <c r="I595" s="7" t="n">
        <v>39.4</v>
      </c>
      <c r="J595" s="7" t="s">
        <v>28</v>
      </c>
      <c r="K595" s="7" t="n">
        <v>204</v>
      </c>
      <c r="L595" s="7" t="s">
        <v>29</v>
      </c>
      <c r="M595" s="7" t="s">
        <v>39</v>
      </c>
    </row>
    <row r="596" customFormat="false" ht="15" hidden="false" customHeight="true" outlineLevel="0" collapsed="false">
      <c r="A596" s="7" t="n">
        <v>1143</v>
      </c>
      <c r="B596" s="7" t="n">
        <v>85</v>
      </c>
      <c r="C596" s="7" t="s">
        <v>33</v>
      </c>
      <c r="D596" s="7" t="s">
        <v>25</v>
      </c>
      <c r="E596" s="7" t="n">
        <v>0</v>
      </c>
      <c r="F596" s="7" t="n">
        <v>0</v>
      </c>
      <c r="G596" s="7" t="s">
        <v>31</v>
      </c>
      <c r="H596" s="7" t="s">
        <v>27</v>
      </c>
      <c r="I596" s="7" t="n">
        <v>28.2</v>
      </c>
      <c r="J596" s="7" t="s">
        <v>28</v>
      </c>
      <c r="K596" s="7" t="n">
        <v>265.5</v>
      </c>
      <c r="L596" s="7" t="s">
        <v>37</v>
      </c>
      <c r="M596" s="7" t="s">
        <v>39</v>
      </c>
    </row>
    <row r="597" customFormat="false" ht="15" hidden="false" customHeight="true" outlineLevel="0" collapsed="false">
      <c r="A597" s="7" t="n">
        <v>1157</v>
      </c>
      <c r="B597" s="7" t="n">
        <v>72</v>
      </c>
      <c r="C597" s="7" t="s">
        <v>33</v>
      </c>
      <c r="D597" s="7" t="s">
        <v>25</v>
      </c>
      <c r="E597" s="7" t="n">
        <v>0</v>
      </c>
      <c r="F597" s="7" t="n">
        <v>0</v>
      </c>
      <c r="G597" s="7" t="s">
        <v>26</v>
      </c>
      <c r="H597" s="7" t="s">
        <v>32</v>
      </c>
      <c r="I597" s="7" t="n">
        <v>30</v>
      </c>
      <c r="J597" s="7" t="s">
        <v>28</v>
      </c>
      <c r="K597" s="7" t="n">
        <v>185.9</v>
      </c>
      <c r="L597" s="7" t="s">
        <v>37</v>
      </c>
      <c r="M597" s="7" t="s">
        <v>39</v>
      </c>
    </row>
    <row r="598" customFormat="false" ht="15" hidden="false" customHeight="true" outlineLevel="0" collapsed="false">
      <c r="A598" s="7" t="n">
        <v>1201</v>
      </c>
      <c r="B598" s="7" t="n">
        <v>40</v>
      </c>
      <c r="C598" s="7" t="s">
        <v>33</v>
      </c>
      <c r="D598" s="7" t="s">
        <v>25</v>
      </c>
      <c r="E598" s="7" t="n">
        <v>0</v>
      </c>
      <c r="F598" s="7" t="n">
        <v>0</v>
      </c>
      <c r="G598" s="7" t="s">
        <v>26</v>
      </c>
      <c r="H598" s="7" t="s">
        <v>27</v>
      </c>
      <c r="I598" s="7" t="n">
        <v>18.8</v>
      </c>
      <c r="J598" s="7" t="s">
        <v>28</v>
      </c>
      <c r="K598" s="7" t="n">
        <v>223.8</v>
      </c>
      <c r="L598" s="7" t="s">
        <v>29</v>
      </c>
      <c r="M598" s="7" t="s">
        <v>39</v>
      </c>
    </row>
    <row r="599" customFormat="false" ht="15" hidden="false" customHeight="true" outlineLevel="0" collapsed="false">
      <c r="A599" s="7" t="n">
        <v>1251</v>
      </c>
      <c r="B599" s="7" t="n">
        <v>86</v>
      </c>
      <c r="C599" s="7" t="s">
        <v>33</v>
      </c>
      <c r="D599" s="7" t="s">
        <v>25</v>
      </c>
      <c r="E599" s="7" t="n">
        <v>0</v>
      </c>
      <c r="F599" s="7" t="n">
        <v>0</v>
      </c>
      <c r="G599" s="7" t="s">
        <v>36</v>
      </c>
      <c r="H599" s="7" t="s">
        <v>27</v>
      </c>
      <c r="I599" s="7" t="n">
        <v>41.6</v>
      </c>
      <c r="J599" s="7" t="s">
        <v>28</v>
      </c>
      <c r="K599" s="7" t="n">
        <v>292.2</v>
      </c>
      <c r="L599" s="7" t="s">
        <v>37</v>
      </c>
      <c r="M599" s="7" t="s">
        <v>39</v>
      </c>
    </row>
    <row r="600" customFormat="false" ht="15" hidden="false" customHeight="true" outlineLevel="0" collapsed="false">
      <c r="A600" s="7" t="n">
        <v>1307</v>
      </c>
      <c r="B600" s="7" t="n">
        <v>32</v>
      </c>
      <c r="C600" s="7" t="s">
        <v>33</v>
      </c>
      <c r="D600" s="7" t="s">
        <v>25</v>
      </c>
      <c r="E600" s="7" t="n">
        <v>0</v>
      </c>
      <c r="F600" s="7" t="n">
        <v>0</v>
      </c>
      <c r="G600" s="7" t="s">
        <v>35</v>
      </c>
      <c r="H600" s="7" t="s">
        <v>27</v>
      </c>
      <c r="I600" s="7" t="n">
        <v>29.7</v>
      </c>
      <c r="J600" s="7" t="s">
        <v>28</v>
      </c>
      <c r="K600" s="7" t="n">
        <v>215.3</v>
      </c>
      <c r="L600" s="7" t="s">
        <v>29</v>
      </c>
      <c r="M600" s="7" t="s">
        <v>39</v>
      </c>
    </row>
    <row r="601" customFormat="false" ht="15" hidden="false" customHeight="true" outlineLevel="0" collapsed="false">
      <c r="A601" s="7" t="n">
        <v>1308</v>
      </c>
      <c r="B601" s="7" t="n">
        <v>48</v>
      </c>
      <c r="C601" s="7" t="s">
        <v>33</v>
      </c>
      <c r="D601" s="7" t="s">
        <v>25</v>
      </c>
      <c r="E601" s="7" t="n">
        <v>0</v>
      </c>
      <c r="F601" s="7" t="n">
        <v>0</v>
      </c>
      <c r="G601" s="7" t="s">
        <v>36</v>
      </c>
      <c r="H601" s="7" t="s">
        <v>27</v>
      </c>
      <c r="I601" s="7" t="n">
        <v>34.3</v>
      </c>
      <c r="J601" s="7" t="s">
        <v>28</v>
      </c>
      <c r="K601" s="7" t="n">
        <v>184.1</v>
      </c>
      <c r="L601" s="7" t="s">
        <v>37</v>
      </c>
      <c r="M601" s="7" t="s">
        <v>39</v>
      </c>
    </row>
    <row r="602" customFormat="false" ht="15" hidden="false" customHeight="true" outlineLevel="0" collapsed="false">
      <c r="A602" s="7" t="n">
        <v>1319</v>
      </c>
      <c r="B602" s="7" t="n">
        <v>57</v>
      </c>
      <c r="C602" s="7" t="s">
        <v>24</v>
      </c>
      <c r="D602" s="7" t="s">
        <v>25</v>
      </c>
      <c r="E602" s="7" t="n">
        <v>0</v>
      </c>
      <c r="F602" s="7" t="n">
        <v>0</v>
      </c>
      <c r="G602" s="7" t="s">
        <v>26</v>
      </c>
      <c r="H602" s="7" t="s">
        <v>27</v>
      </c>
      <c r="I602" s="7" t="n">
        <v>38.2</v>
      </c>
      <c r="J602" s="7" t="s">
        <v>28</v>
      </c>
      <c r="K602" s="7" t="n">
        <v>288.3</v>
      </c>
      <c r="L602" s="7" t="s">
        <v>29</v>
      </c>
      <c r="M602" s="7" t="s">
        <v>39</v>
      </c>
    </row>
    <row r="603" customFormat="false" ht="15" hidden="false" customHeight="true" outlineLevel="0" collapsed="false">
      <c r="A603" s="7" t="n">
        <v>1321</v>
      </c>
      <c r="B603" s="7" t="n">
        <v>55</v>
      </c>
      <c r="C603" s="7" t="s">
        <v>33</v>
      </c>
      <c r="D603" s="7" t="s">
        <v>25</v>
      </c>
      <c r="E603" s="7" t="n">
        <v>0</v>
      </c>
      <c r="F603" s="7" t="n">
        <v>0</v>
      </c>
      <c r="G603" s="7" t="s">
        <v>34</v>
      </c>
      <c r="H603" s="7" t="s">
        <v>27</v>
      </c>
      <c r="I603" s="7" t="n">
        <v>22.8</v>
      </c>
      <c r="J603" s="7" t="s">
        <v>28</v>
      </c>
      <c r="K603" s="7" t="n">
        <v>159.6</v>
      </c>
      <c r="L603" s="7" t="s">
        <v>29</v>
      </c>
      <c r="M603" s="7" t="s">
        <v>39</v>
      </c>
    </row>
    <row r="604" customFormat="false" ht="15" hidden="false" customHeight="true" outlineLevel="0" collapsed="false">
      <c r="A604" s="7" t="n">
        <v>1342</v>
      </c>
      <c r="B604" s="7" t="n">
        <v>53</v>
      </c>
      <c r="C604" s="7" t="s">
        <v>33</v>
      </c>
      <c r="D604" s="7" t="s">
        <v>25</v>
      </c>
      <c r="E604" s="7" t="n">
        <v>0</v>
      </c>
      <c r="F604" s="7" t="n">
        <v>0</v>
      </c>
      <c r="G604" s="7" t="s">
        <v>34</v>
      </c>
      <c r="H604" s="7" t="s">
        <v>27</v>
      </c>
      <c r="I604" s="7" t="n">
        <v>39.9</v>
      </c>
      <c r="J604" s="7" t="s">
        <v>28</v>
      </c>
      <c r="K604" s="7" t="n">
        <v>134</v>
      </c>
      <c r="L604" s="7" t="s">
        <v>29</v>
      </c>
      <c r="M604" s="7" t="s">
        <v>39</v>
      </c>
    </row>
    <row r="605" customFormat="false" ht="15" hidden="false" customHeight="true" outlineLevel="0" collapsed="false">
      <c r="A605" s="7" t="n">
        <v>1353</v>
      </c>
      <c r="B605" s="7" t="n">
        <v>89</v>
      </c>
      <c r="C605" s="7" t="s">
        <v>33</v>
      </c>
      <c r="D605" s="7" t="s">
        <v>25</v>
      </c>
      <c r="E605" s="7" t="n">
        <v>0</v>
      </c>
      <c r="F605" s="7" t="n">
        <v>0</v>
      </c>
      <c r="G605" s="7" t="s">
        <v>34</v>
      </c>
      <c r="H605" s="7" t="s">
        <v>27</v>
      </c>
      <c r="I605" s="7" t="n">
        <v>23.7</v>
      </c>
      <c r="J605" s="7" t="s">
        <v>28</v>
      </c>
      <c r="K605" s="7" t="n">
        <v>163.8</v>
      </c>
      <c r="L605" s="7" t="s">
        <v>37</v>
      </c>
      <c r="M605" s="7" t="s">
        <v>39</v>
      </c>
    </row>
    <row r="606" customFormat="false" ht="15" hidden="false" customHeight="true" outlineLevel="0" collapsed="false">
      <c r="A606" s="7" t="n">
        <v>1355</v>
      </c>
      <c r="B606" s="7" t="n">
        <v>35</v>
      </c>
      <c r="C606" s="7" t="s">
        <v>33</v>
      </c>
      <c r="D606" s="7" t="s">
        <v>25</v>
      </c>
      <c r="E606" s="7" t="n">
        <v>0</v>
      </c>
      <c r="F606" s="7" t="n">
        <v>0</v>
      </c>
      <c r="G606" s="7" t="s">
        <v>26</v>
      </c>
      <c r="H606" s="7" t="s">
        <v>32</v>
      </c>
      <c r="I606" s="7" t="n">
        <v>24.6</v>
      </c>
      <c r="J606" s="7" t="s">
        <v>28</v>
      </c>
      <c r="K606" s="7" t="n">
        <v>277.3</v>
      </c>
      <c r="L606" s="7" t="s">
        <v>37</v>
      </c>
      <c r="M606" s="7" t="s">
        <v>39</v>
      </c>
    </row>
    <row r="607" customFormat="false" ht="15" hidden="false" customHeight="true" outlineLevel="0" collapsed="false">
      <c r="A607" s="7" t="n">
        <v>1362</v>
      </c>
      <c r="B607" s="7" t="n">
        <v>80</v>
      </c>
      <c r="C607" s="7" t="s">
        <v>33</v>
      </c>
      <c r="D607" s="7" t="s">
        <v>25</v>
      </c>
      <c r="E607" s="7" t="n">
        <v>0</v>
      </c>
      <c r="F607" s="7" t="n">
        <v>0</v>
      </c>
      <c r="G607" s="7" t="s">
        <v>26</v>
      </c>
      <c r="H607" s="7" t="s">
        <v>27</v>
      </c>
      <c r="I607" s="7" t="n">
        <v>34.1</v>
      </c>
      <c r="J607" s="7" t="s">
        <v>28</v>
      </c>
      <c r="K607" s="7" t="n">
        <v>196.1</v>
      </c>
      <c r="L607" s="7" t="s">
        <v>29</v>
      </c>
      <c r="M607" s="7" t="s">
        <v>39</v>
      </c>
    </row>
    <row r="608" customFormat="false" ht="15" hidden="false" customHeight="true" outlineLevel="0" collapsed="false">
      <c r="A608" s="7" t="n">
        <v>1364</v>
      </c>
      <c r="B608" s="7" t="n">
        <v>81</v>
      </c>
      <c r="C608" s="7" t="s">
        <v>24</v>
      </c>
      <c r="D608" s="7" t="s">
        <v>25</v>
      </c>
      <c r="E608" s="7" t="n">
        <v>0</v>
      </c>
      <c r="F608" s="7" t="n">
        <v>0</v>
      </c>
      <c r="G608" s="7" t="s">
        <v>36</v>
      </c>
      <c r="H608" s="7" t="s">
        <v>27</v>
      </c>
      <c r="I608" s="7" t="n">
        <v>27.2</v>
      </c>
      <c r="J608" s="7" t="s">
        <v>28</v>
      </c>
      <c r="K608" s="7" t="n">
        <v>127.3</v>
      </c>
      <c r="L608" s="7" t="s">
        <v>29</v>
      </c>
      <c r="M608" s="7" t="s">
        <v>39</v>
      </c>
    </row>
    <row r="609" customFormat="false" ht="15" hidden="false" customHeight="true" outlineLevel="0" collapsed="false">
      <c r="A609" s="7" t="n">
        <v>1374</v>
      </c>
      <c r="B609" s="7" t="n">
        <v>63</v>
      </c>
      <c r="C609" s="7" t="s">
        <v>24</v>
      </c>
      <c r="D609" s="7" t="s">
        <v>25</v>
      </c>
      <c r="E609" s="7" t="n">
        <v>0</v>
      </c>
      <c r="F609" s="7" t="n">
        <v>0</v>
      </c>
      <c r="G609" s="7" t="s">
        <v>26</v>
      </c>
      <c r="H609" s="7" t="s">
        <v>32</v>
      </c>
      <c r="I609" s="7" t="n">
        <v>21.7</v>
      </c>
      <c r="J609" s="7" t="s">
        <v>28</v>
      </c>
      <c r="K609" s="7" t="n">
        <v>181.2</v>
      </c>
      <c r="L609" s="7" t="s">
        <v>29</v>
      </c>
      <c r="M609" s="7" t="s">
        <v>39</v>
      </c>
    </row>
    <row r="610" customFormat="false" ht="15" hidden="false" customHeight="true" outlineLevel="0" collapsed="false">
      <c r="A610" s="7" t="n">
        <v>1384</v>
      </c>
      <c r="B610" s="7" t="n">
        <v>76</v>
      </c>
      <c r="C610" s="7" t="s">
        <v>24</v>
      </c>
      <c r="D610" s="7" t="s">
        <v>25</v>
      </c>
      <c r="E610" s="7" t="n">
        <v>0</v>
      </c>
      <c r="F610" s="7" t="n">
        <v>0</v>
      </c>
      <c r="G610" s="7" t="s">
        <v>35</v>
      </c>
      <c r="H610" s="7" t="s">
        <v>27</v>
      </c>
      <c r="I610" s="7" t="n">
        <v>28.7</v>
      </c>
      <c r="J610" s="7" t="s">
        <v>28</v>
      </c>
      <c r="K610" s="7" t="n">
        <v>144.6</v>
      </c>
      <c r="L610" s="7" t="s">
        <v>29</v>
      </c>
      <c r="M610" s="7" t="s">
        <v>39</v>
      </c>
    </row>
    <row r="611" customFormat="false" ht="15" hidden="false" customHeight="true" outlineLevel="0" collapsed="false">
      <c r="A611" s="7" t="n">
        <v>1504</v>
      </c>
      <c r="B611" s="7" t="n">
        <v>59</v>
      </c>
      <c r="C611" s="7" t="s">
        <v>24</v>
      </c>
      <c r="D611" s="7" t="s">
        <v>25</v>
      </c>
      <c r="E611" s="7" t="n">
        <v>0</v>
      </c>
      <c r="F611" s="7" t="n">
        <v>0</v>
      </c>
      <c r="G611" s="7" t="s">
        <v>31</v>
      </c>
      <c r="H611" s="7" t="s">
        <v>27</v>
      </c>
      <c r="I611" s="7" t="n">
        <v>26.2</v>
      </c>
      <c r="J611" s="7" t="s">
        <v>28</v>
      </c>
      <c r="K611" s="7" t="n">
        <v>290.6</v>
      </c>
      <c r="L611" s="7" t="s">
        <v>37</v>
      </c>
      <c r="M611" s="7" t="s">
        <v>39</v>
      </c>
    </row>
    <row r="612" customFormat="false" ht="15" hidden="false" customHeight="true" outlineLevel="0" collapsed="false">
      <c r="A612" s="7" t="n">
        <v>1515</v>
      </c>
      <c r="B612" s="7" t="n">
        <v>31</v>
      </c>
      <c r="C612" s="7" t="s">
        <v>33</v>
      </c>
      <c r="D612" s="7" t="s">
        <v>25</v>
      </c>
      <c r="E612" s="7" t="n">
        <v>0</v>
      </c>
      <c r="F612" s="7" t="n">
        <v>0</v>
      </c>
      <c r="G612" s="7" t="s">
        <v>36</v>
      </c>
      <c r="H612" s="7" t="s">
        <v>32</v>
      </c>
      <c r="I612" s="7" t="n">
        <v>41.5</v>
      </c>
      <c r="J612" s="7" t="s">
        <v>28</v>
      </c>
      <c r="K612" s="7" t="n">
        <v>195.3</v>
      </c>
      <c r="L612" s="7" t="s">
        <v>29</v>
      </c>
      <c r="M612" s="7" t="s">
        <v>39</v>
      </c>
    </row>
    <row r="613" customFormat="false" ht="15" hidden="false" customHeight="true" outlineLevel="0" collapsed="false">
      <c r="A613" s="7" t="n">
        <v>1517</v>
      </c>
      <c r="B613" s="7" t="n">
        <v>48</v>
      </c>
      <c r="C613" s="7" t="s">
        <v>24</v>
      </c>
      <c r="D613" s="7" t="s">
        <v>25</v>
      </c>
      <c r="E613" s="7" t="n">
        <v>0</v>
      </c>
      <c r="F613" s="7" t="n">
        <v>0</v>
      </c>
      <c r="G613" s="7" t="s">
        <v>26</v>
      </c>
      <c r="H613" s="7" t="s">
        <v>27</v>
      </c>
      <c r="I613" s="7" t="n">
        <v>20.1</v>
      </c>
      <c r="J613" s="7" t="s">
        <v>28</v>
      </c>
      <c r="K613" s="7" t="n">
        <v>255.2</v>
      </c>
      <c r="L613" s="7" t="s">
        <v>29</v>
      </c>
      <c r="M613" s="7" t="s">
        <v>39</v>
      </c>
    </row>
    <row r="614" customFormat="false" ht="15" hidden="false" customHeight="true" outlineLevel="0" collapsed="false">
      <c r="A614" s="7" t="n">
        <v>1520</v>
      </c>
      <c r="B614" s="7" t="n">
        <v>38</v>
      </c>
      <c r="C614" s="7" t="s">
        <v>24</v>
      </c>
      <c r="D614" s="7" t="s">
        <v>25</v>
      </c>
      <c r="E614" s="7" t="n">
        <v>0</v>
      </c>
      <c r="F614" s="7" t="n">
        <v>0</v>
      </c>
      <c r="G614" s="7" t="s">
        <v>31</v>
      </c>
      <c r="H614" s="7" t="s">
        <v>27</v>
      </c>
      <c r="I614" s="7" t="n">
        <v>23.1</v>
      </c>
      <c r="J614" s="7" t="s">
        <v>28</v>
      </c>
      <c r="K614" s="7" t="n">
        <v>188.2</v>
      </c>
      <c r="L614" s="7" t="s">
        <v>29</v>
      </c>
      <c r="M614" s="7" t="s">
        <v>39</v>
      </c>
    </row>
    <row r="615" customFormat="false" ht="15" hidden="false" customHeight="true" outlineLevel="0" collapsed="false">
      <c r="A615" s="7" t="n">
        <v>1521</v>
      </c>
      <c r="B615" s="7" t="n">
        <v>89</v>
      </c>
      <c r="C615" s="7" t="s">
        <v>24</v>
      </c>
      <c r="D615" s="7" t="s">
        <v>25</v>
      </c>
      <c r="E615" s="7" t="n">
        <v>0</v>
      </c>
      <c r="F615" s="7" t="n">
        <v>0</v>
      </c>
      <c r="G615" s="7" t="s">
        <v>31</v>
      </c>
      <c r="H615" s="7" t="s">
        <v>27</v>
      </c>
      <c r="I615" s="7" t="n">
        <v>27.2</v>
      </c>
      <c r="J615" s="7" t="s">
        <v>28</v>
      </c>
      <c r="K615" s="7" t="n">
        <v>148.3</v>
      </c>
      <c r="L615" s="7" t="s">
        <v>29</v>
      </c>
      <c r="M615" s="7" t="s">
        <v>39</v>
      </c>
    </row>
    <row r="616" customFormat="false" ht="15" hidden="false" customHeight="true" outlineLevel="0" collapsed="false">
      <c r="A616" s="7" t="n">
        <v>1539</v>
      </c>
      <c r="B616" s="7" t="n">
        <v>74</v>
      </c>
      <c r="C616" s="7" t="s">
        <v>33</v>
      </c>
      <c r="D616" s="7" t="s">
        <v>25</v>
      </c>
      <c r="E616" s="7" t="n">
        <v>0</v>
      </c>
      <c r="F616" s="7" t="n">
        <v>0</v>
      </c>
      <c r="G616" s="7" t="s">
        <v>36</v>
      </c>
      <c r="H616" s="7" t="s">
        <v>27</v>
      </c>
      <c r="I616" s="7" t="n">
        <v>40.1</v>
      </c>
      <c r="J616" s="7" t="s">
        <v>28</v>
      </c>
      <c r="K616" s="7" t="n">
        <v>244.8</v>
      </c>
      <c r="L616" s="7" t="s">
        <v>29</v>
      </c>
      <c r="M616" s="7" t="s">
        <v>39</v>
      </c>
    </row>
    <row r="617" customFormat="false" ht="15" hidden="false" customHeight="true" outlineLevel="0" collapsed="false">
      <c r="A617" s="7" t="n">
        <v>1547</v>
      </c>
      <c r="B617" s="7" t="n">
        <v>35</v>
      </c>
      <c r="C617" s="7" t="s">
        <v>33</v>
      </c>
      <c r="D617" s="7" t="s">
        <v>25</v>
      </c>
      <c r="E617" s="7" t="n">
        <v>0</v>
      </c>
      <c r="F617" s="7" t="n">
        <v>0</v>
      </c>
      <c r="G617" s="7" t="s">
        <v>34</v>
      </c>
      <c r="H617" s="7" t="s">
        <v>27</v>
      </c>
      <c r="I617" s="7" t="n">
        <v>40</v>
      </c>
      <c r="J617" s="7" t="s">
        <v>28</v>
      </c>
      <c r="K617" s="7" t="n">
        <v>258.3</v>
      </c>
      <c r="L617" s="7" t="s">
        <v>29</v>
      </c>
      <c r="M617" s="7" t="s">
        <v>39</v>
      </c>
    </row>
    <row r="618" customFormat="false" ht="15" hidden="false" customHeight="true" outlineLevel="0" collapsed="false">
      <c r="A618" s="7" t="n">
        <v>1596</v>
      </c>
      <c r="B618" s="7" t="n">
        <v>71</v>
      </c>
      <c r="C618" s="7" t="s">
        <v>24</v>
      </c>
      <c r="D618" s="7" t="s">
        <v>25</v>
      </c>
      <c r="E618" s="7" t="n">
        <v>0</v>
      </c>
      <c r="F618" s="7" t="n">
        <v>0</v>
      </c>
      <c r="G618" s="7" t="s">
        <v>36</v>
      </c>
      <c r="H618" s="7" t="s">
        <v>27</v>
      </c>
      <c r="I618" s="7" t="n">
        <v>22.9</v>
      </c>
      <c r="J618" s="7" t="s">
        <v>28</v>
      </c>
      <c r="K618" s="7" t="n">
        <v>208.5</v>
      </c>
      <c r="L618" s="7" t="s">
        <v>29</v>
      </c>
      <c r="M618" s="7" t="s">
        <v>39</v>
      </c>
    </row>
    <row r="619" customFormat="false" ht="15" hidden="false" customHeight="true" outlineLevel="0" collapsed="false">
      <c r="A619" s="7" t="n">
        <v>1606</v>
      </c>
      <c r="B619" s="7" t="n">
        <v>31</v>
      </c>
      <c r="C619" s="7" t="s">
        <v>33</v>
      </c>
      <c r="D619" s="7" t="s">
        <v>25</v>
      </c>
      <c r="E619" s="7" t="n">
        <v>0</v>
      </c>
      <c r="F619" s="7" t="n">
        <v>0</v>
      </c>
      <c r="G619" s="7" t="s">
        <v>34</v>
      </c>
      <c r="H619" s="7" t="s">
        <v>27</v>
      </c>
      <c r="I619" s="7" t="n">
        <v>23.5</v>
      </c>
      <c r="J619" s="7" t="s">
        <v>28</v>
      </c>
      <c r="K619" s="7" t="n">
        <v>166</v>
      </c>
      <c r="L619" s="7" t="s">
        <v>29</v>
      </c>
      <c r="M619" s="7" t="s">
        <v>39</v>
      </c>
    </row>
    <row r="620" customFormat="false" ht="15" hidden="false" customHeight="true" outlineLevel="0" collapsed="false">
      <c r="A620" s="7" t="n">
        <v>1638</v>
      </c>
      <c r="B620" s="7" t="n">
        <v>88</v>
      </c>
      <c r="C620" s="7" t="s">
        <v>24</v>
      </c>
      <c r="D620" s="7" t="s">
        <v>25</v>
      </c>
      <c r="E620" s="7" t="n">
        <v>0</v>
      </c>
      <c r="F620" s="7" t="n">
        <v>0</v>
      </c>
      <c r="G620" s="7" t="s">
        <v>34</v>
      </c>
      <c r="H620" s="7" t="s">
        <v>27</v>
      </c>
      <c r="I620" s="7" t="n">
        <v>26</v>
      </c>
      <c r="J620" s="7" t="s">
        <v>28</v>
      </c>
      <c r="K620" s="7" t="n">
        <v>290.3</v>
      </c>
      <c r="L620" s="7" t="s">
        <v>29</v>
      </c>
      <c r="M620" s="7" t="s">
        <v>39</v>
      </c>
    </row>
    <row r="621" customFormat="false" ht="15" hidden="false" customHeight="true" outlineLevel="0" collapsed="false">
      <c r="A621" s="7" t="n">
        <v>1652</v>
      </c>
      <c r="B621" s="7" t="n">
        <v>26</v>
      </c>
      <c r="C621" s="7" t="s">
        <v>24</v>
      </c>
      <c r="D621" s="7" t="s">
        <v>25</v>
      </c>
      <c r="E621" s="7" t="n">
        <v>0</v>
      </c>
      <c r="F621" s="7" t="n">
        <v>0</v>
      </c>
      <c r="G621" s="7" t="s">
        <v>34</v>
      </c>
      <c r="H621" s="7" t="s">
        <v>27</v>
      </c>
      <c r="I621" s="7" t="n">
        <v>27.8</v>
      </c>
      <c r="J621" s="7" t="s">
        <v>28</v>
      </c>
      <c r="K621" s="7" t="n">
        <v>142.1</v>
      </c>
      <c r="L621" s="7" t="s">
        <v>37</v>
      </c>
      <c r="M621" s="7" t="s">
        <v>39</v>
      </c>
    </row>
    <row r="622" customFormat="false" ht="15" hidden="false" customHeight="true" outlineLevel="0" collapsed="false">
      <c r="A622" s="7" t="n">
        <v>1655</v>
      </c>
      <c r="B622" s="7" t="n">
        <v>60</v>
      </c>
      <c r="C622" s="7" t="s">
        <v>24</v>
      </c>
      <c r="D622" s="7" t="s">
        <v>25</v>
      </c>
      <c r="E622" s="7" t="n">
        <v>0</v>
      </c>
      <c r="F622" s="7" t="n">
        <v>0</v>
      </c>
      <c r="G622" s="7" t="s">
        <v>31</v>
      </c>
      <c r="H622" s="7" t="s">
        <v>27</v>
      </c>
      <c r="I622" s="7" t="n">
        <v>32.8</v>
      </c>
      <c r="J622" s="7" t="s">
        <v>28</v>
      </c>
      <c r="K622" s="7" t="n">
        <v>242.4</v>
      </c>
      <c r="L622" s="7" t="s">
        <v>37</v>
      </c>
      <c r="M622" s="7" t="s">
        <v>39</v>
      </c>
    </row>
    <row r="623" customFormat="false" ht="15" hidden="false" customHeight="true" outlineLevel="0" collapsed="false">
      <c r="A623" s="7" t="n">
        <v>1752</v>
      </c>
      <c r="B623" s="7" t="n">
        <v>77</v>
      </c>
      <c r="C623" s="7" t="s">
        <v>24</v>
      </c>
      <c r="D623" s="7" t="s">
        <v>25</v>
      </c>
      <c r="E623" s="7" t="n">
        <v>0</v>
      </c>
      <c r="F623" s="7" t="n">
        <v>0</v>
      </c>
      <c r="G623" s="7" t="s">
        <v>31</v>
      </c>
      <c r="H623" s="7" t="s">
        <v>27</v>
      </c>
      <c r="I623" s="7" t="n">
        <v>29.9</v>
      </c>
      <c r="J623" s="7" t="s">
        <v>28</v>
      </c>
      <c r="K623" s="7" t="n">
        <v>228.8</v>
      </c>
      <c r="L623" s="7" t="s">
        <v>29</v>
      </c>
      <c r="M623" s="7" t="s">
        <v>39</v>
      </c>
    </row>
    <row r="624" customFormat="false" ht="15" hidden="false" customHeight="true" outlineLevel="0" collapsed="false">
      <c r="A624" s="7" t="n">
        <v>1753</v>
      </c>
      <c r="B624" s="7" t="n">
        <v>75</v>
      </c>
      <c r="C624" s="7" t="s">
        <v>24</v>
      </c>
      <c r="D624" s="7" t="s">
        <v>25</v>
      </c>
      <c r="E624" s="7" t="n">
        <v>0</v>
      </c>
      <c r="F624" s="7" t="n">
        <v>0</v>
      </c>
      <c r="G624" s="7" t="s">
        <v>34</v>
      </c>
      <c r="H624" s="7" t="s">
        <v>27</v>
      </c>
      <c r="I624" s="7" t="n">
        <v>34</v>
      </c>
      <c r="J624" s="7" t="s">
        <v>28</v>
      </c>
      <c r="K624" s="7" t="n">
        <v>245</v>
      </c>
      <c r="L624" s="7" t="s">
        <v>37</v>
      </c>
      <c r="M624" s="7" t="s">
        <v>39</v>
      </c>
    </row>
    <row r="625" customFormat="false" ht="15" hidden="false" customHeight="true" outlineLevel="0" collapsed="false">
      <c r="A625" s="7" t="n">
        <v>1764</v>
      </c>
      <c r="B625" s="7" t="n">
        <v>84</v>
      </c>
      <c r="C625" s="7" t="s">
        <v>33</v>
      </c>
      <c r="D625" s="7" t="s">
        <v>25</v>
      </c>
      <c r="E625" s="7" t="n">
        <v>0</v>
      </c>
      <c r="F625" s="7" t="n">
        <v>0</v>
      </c>
      <c r="G625" s="7" t="s">
        <v>34</v>
      </c>
      <c r="H625" s="7" t="s">
        <v>27</v>
      </c>
      <c r="I625" s="7" t="n">
        <v>34.9</v>
      </c>
      <c r="J625" s="7" t="s">
        <v>28</v>
      </c>
      <c r="K625" s="7" t="n">
        <v>196.2</v>
      </c>
      <c r="L625" s="7" t="s">
        <v>29</v>
      </c>
      <c r="M625" s="7" t="s">
        <v>39</v>
      </c>
    </row>
    <row r="626" customFormat="false" ht="15" hidden="false" customHeight="true" outlineLevel="0" collapsed="false">
      <c r="A626" s="7" t="n">
        <v>1774</v>
      </c>
      <c r="B626" s="7" t="n">
        <v>80</v>
      </c>
      <c r="C626" s="7" t="s">
        <v>33</v>
      </c>
      <c r="D626" s="7" t="s">
        <v>25</v>
      </c>
      <c r="E626" s="7" t="n">
        <v>0</v>
      </c>
      <c r="F626" s="7" t="n">
        <v>0</v>
      </c>
      <c r="G626" s="7" t="s">
        <v>34</v>
      </c>
      <c r="H626" s="7" t="s">
        <v>32</v>
      </c>
      <c r="I626" s="7" t="n">
        <v>28.8</v>
      </c>
      <c r="J626" s="7" t="s">
        <v>28</v>
      </c>
      <c r="K626" s="7" t="n">
        <v>173.1</v>
      </c>
      <c r="L626" s="7" t="s">
        <v>29</v>
      </c>
      <c r="M626" s="7" t="s">
        <v>39</v>
      </c>
    </row>
    <row r="627" customFormat="false" ht="15" hidden="false" customHeight="true" outlineLevel="0" collapsed="false">
      <c r="A627" s="7" t="n">
        <v>1800</v>
      </c>
      <c r="B627" s="7" t="n">
        <v>24</v>
      </c>
      <c r="C627" s="7" t="s">
        <v>24</v>
      </c>
      <c r="D627" s="7" t="s">
        <v>25</v>
      </c>
      <c r="E627" s="7" t="n">
        <v>0</v>
      </c>
      <c r="F627" s="7" t="n">
        <v>0</v>
      </c>
      <c r="G627" s="7" t="s">
        <v>31</v>
      </c>
      <c r="H627" s="7" t="s">
        <v>27</v>
      </c>
      <c r="I627" s="7" t="n">
        <v>29.3</v>
      </c>
      <c r="J627" s="7" t="s">
        <v>28</v>
      </c>
      <c r="K627" s="7" t="n">
        <v>134</v>
      </c>
      <c r="L627" s="7" t="s">
        <v>37</v>
      </c>
      <c r="M627" s="7" t="s">
        <v>39</v>
      </c>
    </row>
    <row r="628" customFormat="false" ht="15" hidden="false" customHeight="true" outlineLevel="0" collapsed="false">
      <c r="A628" s="7" t="n">
        <v>2020</v>
      </c>
      <c r="B628" s="7" t="n">
        <v>34</v>
      </c>
      <c r="C628" s="7" t="s">
        <v>24</v>
      </c>
      <c r="D628" s="7" t="s">
        <v>25</v>
      </c>
      <c r="E628" s="7" t="n">
        <v>0</v>
      </c>
      <c r="F628" s="7" t="n">
        <v>0</v>
      </c>
      <c r="G628" s="7" t="s">
        <v>26</v>
      </c>
      <c r="H628" s="7" t="s">
        <v>27</v>
      </c>
      <c r="I628" s="7" t="n">
        <v>37.1</v>
      </c>
      <c r="J628" s="7" t="s">
        <v>28</v>
      </c>
      <c r="K628" s="7" t="n">
        <v>139</v>
      </c>
      <c r="L628" s="7" t="s">
        <v>29</v>
      </c>
      <c r="M628" s="7" t="s">
        <v>39</v>
      </c>
    </row>
    <row r="629" customFormat="false" ht="15" hidden="false" customHeight="true" outlineLevel="0" collapsed="false">
      <c r="A629" s="7" t="n">
        <v>2052</v>
      </c>
      <c r="B629" s="7" t="n">
        <v>26</v>
      </c>
      <c r="C629" s="7" t="s">
        <v>24</v>
      </c>
      <c r="D629" s="7" t="s">
        <v>25</v>
      </c>
      <c r="E629" s="7" t="n">
        <v>0</v>
      </c>
      <c r="F629" s="7" t="n">
        <v>0</v>
      </c>
      <c r="G629" s="7" t="s">
        <v>26</v>
      </c>
      <c r="H629" s="7" t="s">
        <v>32</v>
      </c>
      <c r="I629" s="7" t="n">
        <v>33.3</v>
      </c>
      <c r="J629" s="7" t="s">
        <v>28</v>
      </c>
      <c r="K629" s="7" t="n">
        <v>193.8</v>
      </c>
      <c r="L629" s="7" t="s">
        <v>29</v>
      </c>
      <c r="M629" s="7" t="s">
        <v>39</v>
      </c>
    </row>
    <row r="630" customFormat="false" ht="15" hidden="false" customHeight="true" outlineLevel="0" collapsed="false">
      <c r="A630" s="7" t="n">
        <v>2070</v>
      </c>
      <c r="B630" s="7" t="n">
        <v>69</v>
      </c>
      <c r="C630" s="7" t="s">
        <v>24</v>
      </c>
      <c r="D630" s="7" t="s">
        <v>25</v>
      </c>
      <c r="E630" s="7" t="n">
        <v>0</v>
      </c>
      <c r="F630" s="7" t="n">
        <v>0</v>
      </c>
      <c r="G630" s="7" t="s">
        <v>31</v>
      </c>
      <c r="H630" s="7" t="s">
        <v>32</v>
      </c>
      <c r="I630" s="7" t="n">
        <v>34.3</v>
      </c>
      <c r="J630" s="7" t="s">
        <v>28</v>
      </c>
      <c r="K630" s="7" t="n">
        <v>170.6</v>
      </c>
      <c r="L630" s="7" t="s">
        <v>29</v>
      </c>
      <c r="M630" s="7" t="s">
        <v>39</v>
      </c>
    </row>
    <row r="631" customFormat="false" ht="15" hidden="false" customHeight="true" outlineLevel="0" collapsed="false">
      <c r="A631" s="7" t="n">
        <v>2092</v>
      </c>
      <c r="B631" s="7" t="n">
        <v>60</v>
      </c>
      <c r="C631" s="7" t="s">
        <v>24</v>
      </c>
      <c r="D631" s="7" t="s">
        <v>25</v>
      </c>
      <c r="E631" s="7" t="n">
        <v>0</v>
      </c>
      <c r="F631" s="7" t="n">
        <v>0</v>
      </c>
      <c r="G631" s="7" t="s">
        <v>36</v>
      </c>
      <c r="H631" s="7" t="s">
        <v>27</v>
      </c>
      <c r="I631" s="7" t="n">
        <v>28.6</v>
      </c>
      <c r="J631" s="7" t="s">
        <v>28</v>
      </c>
      <c r="K631" s="7" t="n">
        <v>240</v>
      </c>
      <c r="L631" s="7" t="s">
        <v>29</v>
      </c>
      <c r="M631" s="7" t="s">
        <v>39</v>
      </c>
    </row>
    <row r="632" customFormat="false" ht="15" hidden="false" customHeight="true" outlineLevel="0" collapsed="false">
      <c r="A632" s="7" t="n">
        <v>2103</v>
      </c>
      <c r="B632" s="7" t="n">
        <v>19</v>
      </c>
      <c r="C632" s="7" t="s">
        <v>24</v>
      </c>
      <c r="D632" s="7" t="s">
        <v>25</v>
      </c>
      <c r="E632" s="7" t="n">
        <v>0</v>
      </c>
      <c r="F632" s="7" t="n">
        <v>0</v>
      </c>
      <c r="G632" s="7" t="s">
        <v>34</v>
      </c>
      <c r="H632" s="7" t="s">
        <v>27</v>
      </c>
      <c r="I632" s="7" t="n">
        <v>36.1</v>
      </c>
      <c r="J632" s="7" t="s">
        <v>28</v>
      </c>
      <c r="K632" s="7" t="n">
        <v>247.3</v>
      </c>
      <c r="L632" s="7" t="s">
        <v>29</v>
      </c>
      <c r="M632" s="7" t="s">
        <v>39</v>
      </c>
    </row>
    <row r="633" customFormat="false" ht="15" hidden="false" customHeight="true" outlineLevel="0" collapsed="false">
      <c r="A633" s="7" t="n">
        <v>2116</v>
      </c>
      <c r="B633" s="7" t="n">
        <v>32</v>
      </c>
      <c r="C633" s="7" t="s">
        <v>33</v>
      </c>
      <c r="D633" s="7" t="s">
        <v>25</v>
      </c>
      <c r="E633" s="7" t="n">
        <v>0</v>
      </c>
      <c r="F633" s="7" t="n">
        <v>0</v>
      </c>
      <c r="G633" s="7" t="s">
        <v>26</v>
      </c>
      <c r="H633" s="7" t="s">
        <v>27</v>
      </c>
      <c r="I633" s="7" t="n">
        <v>28.4</v>
      </c>
      <c r="J633" s="7" t="s">
        <v>28</v>
      </c>
      <c r="K633" s="7" t="n">
        <v>275.9</v>
      </c>
      <c r="L633" s="7" t="s">
        <v>29</v>
      </c>
      <c r="M633" s="7" t="s">
        <v>39</v>
      </c>
    </row>
    <row r="634" customFormat="false" ht="15" hidden="false" customHeight="true" outlineLevel="0" collapsed="false">
      <c r="A634" s="7" t="n">
        <v>2135</v>
      </c>
      <c r="B634" s="7" t="n">
        <v>20</v>
      </c>
      <c r="C634" s="7" t="s">
        <v>24</v>
      </c>
      <c r="D634" s="7" t="s">
        <v>25</v>
      </c>
      <c r="E634" s="7" t="n">
        <v>0</v>
      </c>
      <c r="F634" s="7" t="n">
        <v>0</v>
      </c>
      <c r="G634" s="7" t="s">
        <v>26</v>
      </c>
      <c r="H634" s="7" t="s">
        <v>27</v>
      </c>
      <c r="I634" s="7" t="n">
        <v>29.9</v>
      </c>
      <c r="J634" s="7" t="s">
        <v>28</v>
      </c>
      <c r="K634" s="7" t="n">
        <v>279.8</v>
      </c>
      <c r="L634" s="7" t="s">
        <v>29</v>
      </c>
      <c r="M634" s="7" t="s">
        <v>39</v>
      </c>
    </row>
    <row r="635" customFormat="false" ht="15" hidden="false" customHeight="true" outlineLevel="0" collapsed="false">
      <c r="A635" s="7" t="n">
        <v>2165</v>
      </c>
      <c r="B635" s="7" t="n">
        <v>48</v>
      </c>
      <c r="C635" s="7" t="s">
        <v>24</v>
      </c>
      <c r="D635" s="7" t="s">
        <v>25</v>
      </c>
      <c r="E635" s="7" t="n">
        <v>0</v>
      </c>
      <c r="F635" s="7" t="n">
        <v>0</v>
      </c>
      <c r="G635" s="7" t="s">
        <v>31</v>
      </c>
      <c r="H635" s="7" t="s">
        <v>32</v>
      </c>
      <c r="I635" s="7" t="n">
        <v>26</v>
      </c>
      <c r="J635" s="7" t="s">
        <v>28</v>
      </c>
      <c r="K635" s="7" t="n">
        <v>170.5</v>
      </c>
      <c r="L635" s="7" t="s">
        <v>29</v>
      </c>
      <c r="M635" s="7" t="s">
        <v>39</v>
      </c>
    </row>
    <row r="636" customFormat="false" ht="15" hidden="false" customHeight="true" outlineLevel="0" collapsed="false">
      <c r="A636" s="7" t="n">
        <v>2204</v>
      </c>
      <c r="B636" s="7" t="n">
        <v>76</v>
      </c>
      <c r="C636" s="7" t="s">
        <v>33</v>
      </c>
      <c r="D636" s="7" t="s">
        <v>25</v>
      </c>
      <c r="E636" s="7" t="n">
        <v>0</v>
      </c>
      <c r="F636" s="7" t="n">
        <v>0</v>
      </c>
      <c r="G636" s="7" t="s">
        <v>31</v>
      </c>
      <c r="H636" s="7" t="s">
        <v>32</v>
      </c>
      <c r="I636" s="7" t="n">
        <v>28.5</v>
      </c>
      <c r="J636" s="7" t="s">
        <v>28</v>
      </c>
      <c r="K636" s="7" t="n">
        <v>228.8</v>
      </c>
      <c r="L636" s="7" t="s">
        <v>37</v>
      </c>
      <c r="M636" s="7" t="s">
        <v>39</v>
      </c>
    </row>
    <row r="637" customFormat="false" ht="15" hidden="false" customHeight="true" outlineLevel="0" collapsed="false">
      <c r="A637" s="7" t="n">
        <v>2253</v>
      </c>
      <c r="B637" s="7" t="n">
        <v>49</v>
      </c>
      <c r="C637" s="7" t="s">
        <v>24</v>
      </c>
      <c r="D637" s="7" t="s">
        <v>25</v>
      </c>
      <c r="E637" s="7" t="n">
        <v>0</v>
      </c>
      <c r="F637" s="7" t="n">
        <v>0</v>
      </c>
      <c r="G637" s="7" t="s">
        <v>35</v>
      </c>
      <c r="H637" s="7" t="s">
        <v>27</v>
      </c>
      <c r="I637" s="7" t="n">
        <v>32.3</v>
      </c>
      <c r="J637" s="7" t="s">
        <v>28</v>
      </c>
      <c r="K637" s="7" t="n">
        <v>180</v>
      </c>
      <c r="L637" s="7" t="s">
        <v>29</v>
      </c>
      <c r="M637" s="7" t="s">
        <v>39</v>
      </c>
    </row>
    <row r="638" customFormat="false" ht="15" hidden="false" customHeight="true" outlineLevel="0" collapsed="false">
      <c r="A638" s="7" t="n">
        <v>2268</v>
      </c>
      <c r="B638" s="7" t="n">
        <v>75</v>
      </c>
      <c r="C638" s="7" t="s">
        <v>33</v>
      </c>
      <c r="D638" s="7" t="s">
        <v>25</v>
      </c>
      <c r="E638" s="7" t="n">
        <v>0</v>
      </c>
      <c r="F638" s="7" t="n">
        <v>0</v>
      </c>
      <c r="G638" s="7" t="s">
        <v>35</v>
      </c>
      <c r="H638" s="7" t="s">
        <v>32</v>
      </c>
      <c r="I638" s="7" t="n">
        <v>38.9</v>
      </c>
      <c r="J638" s="7" t="s">
        <v>28</v>
      </c>
      <c r="K638" s="7" t="n">
        <v>281.2</v>
      </c>
      <c r="L638" s="7" t="s">
        <v>37</v>
      </c>
      <c r="M638" s="7" t="s">
        <v>39</v>
      </c>
    </row>
    <row r="639" customFormat="false" ht="15" hidden="false" customHeight="true" outlineLevel="0" collapsed="false">
      <c r="A639" s="7" t="n">
        <v>2433</v>
      </c>
      <c r="B639" s="7" t="n">
        <v>61</v>
      </c>
      <c r="C639" s="7" t="s">
        <v>24</v>
      </c>
      <c r="D639" s="7" t="s">
        <v>25</v>
      </c>
      <c r="E639" s="7" t="n">
        <v>0</v>
      </c>
      <c r="F639" s="7" t="n">
        <v>0</v>
      </c>
      <c r="G639" s="7" t="s">
        <v>26</v>
      </c>
      <c r="H639" s="7" t="s">
        <v>32</v>
      </c>
      <c r="I639" s="7" t="n">
        <v>34.5</v>
      </c>
      <c r="J639" s="7" t="s">
        <v>28</v>
      </c>
      <c r="K639" s="7" t="n">
        <v>289</v>
      </c>
      <c r="L639" s="7" t="s">
        <v>37</v>
      </c>
      <c r="M639" s="7" t="s">
        <v>39</v>
      </c>
    </row>
    <row r="640" customFormat="false" ht="15" hidden="false" customHeight="true" outlineLevel="0" collapsed="false">
      <c r="A640" s="7" t="n">
        <v>2437</v>
      </c>
      <c r="B640" s="7" t="n">
        <v>55</v>
      </c>
      <c r="C640" s="7" t="s">
        <v>33</v>
      </c>
      <c r="D640" s="7" t="s">
        <v>25</v>
      </c>
      <c r="E640" s="7" t="n">
        <v>0</v>
      </c>
      <c r="F640" s="7" t="n">
        <v>0</v>
      </c>
      <c r="G640" s="7" t="s">
        <v>35</v>
      </c>
      <c r="H640" s="7" t="s">
        <v>27</v>
      </c>
      <c r="I640" s="7" t="n">
        <v>38</v>
      </c>
      <c r="J640" s="7" t="s">
        <v>28</v>
      </c>
      <c r="K640" s="7" t="n">
        <v>128.1</v>
      </c>
      <c r="L640" s="7" t="s">
        <v>29</v>
      </c>
      <c r="M640" s="7" t="s">
        <v>39</v>
      </c>
    </row>
    <row r="641" customFormat="false" ht="15" hidden="false" customHeight="true" outlineLevel="0" collapsed="false">
      <c r="A641" s="7" t="n">
        <v>2482</v>
      </c>
      <c r="B641" s="7" t="n">
        <v>25</v>
      </c>
      <c r="C641" s="7" t="s">
        <v>33</v>
      </c>
      <c r="D641" s="7" t="s">
        <v>25</v>
      </c>
      <c r="E641" s="7" t="n">
        <v>0</v>
      </c>
      <c r="F641" s="7" t="n">
        <v>0</v>
      </c>
      <c r="G641" s="7" t="s">
        <v>31</v>
      </c>
      <c r="H641" s="7" t="s">
        <v>32</v>
      </c>
      <c r="I641" s="7" t="n">
        <v>20.5</v>
      </c>
      <c r="J641" s="7" t="s">
        <v>28</v>
      </c>
      <c r="K641" s="7" t="n">
        <v>257.9</v>
      </c>
      <c r="L641" s="7" t="s">
        <v>29</v>
      </c>
      <c r="M641" s="7" t="s">
        <v>39</v>
      </c>
    </row>
    <row r="642" customFormat="false" ht="15" hidden="false" customHeight="true" outlineLevel="0" collapsed="false">
      <c r="A642" s="7" t="n">
        <v>61</v>
      </c>
      <c r="B642" s="7" t="n">
        <v>51</v>
      </c>
      <c r="C642" s="7" t="s">
        <v>33</v>
      </c>
      <c r="D642" s="7" t="s">
        <v>25</v>
      </c>
      <c r="E642" s="7" t="n">
        <v>0</v>
      </c>
      <c r="F642" s="7" t="n">
        <v>0</v>
      </c>
      <c r="G642" s="7" t="s">
        <v>36</v>
      </c>
      <c r="H642" s="7" t="s">
        <v>32</v>
      </c>
      <c r="I642" s="7" t="n">
        <v>18</v>
      </c>
      <c r="J642" s="7" t="s">
        <v>39</v>
      </c>
      <c r="K642" s="7" t="n">
        <v>233</v>
      </c>
      <c r="L642" s="7" t="s">
        <v>37</v>
      </c>
      <c r="M642" s="7" t="s">
        <v>39</v>
      </c>
    </row>
    <row r="643" customFormat="false" ht="15" hidden="false" customHeight="true" outlineLevel="0" collapsed="false">
      <c r="A643" s="7" t="n">
        <v>81</v>
      </c>
      <c r="B643" s="7" t="n">
        <v>26</v>
      </c>
      <c r="C643" s="7" t="s">
        <v>24</v>
      </c>
      <c r="D643" s="7" t="s">
        <v>25</v>
      </c>
      <c r="E643" s="7" t="n">
        <v>0</v>
      </c>
      <c r="F643" s="7" t="n">
        <v>0</v>
      </c>
      <c r="G643" s="7" t="s">
        <v>35</v>
      </c>
      <c r="H643" s="7" t="s">
        <v>32</v>
      </c>
      <c r="I643" s="7" t="n">
        <v>40.4</v>
      </c>
      <c r="J643" s="7" t="s">
        <v>39</v>
      </c>
      <c r="K643" s="7" t="n">
        <v>201.2</v>
      </c>
      <c r="L643" s="7" t="s">
        <v>37</v>
      </c>
      <c r="M643" s="7" t="s">
        <v>39</v>
      </c>
    </row>
    <row r="644" customFormat="false" ht="15" hidden="false" customHeight="true" outlineLevel="0" collapsed="false">
      <c r="A644" s="7" t="n">
        <v>122</v>
      </c>
      <c r="B644" s="7" t="n">
        <v>19</v>
      </c>
      <c r="C644" s="7" t="s">
        <v>33</v>
      </c>
      <c r="D644" s="7" t="s">
        <v>25</v>
      </c>
      <c r="E644" s="7" t="n">
        <v>0</v>
      </c>
      <c r="F644" s="7" t="n">
        <v>0</v>
      </c>
      <c r="G644" s="7" t="s">
        <v>31</v>
      </c>
      <c r="H644" s="7" t="s">
        <v>32</v>
      </c>
      <c r="I644" s="7" t="n">
        <v>23.8</v>
      </c>
      <c r="J644" s="7" t="s">
        <v>39</v>
      </c>
      <c r="K644" s="7" t="n">
        <v>147.2</v>
      </c>
      <c r="L644" s="7" t="s">
        <v>29</v>
      </c>
      <c r="M644" s="7" t="s">
        <v>39</v>
      </c>
    </row>
    <row r="645" customFormat="false" ht="15" hidden="false" customHeight="true" outlineLevel="0" collapsed="false">
      <c r="A645" s="7" t="n">
        <v>208</v>
      </c>
      <c r="B645" s="7" t="n">
        <v>80</v>
      </c>
      <c r="C645" s="7" t="s">
        <v>33</v>
      </c>
      <c r="D645" s="7" t="s">
        <v>25</v>
      </c>
      <c r="E645" s="7" t="n">
        <v>0</v>
      </c>
      <c r="F645" s="7" t="n">
        <v>0</v>
      </c>
      <c r="G645" s="7" t="s">
        <v>26</v>
      </c>
      <c r="H645" s="7" t="s">
        <v>27</v>
      </c>
      <c r="I645" s="7" t="n">
        <v>25.3</v>
      </c>
      <c r="J645" s="7" t="s">
        <v>39</v>
      </c>
      <c r="K645" s="7" t="n">
        <v>213.5</v>
      </c>
      <c r="L645" s="7" t="s">
        <v>37</v>
      </c>
      <c r="M645" s="7" t="s">
        <v>39</v>
      </c>
    </row>
    <row r="646" customFormat="false" ht="15" hidden="false" customHeight="true" outlineLevel="0" collapsed="false">
      <c r="A646" s="7" t="n">
        <v>210</v>
      </c>
      <c r="B646" s="7" t="n">
        <v>59</v>
      </c>
      <c r="C646" s="7" t="s">
        <v>24</v>
      </c>
      <c r="D646" s="7" t="s">
        <v>25</v>
      </c>
      <c r="E646" s="7" t="n">
        <v>0</v>
      </c>
      <c r="F646" s="7" t="n">
        <v>0</v>
      </c>
      <c r="G646" s="7" t="s">
        <v>35</v>
      </c>
      <c r="H646" s="7" t="s">
        <v>27</v>
      </c>
      <c r="I646" s="7" t="n">
        <v>33.4</v>
      </c>
      <c r="J646" s="7" t="s">
        <v>39</v>
      </c>
      <c r="K646" s="7" t="n">
        <v>188.5</v>
      </c>
      <c r="L646" s="7" t="s">
        <v>29</v>
      </c>
      <c r="M646" s="7" t="s">
        <v>39</v>
      </c>
    </row>
    <row r="647" customFormat="false" ht="15" hidden="false" customHeight="true" outlineLevel="0" collapsed="false">
      <c r="A647" s="7" t="n">
        <v>264</v>
      </c>
      <c r="B647" s="7" t="n">
        <v>86</v>
      </c>
      <c r="C647" s="7" t="s">
        <v>24</v>
      </c>
      <c r="D647" s="7" t="s">
        <v>25</v>
      </c>
      <c r="E647" s="7" t="n">
        <v>0</v>
      </c>
      <c r="F647" s="7" t="n">
        <v>0</v>
      </c>
      <c r="G647" s="7" t="s">
        <v>34</v>
      </c>
      <c r="H647" s="7" t="s">
        <v>27</v>
      </c>
      <c r="I647" s="7" t="n">
        <v>40.3</v>
      </c>
      <c r="J647" s="7" t="s">
        <v>39</v>
      </c>
      <c r="K647" s="7" t="n">
        <v>143.4</v>
      </c>
      <c r="L647" s="7" t="s">
        <v>29</v>
      </c>
      <c r="M647" s="7" t="s">
        <v>39</v>
      </c>
    </row>
    <row r="648" customFormat="false" ht="15" hidden="false" customHeight="true" outlineLevel="0" collapsed="false">
      <c r="A648" s="7" t="n">
        <v>282</v>
      </c>
      <c r="B648" s="7" t="n">
        <v>36</v>
      </c>
      <c r="C648" s="7" t="s">
        <v>33</v>
      </c>
      <c r="D648" s="7" t="s">
        <v>25</v>
      </c>
      <c r="E648" s="7" t="n">
        <v>0</v>
      </c>
      <c r="F648" s="7" t="n">
        <v>0</v>
      </c>
      <c r="G648" s="7" t="s">
        <v>36</v>
      </c>
      <c r="H648" s="7" t="s">
        <v>32</v>
      </c>
      <c r="I648" s="7" t="n">
        <v>21.8</v>
      </c>
      <c r="J648" s="7" t="s">
        <v>39</v>
      </c>
      <c r="K648" s="7" t="n">
        <v>283.4</v>
      </c>
      <c r="L648" s="7" t="s">
        <v>29</v>
      </c>
      <c r="M648" s="7" t="s">
        <v>39</v>
      </c>
    </row>
    <row r="649" customFormat="false" ht="15" hidden="false" customHeight="true" outlineLevel="0" collapsed="false">
      <c r="A649" s="7" t="n">
        <v>328</v>
      </c>
      <c r="B649" s="7" t="n">
        <v>66</v>
      </c>
      <c r="C649" s="7" t="s">
        <v>33</v>
      </c>
      <c r="D649" s="7" t="s">
        <v>25</v>
      </c>
      <c r="E649" s="7" t="n">
        <v>0</v>
      </c>
      <c r="F649" s="7" t="n">
        <v>0</v>
      </c>
      <c r="G649" s="7" t="s">
        <v>26</v>
      </c>
      <c r="H649" s="7" t="s">
        <v>32</v>
      </c>
      <c r="I649" s="7" t="n">
        <v>32.3</v>
      </c>
      <c r="J649" s="7" t="s">
        <v>39</v>
      </c>
      <c r="K649" s="7" t="n">
        <v>241.2</v>
      </c>
      <c r="L649" s="7" t="s">
        <v>29</v>
      </c>
      <c r="M649" s="7" t="s">
        <v>39</v>
      </c>
    </row>
    <row r="650" customFormat="false" ht="15" hidden="false" customHeight="true" outlineLevel="0" collapsed="false">
      <c r="A650" s="7" t="n">
        <v>350</v>
      </c>
      <c r="B650" s="7" t="n">
        <v>57</v>
      </c>
      <c r="C650" s="7" t="s">
        <v>24</v>
      </c>
      <c r="D650" s="7" t="s">
        <v>25</v>
      </c>
      <c r="E650" s="7" t="n">
        <v>0</v>
      </c>
      <c r="F650" s="7" t="n">
        <v>0</v>
      </c>
      <c r="G650" s="7" t="s">
        <v>34</v>
      </c>
      <c r="H650" s="7" t="s">
        <v>27</v>
      </c>
      <c r="I650" s="7" t="n">
        <v>39</v>
      </c>
      <c r="J650" s="7" t="s">
        <v>39</v>
      </c>
      <c r="K650" s="7" t="n">
        <v>238.6</v>
      </c>
      <c r="L650" s="7" t="s">
        <v>37</v>
      </c>
      <c r="M650" s="7" t="s">
        <v>39</v>
      </c>
    </row>
    <row r="651" customFormat="false" ht="15" hidden="false" customHeight="true" outlineLevel="0" collapsed="false">
      <c r="A651" s="7" t="n">
        <v>628</v>
      </c>
      <c r="B651" s="7" t="n">
        <v>85</v>
      </c>
      <c r="C651" s="7" t="s">
        <v>33</v>
      </c>
      <c r="D651" s="7" t="s">
        <v>25</v>
      </c>
      <c r="E651" s="7" t="n">
        <v>0</v>
      </c>
      <c r="F651" s="7" t="n">
        <v>0</v>
      </c>
      <c r="G651" s="7" t="s">
        <v>35</v>
      </c>
      <c r="H651" s="7" t="s">
        <v>27</v>
      </c>
      <c r="I651" s="7" t="n">
        <v>33.6</v>
      </c>
      <c r="J651" s="7" t="s">
        <v>39</v>
      </c>
      <c r="K651" s="7" t="n">
        <v>158.8</v>
      </c>
      <c r="L651" s="7" t="s">
        <v>37</v>
      </c>
      <c r="M651" s="7" t="s">
        <v>39</v>
      </c>
    </row>
    <row r="652" customFormat="false" ht="15" hidden="false" customHeight="true" outlineLevel="0" collapsed="false">
      <c r="A652" s="7" t="n">
        <v>722</v>
      </c>
      <c r="B652" s="7" t="n">
        <v>66</v>
      </c>
      <c r="C652" s="7" t="s">
        <v>24</v>
      </c>
      <c r="D652" s="7" t="s">
        <v>25</v>
      </c>
      <c r="E652" s="7" t="n">
        <v>0</v>
      </c>
      <c r="F652" s="7" t="n">
        <v>0</v>
      </c>
      <c r="G652" s="7" t="s">
        <v>36</v>
      </c>
      <c r="H652" s="7" t="s">
        <v>32</v>
      </c>
      <c r="I652" s="7" t="n">
        <v>19.8</v>
      </c>
      <c r="J652" s="7" t="s">
        <v>39</v>
      </c>
      <c r="K652" s="7" t="n">
        <v>256.4</v>
      </c>
      <c r="L652" s="7" t="s">
        <v>29</v>
      </c>
      <c r="M652" s="7" t="s">
        <v>39</v>
      </c>
    </row>
    <row r="653" customFormat="false" ht="15" hidden="false" customHeight="true" outlineLevel="0" collapsed="false">
      <c r="A653" s="7" t="n">
        <v>739</v>
      </c>
      <c r="B653" s="7" t="n">
        <v>52</v>
      </c>
      <c r="C653" s="7" t="s">
        <v>24</v>
      </c>
      <c r="D653" s="7" t="s">
        <v>25</v>
      </c>
      <c r="E653" s="7" t="n">
        <v>0</v>
      </c>
      <c r="F653" s="7" t="n">
        <v>0</v>
      </c>
      <c r="G653" s="7" t="s">
        <v>26</v>
      </c>
      <c r="H653" s="7" t="s">
        <v>27</v>
      </c>
      <c r="I653" s="7" t="n">
        <v>36</v>
      </c>
      <c r="J653" s="7" t="s">
        <v>39</v>
      </c>
      <c r="K653" s="7" t="n">
        <v>290.2</v>
      </c>
      <c r="L653" s="7" t="s">
        <v>37</v>
      </c>
      <c r="M653" s="7" t="s">
        <v>39</v>
      </c>
    </row>
    <row r="654" customFormat="false" ht="15" hidden="false" customHeight="true" outlineLevel="0" collapsed="false">
      <c r="A654" s="7" t="n">
        <v>758</v>
      </c>
      <c r="B654" s="7" t="n">
        <v>59</v>
      </c>
      <c r="C654" s="7" t="s">
        <v>33</v>
      </c>
      <c r="D654" s="7" t="s">
        <v>25</v>
      </c>
      <c r="E654" s="7" t="n">
        <v>0</v>
      </c>
      <c r="F654" s="7" t="n">
        <v>0</v>
      </c>
      <c r="G654" s="7" t="s">
        <v>34</v>
      </c>
      <c r="H654" s="7" t="s">
        <v>27</v>
      </c>
      <c r="I654" s="7" t="n">
        <v>38.9</v>
      </c>
      <c r="J654" s="7" t="s">
        <v>39</v>
      </c>
      <c r="K654" s="7" t="n">
        <v>195.2</v>
      </c>
      <c r="L654" s="7" t="s">
        <v>29</v>
      </c>
      <c r="M654" s="7" t="s">
        <v>39</v>
      </c>
    </row>
    <row r="655" customFormat="false" ht="15" hidden="false" customHeight="true" outlineLevel="0" collapsed="false">
      <c r="A655" s="7" t="n">
        <v>837</v>
      </c>
      <c r="B655" s="7" t="n">
        <v>41</v>
      </c>
      <c r="C655" s="7" t="s">
        <v>24</v>
      </c>
      <c r="D655" s="7" t="s">
        <v>25</v>
      </c>
      <c r="E655" s="7" t="n">
        <v>0</v>
      </c>
      <c r="F655" s="7" t="n">
        <v>0</v>
      </c>
      <c r="G655" s="7" t="s">
        <v>34</v>
      </c>
      <c r="H655" s="7" t="s">
        <v>27</v>
      </c>
      <c r="I655" s="7" t="n">
        <v>18.6</v>
      </c>
      <c r="J655" s="7" t="s">
        <v>39</v>
      </c>
      <c r="K655" s="7" t="n">
        <v>142.7</v>
      </c>
      <c r="L655" s="7" t="s">
        <v>29</v>
      </c>
      <c r="M655" s="7" t="s">
        <v>39</v>
      </c>
    </row>
    <row r="656" customFormat="false" ht="15" hidden="false" customHeight="true" outlineLevel="0" collapsed="false">
      <c r="A656" s="7" t="n">
        <v>987</v>
      </c>
      <c r="B656" s="7" t="n">
        <v>21</v>
      </c>
      <c r="C656" s="7" t="s">
        <v>24</v>
      </c>
      <c r="D656" s="7" t="s">
        <v>25</v>
      </c>
      <c r="E656" s="7" t="n">
        <v>0</v>
      </c>
      <c r="F656" s="7" t="n">
        <v>0</v>
      </c>
      <c r="G656" s="7" t="s">
        <v>31</v>
      </c>
      <c r="H656" s="7" t="s">
        <v>27</v>
      </c>
      <c r="I656" s="7" t="n">
        <v>35</v>
      </c>
      <c r="J656" s="7" t="s">
        <v>39</v>
      </c>
      <c r="K656" s="7" t="n">
        <v>205.6</v>
      </c>
      <c r="L656" s="7" t="s">
        <v>29</v>
      </c>
      <c r="M656" s="7" t="s">
        <v>39</v>
      </c>
    </row>
    <row r="657" customFormat="false" ht="15" hidden="false" customHeight="true" outlineLevel="0" collapsed="false">
      <c r="A657" s="7" t="n">
        <v>1198</v>
      </c>
      <c r="B657" s="7" t="n">
        <v>78</v>
      </c>
      <c r="C657" s="7" t="s">
        <v>24</v>
      </c>
      <c r="D657" s="7" t="s">
        <v>25</v>
      </c>
      <c r="E657" s="7" t="n">
        <v>0</v>
      </c>
      <c r="F657" s="7" t="n">
        <v>0</v>
      </c>
      <c r="G657" s="7" t="s">
        <v>35</v>
      </c>
      <c r="H657" s="7" t="s">
        <v>27</v>
      </c>
      <c r="I657" s="7" t="n">
        <v>36.4</v>
      </c>
      <c r="J657" s="7" t="s">
        <v>39</v>
      </c>
      <c r="K657" s="7" t="n">
        <v>138.1</v>
      </c>
      <c r="L657" s="7" t="s">
        <v>37</v>
      </c>
      <c r="M657" s="7" t="s">
        <v>39</v>
      </c>
    </row>
    <row r="658" customFormat="false" ht="15" hidden="false" customHeight="true" outlineLevel="0" collapsed="false">
      <c r="A658" s="7" t="n">
        <v>1211</v>
      </c>
      <c r="B658" s="7" t="n">
        <v>64</v>
      </c>
      <c r="C658" s="7" t="s">
        <v>24</v>
      </c>
      <c r="D658" s="7" t="s">
        <v>25</v>
      </c>
      <c r="E658" s="7" t="n">
        <v>0</v>
      </c>
      <c r="F658" s="7" t="n">
        <v>0</v>
      </c>
      <c r="G658" s="7" t="s">
        <v>34</v>
      </c>
      <c r="H658" s="7" t="s">
        <v>27</v>
      </c>
      <c r="I658" s="7" t="n">
        <v>25.6</v>
      </c>
      <c r="J658" s="7" t="s">
        <v>39</v>
      </c>
      <c r="K658" s="7" t="n">
        <v>196.4</v>
      </c>
      <c r="L658" s="7" t="s">
        <v>29</v>
      </c>
      <c r="M658" s="7" t="s">
        <v>39</v>
      </c>
    </row>
    <row r="659" customFormat="false" ht="15" hidden="false" customHeight="true" outlineLevel="0" collapsed="false">
      <c r="A659" s="7" t="n">
        <v>1252</v>
      </c>
      <c r="B659" s="7" t="n">
        <v>47</v>
      </c>
      <c r="C659" s="7" t="s">
        <v>33</v>
      </c>
      <c r="D659" s="7" t="s">
        <v>25</v>
      </c>
      <c r="E659" s="7" t="n">
        <v>0</v>
      </c>
      <c r="F659" s="7" t="n">
        <v>0</v>
      </c>
      <c r="G659" s="7" t="s">
        <v>34</v>
      </c>
      <c r="H659" s="7" t="s">
        <v>27</v>
      </c>
      <c r="I659" s="7" t="n">
        <v>26</v>
      </c>
      <c r="J659" s="7" t="s">
        <v>39</v>
      </c>
      <c r="K659" s="7" t="n">
        <v>260.9</v>
      </c>
      <c r="L659" s="7" t="s">
        <v>37</v>
      </c>
      <c r="M659" s="7" t="s">
        <v>39</v>
      </c>
    </row>
    <row r="660" customFormat="false" ht="15" hidden="false" customHeight="true" outlineLevel="0" collapsed="false">
      <c r="A660" s="7" t="n">
        <v>1304</v>
      </c>
      <c r="B660" s="7" t="n">
        <v>69</v>
      </c>
      <c r="C660" s="7" t="s">
        <v>24</v>
      </c>
      <c r="D660" s="7" t="s">
        <v>25</v>
      </c>
      <c r="E660" s="7" t="n">
        <v>0</v>
      </c>
      <c r="F660" s="7" t="n">
        <v>0</v>
      </c>
      <c r="G660" s="7" t="s">
        <v>34</v>
      </c>
      <c r="H660" s="7" t="s">
        <v>27</v>
      </c>
      <c r="I660" s="7" t="n">
        <v>30.6</v>
      </c>
      <c r="J660" s="7" t="s">
        <v>39</v>
      </c>
      <c r="K660" s="7" t="n">
        <v>186.1</v>
      </c>
      <c r="L660" s="7" t="s">
        <v>37</v>
      </c>
      <c r="M660" s="7" t="s">
        <v>39</v>
      </c>
    </row>
    <row r="661" customFormat="false" ht="15" hidden="false" customHeight="true" outlineLevel="0" collapsed="false">
      <c r="A661" s="7" t="n">
        <v>1345</v>
      </c>
      <c r="B661" s="7" t="n">
        <v>79</v>
      </c>
      <c r="C661" s="7" t="s">
        <v>33</v>
      </c>
      <c r="D661" s="7" t="s">
        <v>25</v>
      </c>
      <c r="E661" s="7" t="n">
        <v>0</v>
      </c>
      <c r="F661" s="7" t="n">
        <v>0</v>
      </c>
      <c r="G661" s="7" t="s">
        <v>26</v>
      </c>
      <c r="H661" s="7" t="s">
        <v>27</v>
      </c>
      <c r="I661" s="7" t="n">
        <v>35.7</v>
      </c>
      <c r="J661" s="7" t="s">
        <v>39</v>
      </c>
      <c r="K661" s="7" t="n">
        <v>255.9</v>
      </c>
      <c r="L661" s="7" t="s">
        <v>37</v>
      </c>
      <c r="M661" s="7" t="s">
        <v>39</v>
      </c>
    </row>
    <row r="662" customFormat="false" ht="15" hidden="false" customHeight="true" outlineLevel="0" collapsed="false">
      <c r="A662" s="7" t="n">
        <v>1349</v>
      </c>
      <c r="B662" s="7" t="n">
        <v>42</v>
      </c>
      <c r="C662" s="7" t="s">
        <v>24</v>
      </c>
      <c r="D662" s="7" t="s">
        <v>25</v>
      </c>
      <c r="E662" s="7" t="n">
        <v>0</v>
      </c>
      <c r="F662" s="7" t="n">
        <v>0</v>
      </c>
      <c r="G662" s="7" t="s">
        <v>31</v>
      </c>
      <c r="H662" s="7" t="s">
        <v>27</v>
      </c>
      <c r="I662" s="7" t="n">
        <v>21.8</v>
      </c>
      <c r="J662" s="7" t="s">
        <v>39</v>
      </c>
      <c r="K662" s="7" t="n">
        <v>126.2</v>
      </c>
      <c r="L662" s="7" t="s">
        <v>29</v>
      </c>
      <c r="M662" s="7" t="s">
        <v>39</v>
      </c>
    </row>
    <row r="663" customFormat="false" ht="15" hidden="false" customHeight="true" outlineLevel="0" collapsed="false">
      <c r="A663" s="7" t="n">
        <v>1369</v>
      </c>
      <c r="B663" s="7" t="n">
        <v>25</v>
      </c>
      <c r="C663" s="7" t="s">
        <v>33</v>
      </c>
      <c r="D663" s="7" t="s">
        <v>25</v>
      </c>
      <c r="E663" s="7" t="n">
        <v>0</v>
      </c>
      <c r="F663" s="7" t="n">
        <v>0</v>
      </c>
      <c r="G663" s="7" t="s">
        <v>34</v>
      </c>
      <c r="H663" s="7" t="s">
        <v>27</v>
      </c>
      <c r="I663" s="7" t="n">
        <v>24.2</v>
      </c>
      <c r="J663" s="7" t="s">
        <v>39</v>
      </c>
      <c r="K663" s="7" t="n">
        <v>220.5</v>
      </c>
      <c r="L663" s="7" t="s">
        <v>29</v>
      </c>
      <c r="M663" s="7" t="s">
        <v>39</v>
      </c>
    </row>
    <row r="664" customFormat="false" ht="15" hidden="false" customHeight="true" outlineLevel="0" collapsed="false">
      <c r="A664" s="7" t="n">
        <v>1402</v>
      </c>
      <c r="B664" s="7" t="n">
        <v>35</v>
      </c>
      <c r="C664" s="7" t="s">
        <v>33</v>
      </c>
      <c r="D664" s="7" t="s">
        <v>25</v>
      </c>
      <c r="E664" s="7" t="n">
        <v>0</v>
      </c>
      <c r="F664" s="7" t="n">
        <v>0</v>
      </c>
      <c r="G664" s="7" t="s">
        <v>26</v>
      </c>
      <c r="H664" s="7" t="s">
        <v>32</v>
      </c>
      <c r="I664" s="7" t="n">
        <v>23.4</v>
      </c>
      <c r="J664" s="7" t="s">
        <v>39</v>
      </c>
      <c r="K664" s="7" t="n">
        <v>167.8</v>
      </c>
      <c r="L664" s="7" t="s">
        <v>37</v>
      </c>
      <c r="M664" s="7" t="s">
        <v>39</v>
      </c>
    </row>
    <row r="665" customFormat="false" ht="15" hidden="false" customHeight="true" outlineLevel="0" collapsed="false">
      <c r="A665" s="7" t="n">
        <v>1449</v>
      </c>
      <c r="B665" s="7" t="n">
        <v>87</v>
      </c>
      <c r="C665" s="7" t="s">
        <v>24</v>
      </c>
      <c r="D665" s="7" t="s">
        <v>25</v>
      </c>
      <c r="E665" s="7" t="n">
        <v>0</v>
      </c>
      <c r="F665" s="7" t="n">
        <v>0</v>
      </c>
      <c r="G665" s="7" t="s">
        <v>36</v>
      </c>
      <c r="H665" s="7" t="s">
        <v>32</v>
      </c>
      <c r="I665" s="7" t="n">
        <v>18.9</v>
      </c>
      <c r="J665" s="7" t="s">
        <v>39</v>
      </c>
      <c r="K665" s="7" t="n">
        <v>145.1</v>
      </c>
      <c r="L665" s="7" t="s">
        <v>29</v>
      </c>
      <c r="M665" s="7" t="s">
        <v>39</v>
      </c>
    </row>
    <row r="666" customFormat="false" ht="15" hidden="false" customHeight="true" outlineLevel="0" collapsed="false">
      <c r="A666" s="7" t="n">
        <v>1679</v>
      </c>
      <c r="B666" s="7" t="n">
        <v>56</v>
      </c>
      <c r="C666" s="7" t="s">
        <v>33</v>
      </c>
      <c r="D666" s="7" t="s">
        <v>25</v>
      </c>
      <c r="E666" s="7" t="n">
        <v>0</v>
      </c>
      <c r="F666" s="7" t="n">
        <v>0</v>
      </c>
      <c r="G666" s="7" t="s">
        <v>36</v>
      </c>
      <c r="H666" s="7" t="s">
        <v>27</v>
      </c>
      <c r="I666" s="7" t="n">
        <v>23</v>
      </c>
      <c r="J666" s="7" t="s">
        <v>39</v>
      </c>
      <c r="K666" s="7" t="n">
        <v>221.6</v>
      </c>
      <c r="L666" s="7" t="s">
        <v>29</v>
      </c>
      <c r="M666" s="7" t="s">
        <v>39</v>
      </c>
    </row>
    <row r="667" customFormat="false" ht="15" hidden="false" customHeight="true" outlineLevel="0" collapsed="false">
      <c r="A667" s="7" t="n">
        <v>1681</v>
      </c>
      <c r="B667" s="7" t="n">
        <v>35</v>
      </c>
      <c r="C667" s="7" t="s">
        <v>24</v>
      </c>
      <c r="D667" s="7" t="s">
        <v>25</v>
      </c>
      <c r="E667" s="7" t="n">
        <v>0</v>
      </c>
      <c r="F667" s="7" t="n">
        <v>0</v>
      </c>
      <c r="G667" s="7" t="s">
        <v>26</v>
      </c>
      <c r="H667" s="7" t="s">
        <v>27</v>
      </c>
      <c r="I667" s="7" t="n">
        <v>39</v>
      </c>
      <c r="J667" s="7" t="s">
        <v>39</v>
      </c>
      <c r="K667" s="7" t="n">
        <v>225.1</v>
      </c>
      <c r="L667" s="7" t="s">
        <v>37</v>
      </c>
      <c r="M667" s="7" t="s">
        <v>39</v>
      </c>
    </row>
    <row r="668" customFormat="false" ht="15" hidden="false" customHeight="true" outlineLevel="0" collapsed="false">
      <c r="A668" s="7" t="n">
        <v>1754</v>
      </c>
      <c r="B668" s="7" t="n">
        <v>46</v>
      </c>
      <c r="C668" s="7" t="s">
        <v>24</v>
      </c>
      <c r="D668" s="7" t="s">
        <v>25</v>
      </c>
      <c r="E668" s="7" t="n">
        <v>0</v>
      </c>
      <c r="F668" s="7" t="n">
        <v>0</v>
      </c>
      <c r="G668" s="7" t="s">
        <v>26</v>
      </c>
      <c r="H668" s="7" t="s">
        <v>27</v>
      </c>
      <c r="I668" s="7" t="n">
        <v>33.7</v>
      </c>
      <c r="J668" s="7" t="s">
        <v>39</v>
      </c>
      <c r="K668" s="7" t="n">
        <v>253.1</v>
      </c>
      <c r="L668" s="7" t="s">
        <v>29</v>
      </c>
      <c r="M668" s="7" t="s">
        <v>39</v>
      </c>
    </row>
    <row r="669" customFormat="false" ht="15" hidden="false" customHeight="true" outlineLevel="0" collapsed="false">
      <c r="A669" s="7" t="n">
        <v>1784</v>
      </c>
      <c r="B669" s="7" t="n">
        <v>57</v>
      </c>
      <c r="C669" s="7" t="s">
        <v>24</v>
      </c>
      <c r="D669" s="7" t="s">
        <v>25</v>
      </c>
      <c r="E669" s="7" t="n">
        <v>0</v>
      </c>
      <c r="F669" s="7" t="n">
        <v>0</v>
      </c>
      <c r="G669" s="7" t="s">
        <v>36</v>
      </c>
      <c r="H669" s="7" t="s">
        <v>27</v>
      </c>
      <c r="I669" s="7" t="n">
        <v>33.8</v>
      </c>
      <c r="J669" s="7" t="s">
        <v>39</v>
      </c>
      <c r="K669" s="7" t="n">
        <v>283.5</v>
      </c>
      <c r="L669" s="7" t="s">
        <v>29</v>
      </c>
      <c r="M669" s="7" t="s">
        <v>39</v>
      </c>
    </row>
    <row r="670" customFormat="false" ht="15" hidden="false" customHeight="true" outlineLevel="0" collapsed="false">
      <c r="A670" s="7" t="n">
        <v>1814</v>
      </c>
      <c r="B670" s="7" t="n">
        <v>77</v>
      </c>
      <c r="C670" s="7" t="s">
        <v>24</v>
      </c>
      <c r="D670" s="7" t="s">
        <v>25</v>
      </c>
      <c r="E670" s="7" t="n">
        <v>0</v>
      </c>
      <c r="F670" s="7" t="n">
        <v>0</v>
      </c>
      <c r="G670" s="7" t="s">
        <v>31</v>
      </c>
      <c r="H670" s="7" t="s">
        <v>27</v>
      </c>
      <c r="I670" s="7" t="n">
        <v>29.6</v>
      </c>
      <c r="J670" s="7" t="s">
        <v>39</v>
      </c>
      <c r="K670" s="7" t="n">
        <v>154.8</v>
      </c>
      <c r="L670" s="7" t="s">
        <v>37</v>
      </c>
      <c r="M670" s="7" t="s">
        <v>39</v>
      </c>
    </row>
    <row r="671" customFormat="false" ht="15" hidden="false" customHeight="true" outlineLevel="0" collapsed="false">
      <c r="A671" s="7" t="n">
        <v>1833</v>
      </c>
      <c r="B671" s="7" t="n">
        <v>22</v>
      </c>
      <c r="C671" s="7" t="s">
        <v>33</v>
      </c>
      <c r="D671" s="7" t="s">
        <v>25</v>
      </c>
      <c r="E671" s="7" t="n">
        <v>0</v>
      </c>
      <c r="F671" s="7" t="n">
        <v>0</v>
      </c>
      <c r="G671" s="7" t="s">
        <v>34</v>
      </c>
      <c r="H671" s="7" t="s">
        <v>27</v>
      </c>
      <c r="I671" s="7" t="n">
        <v>28.5</v>
      </c>
      <c r="J671" s="7" t="s">
        <v>39</v>
      </c>
      <c r="K671" s="7" t="n">
        <v>238.7</v>
      </c>
      <c r="L671" s="7" t="s">
        <v>37</v>
      </c>
      <c r="M671" s="7" t="s">
        <v>39</v>
      </c>
    </row>
    <row r="672" customFormat="false" ht="15" hidden="false" customHeight="true" outlineLevel="0" collapsed="false">
      <c r="A672" s="7" t="n">
        <v>1907</v>
      </c>
      <c r="B672" s="7" t="n">
        <v>69</v>
      </c>
      <c r="C672" s="7" t="s">
        <v>33</v>
      </c>
      <c r="D672" s="7" t="s">
        <v>25</v>
      </c>
      <c r="E672" s="7" t="n">
        <v>0</v>
      </c>
      <c r="F672" s="7" t="n">
        <v>0</v>
      </c>
      <c r="G672" s="7" t="s">
        <v>26</v>
      </c>
      <c r="H672" s="7" t="s">
        <v>27</v>
      </c>
      <c r="I672" s="7" t="n">
        <v>19.9</v>
      </c>
      <c r="J672" s="7" t="s">
        <v>39</v>
      </c>
      <c r="K672" s="7" t="n">
        <v>233.4</v>
      </c>
      <c r="L672" s="7" t="s">
        <v>29</v>
      </c>
      <c r="M672" s="7" t="s">
        <v>39</v>
      </c>
    </row>
    <row r="673" customFormat="false" ht="15" hidden="false" customHeight="true" outlineLevel="0" collapsed="false">
      <c r="A673" s="7" t="n">
        <v>1932</v>
      </c>
      <c r="B673" s="7" t="n">
        <v>74</v>
      </c>
      <c r="C673" s="7" t="s">
        <v>33</v>
      </c>
      <c r="D673" s="7" t="s">
        <v>25</v>
      </c>
      <c r="E673" s="7" t="n">
        <v>0</v>
      </c>
      <c r="F673" s="7" t="n">
        <v>0</v>
      </c>
      <c r="G673" s="7" t="s">
        <v>36</v>
      </c>
      <c r="H673" s="7" t="s">
        <v>27</v>
      </c>
      <c r="I673" s="7" t="n">
        <v>17.7</v>
      </c>
      <c r="J673" s="7" t="s">
        <v>39</v>
      </c>
      <c r="K673" s="7" t="n">
        <v>151.9</v>
      </c>
      <c r="L673" s="7" t="s">
        <v>37</v>
      </c>
      <c r="M673" s="7" t="s">
        <v>39</v>
      </c>
    </row>
    <row r="674" customFormat="false" ht="15" hidden="false" customHeight="true" outlineLevel="0" collapsed="false">
      <c r="A674" s="7" t="n">
        <v>1965</v>
      </c>
      <c r="B674" s="7" t="n">
        <v>50</v>
      </c>
      <c r="C674" s="7" t="s">
        <v>33</v>
      </c>
      <c r="D674" s="7" t="s">
        <v>25</v>
      </c>
      <c r="E674" s="7" t="n">
        <v>0</v>
      </c>
      <c r="F674" s="7" t="n">
        <v>0</v>
      </c>
      <c r="G674" s="7" t="s">
        <v>36</v>
      </c>
      <c r="H674" s="7" t="s">
        <v>27</v>
      </c>
      <c r="I674" s="7" t="n">
        <v>19.6</v>
      </c>
      <c r="J674" s="7" t="s">
        <v>39</v>
      </c>
      <c r="K674" s="7" t="n">
        <v>186.9</v>
      </c>
      <c r="L674" s="7" t="s">
        <v>29</v>
      </c>
      <c r="M674" s="7" t="s">
        <v>39</v>
      </c>
    </row>
    <row r="675" customFormat="false" ht="15" hidden="false" customHeight="true" outlineLevel="0" collapsed="false">
      <c r="A675" s="7" t="n">
        <v>1977</v>
      </c>
      <c r="B675" s="7" t="n">
        <v>72</v>
      </c>
      <c r="C675" s="7" t="s">
        <v>24</v>
      </c>
      <c r="D675" s="7" t="s">
        <v>25</v>
      </c>
      <c r="E675" s="7" t="n">
        <v>0</v>
      </c>
      <c r="F675" s="7" t="n">
        <v>0</v>
      </c>
      <c r="G675" s="7" t="s">
        <v>36</v>
      </c>
      <c r="H675" s="7" t="s">
        <v>32</v>
      </c>
      <c r="I675" s="7" t="n">
        <v>26.1</v>
      </c>
      <c r="J675" s="7" t="s">
        <v>39</v>
      </c>
      <c r="K675" s="7" t="n">
        <v>286.8</v>
      </c>
      <c r="L675" s="7" t="s">
        <v>37</v>
      </c>
      <c r="M675" s="7" t="s">
        <v>39</v>
      </c>
    </row>
    <row r="676" customFormat="false" ht="15" hidden="false" customHeight="true" outlineLevel="0" collapsed="false">
      <c r="A676" s="7" t="n">
        <v>2011</v>
      </c>
      <c r="B676" s="7" t="n">
        <v>43</v>
      </c>
      <c r="C676" s="7" t="s">
        <v>33</v>
      </c>
      <c r="D676" s="7" t="s">
        <v>25</v>
      </c>
      <c r="E676" s="7" t="n">
        <v>0</v>
      </c>
      <c r="F676" s="7" t="n">
        <v>0</v>
      </c>
      <c r="G676" s="7" t="s">
        <v>31</v>
      </c>
      <c r="H676" s="7" t="s">
        <v>27</v>
      </c>
      <c r="I676" s="7" t="n">
        <v>39.1</v>
      </c>
      <c r="J676" s="7" t="s">
        <v>39</v>
      </c>
      <c r="K676" s="7" t="n">
        <v>237.4</v>
      </c>
      <c r="L676" s="7" t="s">
        <v>29</v>
      </c>
      <c r="M676" s="7" t="s">
        <v>39</v>
      </c>
    </row>
    <row r="677" customFormat="false" ht="15" hidden="false" customHeight="true" outlineLevel="0" collapsed="false">
      <c r="A677" s="7" t="n">
        <v>2169</v>
      </c>
      <c r="B677" s="7" t="n">
        <v>59</v>
      </c>
      <c r="C677" s="7" t="s">
        <v>33</v>
      </c>
      <c r="D677" s="7" t="s">
        <v>25</v>
      </c>
      <c r="E677" s="7" t="n">
        <v>0</v>
      </c>
      <c r="F677" s="7" t="n">
        <v>0</v>
      </c>
      <c r="G677" s="7" t="s">
        <v>31</v>
      </c>
      <c r="H677" s="7" t="s">
        <v>32</v>
      </c>
      <c r="I677" s="7" t="n">
        <v>35.8</v>
      </c>
      <c r="J677" s="7" t="s">
        <v>39</v>
      </c>
      <c r="K677" s="7" t="n">
        <v>175.3</v>
      </c>
      <c r="L677" s="7" t="s">
        <v>29</v>
      </c>
      <c r="M677" s="7" t="s">
        <v>39</v>
      </c>
    </row>
    <row r="678" customFormat="false" ht="15" hidden="false" customHeight="true" outlineLevel="0" collapsed="false">
      <c r="A678" s="7" t="n">
        <v>2244</v>
      </c>
      <c r="B678" s="7" t="n">
        <v>24</v>
      </c>
      <c r="C678" s="7" t="s">
        <v>33</v>
      </c>
      <c r="D678" s="7" t="s">
        <v>25</v>
      </c>
      <c r="E678" s="7" t="n">
        <v>0</v>
      </c>
      <c r="F678" s="7" t="n">
        <v>0</v>
      </c>
      <c r="G678" s="7" t="s">
        <v>26</v>
      </c>
      <c r="H678" s="7" t="s">
        <v>27</v>
      </c>
      <c r="I678" s="7" t="n">
        <v>22.4</v>
      </c>
      <c r="J678" s="7" t="s">
        <v>39</v>
      </c>
      <c r="K678" s="7" t="n">
        <v>161</v>
      </c>
      <c r="L678" s="7" t="s">
        <v>29</v>
      </c>
      <c r="M678" s="7" t="s">
        <v>39</v>
      </c>
    </row>
    <row r="679" customFormat="false" ht="15" hidden="false" customHeight="true" outlineLevel="0" collapsed="false">
      <c r="A679" s="7" t="n">
        <v>2426</v>
      </c>
      <c r="B679" s="7" t="n">
        <v>50</v>
      </c>
      <c r="C679" s="7" t="s">
        <v>33</v>
      </c>
      <c r="D679" s="7" t="s">
        <v>25</v>
      </c>
      <c r="E679" s="7" t="n">
        <v>0</v>
      </c>
      <c r="F679" s="7" t="n">
        <v>0</v>
      </c>
      <c r="G679" s="7" t="s">
        <v>31</v>
      </c>
      <c r="H679" s="7" t="s">
        <v>27</v>
      </c>
      <c r="I679" s="7" t="n">
        <v>35.3</v>
      </c>
      <c r="J679" s="7" t="s">
        <v>39</v>
      </c>
      <c r="K679" s="7" t="n">
        <v>217.6</v>
      </c>
      <c r="L679" s="7" t="s">
        <v>29</v>
      </c>
      <c r="M679" s="7" t="s">
        <v>39</v>
      </c>
    </row>
    <row r="680" customFormat="false" ht="15" hidden="false" customHeight="true" outlineLevel="0" collapsed="false">
      <c r="A680" s="7" t="n">
        <v>2463</v>
      </c>
      <c r="B680" s="7" t="n">
        <v>47</v>
      </c>
      <c r="C680" s="7" t="s">
        <v>33</v>
      </c>
      <c r="D680" s="7" t="s">
        <v>25</v>
      </c>
      <c r="E680" s="7" t="n">
        <v>0</v>
      </c>
      <c r="F680" s="7" t="n">
        <v>0</v>
      </c>
      <c r="G680" s="7" t="s">
        <v>36</v>
      </c>
      <c r="H680" s="7" t="s">
        <v>27</v>
      </c>
      <c r="I680" s="7" t="n">
        <v>26.3</v>
      </c>
      <c r="J680" s="7" t="s">
        <v>39</v>
      </c>
      <c r="K680" s="7" t="n">
        <v>146.2</v>
      </c>
      <c r="L680" s="7" t="s">
        <v>29</v>
      </c>
      <c r="M680" s="7" t="s">
        <v>39</v>
      </c>
    </row>
    <row r="681" customFormat="false" ht="15" hidden="false" customHeight="true" outlineLevel="0" collapsed="false">
      <c r="A681" s="7" t="n">
        <v>7</v>
      </c>
      <c r="B681" s="7" t="n">
        <v>58</v>
      </c>
      <c r="C681" s="7" t="s">
        <v>33</v>
      </c>
      <c r="D681" s="7" t="s">
        <v>25</v>
      </c>
      <c r="E681" s="7" t="n">
        <v>0</v>
      </c>
      <c r="F681" s="7" t="n">
        <v>0</v>
      </c>
      <c r="G681" s="7" t="s">
        <v>26</v>
      </c>
      <c r="H681" s="7" t="s">
        <v>27</v>
      </c>
      <c r="I681" s="7" t="n">
        <v>41.7</v>
      </c>
      <c r="J681" s="7" t="s">
        <v>39</v>
      </c>
      <c r="K681" s="7" t="n">
        <v>155.8</v>
      </c>
      <c r="L681" s="7" t="s">
        <v>37</v>
      </c>
      <c r="M681" s="7" t="s">
        <v>38</v>
      </c>
    </row>
    <row r="682" customFormat="false" ht="15" hidden="false" customHeight="true" outlineLevel="0" collapsed="false">
      <c r="A682" s="7" t="n">
        <v>9</v>
      </c>
      <c r="B682" s="7" t="n">
        <v>79</v>
      </c>
      <c r="C682" s="7" t="s">
        <v>24</v>
      </c>
      <c r="D682" s="7" t="s">
        <v>25</v>
      </c>
      <c r="E682" s="7" t="n">
        <v>0</v>
      </c>
      <c r="F682" s="7" t="n">
        <v>0</v>
      </c>
      <c r="G682" s="7" t="s">
        <v>26</v>
      </c>
      <c r="H682" s="7" t="s">
        <v>32</v>
      </c>
      <c r="I682" s="7" t="n">
        <v>32.9</v>
      </c>
      <c r="J682" s="7" t="s">
        <v>39</v>
      </c>
      <c r="K682" s="7" t="n">
        <v>205</v>
      </c>
      <c r="L682" s="7" t="s">
        <v>37</v>
      </c>
      <c r="M682" s="7" t="s">
        <v>38</v>
      </c>
    </row>
    <row r="683" customFormat="false" ht="15" hidden="false" customHeight="true" outlineLevel="0" collapsed="false">
      <c r="A683" s="7" t="n">
        <v>13</v>
      </c>
      <c r="B683" s="7" t="n">
        <v>79</v>
      </c>
      <c r="C683" s="7" t="s">
        <v>33</v>
      </c>
      <c r="D683" s="7" t="s">
        <v>25</v>
      </c>
      <c r="E683" s="7" t="n">
        <v>0</v>
      </c>
      <c r="F683" s="7" t="n">
        <v>0</v>
      </c>
      <c r="G683" s="7" t="s">
        <v>34</v>
      </c>
      <c r="H683" s="7" t="s">
        <v>27</v>
      </c>
      <c r="I683" s="7" t="n">
        <v>27.7</v>
      </c>
      <c r="J683" s="7" t="s">
        <v>39</v>
      </c>
      <c r="K683" s="7" t="n">
        <v>274.9</v>
      </c>
      <c r="L683" s="7" t="s">
        <v>37</v>
      </c>
      <c r="M683" s="7" t="s">
        <v>38</v>
      </c>
    </row>
    <row r="684" customFormat="false" ht="15" hidden="false" customHeight="true" outlineLevel="0" collapsed="false">
      <c r="A684" s="7" t="n">
        <v>57</v>
      </c>
      <c r="B684" s="7" t="n">
        <v>80</v>
      </c>
      <c r="C684" s="7" t="s">
        <v>24</v>
      </c>
      <c r="D684" s="7" t="s">
        <v>25</v>
      </c>
      <c r="E684" s="7" t="n">
        <v>0</v>
      </c>
      <c r="F684" s="7" t="n">
        <v>0</v>
      </c>
      <c r="G684" s="7" t="s">
        <v>31</v>
      </c>
      <c r="H684" s="7" t="s">
        <v>27</v>
      </c>
      <c r="I684" s="7" t="n">
        <v>28.3</v>
      </c>
      <c r="J684" s="7" t="s">
        <v>39</v>
      </c>
      <c r="K684" s="7" t="n">
        <v>173.6</v>
      </c>
      <c r="L684" s="7" t="s">
        <v>29</v>
      </c>
      <c r="M684" s="7" t="s">
        <v>38</v>
      </c>
    </row>
    <row r="685" customFormat="false" ht="15" hidden="false" customHeight="true" outlineLevel="0" collapsed="false">
      <c r="A685" s="7" t="n">
        <v>78</v>
      </c>
      <c r="B685" s="7" t="n">
        <v>46</v>
      </c>
      <c r="C685" s="7" t="s">
        <v>24</v>
      </c>
      <c r="D685" s="7" t="s">
        <v>25</v>
      </c>
      <c r="E685" s="7" t="n">
        <v>0</v>
      </c>
      <c r="F685" s="7" t="n">
        <v>0</v>
      </c>
      <c r="G685" s="7" t="s">
        <v>26</v>
      </c>
      <c r="H685" s="7" t="s">
        <v>27</v>
      </c>
      <c r="I685" s="7" t="n">
        <v>27.2</v>
      </c>
      <c r="J685" s="7" t="s">
        <v>39</v>
      </c>
      <c r="K685" s="7" t="n">
        <v>122.2</v>
      </c>
      <c r="L685" s="7" t="s">
        <v>29</v>
      </c>
      <c r="M685" s="7" t="s">
        <v>38</v>
      </c>
    </row>
    <row r="686" customFormat="false" ht="15" hidden="false" customHeight="true" outlineLevel="0" collapsed="false">
      <c r="A686" s="7" t="n">
        <v>80</v>
      </c>
      <c r="B686" s="7" t="n">
        <v>77</v>
      </c>
      <c r="C686" s="7" t="s">
        <v>33</v>
      </c>
      <c r="D686" s="7" t="s">
        <v>25</v>
      </c>
      <c r="E686" s="7" t="n">
        <v>0</v>
      </c>
      <c r="F686" s="7" t="n">
        <v>0</v>
      </c>
      <c r="G686" s="7" t="s">
        <v>31</v>
      </c>
      <c r="H686" s="7" t="s">
        <v>27</v>
      </c>
      <c r="I686" s="7" t="n">
        <v>40</v>
      </c>
      <c r="J686" s="7" t="s">
        <v>39</v>
      </c>
      <c r="K686" s="7" t="n">
        <v>124.1</v>
      </c>
      <c r="L686" s="7" t="s">
        <v>29</v>
      </c>
      <c r="M686" s="7" t="s">
        <v>38</v>
      </c>
    </row>
    <row r="687" customFormat="false" ht="15" hidden="false" customHeight="true" outlineLevel="0" collapsed="false">
      <c r="A687" s="7" t="n">
        <v>84</v>
      </c>
      <c r="B687" s="7" t="n">
        <v>68</v>
      </c>
      <c r="C687" s="7" t="s">
        <v>24</v>
      </c>
      <c r="D687" s="7" t="s">
        <v>25</v>
      </c>
      <c r="E687" s="7" t="n">
        <v>0</v>
      </c>
      <c r="F687" s="7" t="n">
        <v>0</v>
      </c>
      <c r="G687" s="7" t="s">
        <v>34</v>
      </c>
      <c r="H687" s="7" t="s">
        <v>27</v>
      </c>
      <c r="I687" s="7" t="n">
        <v>27.5</v>
      </c>
      <c r="J687" s="7" t="s">
        <v>39</v>
      </c>
      <c r="K687" s="7" t="n">
        <v>185.2</v>
      </c>
      <c r="L687" s="7" t="s">
        <v>29</v>
      </c>
      <c r="M687" s="7" t="s">
        <v>38</v>
      </c>
    </row>
    <row r="688" customFormat="false" ht="15" hidden="false" customHeight="true" outlineLevel="0" collapsed="false">
      <c r="A688" s="7" t="n">
        <v>112</v>
      </c>
      <c r="B688" s="7" t="n">
        <v>73</v>
      </c>
      <c r="C688" s="7" t="s">
        <v>33</v>
      </c>
      <c r="D688" s="7" t="s">
        <v>25</v>
      </c>
      <c r="E688" s="7" t="n">
        <v>0</v>
      </c>
      <c r="F688" s="7" t="n">
        <v>0</v>
      </c>
      <c r="G688" s="7" t="s">
        <v>35</v>
      </c>
      <c r="H688" s="7" t="s">
        <v>27</v>
      </c>
      <c r="I688" s="7" t="n">
        <v>39.2</v>
      </c>
      <c r="J688" s="7" t="s">
        <v>39</v>
      </c>
      <c r="K688" s="7" t="n">
        <v>275.2</v>
      </c>
      <c r="L688" s="7" t="s">
        <v>29</v>
      </c>
      <c r="M688" s="7" t="s">
        <v>38</v>
      </c>
    </row>
    <row r="689" customFormat="false" ht="15" hidden="false" customHeight="true" outlineLevel="0" collapsed="false">
      <c r="A689" s="7" t="n">
        <v>191</v>
      </c>
      <c r="B689" s="7" t="n">
        <v>38</v>
      </c>
      <c r="C689" s="7" t="s">
        <v>24</v>
      </c>
      <c r="D689" s="7" t="s">
        <v>25</v>
      </c>
      <c r="E689" s="7" t="n">
        <v>0</v>
      </c>
      <c r="F689" s="7" t="n">
        <v>0</v>
      </c>
      <c r="G689" s="7" t="s">
        <v>35</v>
      </c>
      <c r="H689" s="7" t="s">
        <v>27</v>
      </c>
      <c r="I689" s="7" t="n">
        <v>25.9</v>
      </c>
      <c r="J689" s="7" t="s">
        <v>39</v>
      </c>
      <c r="K689" s="7" t="n">
        <v>219.8</v>
      </c>
      <c r="L689" s="7" t="s">
        <v>37</v>
      </c>
      <c r="M689" s="7" t="s">
        <v>38</v>
      </c>
    </row>
    <row r="690" customFormat="false" ht="15" hidden="false" customHeight="true" outlineLevel="0" collapsed="false">
      <c r="A690" s="7" t="n">
        <v>192</v>
      </c>
      <c r="B690" s="7" t="n">
        <v>31</v>
      </c>
      <c r="C690" s="7" t="s">
        <v>33</v>
      </c>
      <c r="D690" s="7" t="s">
        <v>25</v>
      </c>
      <c r="E690" s="7" t="n">
        <v>0</v>
      </c>
      <c r="F690" s="7" t="n">
        <v>0</v>
      </c>
      <c r="G690" s="7" t="s">
        <v>36</v>
      </c>
      <c r="H690" s="7" t="s">
        <v>32</v>
      </c>
      <c r="I690" s="7" t="n">
        <v>34</v>
      </c>
      <c r="J690" s="7" t="s">
        <v>39</v>
      </c>
      <c r="K690" s="7" t="n">
        <v>271.6</v>
      </c>
      <c r="L690" s="7" t="s">
        <v>29</v>
      </c>
      <c r="M690" s="7" t="s">
        <v>38</v>
      </c>
    </row>
    <row r="691" customFormat="false" ht="15" hidden="false" customHeight="true" outlineLevel="0" collapsed="false">
      <c r="A691" s="7" t="n">
        <v>220</v>
      </c>
      <c r="B691" s="7" t="n">
        <v>80</v>
      </c>
      <c r="C691" s="7" t="s">
        <v>33</v>
      </c>
      <c r="D691" s="7" t="s">
        <v>25</v>
      </c>
      <c r="E691" s="7" t="n">
        <v>0</v>
      </c>
      <c r="F691" s="7" t="n">
        <v>0</v>
      </c>
      <c r="G691" s="7" t="s">
        <v>35</v>
      </c>
      <c r="H691" s="7" t="s">
        <v>32</v>
      </c>
      <c r="I691" s="7" t="n">
        <v>27.2</v>
      </c>
      <c r="J691" s="7" t="s">
        <v>39</v>
      </c>
      <c r="K691" s="7" t="n">
        <v>282.6</v>
      </c>
      <c r="L691" s="7" t="s">
        <v>37</v>
      </c>
      <c r="M691" s="7" t="s">
        <v>38</v>
      </c>
    </row>
    <row r="692" customFormat="false" ht="15" hidden="false" customHeight="true" outlineLevel="0" collapsed="false">
      <c r="A692" s="7" t="n">
        <v>223</v>
      </c>
      <c r="B692" s="7" t="n">
        <v>68</v>
      </c>
      <c r="C692" s="7" t="s">
        <v>33</v>
      </c>
      <c r="D692" s="7" t="s">
        <v>25</v>
      </c>
      <c r="E692" s="7" t="n">
        <v>0</v>
      </c>
      <c r="F692" s="7" t="n">
        <v>0</v>
      </c>
      <c r="G692" s="7" t="s">
        <v>36</v>
      </c>
      <c r="H692" s="7" t="s">
        <v>32</v>
      </c>
      <c r="I692" s="7" t="n">
        <v>38</v>
      </c>
      <c r="J692" s="7" t="s">
        <v>39</v>
      </c>
      <c r="K692" s="7" t="n">
        <v>231.8</v>
      </c>
      <c r="L692" s="7" t="s">
        <v>29</v>
      </c>
      <c r="M692" s="7" t="s">
        <v>38</v>
      </c>
    </row>
    <row r="693" customFormat="false" ht="15" hidden="false" customHeight="true" outlineLevel="0" collapsed="false">
      <c r="A693" s="7" t="n">
        <v>230</v>
      </c>
      <c r="B693" s="7" t="n">
        <v>72</v>
      </c>
      <c r="C693" s="7" t="s">
        <v>33</v>
      </c>
      <c r="D693" s="7" t="s">
        <v>25</v>
      </c>
      <c r="E693" s="7" t="n">
        <v>0</v>
      </c>
      <c r="F693" s="7" t="n">
        <v>0</v>
      </c>
      <c r="G693" s="7" t="s">
        <v>34</v>
      </c>
      <c r="H693" s="7" t="s">
        <v>27</v>
      </c>
      <c r="I693" s="7" t="n">
        <v>27.2</v>
      </c>
      <c r="J693" s="7" t="s">
        <v>39</v>
      </c>
      <c r="K693" s="7" t="n">
        <v>120.5</v>
      </c>
      <c r="L693" s="7" t="s">
        <v>37</v>
      </c>
      <c r="M693" s="7" t="s">
        <v>38</v>
      </c>
    </row>
    <row r="694" customFormat="false" ht="15" hidden="false" customHeight="true" outlineLevel="0" collapsed="false">
      <c r="A694" s="7" t="n">
        <v>239</v>
      </c>
      <c r="B694" s="7" t="n">
        <v>82</v>
      </c>
      <c r="C694" s="7" t="s">
        <v>33</v>
      </c>
      <c r="D694" s="7" t="s">
        <v>25</v>
      </c>
      <c r="E694" s="7" t="n">
        <v>0</v>
      </c>
      <c r="F694" s="7" t="n">
        <v>0</v>
      </c>
      <c r="G694" s="7" t="s">
        <v>26</v>
      </c>
      <c r="H694" s="7" t="s">
        <v>27</v>
      </c>
      <c r="I694" s="7" t="n">
        <v>39.8</v>
      </c>
      <c r="J694" s="7" t="s">
        <v>39</v>
      </c>
      <c r="K694" s="7" t="n">
        <v>158.9</v>
      </c>
      <c r="L694" s="7" t="s">
        <v>29</v>
      </c>
      <c r="M694" s="7" t="s">
        <v>38</v>
      </c>
    </row>
    <row r="695" customFormat="false" ht="15" hidden="false" customHeight="true" outlineLevel="0" collapsed="false">
      <c r="A695" s="7" t="n">
        <v>274</v>
      </c>
      <c r="B695" s="7" t="n">
        <v>29</v>
      </c>
      <c r="C695" s="7" t="s">
        <v>24</v>
      </c>
      <c r="D695" s="7" t="s">
        <v>25</v>
      </c>
      <c r="E695" s="7" t="n">
        <v>0</v>
      </c>
      <c r="F695" s="7" t="n">
        <v>0</v>
      </c>
      <c r="G695" s="7" t="s">
        <v>35</v>
      </c>
      <c r="H695" s="7" t="s">
        <v>32</v>
      </c>
      <c r="I695" s="7" t="n">
        <v>30.7</v>
      </c>
      <c r="J695" s="7" t="s">
        <v>39</v>
      </c>
      <c r="K695" s="7" t="n">
        <v>241.6</v>
      </c>
      <c r="L695" s="7" t="s">
        <v>29</v>
      </c>
      <c r="M695" s="7" t="s">
        <v>38</v>
      </c>
    </row>
    <row r="696" customFormat="false" ht="15" hidden="false" customHeight="true" outlineLevel="0" collapsed="false">
      <c r="A696" s="7" t="n">
        <v>421</v>
      </c>
      <c r="B696" s="7" t="n">
        <v>70</v>
      </c>
      <c r="C696" s="7" t="s">
        <v>33</v>
      </c>
      <c r="D696" s="7" t="s">
        <v>25</v>
      </c>
      <c r="E696" s="7" t="n">
        <v>0</v>
      </c>
      <c r="F696" s="7" t="n">
        <v>0</v>
      </c>
      <c r="G696" s="7" t="s">
        <v>35</v>
      </c>
      <c r="H696" s="7" t="s">
        <v>27</v>
      </c>
      <c r="I696" s="7" t="n">
        <v>20.1</v>
      </c>
      <c r="J696" s="7" t="s">
        <v>39</v>
      </c>
      <c r="K696" s="7" t="n">
        <v>139.4</v>
      </c>
      <c r="L696" s="7" t="s">
        <v>29</v>
      </c>
      <c r="M696" s="7" t="s">
        <v>38</v>
      </c>
    </row>
    <row r="697" customFormat="false" ht="15" hidden="false" customHeight="true" outlineLevel="0" collapsed="false">
      <c r="A697" s="7" t="n">
        <v>452</v>
      </c>
      <c r="B697" s="7" t="n">
        <v>52</v>
      </c>
      <c r="C697" s="7" t="s">
        <v>24</v>
      </c>
      <c r="D697" s="7" t="s">
        <v>25</v>
      </c>
      <c r="E697" s="7" t="n">
        <v>0</v>
      </c>
      <c r="F697" s="7" t="n">
        <v>0</v>
      </c>
      <c r="G697" s="7" t="s">
        <v>34</v>
      </c>
      <c r="H697" s="7" t="s">
        <v>27</v>
      </c>
      <c r="I697" s="7" t="n">
        <v>17.6</v>
      </c>
      <c r="J697" s="7" t="s">
        <v>39</v>
      </c>
      <c r="K697" s="7" t="n">
        <v>223.9</v>
      </c>
      <c r="L697" s="7" t="s">
        <v>29</v>
      </c>
      <c r="M697" s="7" t="s">
        <v>38</v>
      </c>
    </row>
    <row r="698" customFormat="false" ht="15" hidden="false" customHeight="true" outlineLevel="0" collapsed="false">
      <c r="A698" s="7" t="n">
        <v>486</v>
      </c>
      <c r="B698" s="7" t="n">
        <v>51</v>
      </c>
      <c r="C698" s="7" t="s">
        <v>33</v>
      </c>
      <c r="D698" s="7" t="s">
        <v>25</v>
      </c>
      <c r="E698" s="7" t="n">
        <v>0</v>
      </c>
      <c r="F698" s="7" t="n">
        <v>0</v>
      </c>
      <c r="G698" s="7" t="s">
        <v>34</v>
      </c>
      <c r="H698" s="7" t="s">
        <v>27</v>
      </c>
      <c r="I698" s="7" t="n">
        <v>35.6</v>
      </c>
      <c r="J698" s="7" t="s">
        <v>39</v>
      </c>
      <c r="K698" s="7" t="n">
        <v>245.4</v>
      </c>
      <c r="L698" s="7" t="s">
        <v>29</v>
      </c>
      <c r="M698" s="7" t="s">
        <v>38</v>
      </c>
    </row>
    <row r="699" customFormat="false" ht="15" hidden="false" customHeight="true" outlineLevel="0" collapsed="false">
      <c r="A699" s="7" t="n">
        <v>508</v>
      </c>
      <c r="B699" s="7" t="n">
        <v>55</v>
      </c>
      <c r="C699" s="7" t="s">
        <v>24</v>
      </c>
      <c r="D699" s="7" t="s">
        <v>25</v>
      </c>
      <c r="E699" s="7" t="n">
        <v>0</v>
      </c>
      <c r="F699" s="7" t="n">
        <v>0</v>
      </c>
      <c r="G699" s="7" t="s">
        <v>26</v>
      </c>
      <c r="H699" s="7" t="s">
        <v>27</v>
      </c>
      <c r="I699" s="7" t="n">
        <v>25.4</v>
      </c>
      <c r="J699" s="7" t="s">
        <v>39</v>
      </c>
      <c r="K699" s="7" t="n">
        <v>122.2</v>
      </c>
      <c r="L699" s="7" t="s">
        <v>29</v>
      </c>
      <c r="M699" s="7" t="s">
        <v>38</v>
      </c>
    </row>
    <row r="700" customFormat="false" ht="15" hidden="false" customHeight="true" outlineLevel="0" collapsed="false">
      <c r="A700" s="7" t="n">
        <v>512</v>
      </c>
      <c r="B700" s="7" t="n">
        <v>89</v>
      </c>
      <c r="C700" s="7" t="s">
        <v>33</v>
      </c>
      <c r="D700" s="7" t="s">
        <v>25</v>
      </c>
      <c r="E700" s="7" t="n">
        <v>0</v>
      </c>
      <c r="F700" s="7" t="n">
        <v>0</v>
      </c>
      <c r="G700" s="7" t="s">
        <v>31</v>
      </c>
      <c r="H700" s="7" t="s">
        <v>27</v>
      </c>
      <c r="I700" s="7" t="n">
        <v>27.1</v>
      </c>
      <c r="J700" s="7" t="s">
        <v>39</v>
      </c>
      <c r="K700" s="7" t="n">
        <v>276.3</v>
      </c>
      <c r="L700" s="7" t="s">
        <v>29</v>
      </c>
      <c r="M700" s="7" t="s">
        <v>38</v>
      </c>
    </row>
    <row r="701" customFormat="false" ht="15" hidden="false" customHeight="true" outlineLevel="0" collapsed="false">
      <c r="A701" s="7" t="n">
        <v>519</v>
      </c>
      <c r="B701" s="7" t="n">
        <v>26</v>
      </c>
      <c r="C701" s="7" t="s">
        <v>24</v>
      </c>
      <c r="D701" s="7" t="s">
        <v>25</v>
      </c>
      <c r="E701" s="7" t="n">
        <v>0</v>
      </c>
      <c r="F701" s="7" t="n">
        <v>0</v>
      </c>
      <c r="G701" s="7" t="s">
        <v>26</v>
      </c>
      <c r="H701" s="7" t="s">
        <v>32</v>
      </c>
      <c r="I701" s="7" t="n">
        <v>26.7</v>
      </c>
      <c r="J701" s="7" t="s">
        <v>39</v>
      </c>
      <c r="K701" s="7" t="n">
        <v>144.1</v>
      </c>
      <c r="L701" s="7" t="s">
        <v>29</v>
      </c>
      <c r="M701" s="7" t="s">
        <v>38</v>
      </c>
    </row>
    <row r="702" customFormat="false" ht="15" hidden="false" customHeight="true" outlineLevel="0" collapsed="false">
      <c r="A702" s="7" t="n">
        <v>556</v>
      </c>
      <c r="B702" s="7" t="n">
        <v>59</v>
      </c>
      <c r="C702" s="7" t="s">
        <v>33</v>
      </c>
      <c r="D702" s="7" t="s">
        <v>25</v>
      </c>
      <c r="E702" s="7" t="n">
        <v>0</v>
      </c>
      <c r="F702" s="7" t="n">
        <v>0</v>
      </c>
      <c r="G702" s="7" t="s">
        <v>26</v>
      </c>
      <c r="H702" s="7" t="s">
        <v>27</v>
      </c>
      <c r="I702" s="7" t="n">
        <v>26.7</v>
      </c>
      <c r="J702" s="7" t="s">
        <v>39</v>
      </c>
      <c r="K702" s="7" t="n">
        <v>294.5</v>
      </c>
      <c r="L702" s="7" t="s">
        <v>29</v>
      </c>
      <c r="M702" s="7" t="s">
        <v>38</v>
      </c>
    </row>
    <row r="703" customFormat="false" ht="15" hidden="false" customHeight="true" outlineLevel="0" collapsed="false">
      <c r="A703" s="7" t="n">
        <v>568</v>
      </c>
      <c r="B703" s="7" t="n">
        <v>82</v>
      </c>
      <c r="C703" s="7" t="s">
        <v>33</v>
      </c>
      <c r="D703" s="7" t="s">
        <v>25</v>
      </c>
      <c r="E703" s="7" t="n">
        <v>0</v>
      </c>
      <c r="F703" s="7" t="n">
        <v>0</v>
      </c>
      <c r="G703" s="7" t="s">
        <v>34</v>
      </c>
      <c r="H703" s="7" t="s">
        <v>27</v>
      </c>
      <c r="I703" s="7" t="n">
        <v>17.8</v>
      </c>
      <c r="J703" s="7" t="s">
        <v>39</v>
      </c>
      <c r="K703" s="7" t="n">
        <v>157.8</v>
      </c>
      <c r="L703" s="7" t="s">
        <v>29</v>
      </c>
      <c r="M703" s="7" t="s">
        <v>38</v>
      </c>
    </row>
    <row r="704" customFormat="false" ht="15" hidden="false" customHeight="true" outlineLevel="0" collapsed="false">
      <c r="A704" s="7" t="n">
        <v>590</v>
      </c>
      <c r="B704" s="7" t="n">
        <v>35</v>
      </c>
      <c r="C704" s="7" t="s">
        <v>24</v>
      </c>
      <c r="D704" s="7" t="s">
        <v>25</v>
      </c>
      <c r="E704" s="7" t="n">
        <v>0</v>
      </c>
      <c r="F704" s="7" t="n">
        <v>0</v>
      </c>
      <c r="G704" s="7" t="s">
        <v>26</v>
      </c>
      <c r="H704" s="7" t="s">
        <v>27</v>
      </c>
      <c r="I704" s="7" t="n">
        <v>26</v>
      </c>
      <c r="J704" s="7" t="s">
        <v>39</v>
      </c>
      <c r="K704" s="7" t="n">
        <v>206.4</v>
      </c>
      <c r="L704" s="7" t="s">
        <v>29</v>
      </c>
      <c r="M704" s="7" t="s">
        <v>38</v>
      </c>
    </row>
    <row r="705" customFormat="false" ht="15" hidden="false" customHeight="true" outlineLevel="0" collapsed="false">
      <c r="A705" s="7" t="n">
        <v>625</v>
      </c>
      <c r="B705" s="7" t="n">
        <v>56</v>
      </c>
      <c r="C705" s="7" t="s">
        <v>24</v>
      </c>
      <c r="D705" s="7" t="s">
        <v>25</v>
      </c>
      <c r="E705" s="7" t="n">
        <v>0</v>
      </c>
      <c r="F705" s="7" t="n">
        <v>0</v>
      </c>
      <c r="G705" s="7" t="s">
        <v>31</v>
      </c>
      <c r="H705" s="7" t="s">
        <v>27</v>
      </c>
      <c r="I705" s="7" t="n">
        <v>21.4</v>
      </c>
      <c r="J705" s="7" t="s">
        <v>39</v>
      </c>
      <c r="K705" s="7" t="n">
        <v>132.7</v>
      </c>
      <c r="L705" s="7" t="s">
        <v>29</v>
      </c>
      <c r="M705" s="7" t="s">
        <v>38</v>
      </c>
    </row>
    <row r="706" customFormat="false" ht="15" hidden="false" customHeight="true" outlineLevel="0" collapsed="false">
      <c r="A706" s="7" t="n">
        <v>630</v>
      </c>
      <c r="B706" s="7" t="n">
        <v>72</v>
      </c>
      <c r="C706" s="7" t="s">
        <v>24</v>
      </c>
      <c r="D706" s="7" t="s">
        <v>25</v>
      </c>
      <c r="E706" s="7" t="n">
        <v>0</v>
      </c>
      <c r="F706" s="7" t="n">
        <v>0</v>
      </c>
      <c r="G706" s="7" t="s">
        <v>26</v>
      </c>
      <c r="H706" s="7" t="s">
        <v>27</v>
      </c>
      <c r="I706" s="7" t="n">
        <v>32.2</v>
      </c>
      <c r="J706" s="7" t="s">
        <v>39</v>
      </c>
      <c r="K706" s="7" t="n">
        <v>217.4</v>
      </c>
      <c r="L706" s="7" t="s">
        <v>29</v>
      </c>
      <c r="M706" s="7" t="s">
        <v>38</v>
      </c>
    </row>
    <row r="707" customFormat="false" ht="15" hidden="false" customHeight="true" outlineLevel="0" collapsed="false">
      <c r="A707" s="7" t="n">
        <v>727</v>
      </c>
      <c r="B707" s="7" t="n">
        <v>72</v>
      </c>
      <c r="C707" s="7" t="s">
        <v>24</v>
      </c>
      <c r="D707" s="7" t="s">
        <v>25</v>
      </c>
      <c r="E707" s="7" t="n">
        <v>0</v>
      </c>
      <c r="F707" s="7" t="n">
        <v>0</v>
      </c>
      <c r="G707" s="7" t="s">
        <v>36</v>
      </c>
      <c r="H707" s="7" t="s">
        <v>32</v>
      </c>
      <c r="I707" s="7" t="n">
        <v>41.2</v>
      </c>
      <c r="J707" s="7" t="s">
        <v>39</v>
      </c>
      <c r="K707" s="7" t="n">
        <v>124</v>
      </c>
      <c r="L707" s="7" t="s">
        <v>29</v>
      </c>
      <c r="M707" s="7" t="s">
        <v>38</v>
      </c>
    </row>
    <row r="708" customFormat="false" ht="15" hidden="false" customHeight="true" outlineLevel="0" collapsed="false">
      <c r="A708" s="7" t="n">
        <v>781</v>
      </c>
      <c r="B708" s="7" t="n">
        <v>64</v>
      </c>
      <c r="C708" s="7" t="s">
        <v>33</v>
      </c>
      <c r="D708" s="7" t="s">
        <v>25</v>
      </c>
      <c r="E708" s="7" t="n">
        <v>0</v>
      </c>
      <c r="F708" s="7" t="n">
        <v>0</v>
      </c>
      <c r="G708" s="7" t="s">
        <v>26</v>
      </c>
      <c r="H708" s="7" t="s">
        <v>32</v>
      </c>
      <c r="I708" s="7" t="n">
        <v>24.5</v>
      </c>
      <c r="J708" s="7" t="s">
        <v>39</v>
      </c>
      <c r="K708" s="7" t="n">
        <v>161.4</v>
      </c>
      <c r="L708" s="7" t="s">
        <v>29</v>
      </c>
      <c r="M708" s="7" t="s">
        <v>38</v>
      </c>
    </row>
    <row r="709" customFormat="false" ht="15" hidden="false" customHeight="true" outlineLevel="0" collapsed="false">
      <c r="A709" s="7" t="n">
        <v>787</v>
      </c>
      <c r="B709" s="7" t="n">
        <v>85</v>
      </c>
      <c r="C709" s="7" t="s">
        <v>33</v>
      </c>
      <c r="D709" s="7" t="s">
        <v>25</v>
      </c>
      <c r="E709" s="7" t="n">
        <v>0</v>
      </c>
      <c r="F709" s="7" t="n">
        <v>0</v>
      </c>
      <c r="G709" s="7" t="s">
        <v>31</v>
      </c>
      <c r="H709" s="7" t="s">
        <v>27</v>
      </c>
      <c r="I709" s="7" t="n">
        <v>22.2</v>
      </c>
      <c r="J709" s="7" t="s">
        <v>39</v>
      </c>
      <c r="K709" s="7" t="n">
        <v>148.5</v>
      </c>
      <c r="L709" s="7" t="s">
        <v>29</v>
      </c>
      <c r="M709" s="7" t="s">
        <v>38</v>
      </c>
    </row>
    <row r="710" customFormat="false" ht="15" hidden="false" customHeight="true" outlineLevel="0" collapsed="false">
      <c r="A710" s="7" t="n">
        <v>808</v>
      </c>
      <c r="B710" s="7" t="n">
        <v>27</v>
      </c>
      <c r="C710" s="7" t="s">
        <v>33</v>
      </c>
      <c r="D710" s="7" t="s">
        <v>25</v>
      </c>
      <c r="E710" s="7" t="n">
        <v>0</v>
      </c>
      <c r="F710" s="7" t="n">
        <v>0</v>
      </c>
      <c r="G710" s="7" t="s">
        <v>31</v>
      </c>
      <c r="H710" s="7" t="s">
        <v>27</v>
      </c>
      <c r="I710" s="7" t="n">
        <v>28.4</v>
      </c>
      <c r="J710" s="7" t="s">
        <v>39</v>
      </c>
      <c r="K710" s="7" t="n">
        <v>279.8</v>
      </c>
      <c r="L710" s="7" t="s">
        <v>37</v>
      </c>
      <c r="M710" s="7" t="s">
        <v>38</v>
      </c>
    </row>
    <row r="711" customFormat="false" ht="15" hidden="false" customHeight="true" outlineLevel="0" collapsed="false">
      <c r="A711" s="7" t="n">
        <v>829</v>
      </c>
      <c r="B711" s="7" t="n">
        <v>54</v>
      </c>
      <c r="C711" s="7" t="s">
        <v>33</v>
      </c>
      <c r="D711" s="7" t="s">
        <v>25</v>
      </c>
      <c r="E711" s="7" t="n">
        <v>0</v>
      </c>
      <c r="F711" s="7" t="n">
        <v>0</v>
      </c>
      <c r="G711" s="7" t="s">
        <v>35</v>
      </c>
      <c r="H711" s="7" t="s">
        <v>32</v>
      </c>
      <c r="I711" s="7" t="n">
        <v>36.9</v>
      </c>
      <c r="J711" s="7" t="s">
        <v>39</v>
      </c>
      <c r="K711" s="7" t="n">
        <v>296.1</v>
      </c>
      <c r="L711" s="7" t="s">
        <v>37</v>
      </c>
      <c r="M711" s="7" t="s">
        <v>38</v>
      </c>
    </row>
    <row r="712" customFormat="false" ht="15" hidden="false" customHeight="true" outlineLevel="0" collapsed="false">
      <c r="A712" s="7" t="n">
        <v>830</v>
      </c>
      <c r="B712" s="7" t="n">
        <v>43</v>
      </c>
      <c r="C712" s="7" t="s">
        <v>24</v>
      </c>
      <c r="D712" s="7" t="s">
        <v>25</v>
      </c>
      <c r="E712" s="7" t="n">
        <v>0</v>
      </c>
      <c r="F712" s="7" t="n">
        <v>0</v>
      </c>
      <c r="G712" s="7" t="s">
        <v>34</v>
      </c>
      <c r="H712" s="7" t="s">
        <v>32</v>
      </c>
      <c r="I712" s="7" t="n">
        <v>32.3</v>
      </c>
      <c r="J712" s="7" t="s">
        <v>39</v>
      </c>
      <c r="K712" s="7" t="n">
        <v>135.4</v>
      </c>
      <c r="L712" s="7" t="s">
        <v>37</v>
      </c>
      <c r="M712" s="7" t="s">
        <v>38</v>
      </c>
    </row>
    <row r="713" customFormat="false" ht="15" hidden="false" customHeight="true" outlineLevel="0" collapsed="false">
      <c r="A713" s="7" t="n">
        <v>835</v>
      </c>
      <c r="B713" s="7" t="n">
        <v>64</v>
      </c>
      <c r="C713" s="7" t="s">
        <v>33</v>
      </c>
      <c r="D713" s="7" t="s">
        <v>25</v>
      </c>
      <c r="E713" s="7" t="n">
        <v>0</v>
      </c>
      <c r="F713" s="7" t="n">
        <v>0</v>
      </c>
      <c r="G713" s="7" t="s">
        <v>31</v>
      </c>
      <c r="H713" s="7" t="s">
        <v>27</v>
      </c>
      <c r="I713" s="7" t="n">
        <v>36.1</v>
      </c>
      <c r="J713" s="7" t="s">
        <v>39</v>
      </c>
      <c r="K713" s="7" t="n">
        <v>256.5</v>
      </c>
      <c r="L713" s="7" t="s">
        <v>29</v>
      </c>
      <c r="M713" s="7" t="s">
        <v>38</v>
      </c>
    </row>
    <row r="714" customFormat="false" ht="15" hidden="false" customHeight="true" outlineLevel="0" collapsed="false">
      <c r="A714" s="7" t="n">
        <v>866</v>
      </c>
      <c r="B714" s="7" t="n">
        <v>77</v>
      </c>
      <c r="C714" s="7" t="s">
        <v>24</v>
      </c>
      <c r="D714" s="7" t="s">
        <v>25</v>
      </c>
      <c r="E714" s="7" t="n">
        <v>0</v>
      </c>
      <c r="F714" s="7" t="n">
        <v>0</v>
      </c>
      <c r="G714" s="7" t="s">
        <v>35</v>
      </c>
      <c r="H714" s="7" t="s">
        <v>27</v>
      </c>
      <c r="I714" s="7" t="n">
        <v>23</v>
      </c>
      <c r="J714" s="7" t="s">
        <v>39</v>
      </c>
      <c r="K714" s="7" t="n">
        <v>217.7</v>
      </c>
      <c r="L714" s="7" t="s">
        <v>29</v>
      </c>
      <c r="M714" s="7" t="s">
        <v>38</v>
      </c>
    </row>
    <row r="715" customFormat="false" ht="15" hidden="false" customHeight="true" outlineLevel="0" collapsed="false">
      <c r="A715" s="7" t="n">
        <v>923</v>
      </c>
      <c r="B715" s="7" t="n">
        <v>69</v>
      </c>
      <c r="C715" s="7" t="s">
        <v>24</v>
      </c>
      <c r="D715" s="7" t="s">
        <v>25</v>
      </c>
      <c r="E715" s="7" t="n">
        <v>0</v>
      </c>
      <c r="F715" s="7" t="n">
        <v>0</v>
      </c>
      <c r="G715" s="7" t="s">
        <v>31</v>
      </c>
      <c r="H715" s="7" t="s">
        <v>27</v>
      </c>
      <c r="I715" s="7" t="n">
        <v>22.2</v>
      </c>
      <c r="J715" s="7" t="s">
        <v>39</v>
      </c>
      <c r="K715" s="7" t="n">
        <v>216.8</v>
      </c>
      <c r="L715" s="7" t="s">
        <v>37</v>
      </c>
      <c r="M715" s="7" t="s">
        <v>38</v>
      </c>
    </row>
    <row r="716" customFormat="false" ht="15" hidden="false" customHeight="true" outlineLevel="0" collapsed="false">
      <c r="A716" s="7" t="n">
        <v>924</v>
      </c>
      <c r="B716" s="7" t="n">
        <v>32</v>
      </c>
      <c r="C716" s="7" t="s">
        <v>33</v>
      </c>
      <c r="D716" s="7" t="s">
        <v>25</v>
      </c>
      <c r="E716" s="7" t="n">
        <v>0</v>
      </c>
      <c r="F716" s="7" t="n">
        <v>0</v>
      </c>
      <c r="G716" s="7" t="s">
        <v>31</v>
      </c>
      <c r="H716" s="7" t="s">
        <v>27</v>
      </c>
      <c r="I716" s="7" t="n">
        <v>28.9</v>
      </c>
      <c r="J716" s="7" t="s">
        <v>39</v>
      </c>
      <c r="K716" s="7" t="n">
        <v>133.7</v>
      </c>
      <c r="L716" s="7" t="s">
        <v>29</v>
      </c>
      <c r="M716" s="7" t="s">
        <v>38</v>
      </c>
    </row>
    <row r="717" customFormat="false" ht="15" hidden="false" customHeight="true" outlineLevel="0" collapsed="false">
      <c r="A717" s="7" t="n">
        <v>930</v>
      </c>
      <c r="B717" s="7" t="n">
        <v>64</v>
      </c>
      <c r="C717" s="7" t="s">
        <v>24</v>
      </c>
      <c r="D717" s="7" t="s">
        <v>25</v>
      </c>
      <c r="E717" s="7" t="n">
        <v>0</v>
      </c>
      <c r="F717" s="7" t="n">
        <v>0</v>
      </c>
      <c r="G717" s="7" t="s">
        <v>35</v>
      </c>
      <c r="H717" s="7" t="s">
        <v>32</v>
      </c>
      <c r="I717" s="7" t="n">
        <v>25.9</v>
      </c>
      <c r="J717" s="7" t="s">
        <v>39</v>
      </c>
      <c r="K717" s="7" t="n">
        <v>167.3</v>
      </c>
      <c r="L717" s="7" t="s">
        <v>37</v>
      </c>
      <c r="M717" s="7" t="s">
        <v>38</v>
      </c>
    </row>
    <row r="718" customFormat="false" ht="15" hidden="false" customHeight="true" outlineLevel="0" collapsed="false">
      <c r="A718" s="7" t="n">
        <v>1001</v>
      </c>
      <c r="B718" s="7" t="n">
        <v>83</v>
      </c>
      <c r="C718" s="7" t="s">
        <v>33</v>
      </c>
      <c r="D718" s="7" t="s">
        <v>25</v>
      </c>
      <c r="E718" s="7" t="n">
        <v>0</v>
      </c>
      <c r="F718" s="7" t="n">
        <v>0</v>
      </c>
      <c r="G718" s="7" t="s">
        <v>26</v>
      </c>
      <c r="H718" s="7" t="s">
        <v>27</v>
      </c>
      <c r="I718" s="7" t="n">
        <v>31.2</v>
      </c>
      <c r="J718" s="7" t="s">
        <v>39</v>
      </c>
      <c r="K718" s="7" t="n">
        <v>287.8</v>
      </c>
      <c r="L718" s="7" t="s">
        <v>29</v>
      </c>
      <c r="M718" s="7" t="s">
        <v>38</v>
      </c>
    </row>
    <row r="719" customFormat="false" ht="15" hidden="false" customHeight="true" outlineLevel="0" collapsed="false">
      <c r="A719" s="7" t="n">
        <v>1069</v>
      </c>
      <c r="B719" s="7" t="n">
        <v>62</v>
      </c>
      <c r="C719" s="7" t="s">
        <v>24</v>
      </c>
      <c r="D719" s="7" t="s">
        <v>25</v>
      </c>
      <c r="E719" s="7" t="n">
        <v>0</v>
      </c>
      <c r="F719" s="7" t="n">
        <v>0</v>
      </c>
      <c r="G719" s="7" t="s">
        <v>31</v>
      </c>
      <c r="H719" s="7" t="s">
        <v>32</v>
      </c>
      <c r="I719" s="7" t="n">
        <v>18.7</v>
      </c>
      <c r="J719" s="7" t="s">
        <v>39</v>
      </c>
      <c r="K719" s="7" t="n">
        <v>154.7</v>
      </c>
      <c r="L719" s="7" t="s">
        <v>29</v>
      </c>
      <c r="M719" s="7" t="s">
        <v>38</v>
      </c>
    </row>
    <row r="720" customFormat="false" ht="15" hidden="false" customHeight="true" outlineLevel="0" collapsed="false">
      <c r="A720" s="7" t="n">
        <v>1078</v>
      </c>
      <c r="B720" s="7" t="n">
        <v>32</v>
      </c>
      <c r="C720" s="7" t="s">
        <v>33</v>
      </c>
      <c r="D720" s="7" t="s">
        <v>25</v>
      </c>
      <c r="E720" s="7" t="n">
        <v>0</v>
      </c>
      <c r="F720" s="7" t="n">
        <v>0</v>
      </c>
      <c r="G720" s="7" t="s">
        <v>31</v>
      </c>
      <c r="H720" s="7" t="s">
        <v>32</v>
      </c>
      <c r="I720" s="7" t="n">
        <v>22.1</v>
      </c>
      <c r="J720" s="7" t="s">
        <v>39</v>
      </c>
      <c r="K720" s="7" t="n">
        <v>210.4</v>
      </c>
      <c r="L720" s="7" t="s">
        <v>29</v>
      </c>
      <c r="M720" s="7" t="s">
        <v>38</v>
      </c>
    </row>
    <row r="721" customFormat="false" ht="15" hidden="false" customHeight="true" outlineLevel="0" collapsed="false">
      <c r="A721" s="7" t="n">
        <v>1136</v>
      </c>
      <c r="B721" s="7" t="n">
        <v>48</v>
      </c>
      <c r="C721" s="7" t="s">
        <v>33</v>
      </c>
      <c r="D721" s="7" t="s">
        <v>25</v>
      </c>
      <c r="E721" s="7" t="n">
        <v>0</v>
      </c>
      <c r="F721" s="7" t="n">
        <v>0</v>
      </c>
      <c r="G721" s="7" t="s">
        <v>36</v>
      </c>
      <c r="H721" s="7" t="s">
        <v>32</v>
      </c>
      <c r="I721" s="7" t="n">
        <v>27.7</v>
      </c>
      <c r="J721" s="7" t="s">
        <v>39</v>
      </c>
      <c r="K721" s="7" t="n">
        <v>186.9</v>
      </c>
      <c r="L721" s="7" t="s">
        <v>37</v>
      </c>
      <c r="M721" s="7" t="s">
        <v>38</v>
      </c>
    </row>
    <row r="722" customFormat="false" ht="15" hidden="false" customHeight="true" outlineLevel="0" collapsed="false">
      <c r="A722" s="7" t="n">
        <v>1150</v>
      </c>
      <c r="B722" s="7" t="n">
        <v>47</v>
      </c>
      <c r="C722" s="7" t="s">
        <v>33</v>
      </c>
      <c r="D722" s="7" t="s">
        <v>25</v>
      </c>
      <c r="E722" s="7" t="n">
        <v>0</v>
      </c>
      <c r="F722" s="7" t="n">
        <v>0</v>
      </c>
      <c r="G722" s="7" t="s">
        <v>35</v>
      </c>
      <c r="H722" s="7" t="s">
        <v>27</v>
      </c>
      <c r="I722" s="7" t="n">
        <v>23.8</v>
      </c>
      <c r="J722" s="7" t="s">
        <v>39</v>
      </c>
      <c r="K722" s="7" t="n">
        <v>175.5</v>
      </c>
      <c r="L722" s="7" t="s">
        <v>29</v>
      </c>
      <c r="M722" s="7" t="s">
        <v>38</v>
      </c>
    </row>
    <row r="723" customFormat="false" ht="15" hidden="false" customHeight="true" outlineLevel="0" collapsed="false">
      <c r="A723" s="7" t="n">
        <v>1160</v>
      </c>
      <c r="B723" s="7" t="n">
        <v>47</v>
      </c>
      <c r="C723" s="7" t="s">
        <v>33</v>
      </c>
      <c r="D723" s="7" t="s">
        <v>25</v>
      </c>
      <c r="E723" s="7" t="n">
        <v>0</v>
      </c>
      <c r="F723" s="7" t="n">
        <v>0</v>
      </c>
      <c r="G723" s="7" t="s">
        <v>26</v>
      </c>
      <c r="H723" s="7" t="s">
        <v>27</v>
      </c>
      <c r="I723" s="7" t="n">
        <v>37.9</v>
      </c>
      <c r="J723" s="7" t="s">
        <v>39</v>
      </c>
      <c r="K723" s="7" t="n">
        <v>265</v>
      </c>
      <c r="L723" s="7" t="s">
        <v>29</v>
      </c>
      <c r="M723" s="7" t="s">
        <v>38</v>
      </c>
    </row>
    <row r="724" customFormat="false" ht="15" hidden="false" customHeight="true" outlineLevel="0" collapsed="false">
      <c r="A724" s="7" t="n">
        <v>1166</v>
      </c>
      <c r="B724" s="7" t="n">
        <v>48</v>
      </c>
      <c r="C724" s="7" t="s">
        <v>33</v>
      </c>
      <c r="D724" s="7" t="s">
        <v>25</v>
      </c>
      <c r="E724" s="7" t="n">
        <v>0</v>
      </c>
      <c r="F724" s="7" t="n">
        <v>0</v>
      </c>
      <c r="G724" s="7" t="s">
        <v>31</v>
      </c>
      <c r="H724" s="7" t="s">
        <v>27</v>
      </c>
      <c r="I724" s="7" t="n">
        <v>36.9</v>
      </c>
      <c r="J724" s="7" t="s">
        <v>39</v>
      </c>
      <c r="K724" s="7" t="n">
        <v>184</v>
      </c>
      <c r="L724" s="7" t="s">
        <v>29</v>
      </c>
      <c r="M724" s="7" t="s">
        <v>38</v>
      </c>
    </row>
    <row r="725" customFormat="false" ht="15" hidden="false" customHeight="true" outlineLevel="0" collapsed="false">
      <c r="A725" s="7" t="n">
        <v>1212</v>
      </c>
      <c r="B725" s="7" t="n">
        <v>38</v>
      </c>
      <c r="C725" s="7" t="s">
        <v>24</v>
      </c>
      <c r="D725" s="7" t="s">
        <v>25</v>
      </c>
      <c r="E725" s="7" t="n">
        <v>0</v>
      </c>
      <c r="F725" s="7" t="n">
        <v>0</v>
      </c>
      <c r="G725" s="7" t="s">
        <v>34</v>
      </c>
      <c r="H725" s="7" t="s">
        <v>32</v>
      </c>
      <c r="I725" s="7" t="n">
        <v>25.2</v>
      </c>
      <c r="J725" s="7" t="s">
        <v>39</v>
      </c>
      <c r="K725" s="7" t="n">
        <v>168.5</v>
      </c>
      <c r="L725" s="7" t="s">
        <v>29</v>
      </c>
      <c r="M725" s="7" t="s">
        <v>38</v>
      </c>
    </row>
    <row r="726" customFormat="false" ht="15" hidden="false" customHeight="true" outlineLevel="0" collapsed="false">
      <c r="A726" s="7" t="n">
        <v>1241</v>
      </c>
      <c r="B726" s="7" t="n">
        <v>80</v>
      </c>
      <c r="C726" s="7" t="s">
        <v>24</v>
      </c>
      <c r="D726" s="7" t="s">
        <v>25</v>
      </c>
      <c r="E726" s="7" t="n">
        <v>0</v>
      </c>
      <c r="F726" s="7" t="n">
        <v>0</v>
      </c>
      <c r="G726" s="7" t="s">
        <v>36</v>
      </c>
      <c r="H726" s="7" t="s">
        <v>27</v>
      </c>
      <c r="I726" s="7" t="n">
        <v>17</v>
      </c>
      <c r="J726" s="7" t="s">
        <v>39</v>
      </c>
      <c r="K726" s="7" t="n">
        <v>248.7</v>
      </c>
      <c r="L726" s="7" t="s">
        <v>29</v>
      </c>
      <c r="M726" s="7" t="s">
        <v>38</v>
      </c>
    </row>
    <row r="727" customFormat="false" ht="15" hidden="false" customHeight="true" outlineLevel="0" collapsed="false">
      <c r="A727" s="7" t="n">
        <v>1246</v>
      </c>
      <c r="B727" s="7" t="n">
        <v>32</v>
      </c>
      <c r="C727" s="7" t="s">
        <v>24</v>
      </c>
      <c r="D727" s="7" t="s">
        <v>25</v>
      </c>
      <c r="E727" s="7" t="n">
        <v>0</v>
      </c>
      <c r="F727" s="7" t="n">
        <v>0</v>
      </c>
      <c r="G727" s="7" t="s">
        <v>36</v>
      </c>
      <c r="H727" s="7" t="s">
        <v>32</v>
      </c>
      <c r="I727" s="7" t="n">
        <v>41.3</v>
      </c>
      <c r="J727" s="7" t="s">
        <v>39</v>
      </c>
      <c r="K727" s="7" t="n">
        <v>263.5</v>
      </c>
      <c r="L727" s="7" t="s">
        <v>29</v>
      </c>
      <c r="M727" s="7" t="s">
        <v>38</v>
      </c>
    </row>
    <row r="728" customFormat="false" ht="15" hidden="false" customHeight="true" outlineLevel="0" collapsed="false">
      <c r="A728" s="7" t="n">
        <v>1305</v>
      </c>
      <c r="B728" s="7" t="n">
        <v>55</v>
      </c>
      <c r="C728" s="7" t="s">
        <v>24</v>
      </c>
      <c r="D728" s="7" t="s">
        <v>25</v>
      </c>
      <c r="E728" s="7" t="n">
        <v>0</v>
      </c>
      <c r="F728" s="7" t="n">
        <v>0</v>
      </c>
      <c r="G728" s="7" t="s">
        <v>26</v>
      </c>
      <c r="H728" s="7" t="s">
        <v>32</v>
      </c>
      <c r="I728" s="7" t="n">
        <v>27.2</v>
      </c>
      <c r="J728" s="7" t="s">
        <v>39</v>
      </c>
      <c r="K728" s="7" t="n">
        <v>224.3</v>
      </c>
      <c r="L728" s="7" t="s">
        <v>37</v>
      </c>
      <c r="M728" s="7" t="s">
        <v>38</v>
      </c>
    </row>
    <row r="729" customFormat="false" ht="15" hidden="false" customHeight="true" outlineLevel="0" collapsed="false">
      <c r="A729" s="7" t="n">
        <v>1330</v>
      </c>
      <c r="B729" s="7" t="n">
        <v>75</v>
      </c>
      <c r="C729" s="7" t="s">
        <v>33</v>
      </c>
      <c r="D729" s="7" t="s">
        <v>25</v>
      </c>
      <c r="E729" s="7" t="n">
        <v>0</v>
      </c>
      <c r="F729" s="7" t="n">
        <v>0</v>
      </c>
      <c r="G729" s="7" t="s">
        <v>26</v>
      </c>
      <c r="H729" s="7" t="s">
        <v>32</v>
      </c>
      <c r="I729" s="7" t="n">
        <v>26.5</v>
      </c>
      <c r="J729" s="7" t="s">
        <v>39</v>
      </c>
      <c r="K729" s="7" t="n">
        <v>176.4</v>
      </c>
      <c r="L729" s="7" t="s">
        <v>29</v>
      </c>
      <c r="M729" s="7" t="s">
        <v>38</v>
      </c>
    </row>
    <row r="730" customFormat="false" ht="15" hidden="false" customHeight="true" outlineLevel="0" collapsed="false">
      <c r="A730" s="7" t="n">
        <v>1407</v>
      </c>
      <c r="B730" s="7" t="n">
        <v>22</v>
      </c>
      <c r="C730" s="7" t="s">
        <v>24</v>
      </c>
      <c r="D730" s="7" t="s">
        <v>25</v>
      </c>
      <c r="E730" s="7" t="n">
        <v>0</v>
      </c>
      <c r="F730" s="7" t="n">
        <v>0</v>
      </c>
      <c r="G730" s="7" t="s">
        <v>26</v>
      </c>
      <c r="H730" s="7" t="s">
        <v>32</v>
      </c>
      <c r="I730" s="7" t="n">
        <v>27.2</v>
      </c>
      <c r="J730" s="7" t="s">
        <v>39</v>
      </c>
      <c r="K730" s="7" t="n">
        <v>258.7</v>
      </c>
      <c r="L730" s="7" t="s">
        <v>29</v>
      </c>
      <c r="M730" s="7" t="s">
        <v>38</v>
      </c>
    </row>
    <row r="731" customFormat="false" ht="15" hidden="false" customHeight="true" outlineLevel="0" collapsed="false">
      <c r="A731" s="7" t="n">
        <v>1419</v>
      </c>
      <c r="B731" s="7" t="n">
        <v>70</v>
      </c>
      <c r="C731" s="7" t="s">
        <v>24</v>
      </c>
      <c r="D731" s="7" t="s">
        <v>25</v>
      </c>
      <c r="E731" s="7" t="n">
        <v>0</v>
      </c>
      <c r="F731" s="7" t="n">
        <v>0</v>
      </c>
      <c r="G731" s="7" t="s">
        <v>34</v>
      </c>
      <c r="H731" s="7" t="s">
        <v>32</v>
      </c>
      <c r="I731" s="7" t="n">
        <v>32.1</v>
      </c>
      <c r="J731" s="7" t="s">
        <v>39</v>
      </c>
      <c r="K731" s="7" t="n">
        <v>185.7</v>
      </c>
      <c r="L731" s="7" t="s">
        <v>29</v>
      </c>
      <c r="M731" s="7" t="s">
        <v>38</v>
      </c>
    </row>
    <row r="732" customFormat="false" ht="15" hidden="false" customHeight="true" outlineLevel="0" collapsed="false">
      <c r="A732" s="7" t="n">
        <v>1429</v>
      </c>
      <c r="B732" s="7" t="n">
        <v>31</v>
      </c>
      <c r="C732" s="7" t="s">
        <v>33</v>
      </c>
      <c r="D732" s="7" t="s">
        <v>25</v>
      </c>
      <c r="E732" s="7" t="n">
        <v>0</v>
      </c>
      <c r="F732" s="7" t="n">
        <v>0</v>
      </c>
      <c r="G732" s="7" t="s">
        <v>35</v>
      </c>
      <c r="H732" s="7" t="s">
        <v>32</v>
      </c>
      <c r="I732" s="7" t="n">
        <v>31.2</v>
      </c>
      <c r="J732" s="7" t="s">
        <v>39</v>
      </c>
      <c r="K732" s="7" t="n">
        <v>234.6</v>
      </c>
      <c r="L732" s="7" t="s">
        <v>29</v>
      </c>
      <c r="M732" s="7" t="s">
        <v>38</v>
      </c>
    </row>
    <row r="733" customFormat="false" ht="15" hidden="false" customHeight="true" outlineLevel="0" collapsed="false">
      <c r="A733" s="7" t="n">
        <v>1435</v>
      </c>
      <c r="B733" s="7" t="n">
        <v>84</v>
      </c>
      <c r="C733" s="7" t="s">
        <v>24</v>
      </c>
      <c r="D733" s="7" t="s">
        <v>25</v>
      </c>
      <c r="E733" s="7" t="n">
        <v>0</v>
      </c>
      <c r="F733" s="7" t="n">
        <v>0</v>
      </c>
      <c r="G733" s="7" t="s">
        <v>34</v>
      </c>
      <c r="H733" s="7" t="s">
        <v>27</v>
      </c>
      <c r="I733" s="7" t="n">
        <v>29.3</v>
      </c>
      <c r="J733" s="7" t="s">
        <v>39</v>
      </c>
      <c r="K733" s="7" t="n">
        <v>154.3</v>
      </c>
      <c r="L733" s="7" t="s">
        <v>29</v>
      </c>
      <c r="M733" s="7" t="s">
        <v>38</v>
      </c>
    </row>
    <row r="734" customFormat="false" ht="15" hidden="false" customHeight="true" outlineLevel="0" collapsed="false">
      <c r="A734" s="7" t="n">
        <v>1464</v>
      </c>
      <c r="B734" s="7" t="n">
        <v>76</v>
      </c>
      <c r="C734" s="7" t="s">
        <v>24</v>
      </c>
      <c r="D734" s="7" t="s">
        <v>25</v>
      </c>
      <c r="E734" s="7" t="n">
        <v>0</v>
      </c>
      <c r="F734" s="7" t="n">
        <v>0</v>
      </c>
      <c r="G734" s="7" t="s">
        <v>26</v>
      </c>
      <c r="H734" s="7" t="s">
        <v>27</v>
      </c>
      <c r="I734" s="7" t="n">
        <v>39</v>
      </c>
      <c r="J734" s="7" t="s">
        <v>39</v>
      </c>
      <c r="K734" s="7" t="n">
        <v>154.3</v>
      </c>
      <c r="L734" s="7" t="s">
        <v>29</v>
      </c>
      <c r="M734" s="7" t="s">
        <v>38</v>
      </c>
    </row>
    <row r="735" customFormat="false" ht="15" hidden="false" customHeight="true" outlineLevel="0" collapsed="false">
      <c r="A735" s="7" t="n">
        <v>1473</v>
      </c>
      <c r="B735" s="7" t="n">
        <v>49</v>
      </c>
      <c r="C735" s="7" t="s">
        <v>33</v>
      </c>
      <c r="D735" s="7" t="s">
        <v>25</v>
      </c>
      <c r="E735" s="7" t="n">
        <v>0</v>
      </c>
      <c r="F735" s="7" t="n">
        <v>0</v>
      </c>
      <c r="G735" s="7" t="s">
        <v>36</v>
      </c>
      <c r="H735" s="7" t="s">
        <v>32</v>
      </c>
      <c r="I735" s="7" t="n">
        <v>27</v>
      </c>
      <c r="J735" s="7" t="s">
        <v>39</v>
      </c>
      <c r="K735" s="7" t="n">
        <v>182.2</v>
      </c>
      <c r="L735" s="7" t="s">
        <v>29</v>
      </c>
      <c r="M735" s="7" t="s">
        <v>38</v>
      </c>
    </row>
    <row r="736" customFormat="false" ht="15" hidden="false" customHeight="true" outlineLevel="0" collapsed="false">
      <c r="A736" s="7" t="n">
        <v>1486</v>
      </c>
      <c r="B736" s="7" t="n">
        <v>22</v>
      </c>
      <c r="C736" s="7" t="s">
        <v>24</v>
      </c>
      <c r="D736" s="7" t="s">
        <v>25</v>
      </c>
      <c r="E736" s="7" t="n">
        <v>0</v>
      </c>
      <c r="F736" s="7" t="n">
        <v>0</v>
      </c>
      <c r="G736" s="7" t="s">
        <v>34</v>
      </c>
      <c r="H736" s="7" t="s">
        <v>32</v>
      </c>
      <c r="I736" s="7" t="n">
        <v>26.1</v>
      </c>
      <c r="J736" s="7" t="s">
        <v>39</v>
      </c>
      <c r="K736" s="7" t="n">
        <v>226.9</v>
      </c>
      <c r="L736" s="7" t="s">
        <v>29</v>
      </c>
      <c r="M736" s="7" t="s">
        <v>38</v>
      </c>
    </row>
    <row r="737" customFormat="false" ht="15" hidden="false" customHeight="true" outlineLevel="0" collapsed="false">
      <c r="A737" s="7" t="n">
        <v>1508</v>
      </c>
      <c r="B737" s="7" t="n">
        <v>49</v>
      </c>
      <c r="C737" s="7" t="s">
        <v>33</v>
      </c>
      <c r="D737" s="7" t="s">
        <v>25</v>
      </c>
      <c r="E737" s="7" t="n">
        <v>0</v>
      </c>
      <c r="F737" s="7" t="n">
        <v>0</v>
      </c>
      <c r="G737" s="7" t="s">
        <v>34</v>
      </c>
      <c r="H737" s="7" t="s">
        <v>27</v>
      </c>
      <c r="I737" s="7" t="n">
        <v>20.5</v>
      </c>
      <c r="J737" s="7" t="s">
        <v>39</v>
      </c>
      <c r="K737" s="7" t="n">
        <v>288</v>
      </c>
      <c r="L737" s="7" t="s">
        <v>37</v>
      </c>
      <c r="M737" s="7" t="s">
        <v>38</v>
      </c>
    </row>
    <row r="738" customFormat="false" ht="15" hidden="false" customHeight="true" outlineLevel="0" collapsed="false">
      <c r="A738" s="7" t="n">
        <v>1541</v>
      </c>
      <c r="B738" s="7" t="n">
        <v>35</v>
      </c>
      <c r="C738" s="7" t="s">
        <v>33</v>
      </c>
      <c r="D738" s="7" t="s">
        <v>25</v>
      </c>
      <c r="E738" s="7" t="n">
        <v>0</v>
      </c>
      <c r="F738" s="7" t="n">
        <v>0</v>
      </c>
      <c r="G738" s="7" t="s">
        <v>31</v>
      </c>
      <c r="H738" s="7" t="s">
        <v>27</v>
      </c>
      <c r="I738" s="7" t="n">
        <v>26.1</v>
      </c>
      <c r="J738" s="7" t="s">
        <v>39</v>
      </c>
      <c r="K738" s="7" t="n">
        <v>215.3</v>
      </c>
      <c r="L738" s="7" t="s">
        <v>29</v>
      </c>
      <c r="M738" s="7" t="s">
        <v>38</v>
      </c>
    </row>
    <row r="739" customFormat="false" ht="15" hidden="false" customHeight="true" outlineLevel="0" collapsed="false">
      <c r="A739" s="7" t="n">
        <v>1555</v>
      </c>
      <c r="B739" s="7" t="n">
        <v>19</v>
      </c>
      <c r="C739" s="7" t="s">
        <v>24</v>
      </c>
      <c r="D739" s="7" t="s">
        <v>25</v>
      </c>
      <c r="E739" s="7" t="n">
        <v>0</v>
      </c>
      <c r="F739" s="7" t="n">
        <v>0</v>
      </c>
      <c r="G739" s="7" t="s">
        <v>31</v>
      </c>
      <c r="H739" s="7" t="s">
        <v>27</v>
      </c>
      <c r="I739" s="7" t="n">
        <v>40</v>
      </c>
      <c r="J739" s="7" t="s">
        <v>39</v>
      </c>
      <c r="K739" s="7" t="n">
        <v>171.7</v>
      </c>
      <c r="L739" s="7" t="s">
        <v>29</v>
      </c>
      <c r="M739" s="7" t="s">
        <v>38</v>
      </c>
    </row>
    <row r="740" customFormat="false" ht="15" hidden="false" customHeight="true" outlineLevel="0" collapsed="false">
      <c r="A740" s="7" t="n">
        <v>1568</v>
      </c>
      <c r="B740" s="7" t="n">
        <v>48</v>
      </c>
      <c r="C740" s="7" t="s">
        <v>24</v>
      </c>
      <c r="D740" s="7" t="s">
        <v>25</v>
      </c>
      <c r="E740" s="7" t="n">
        <v>0</v>
      </c>
      <c r="F740" s="7" t="n">
        <v>0</v>
      </c>
      <c r="G740" s="7" t="s">
        <v>36</v>
      </c>
      <c r="H740" s="7" t="s">
        <v>27</v>
      </c>
      <c r="I740" s="7" t="n">
        <v>28.6</v>
      </c>
      <c r="J740" s="7" t="s">
        <v>39</v>
      </c>
      <c r="K740" s="7" t="n">
        <v>190.5</v>
      </c>
      <c r="L740" s="7" t="s">
        <v>29</v>
      </c>
      <c r="M740" s="7" t="s">
        <v>38</v>
      </c>
    </row>
    <row r="741" customFormat="false" ht="15" hidden="false" customHeight="true" outlineLevel="0" collapsed="false">
      <c r="A741" s="7" t="n">
        <v>1609</v>
      </c>
      <c r="B741" s="7" t="n">
        <v>45</v>
      </c>
      <c r="C741" s="7" t="s">
        <v>33</v>
      </c>
      <c r="D741" s="7" t="s">
        <v>25</v>
      </c>
      <c r="E741" s="7" t="n">
        <v>0</v>
      </c>
      <c r="F741" s="7" t="n">
        <v>0</v>
      </c>
      <c r="G741" s="7" t="s">
        <v>35</v>
      </c>
      <c r="H741" s="7" t="s">
        <v>27</v>
      </c>
      <c r="I741" s="7" t="n">
        <v>32.5</v>
      </c>
      <c r="J741" s="7" t="s">
        <v>39</v>
      </c>
      <c r="K741" s="7" t="n">
        <v>183.3</v>
      </c>
      <c r="L741" s="7" t="s">
        <v>29</v>
      </c>
      <c r="M741" s="7" t="s">
        <v>38</v>
      </c>
    </row>
    <row r="742" customFormat="false" ht="15" hidden="false" customHeight="true" outlineLevel="0" collapsed="false">
      <c r="A742" s="7" t="n">
        <v>1635</v>
      </c>
      <c r="B742" s="7" t="n">
        <v>43</v>
      </c>
      <c r="C742" s="7" t="s">
        <v>33</v>
      </c>
      <c r="D742" s="7" t="s">
        <v>25</v>
      </c>
      <c r="E742" s="7" t="n">
        <v>0</v>
      </c>
      <c r="F742" s="7" t="n">
        <v>0</v>
      </c>
      <c r="G742" s="7" t="s">
        <v>31</v>
      </c>
      <c r="H742" s="7" t="s">
        <v>32</v>
      </c>
      <c r="I742" s="7" t="n">
        <v>33.2</v>
      </c>
      <c r="J742" s="7" t="s">
        <v>39</v>
      </c>
      <c r="K742" s="7" t="n">
        <v>182</v>
      </c>
      <c r="L742" s="7" t="s">
        <v>29</v>
      </c>
      <c r="M742" s="7" t="s">
        <v>38</v>
      </c>
    </row>
    <row r="743" customFormat="false" ht="15" hidden="false" customHeight="true" outlineLevel="0" collapsed="false">
      <c r="A743" s="7" t="n">
        <v>1660</v>
      </c>
      <c r="B743" s="7" t="n">
        <v>58</v>
      </c>
      <c r="C743" s="7" t="s">
        <v>33</v>
      </c>
      <c r="D743" s="7" t="s">
        <v>25</v>
      </c>
      <c r="E743" s="7" t="n">
        <v>0</v>
      </c>
      <c r="F743" s="7" t="n">
        <v>0</v>
      </c>
      <c r="G743" s="7" t="s">
        <v>34</v>
      </c>
      <c r="H743" s="7" t="s">
        <v>27</v>
      </c>
      <c r="I743" s="7" t="n">
        <v>23.7</v>
      </c>
      <c r="J743" s="7" t="s">
        <v>39</v>
      </c>
      <c r="K743" s="7" t="n">
        <v>121.2</v>
      </c>
      <c r="L743" s="7" t="s">
        <v>37</v>
      </c>
      <c r="M743" s="7" t="s">
        <v>38</v>
      </c>
    </row>
    <row r="744" customFormat="false" ht="15" hidden="false" customHeight="true" outlineLevel="0" collapsed="false">
      <c r="A744" s="7" t="n">
        <v>1693</v>
      </c>
      <c r="B744" s="7" t="n">
        <v>66</v>
      </c>
      <c r="C744" s="7" t="s">
        <v>24</v>
      </c>
      <c r="D744" s="7" t="s">
        <v>25</v>
      </c>
      <c r="E744" s="7" t="n">
        <v>0</v>
      </c>
      <c r="F744" s="7" t="n">
        <v>0</v>
      </c>
      <c r="G744" s="7" t="s">
        <v>26</v>
      </c>
      <c r="H744" s="7" t="s">
        <v>27</v>
      </c>
      <c r="I744" s="7" t="n">
        <v>18.6</v>
      </c>
      <c r="J744" s="7" t="s">
        <v>39</v>
      </c>
      <c r="K744" s="7" t="n">
        <v>126.8</v>
      </c>
      <c r="L744" s="7" t="s">
        <v>29</v>
      </c>
      <c r="M744" s="7" t="s">
        <v>38</v>
      </c>
    </row>
    <row r="745" customFormat="false" ht="15" hidden="false" customHeight="true" outlineLevel="0" collapsed="false">
      <c r="A745" s="7" t="n">
        <v>1705</v>
      </c>
      <c r="B745" s="7" t="n">
        <v>57</v>
      </c>
      <c r="C745" s="7" t="s">
        <v>24</v>
      </c>
      <c r="D745" s="7" t="s">
        <v>25</v>
      </c>
      <c r="E745" s="7" t="n">
        <v>0</v>
      </c>
      <c r="F745" s="7" t="n">
        <v>0</v>
      </c>
      <c r="G745" s="7" t="s">
        <v>31</v>
      </c>
      <c r="H745" s="7" t="s">
        <v>27</v>
      </c>
      <c r="I745" s="7" t="n">
        <v>37.8</v>
      </c>
      <c r="J745" s="7" t="s">
        <v>39</v>
      </c>
      <c r="K745" s="7" t="n">
        <v>123.9</v>
      </c>
      <c r="L745" s="7" t="s">
        <v>37</v>
      </c>
      <c r="M745" s="7" t="s">
        <v>38</v>
      </c>
    </row>
    <row r="746" customFormat="false" ht="15" hidden="false" customHeight="true" outlineLevel="0" collapsed="false">
      <c r="A746" s="7" t="n">
        <v>1709</v>
      </c>
      <c r="B746" s="7" t="n">
        <v>51</v>
      </c>
      <c r="C746" s="7" t="s">
        <v>33</v>
      </c>
      <c r="D746" s="7" t="s">
        <v>25</v>
      </c>
      <c r="E746" s="7" t="n">
        <v>0</v>
      </c>
      <c r="F746" s="7" t="n">
        <v>0</v>
      </c>
      <c r="G746" s="7" t="s">
        <v>31</v>
      </c>
      <c r="H746" s="7" t="s">
        <v>27</v>
      </c>
      <c r="I746" s="7" t="n">
        <v>37.6</v>
      </c>
      <c r="J746" s="7" t="s">
        <v>39</v>
      </c>
      <c r="K746" s="7" t="n">
        <v>250.8</v>
      </c>
      <c r="L746" s="7" t="s">
        <v>29</v>
      </c>
      <c r="M746" s="7" t="s">
        <v>38</v>
      </c>
    </row>
    <row r="747" customFormat="false" ht="15" hidden="false" customHeight="true" outlineLevel="0" collapsed="false">
      <c r="A747" s="7" t="n">
        <v>1722</v>
      </c>
      <c r="B747" s="7" t="n">
        <v>33</v>
      </c>
      <c r="C747" s="7" t="s">
        <v>24</v>
      </c>
      <c r="D747" s="7" t="s">
        <v>25</v>
      </c>
      <c r="E747" s="7" t="n">
        <v>0</v>
      </c>
      <c r="F747" s="7" t="n">
        <v>0</v>
      </c>
      <c r="G747" s="7" t="s">
        <v>36</v>
      </c>
      <c r="H747" s="7" t="s">
        <v>27</v>
      </c>
      <c r="I747" s="7" t="n">
        <v>39.1</v>
      </c>
      <c r="J747" s="7" t="s">
        <v>39</v>
      </c>
      <c r="K747" s="7" t="n">
        <v>157.7</v>
      </c>
      <c r="L747" s="7" t="s">
        <v>37</v>
      </c>
      <c r="M747" s="7" t="s">
        <v>38</v>
      </c>
    </row>
    <row r="748" customFormat="false" ht="15" hidden="false" customHeight="true" outlineLevel="0" collapsed="false">
      <c r="A748" s="7" t="n">
        <v>1756</v>
      </c>
      <c r="B748" s="7" t="n">
        <v>79</v>
      </c>
      <c r="C748" s="7" t="s">
        <v>24</v>
      </c>
      <c r="D748" s="7" t="s">
        <v>25</v>
      </c>
      <c r="E748" s="7" t="n">
        <v>0</v>
      </c>
      <c r="F748" s="7" t="n">
        <v>0</v>
      </c>
      <c r="G748" s="7" t="s">
        <v>31</v>
      </c>
      <c r="H748" s="7" t="s">
        <v>32</v>
      </c>
      <c r="I748" s="7" t="n">
        <v>20.5</v>
      </c>
      <c r="J748" s="7" t="s">
        <v>39</v>
      </c>
      <c r="K748" s="7" t="n">
        <v>290.7</v>
      </c>
      <c r="L748" s="7" t="s">
        <v>29</v>
      </c>
      <c r="M748" s="7" t="s">
        <v>38</v>
      </c>
    </row>
    <row r="749" customFormat="false" ht="15" hidden="false" customHeight="true" outlineLevel="0" collapsed="false">
      <c r="A749" s="7" t="n">
        <v>1767</v>
      </c>
      <c r="B749" s="7" t="n">
        <v>62</v>
      </c>
      <c r="C749" s="7" t="s">
        <v>33</v>
      </c>
      <c r="D749" s="7" t="s">
        <v>25</v>
      </c>
      <c r="E749" s="7" t="n">
        <v>0</v>
      </c>
      <c r="F749" s="7" t="n">
        <v>0</v>
      </c>
      <c r="G749" s="7" t="s">
        <v>36</v>
      </c>
      <c r="H749" s="7" t="s">
        <v>27</v>
      </c>
      <c r="I749" s="7" t="n">
        <v>18.1</v>
      </c>
      <c r="J749" s="7" t="s">
        <v>39</v>
      </c>
      <c r="K749" s="7" t="n">
        <v>122.1</v>
      </c>
      <c r="L749" s="7" t="s">
        <v>37</v>
      </c>
      <c r="M749" s="7" t="s">
        <v>38</v>
      </c>
    </row>
    <row r="750" customFormat="false" ht="15" hidden="false" customHeight="true" outlineLevel="0" collapsed="false">
      <c r="A750" s="7" t="n">
        <v>1785</v>
      </c>
      <c r="B750" s="7" t="n">
        <v>49</v>
      </c>
      <c r="C750" s="7" t="s">
        <v>33</v>
      </c>
      <c r="D750" s="7" t="s">
        <v>25</v>
      </c>
      <c r="E750" s="7" t="n">
        <v>0</v>
      </c>
      <c r="F750" s="7" t="n">
        <v>0</v>
      </c>
      <c r="G750" s="7" t="s">
        <v>34</v>
      </c>
      <c r="H750" s="7" t="s">
        <v>27</v>
      </c>
      <c r="I750" s="7" t="n">
        <v>33.3</v>
      </c>
      <c r="J750" s="7" t="s">
        <v>39</v>
      </c>
      <c r="K750" s="7" t="n">
        <v>168.1</v>
      </c>
      <c r="L750" s="7" t="s">
        <v>29</v>
      </c>
      <c r="M750" s="7" t="s">
        <v>38</v>
      </c>
    </row>
    <row r="751" customFormat="false" ht="15" hidden="false" customHeight="true" outlineLevel="0" collapsed="false">
      <c r="A751" s="7" t="n">
        <v>1834</v>
      </c>
      <c r="B751" s="7" t="n">
        <v>36</v>
      </c>
      <c r="C751" s="7" t="s">
        <v>33</v>
      </c>
      <c r="D751" s="7" t="s">
        <v>25</v>
      </c>
      <c r="E751" s="7" t="n">
        <v>0</v>
      </c>
      <c r="F751" s="7" t="n">
        <v>0</v>
      </c>
      <c r="G751" s="7" t="s">
        <v>36</v>
      </c>
      <c r="H751" s="7" t="s">
        <v>27</v>
      </c>
      <c r="I751" s="7" t="n">
        <v>21.3</v>
      </c>
      <c r="J751" s="7" t="s">
        <v>39</v>
      </c>
      <c r="K751" s="7" t="n">
        <v>195.5</v>
      </c>
      <c r="L751" s="7" t="s">
        <v>29</v>
      </c>
      <c r="M751" s="7" t="s">
        <v>38</v>
      </c>
    </row>
    <row r="752" customFormat="false" ht="15" hidden="false" customHeight="true" outlineLevel="0" collapsed="false">
      <c r="A752" s="7" t="n">
        <v>1853</v>
      </c>
      <c r="B752" s="7" t="n">
        <v>72</v>
      </c>
      <c r="C752" s="7" t="s">
        <v>33</v>
      </c>
      <c r="D752" s="7" t="s">
        <v>25</v>
      </c>
      <c r="E752" s="7" t="n">
        <v>0</v>
      </c>
      <c r="F752" s="7" t="n">
        <v>0</v>
      </c>
      <c r="G752" s="7" t="s">
        <v>36</v>
      </c>
      <c r="H752" s="7" t="s">
        <v>27</v>
      </c>
      <c r="I752" s="7" t="n">
        <v>33.7</v>
      </c>
      <c r="J752" s="7" t="s">
        <v>39</v>
      </c>
      <c r="K752" s="7" t="n">
        <v>196.6</v>
      </c>
      <c r="L752" s="7" t="s">
        <v>37</v>
      </c>
      <c r="M752" s="7" t="s">
        <v>38</v>
      </c>
    </row>
    <row r="753" customFormat="false" ht="15" hidden="false" customHeight="true" outlineLevel="0" collapsed="false">
      <c r="A753" s="7" t="n">
        <v>1875</v>
      </c>
      <c r="B753" s="7" t="n">
        <v>68</v>
      </c>
      <c r="C753" s="7" t="s">
        <v>33</v>
      </c>
      <c r="D753" s="7" t="s">
        <v>25</v>
      </c>
      <c r="E753" s="7" t="n">
        <v>0</v>
      </c>
      <c r="F753" s="7" t="n">
        <v>0</v>
      </c>
      <c r="G753" s="7" t="s">
        <v>34</v>
      </c>
      <c r="H753" s="7" t="s">
        <v>27</v>
      </c>
      <c r="I753" s="7" t="n">
        <v>17.1</v>
      </c>
      <c r="J753" s="7" t="s">
        <v>39</v>
      </c>
      <c r="K753" s="7" t="n">
        <v>232.1</v>
      </c>
      <c r="L753" s="7" t="s">
        <v>29</v>
      </c>
      <c r="M753" s="7" t="s">
        <v>38</v>
      </c>
    </row>
    <row r="754" customFormat="false" ht="15" hidden="false" customHeight="true" outlineLevel="0" collapsed="false">
      <c r="A754" s="7" t="n">
        <v>1884</v>
      </c>
      <c r="B754" s="7" t="n">
        <v>29</v>
      </c>
      <c r="C754" s="7" t="s">
        <v>24</v>
      </c>
      <c r="D754" s="7" t="s">
        <v>25</v>
      </c>
      <c r="E754" s="7" t="n">
        <v>0</v>
      </c>
      <c r="F754" s="7" t="n">
        <v>0</v>
      </c>
      <c r="G754" s="7" t="s">
        <v>34</v>
      </c>
      <c r="H754" s="7" t="s">
        <v>27</v>
      </c>
      <c r="I754" s="7" t="n">
        <v>28.1</v>
      </c>
      <c r="J754" s="7" t="s">
        <v>39</v>
      </c>
      <c r="K754" s="7" t="n">
        <v>241.9</v>
      </c>
      <c r="L754" s="7" t="s">
        <v>29</v>
      </c>
      <c r="M754" s="7" t="s">
        <v>38</v>
      </c>
    </row>
    <row r="755" customFormat="false" ht="15" hidden="false" customHeight="true" outlineLevel="0" collapsed="false">
      <c r="A755" s="7" t="n">
        <v>1906</v>
      </c>
      <c r="B755" s="7" t="n">
        <v>49</v>
      </c>
      <c r="C755" s="7" t="s">
        <v>24</v>
      </c>
      <c r="D755" s="7" t="s">
        <v>25</v>
      </c>
      <c r="E755" s="7" t="n">
        <v>0</v>
      </c>
      <c r="F755" s="7" t="n">
        <v>0</v>
      </c>
      <c r="G755" s="7" t="s">
        <v>26</v>
      </c>
      <c r="H755" s="7" t="s">
        <v>32</v>
      </c>
      <c r="I755" s="7" t="n">
        <v>40.7</v>
      </c>
      <c r="J755" s="7" t="s">
        <v>39</v>
      </c>
      <c r="K755" s="7" t="n">
        <v>291.3</v>
      </c>
      <c r="L755" s="7" t="s">
        <v>37</v>
      </c>
      <c r="M755" s="7" t="s">
        <v>38</v>
      </c>
    </row>
    <row r="756" customFormat="false" ht="15" hidden="false" customHeight="true" outlineLevel="0" collapsed="false">
      <c r="A756" s="7" t="n">
        <v>1920</v>
      </c>
      <c r="B756" s="7" t="n">
        <v>22</v>
      </c>
      <c r="C756" s="7" t="s">
        <v>24</v>
      </c>
      <c r="D756" s="7" t="s">
        <v>25</v>
      </c>
      <c r="E756" s="7" t="n">
        <v>0</v>
      </c>
      <c r="F756" s="7" t="n">
        <v>0</v>
      </c>
      <c r="G756" s="7" t="s">
        <v>34</v>
      </c>
      <c r="H756" s="7" t="s">
        <v>32</v>
      </c>
      <c r="I756" s="7" t="n">
        <v>34.8</v>
      </c>
      <c r="J756" s="7" t="s">
        <v>39</v>
      </c>
      <c r="K756" s="7" t="n">
        <v>217.4</v>
      </c>
      <c r="L756" s="7" t="s">
        <v>37</v>
      </c>
      <c r="M756" s="7" t="s">
        <v>38</v>
      </c>
    </row>
    <row r="757" customFormat="false" ht="15" hidden="false" customHeight="true" outlineLevel="0" collapsed="false">
      <c r="A757" s="7" t="n">
        <v>1924</v>
      </c>
      <c r="B757" s="7" t="n">
        <v>75</v>
      </c>
      <c r="C757" s="7" t="s">
        <v>24</v>
      </c>
      <c r="D757" s="7" t="s">
        <v>25</v>
      </c>
      <c r="E757" s="7" t="n">
        <v>0</v>
      </c>
      <c r="F757" s="7" t="n">
        <v>0</v>
      </c>
      <c r="G757" s="7" t="s">
        <v>36</v>
      </c>
      <c r="H757" s="7" t="s">
        <v>32</v>
      </c>
      <c r="I757" s="7" t="n">
        <v>17.8</v>
      </c>
      <c r="J757" s="7" t="s">
        <v>39</v>
      </c>
      <c r="K757" s="7" t="n">
        <v>276.7</v>
      </c>
      <c r="L757" s="7" t="s">
        <v>29</v>
      </c>
      <c r="M757" s="7" t="s">
        <v>38</v>
      </c>
    </row>
    <row r="758" customFormat="false" ht="15" hidden="false" customHeight="true" outlineLevel="0" collapsed="false">
      <c r="A758" s="7" t="n">
        <v>1934</v>
      </c>
      <c r="B758" s="7" t="n">
        <v>57</v>
      </c>
      <c r="C758" s="7" t="s">
        <v>24</v>
      </c>
      <c r="D758" s="7" t="s">
        <v>25</v>
      </c>
      <c r="E758" s="7" t="n">
        <v>0</v>
      </c>
      <c r="F758" s="7" t="n">
        <v>0</v>
      </c>
      <c r="G758" s="7" t="s">
        <v>31</v>
      </c>
      <c r="H758" s="7" t="s">
        <v>32</v>
      </c>
      <c r="I758" s="7" t="n">
        <v>34.2</v>
      </c>
      <c r="J758" s="7" t="s">
        <v>39</v>
      </c>
      <c r="K758" s="7" t="n">
        <v>211.8</v>
      </c>
      <c r="L758" s="7" t="s">
        <v>29</v>
      </c>
      <c r="M758" s="7" t="s">
        <v>38</v>
      </c>
    </row>
    <row r="759" customFormat="false" ht="15" hidden="false" customHeight="true" outlineLevel="0" collapsed="false">
      <c r="A759" s="7" t="n">
        <v>1951</v>
      </c>
      <c r="B759" s="7" t="n">
        <v>49</v>
      </c>
      <c r="C759" s="7" t="s">
        <v>33</v>
      </c>
      <c r="D759" s="7" t="s">
        <v>25</v>
      </c>
      <c r="E759" s="7" t="n">
        <v>0</v>
      </c>
      <c r="F759" s="7" t="n">
        <v>0</v>
      </c>
      <c r="G759" s="7" t="s">
        <v>36</v>
      </c>
      <c r="H759" s="7" t="s">
        <v>27</v>
      </c>
      <c r="I759" s="7" t="n">
        <v>40.3</v>
      </c>
      <c r="J759" s="7" t="s">
        <v>39</v>
      </c>
      <c r="K759" s="7" t="n">
        <v>205</v>
      </c>
      <c r="L759" s="7" t="s">
        <v>29</v>
      </c>
      <c r="M759" s="7" t="s">
        <v>38</v>
      </c>
    </row>
    <row r="760" customFormat="false" ht="15" hidden="false" customHeight="true" outlineLevel="0" collapsed="false">
      <c r="A760" s="7" t="n">
        <v>1959</v>
      </c>
      <c r="B760" s="7" t="n">
        <v>29</v>
      </c>
      <c r="C760" s="7" t="s">
        <v>24</v>
      </c>
      <c r="D760" s="7" t="s">
        <v>25</v>
      </c>
      <c r="E760" s="7" t="n">
        <v>0</v>
      </c>
      <c r="F760" s="7" t="n">
        <v>0</v>
      </c>
      <c r="G760" s="7" t="s">
        <v>26</v>
      </c>
      <c r="H760" s="7" t="s">
        <v>27</v>
      </c>
      <c r="I760" s="7" t="n">
        <v>23</v>
      </c>
      <c r="J760" s="7" t="s">
        <v>39</v>
      </c>
      <c r="K760" s="7" t="n">
        <v>179.9</v>
      </c>
      <c r="L760" s="7" t="s">
        <v>37</v>
      </c>
      <c r="M760" s="7" t="s">
        <v>38</v>
      </c>
    </row>
    <row r="761" customFormat="false" ht="15" hidden="false" customHeight="true" outlineLevel="0" collapsed="false">
      <c r="A761" s="7" t="n">
        <v>1964</v>
      </c>
      <c r="B761" s="7" t="n">
        <v>33</v>
      </c>
      <c r="C761" s="7" t="s">
        <v>33</v>
      </c>
      <c r="D761" s="7" t="s">
        <v>25</v>
      </c>
      <c r="E761" s="7" t="n">
        <v>0</v>
      </c>
      <c r="F761" s="7" t="n">
        <v>0</v>
      </c>
      <c r="G761" s="7" t="s">
        <v>31</v>
      </c>
      <c r="H761" s="7" t="s">
        <v>27</v>
      </c>
      <c r="I761" s="7" t="n">
        <v>19.5</v>
      </c>
      <c r="J761" s="7" t="s">
        <v>39</v>
      </c>
      <c r="K761" s="7" t="n">
        <v>211.4</v>
      </c>
      <c r="L761" s="7" t="s">
        <v>29</v>
      </c>
      <c r="M761" s="7" t="s">
        <v>38</v>
      </c>
    </row>
    <row r="762" customFormat="false" ht="15" hidden="false" customHeight="true" outlineLevel="0" collapsed="false">
      <c r="A762" s="7" t="n">
        <v>1979</v>
      </c>
      <c r="B762" s="7" t="n">
        <v>47</v>
      </c>
      <c r="C762" s="7" t="s">
        <v>33</v>
      </c>
      <c r="D762" s="7" t="s">
        <v>25</v>
      </c>
      <c r="E762" s="7" t="n">
        <v>0</v>
      </c>
      <c r="F762" s="7" t="n">
        <v>0</v>
      </c>
      <c r="G762" s="7" t="s">
        <v>31</v>
      </c>
      <c r="H762" s="7" t="s">
        <v>32</v>
      </c>
      <c r="I762" s="7" t="n">
        <v>28.3</v>
      </c>
      <c r="J762" s="7" t="s">
        <v>39</v>
      </c>
      <c r="K762" s="7" t="n">
        <v>150.2</v>
      </c>
      <c r="L762" s="7" t="s">
        <v>37</v>
      </c>
      <c r="M762" s="7" t="s">
        <v>38</v>
      </c>
    </row>
    <row r="763" customFormat="false" ht="15" hidden="false" customHeight="true" outlineLevel="0" collapsed="false">
      <c r="A763" s="7" t="n">
        <v>2030</v>
      </c>
      <c r="B763" s="7" t="n">
        <v>37</v>
      </c>
      <c r="C763" s="7" t="s">
        <v>24</v>
      </c>
      <c r="D763" s="7" t="s">
        <v>25</v>
      </c>
      <c r="E763" s="7" t="n">
        <v>0</v>
      </c>
      <c r="F763" s="7" t="n">
        <v>0</v>
      </c>
      <c r="G763" s="7" t="s">
        <v>26</v>
      </c>
      <c r="H763" s="7" t="s">
        <v>32</v>
      </c>
      <c r="I763" s="7" t="n">
        <v>30</v>
      </c>
      <c r="J763" s="7" t="s">
        <v>39</v>
      </c>
      <c r="K763" s="7" t="n">
        <v>178.7</v>
      </c>
      <c r="L763" s="7" t="s">
        <v>37</v>
      </c>
      <c r="M763" s="7" t="s">
        <v>38</v>
      </c>
    </row>
    <row r="764" customFormat="false" ht="15" hidden="false" customHeight="true" outlineLevel="0" collapsed="false">
      <c r="A764" s="7" t="n">
        <v>2106</v>
      </c>
      <c r="B764" s="7" t="n">
        <v>57</v>
      </c>
      <c r="C764" s="7" t="s">
        <v>33</v>
      </c>
      <c r="D764" s="7" t="s">
        <v>25</v>
      </c>
      <c r="E764" s="7" t="n">
        <v>0</v>
      </c>
      <c r="F764" s="7" t="n">
        <v>0</v>
      </c>
      <c r="G764" s="7" t="s">
        <v>34</v>
      </c>
      <c r="H764" s="7" t="s">
        <v>27</v>
      </c>
      <c r="I764" s="7" t="n">
        <v>17.3</v>
      </c>
      <c r="J764" s="7" t="s">
        <v>39</v>
      </c>
      <c r="K764" s="7" t="n">
        <v>145.1</v>
      </c>
      <c r="L764" s="7" t="s">
        <v>29</v>
      </c>
      <c r="M764" s="7" t="s">
        <v>38</v>
      </c>
    </row>
    <row r="765" customFormat="false" ht="15" hidden="false" customHeight="true" outlineLevel="0" collapsed="false">
      <c r="A765" s="7" t="n">
        <v>2124</v>
      </c>
      <c r="B765" s="7" t="n">
        <v>39</v>
      </c>
      <c r="C765" s="7" t="s">
        <v>24</v>
      </c>
      <c r="D765" s="7" t="s">
        <v>25</v>
      </c>
      <c r="E765" s="7" t="n">
        <v>0</v>
      </c>
      <c r="F765" s="7" t="n">
        <v>0</v>
      </c>
      <c r="G765" s="7" t="s">
        <v>34</v>
      </c>
      <c r="H765" s="7" t="s">
        <v>27</v>
      </c>
      <c r="I765" s="7" t="n">
        <v>21.1</v>
      </c>
      <c r="J765" s="7" t="s">
        <v>39</v>
      </c>
      <c r="K765" s="7" t="n">
        <v>121.1</v>
      </c>
      <c r="L765" s="7" t="s">
        <v>37</v>
      </c>
      <c r="M765" s="7" t="s">
        <v>38</v>
      </c>
    </row>
    <row r="766" customFormat="false" ht="15" hidden="false" customHeight="true" outlineLevel="0" collapsed="false">
      <c r="A766" s="7" t="n">
        <v>2137</v>
      </c>
      <c r="B766" s="7" t="n">
        <v>32</v>
      </c>
      <c r="C766" s="7" t="s">
        <v>24</v>
      </c>
      <c r="D766" s="7" t="s">
        <v>25</v>
      </c>
      <c r="E766" s="7" t="n">
        <v>0</v>
      </c>
      <c r="F766" s="7" t="n">
        <v>0</v>
      </c>
      <c r="G766" s="7" t="s">
        <v>31</v>
      </c>
      <c r="H766" s="7" t="s">
        <v>32</v>
      </c>
      <c r="I766" s="7" t="n">
        <v>19.7</v>
      </c>
      <c r="J766" s="7" t="s">
        <v>39</v>
      </c>
      <c r="K766" s="7" t="n">
        <v>224.6</v>
      </c>
      <c r="L766" s="7" t="s">
        <v>29</v>
      </c>
      <c r="M766" s="7" t="s">
        <v>38</v>
      </c>
    </row>
    <row r="767" customFormat="false" ht="15" hidden="false" customHeight="true" outlineLevel="0" collapsed="false">
      <c r="A767" s="7" t="n">
        <v>2161</v>
      </c>
      <c r="B767" s="7" t="n">
        <v>75</v>
      </c>
      <c r="C767" s="7" t="s">
        <v>33</v>
      </c>
      <c r="D767" s="7" t="s">
        <v>25</v>
      </c>
      <c r="E767" s="7" t="n">
        <v>0</v>
      </c>
      <c r="F767" s="7" t="n">
        <v>0</v>
      </c>
      <c r="G767" s="7" t="s">
        <v>31</v>
      </c>
      <c r="H767" s="7" t="s">
        <v>27</v>
      </c>
      <c r="I767" s="7" t="n">
        <v>19.9</v>
      </c>
      <c r="J767" s="7" t="s">
        <v>39</v>
      </c>
      <c r="K767" s="7" t="n">
        <v>241.4</v>
      </c>
      <c r="L767" s="7" t="s">
        <v>37</v>
      </c>
      <c r="M767" s="7" t="s">
        <v>38</v>
      </c>
    </row>
    <row r="768" customFormat="false" ht="15" hidden="false" customHeight="true" outlineLevel="0" collapsed="false">
      <c r="A768" s="7" t="n">
        <v>2196</v>
      </c>
      <c r="B768" s="7" t="n">
        <v>31</v>
      </c>
      <c r="C768" s="7" t="s">
        <v>33</v>
      </c>
      <c r="D768" s="7" t="s">
        <v>25</v>
      </c>
      <c r="E768" s="7" t="n">
        <v>0</v>
      </c>
      <c r="F768" s="7" t="n">
        <v>0</v>
      </c>
      <c r="G768" s="7" t="s">
        <v>26</v>
      </c>
      <c r="H768" s="7" t="s">
        <v>27</v>
      </c>
      <c r="I768" s="7" t="n">
        <v>28</v>
      </c>
      <c r="J768" s="7" t="s">
        <v>39</v>
      </c>
      <c r="K768" s="7" t="n">
        <v>286.9</v>
      </c>
      <c r="L768" s="7" t="s">
        <v>29</v>
      </c>
      <c r="M768" s="7" t="s">
        <v>38</v>
      </c>
    </row>
    <row r="769" customFormat="false" ht="15" hidden="false" customHeight="true" outlineLevel="0" collapsed="false">
      <c r="A769" s="7" t="n">
        <v>2229</v>
      </c>
      <c r="B769" s="7" t="n">
        <v>55</v>
      </c>
      <c r="C769" s="7" t="s">
        <v>33</v>
      </c>
      <c r="D769" s="7" t="s">
        <v>25</v>
      </c>
      <c r="E769" s="7" t="n">
        <v>0</v>
      </c>
      <c r="F769" s="7" t="n">
        <v>0</v>
      </c>
      <c r="G769" s="7" t="s">
        <v>31</v>
      </c>
      <c r="H769" s="7" t="s">
        <v>27</v>
      </c>
      <c r="I769" s="7" t="n">
        <v>25.7</v>
      </c>
      <c r="J769" s="7" t="s">
        <v>39</v>
      </c>
      <c r="K769" s="7" t="n">
        <v>126.4</v>
      </c>
      <c r="L769" s="7" t="s">
        <v>29</v>
      </c>
      <c r="M769" s="7" t="s">
        <v>38</v>
      </c>
    </row>
    <row r="770" customFormat="false" ht="15" hidden="false" customHeight="true" outlineLevel="0" collapsed="false">
      <c r="A770" s="7" t="n">
        <v>2235</v>
      </c>
      <c r="B770" s="7" t="n">
        <v>38</v>
      </c>
      <c r="C770" s="7" t="s">
        <v>33</v>
      </c>
      <c r="D770" s="7" t="s">
        <v>25</v>
      </c>
      <c r="E770" s="7" t="n">
        <v>0</v>
      </c>
      <c r="F770" s="7" t="n">
        <v>0</v>
      </c>
      <c r="G770" s="7" t="s">
        <v>36</v>
      </c>
      <c r="H770" s="7" t="s">
        <v>27</v>
      </c>
      <c r="I770" s="7" t="n">
        <v>31.6</v>
      </c>
      <c r="J770" s="7" t="s">
        <v>39</v>
      </c>
      <c r="K770" s="7" t="n">
        <v>285.7</v>
      </c>
      <c r="L770" s="7" t="s">
        <v>29</v>
      </c>
      <c r="M770" s="7" t="s">
        <v>38</v>
      </c>
    </row>
    <row r="771" customFormat="false" ht="15" hidden="false" customHeight="true" outlineLevel="0" collapsed="false">
      <c r="A771" s="7" t="n">
        <v>2240</v>
      </c>
      <c r="B771" s="7" t="n">
        <v>54</v>
      </c>
      <c r="C771" s="7" t="s">
        <v>33</v>
      </c>
      <c r="D771" s="7" t="s">
        <v>25</v>
      </c>
      <c r="E771" s="7" t="n">
        <v>0</v>
      </c>
      <c r="F771" s="7" t="n">
        <v>0</v>
      </c>
      <c r="G771" s="7" t="s">
        <v>31</v>
      </c>
      <c r="H771" s="7" t="s">
        <v>27</v>
      </c>
      <c r="I771" s="7" t="n">
        <v>30.2</v>
      </c>
      <c r="J771" s="7" t="s">
        <v>39</v>
      </c>
      <c r="K771" s="7" t="n">
        <v>134.6</v>
      </c>
      <c r="L771" s="7" t="s">
        <v>29</v>
      </c>
      <c r="M771" s="7" t="s">
        <v>38</v>
      </c>
    </row>
    <row r="772" customFormat="false" ht="15" hidden="false" customHeight="true" outlineLevel="0" collapsed="false">
      <c r="A772" s="7" t="n">
        <v>2274</v>
      </c>
      <c r="B772" s="7" t="n">
        <v>39</v>
      </c>
      <c r="C772" s="7" t="s">
        <v>33</v>
      </c>
      <c r="D772" s="7" t="s">
        <v>25</v>
      </c>
      <c r="E772" s="7" t="n">
        <v>0</v>
      </c>
      <c r="F772" s="7" t="n">
        <v>0</v>
      </c>
      <c r="G772" s="7" t="s">
        <v>35</v>
      </c>
      <c r="H772" s="7" t="s">
        <v>32</v>
      </c>
      <c r="I772" s="7" t="n">
        <v>21.8</v>
      </c>
      <c r="J772" s="7" t="s">
        <v>39</v>
      </c>
      <c r="K772" s="7" t="n">
        <v>145.5</v>
      </c>
      <c r="L772" s="7" t="s">
        <v>29</v>
      </c>
      <c r="M772" s="7" t="s">
        <v>38</v>
      </c>
    </row>
    <row r="773" customFormat="false" ht="15" hidden="false" customHeight="true" outlineLevel="0" collapsed="false">
      <c r="A773" s="7" t="n">
        <v>2292</v>
      </c>
      <c r="B773" s="7" t="n">
        <v>48</v>
      </c>
      <c r="C773" s="7" t="s">
        <v>33</v>
      </c>
      <c r="D773" s="7" t="s">
        <v>25</v>
      </c>
      <c r="E773" s="7" t="n">
        <v>0</v>
      </c>
      <c r="F773" s="7" t="n">
        <v>0</v>
      </c>
      <c r="G773" s="7" t="s">
        <v>31</v>
      </c>
      <c r="H773" s="7" t="s">
        <v>27</v>
      </c>
      <c r="I773" s="7" t="n">
        <v>23.8</v>
      </c>
      <c r="J773" s="7" t="s">
        <v>39</v>
      </c>
      <c r="K773" s="7" t="n">
        <v>153.7</v>
      </c>
      <c r="L773" s="7" t="s">
        <v>29</v>
      </c>
      <c r="M773" s="7" t="s">
        <v>38</v>
      </c>
    </row>
    <row r="774" customFormat="false" ht="15" hidden="false" customHeight="true" outlineLevel="0" collapsed="false">
      <c r="A774" s="7" t="n">
        <v>2338</v>
      </c>
      <c r="B774" s="7" t="n">
        <v>29</v>
      </c>
      <c r="C774" s="7" t="s">
        <v>33</v>
      </c>
      <c r="D774" s="7" t="s">
        <v>25</v>
      </c>
      <c r="E774" s="7" t="n">
        <v>0</v>
      </c>
      <c r="F774" s="7" t="n">
        <v>0</v>
      </c>
      <c r="G774" s="7" t="s">
        <v>26</v>
      </c>
      <c r="H774" s="7" t="s">
        <v>27</v>
      </c>
      <c r="I774" s="7" t="n">
        <v>23</v>
      </c>
      <c r="J774" s="7" t="s">
        <v>39</v>
      </c>
      <c r="K774" s="7" t="n">
        <v>167.6</v>
      </c>
      <c r="L774" s="7" t="s">
        <v>29</v>
      </c>
      <c r="M774" s="7" t="s">
        <v>38</v>
      </c>
    </row>
    <row r="775" customFormat="false" ht="15" hidden="false" customHeight="true" outlineLevel="0" collapsed="false">
      <c r="A775" s="7" t="n">
        <v>2423</v>
      </c>
      <c r="B775" s="7" t="n">
        <v>67</v>
      </c>
      <c r="C775" s="7" t="s">
        <v>33</v>
      </c>
      <c r="D775" s="7" t="s">
        <v>25</v>
      </c>
      <c r="E775" s="7" t="n">
        <v>0</v>
      </c>
      <c r="F775" s="7" t="n">
        <v>0</v>
      </c>
      <c r="G775" s="7" t="s">
        <v>26</v>
      </c>
      <c r="H775" s="7" t="s">
        <v>27</v>
      </c>
      <c r="I775" s="7" t="n">
        <v>23.9</v>
      </c>
      <c r="J775" s="7" t="s">
        <v>39</v>
      </c>
      <c r="K775" s="7" t="n">
        <v>135.4</v>
      </c>
      <c r="L775" s="7" t="s">
        <v>29</v>
      </c>
      <c r="M775" s="7" t="s">
        <v>38</v>
      </c>
    </row>
    <row r="776" customFormat="false" ht="15" hidden="false" customHeight="true" outlineLevel="0" collapsed="false">
      <c r="A776" s="7" t="n">
        <v>2444</v>
      </c>
      <c r="B776" s="7" t="n">
        <v>79</v>
      </c>
      <c r="C776" s="7" t="s">
        <v>24</v>
      </c>
      <c r="D776" s="7" t="s">
        <v>25</v>
      </c>
      <c r="E776" s="7" t="n">
        <v>0</v>
      </c>
      <c r="F776" s="7" t="n">
        <v>0</v>
      </c>
      <c r="G776" s="7" t="s">
        <v>35</v>
      </c>
      <c r="H776" s="7" t="s">
        <v>27</v>
      </c>
      <c r="I776" s="7" t="n">
        <v>39.6</v>
      </c>
      <c r="J776" s="7" t="s">
        <v>39</v>
      </c>
      <c r="K776" s="7" t="n">
        <v>136.6</v>
      </c>
      <c r="L776" s="7" t="s">
        <v>29</v>
      </c>
      <c r="M776" s="7" t="s">
        <v>38</v>
      </c>
    </row>
    <row r="777" customFormat="false" ht="15" hidden="false" customHeight="true" outlineLevel="0" collapsed="false">
      <c r="A777" s="7" t="n">
        <v>2469</v>
      </c>
      <c r="B777" s="7" t="n">
        <v>55</v>
      </c>
      <c r="C777" s="7" t="s">
        <v>33</v>
      </c>
      <c r="D777" s="7" t="s">
        <v>25</v>
      </c>
      <c r="E777" s="7" t="n">
        <v>0</v>
      </c>
      <c r="F777" s="7" t="n">
        <v>0</v>
      </c>
      <c r="G777" s="7" t="s">
        <v>35</v>
      </c>
      <c r="H777" s="7" t="s">
        <v>32</v>
      </c>
      <c r="I777" s="7" t="n">
        <v>39</v>
      </c>
      <c r="J777" s="7" t="s">
        <v>39</v>
      </c>
      <c r="K777" s="7" t="n">
        <v>204.1</v>
      </c>
      <c r="L777" s="7" t="s">
        <v>29</v>
      </c>
      <c r="M777" s="7" t="s">
        <v>38</v>
      </c>
    </row>
    <row r="778" customFormat="false" ht="15" hidden="false" customHeight="true" outlineLevel="0" collapsed="false">
      <c r="A778" s="7" t="n">
        <v>11</v>
      </c>
      <c r="B778" s="7" t="n">
        <v>21</v>
      </c>
      <c r="C778" s="7" t="s">
        <v>24</v>
      </c>
      <c r="D778" s="7" t="s">
        <v>25</v>
      </c>
      <c r="E778" s="7" t="n">
        <v>0</v>
      </c>
      <c r="F778" s="7" t="n">
        <v>0</v>
      </c>
      <c r="G778" s="7" t="s">
        <v>26</v>
      </c>
      <c r="H778" s="7" t="s">
        <v>27</v>
      </c>
      <c r="I778" s="7" t="n">
        <v>27.3</v>
      </c>
      <c r="J778" s="7" t="s">
        <v>39</v>
      </c>
      <c r="K778" s="7" t="n">
        <v>161.2</v>
      </c>
      <c r="L778" s="7" t="s">
        <v>37</v>
      </c>
      <c r="M778" s="7" t="s">
        <v>30</v>
      </c>
    </row>
    <row r="779" customFormat="false" ht="15" hidden="false" customHeight="true" outlineLevel="0" collapsed="false">
      <c r="A779" s="7" t="n">
        <v>148</v>
      </c>
      <c r="B779" s="7" t="n">
        <v>81</v>
      </c>
      <c r="C779" s="7" t="s">
        <v>24</v>
      </c>
      <c r="D779" s="7" t="s">
        <v>25</v>
      </c>
      <c r="E779" s="7" t="n">
        <v>0</v>
      </c>
      <c r="F779" s="7" t="n">
        <v>0</v>
      </c>
      <c r="G779" s="7" t="s">
        <v>34</v>
      </c>
      <c r="H779" s="7" t="s">
        <v>32</v>
      </c>
      <c r="I779" s="7" t="n">
        <v>41.8</v>
      </c>
      <c r="J779" s="7" t="s">
        <v>39</v>
      </c>
      <c r="K779" s="7" t="n">
        <v>136.3</v>
      </c>
      <c r="L779" s="7" t="s">
        <v>37</v>
      </c>
      <c r="M779" s="7" t="s">
        <v>30</v>
      </c>
    </row>
    <row r="780" customFormat="false" ht="15" hidden="false" customHeight="true" outlineLevel="0" collapsed="false">
      <c r="A780" s="7" t="n">
        <v>330</v>
      </c>
      <c r="B780" s="7" t="n">
        <v>88</v>
      </c>
      <c r="C780" s="7" t="s">
        <v>24</v>
      </c>
      <c r="D780" s="7" t="s">
        <v>25</v>
      </c>
      <c r="E780" s="7" t="n">
        <v>0</v>
      </c>
      <c r="F780" s="7" t="n">
        <v>0</v>
      </c>
      <c r="G780" s="7" t="s">
        <v>26</v>
      </c>
      <c r="H780" s="7" t="s">
        <v>27</v>
      </c>
      <c r="I780" s="7" t="n">
        <v>38.4</v>
      </c>
      <c r="J780" s="7" t="s">
        <v>39</v>
      </c>
      <c r="K780" s="7" t="n">
        <v>203.9</v>
      </c>
      <c r="L780" s="7" t="s">
        <v>37</v>
      </c>
      <c r="M780" s="7" t="s">
        <v>30</v>
      </c>
    </row>
    <row r="781" customFormat="false" ht="15" hidden="false" customHeight="true" outlineLevel="0" collapsed="false">
      <c r="A781" s="7" t="n">
        <v>372</v>
      </c>
      <c r="B781" s="7" t="n">
        <v>73</v>
      </c>
      <c r="C781" s="7" t="s">
        <v>33</v>
      </c>
      <c r="D781" s="7" t="s">
        <v>25</v>
      </c>
      <c r="E781" s="7" t="n">
        <v>0</v>
      </c>
      <c r="F781" s="7" t="n">
        <v>0</v>
      </c>
      <c r="G781" s="7" t="s">
        <v>31</v>
      </c>
      <c r="H781" s="7" t="s">
        <v>27</v>
      </c>
      <c r="I781" s="7" t="n">
        <v>25.6</v>
      </c>
      <c r="J781" s="7" t="s">
        <v>39</v>
      </c>
      <c r="K781" s="7" t="n">
        <v>288.4</v>
      </c>
      <c r="L781" s="7" t="s">
        <v>37</v>
      </c>
      <c r="M781" s="7" t="s">
        <v>30</v>
      </c>
    </row>
    <row r="782" customFormat="false" ht="15" hidden="false" customHeight="true" outlineLevel="0" collapsed="false">
      <c r="A782" s="7" t="n">
        <v>444</v>
      </c>
      <c r="B782" s="7" t="n">
        <v>72</v>
      </c>
      <c r="C782" s="7" t="s">
        <v>33</v>
      </c>
      <c r="D782" s="7" t="s">
        <v>25</v>
      </c>
      <c r="E782" s="7" t="n">
        <v>0</v>
      </c>
      <c r="F782" s="7" t="n">
        <v>0</v>
      </c>
      <c r="G782" s="7" t="s">
        <v>35</v>
      </c>
      <c r="H782" s="7" t="s">
        <v>32</v>
      </c>
      <c r="I782" s="7" t="n">
        <v>23</v>
      </c>
      <c r="J782" s="7" t="s">
        <v>39</v>
      </c>
      <c r="K782" s="7" t="n">
        <v>269.5</v>
      </c>
      <c r="L782" s="7" t="s">
        <v>37</v>
      </c>
      <c r="M782" s="7" t="s">
        <v>30</v>
      </c>
    </row>
    <row r="783" customFormat="false" ht="15" hidden="false" customHeight="true" outlineLevel="0" collapsed="false">
      <c r="A783" s="7" t="n">
        <v>579</v>
      </c>
      <c r="B783" s="7" t="n">
        <v>74</v>
      </c>
      <c r="C783" s="7" t="s">
        <v>33</v>
      </c>
      <c r="D783" s="7" t="s">
        <v>25</v>
      </c>
      <c r="E783" s="7" t="n">
        <v>0</v>
      </c>
      <c r="F783" s="7" t="n">
        <v>0</v>
      </c>
      <c r="G783" s="7" t="s">
        <v>31</v>
      </c>
      <c r="H783" s="7" t="s">
        <v>32</v>
      </c>
      <c r="I783" s="7" t="n">
        <v>40.4</v>
      </c>
      <c r="J783" s="7" t="s">
        <v>39</v>
      </c>
      <c r="K783" s="7" t="n">
        <v>276.3</v>
      </c>
      <c r="L783" s="7" t="s">
        <v>37</v>
      </c>
      <c r="M783" s="7" t="s">
        <v>30</v>
      </c>
    </row>
    <row r="784" customFormat="false" ht="15" hidden="false" customHeight="true" outlineLevel="0" collapsed="false">
      <c r="A784" s="7" t="n">
        <v>665</v>
      </c>
      <c r="B784" s="7" t="n">
        <v>56</v>
      </c>
      <c r="C784" s="7" t="s">
        <v>33</v>
      </c>
      <c r="D784" s="7" t="s">
        <v>25</v>
      </c>
      <c r="E784" s="7" t="n">
        <v>0</v>
      </c>
      <c r="F784" s="7" t="n">
        <v>0</v>
      </c>
      <c r="G784" s="7" t="s">
        <v>35</v>
      </c>
      <c r="H784" s="7" t="s">
        <v>32</v>
      </c>
      <c r="I784" s="7" t="n">
        <v>30.7</v>
      </c>
      <c r="J784" s="7" t="s">
        <v>39</v>
      </c>
      <c r="K784" s="7" t="n">
        <v>290.6</v>
      </c>
      <c r="L784" s="7" t="s">
        <v>37</v>
      </c>
      <c r="M784" s="7" t="s">
        <v>30</v>
      </c>
    </row>
    <row r="785" customFormat="false" ht="15" hidden="false" customHeight="true" outlineLevel="0" collapsed="false">
      <c r="A785" s="7" t="n">
        <v>688</v>
      </c>
      <c r="B785" s="7" t="n">
        <v>78</v>
      </c>
      <c r="C785" s="7" t="s">
        <v>24</v>
      </c>
      <c r="D785" s="7" t="s">
        <v>25</v>
      </c>
      <c r="E785" s="7" t="n">
        <v>0</v>
      </c>
      <c r="F785" s="7" t="n">
        <v>0</v>
      </c>
      <c r="G785" s="7" t="s">
        <v>31</v>
      </c>
      <c r="H785" s="7" t="s">
        <v>27</v>
      </c>
      <c r="I785" s="7" t="n">
        <v>40.3</v>
      </c>
      <c r="J785" s="7" t="s">
        <v>39</v>
      </c>
      <c r="K785" s="7" t="n">
        <v>260.6</v>
      </c>
      <c r="L785" s="7" t="s">
        <v>37</v>
      </c>
      <c r="M785" s="7" t="s">
        <v>30</v>
      </c>
    </row>
    <row r="786" customFormat="false" ht="15" hidden="false" customHeight="true" outlineLevel="0" collapsed="false">
      <c r="A786" s="7" t="n">
        <v>704</v>
      </c>
      <c r="B786" s="7" t="n">
        <v>58</v>
      </c>
      <c r="C786" s="7" t="s">
        <v>33</v>
      </c>
      <c r="D786" s="7" t="s">
        <v>25</v>
      </c>
      <c r="E786" s="7" t="n">
        <v>0</v>
      </c>
      <c r="F786" s="7" t="n">
        <v>0</v>
      </c>
      <c r="G786" s="7" t="s">
        <v>36</v>
      </c>
      <c r="H786" s="7" t="s">
        <v>27</v>
      </c>
      <c r="I786" s="7" t="n">
        <v>29.6</v>
      </c>
      <c r="J786" s="7" t="s">
        <v>39</v>
      </c>
      <c r="K786" s="7" t="n">
        <v>163.4</v>
      </c>
      <c r="L786" s="7" t="s">
        <v>37</v>
      </c>
      <c r="M786" s="7" t="s">
        <v>30</v>
      </c>
    </row>
    <row r="787" customFormat="false" ht="15" hidden="false" customHeight="true" outlineLevel="0" collapsed="false">
      <c r="A787" s="7" t="n">
        <v>725</v>
      </c>
      <c r="B787" s="7" t="n">
        <v>86</v>
      </c>
      <c r="C787" s="7" t="s">
        <v>33</v>
      </c>
      <c r="D787" s="7" t="s">
        <v>25</v>
      </c>
      <c r="E787" s="7" t="n">
        <v>0</v>
      </c>
      <c r="F787" s="7" t="n">
        <v>0</v>
      </c>
      <c r="G787" s="7" t="s">
        <v>34</v>
      </c>
      <c r="H787" s="7" t="s">
        <v>32</v>
      </c>
      <c r="I787" s="7" t="n">
        <v>39.8</v>
      </c>
      <c r="J787" s="7" t="s">
        <v>39</v>
      </c>
      <c r="K787" s="7" t="n">
        <v>164</v>
      </c>
      <c r="L787" s="7" t="s">
        <v>37</v>
      </c>
      <c r="M787" s="7" t="s">
        <v>30</v>
      </c>
    </row>
    <row r="788" customFormat="false" ht="15" hidden="false" customHeight="true" outlineLevel="0" collapsed="false">
      <c r="A788" s="7" t="n">
        <v>1018</v>
      </c>
      <c r="B788" s="7" t="n">
        <v>37</v>
      </c>
      <c r="C788" s="7" t="s">
        <v>24</v>
      </c>
      <c r="D788" s="7" t="s">
        <v>25</v>
      </c>
      <c r="E788" s="7" t="n">
        <v>0</v>
      </c>
      <c r="F788" s="7" t="n">
        <v>0</v>
      </c>
      <c r="G788" s="7" t="s">
        <v>31</v>
      </c>
      <c r="H788" s="7" t="s">
        <v>32</v>
      </c>
      <c r="I788" s="7" t="n">
        <v>38.4</v>
      </c>
      <c r="J788" s="7" t="s">
        <v>39</v>
      </c>
      <c r="K788" s="7" t="n">
        <v>206.4</v>
      </c>
      <c r="L788" s="7" t="s">
        <v>37</v>
      </c>
      <c r="M788" s="7" t="s">
        <v>30</v>
      </c>
    </row>
    <row r="789" customFormat="false" ht="15" hidden="false" customHeight="true" outlineLevel="0" collapsed="false">
      <c r="A789" s="7" t="n">
        <v>1109</v>
      </c>
      <c r="B789" s="7" t="n">
        <v>20</v>
      </c>
      <c r="C789" s="7" t="s">
        <v>24</v>
      </c>
      <c r="D789" s="7" t="s">
        <v>25</v>
      </c>
      <c r="E789" s="7" t="n">
        <v>0</v>
      </c>
      <c r="F789" s="7" t="n">
        <v>0</v>
      </c>
      <c r="G789" s="7" t="s">
        <v>35</v>
      </c>
      <c r="H789" s="7" t="s">
        <v>27</v>
      </c>
      <c r="I789" s="7" t="n">
        <v>33.2</v>
      </c>
      <c r="J789" s="7" t="s">
        <v>39</v>
      </c>
      <c r="K789" s="7" t="n">
        <v>263</v>
      </c>
      <c r="L789" s="7" t="s">
        <v>37</v>
      </c>
      <c r="M789" s="7" t="s">
        <v>30</v>
      </c>
    </row>
    <row r="790" customFormat="false" ht="15" hidden="false" customHeight="true" outlineLevel="0" collapsed="false">
      <c r="A790" s="7" t="n">
        <v>1187</v>
      </c>
      <c r="B790" s="7" t="n">
        <v>76</v>
      </c>
      <c r="C790" s="7" t="s">
        <v>33</v>
      </c>
      <c r="D790" s="7" t="s">
        <v>25</v>
      </c>
      <c r="E790" s="7" t="n">
        <v>0</v>
      </c>
      <c r="F790" s="7" t="n">
        <v>0</v>
      </c>
      <c r="G790" s="7" t="s">
        <v>34</v>
      </c>
      <c r="H790" s="7" t="s">
        <v>27</v>
      </c>
      <c r="I790" s="7" t="n">
        <v>32.9</v>
      </c>
      <c r="J790" s="7" t="s">
        <v>39</v>
      </c>
      <c r="K790" s="7" t="n">
        <v>208.3</v>
      </c>
      <c r="L790" s="7" t="s">
        <v>37</v>
      </c>
      <c r="M790" s="7" t="s">
        <v>30</v>
      </c>
    </row>
    <row r="791" customFormat="false" ht="15" hidden="false" customHeight="true" outlineLevel="0" collapsed="false">
      <c r="A791" s="7" t="n">
        <v>1297</v>
      </c>
      <c r="B791" s="7" t="n">
        <v>18</v>
      </c>
      <c r="C791" s="7" t="s">
        <v>33</v>
      </c>
      <c r="D791" s="7" t="s">
        <v>25</v>
      </c>
      <c r="E791" s="7" t="n">
        <v>0</v>
      </c>
      <c r="F791" s="7" t="n">
        <v>0</v>
      </c>
      <c r="G791" s="7" t="s">
        <v>26</v>
      </c>
      <c r="H791" s="7" t="s">
        <v>32</v>
      </c>
      <c r="I791" s="7" t="n">
        <v>25.1</v>
      </c>
      <c r="J791" s="7" t="s">
        <v>39</v>
      </c>
      <c r="K791" s="7" t="n">
        <v>247.6</v>
      </c>
      <c r="L791" s="7" t="s">
        <v>37</v>
      </c>
      <c r="M791" s="7" t="s">
        <v>30</v>
      </c>
    </row>
    <row r="792" customFormat="false" ht="15" hidden="false" customHeight="true" outlineLevel="0" collapsed="false">
      <c r="A792" s="7" t="n">
        <v>1311</v>
      </c>
      <c r="B792" s="7" t="n">
        <v>66</v>
      </c>
      <c r="C792" s="7" t="s">
        <v>24</v>
      </c>
      <c r="D792" s="7" t="s">
        <v>25</v>
      </c>
      <c r="E792" s="7" t="n">
        <v>0</v>
      </c>
      <c r="F792" s="7" t="n">
        <v>0</v>
      </c>
      <c r="G792" s="7" t="s">
        <v>26</v>
      </c>
      <c r="H792" s="7" t="s">
        <v>27</v>
      </c>
      <c r="I792" s="7" t="n">
        <v>26.7</v>
      </c>
      <c r="J792" s="7" t="s">
        <v>39</v>
      </c>
      <c r="K792" s="7" t="n">
        <v>294.5</v>
      </c>
      <c r="L792" s="7" t="s">
        <v>37</v>
      </c>
      <c r="M792" s="7" t="s">
        <v>30</v>
      </c>
    </row>
    <row r="793" customFormat="false" ht="15" hidden="false" customHeight="true" outlineLevel="0" collapsed="false">
      <c r="A793" s="7" t="n">
        <v>1465</v>
      </c>
      <c r="B793" s="7" t="n">
        <v>56</v>
      </c>
      <c r="C793" s="7" t="s">
        <v>33</v>
      </c>
      <c r="D793" s="7" t="s">
        <v>25</v>
      </c>
      <c r="E793" s="7" t="n">
        <v>0</v>
      </c>
      <c r="F793" s="7" t="n">
        <v>0</v>
      </c>
      <c r="G793" s="7" t="s">
        <v>36</v>
      </c>
      <c r="H793" s="7" t="s">
        <v>27</v>
      </c>
      <c r="I793" s="7" t="n">
        <v>23.1</v>
      </c>
      <c r="J793" s="7" t="s">
        <v>39</v>
      </c>
      <c r="K793" s="7" t="n">
        <v>123.2</v>
      </c>
      <c r="L793" s="7" t="s">
        <v>37</v>
      </c>
      <c r="M793" s="7" t="s">
        <v>30</v>
      </c>
    </row>
    <row r="794" customFormat="false" ht="15" hidden="false" customHeight="true" outlineLevel="0" collapsed="false">
      <c r="A794" s="7" t="n">
        <v>1474</v>
      </c>
      <c r="B794" s="7" t="n">
        <v>69</v>
      </c>
      <c r="C794" s="7" t="s">
        <v>24</v>
      </c>
      <c r="D794" s="7" t="s">
        <v>25</v>
      </c>
      <c r="E794" s="7" t="n">
        <v>0</v>
      </c>
      <c r="F794" s="7" t="n">
        <v>0</v>
      </c>
      <c r="G794" s="7" t="s">
        <v>34</v>
      </c>
      <c r="H794" s="7" t="s">
        <v>27</v>
      </c>
      <c r="I794" s="7" t="n">
        <v>40.3</v>
      </c>
      <c r="J794" s="7" t="s">
        <v>39</v>
      </c>
      <c r="K794" s="7" t="n">
        <v>294.5</v>
      </c>
      <c r="L794" s="7" t="s">
        <v>37</v>
      </c>
      <c r="M794" s="7" t="s">
        <v>30</v>
      </c>
    </row>
    <row r="795" customFormat="false" ht="15" hidden="false" customHeight="true" outlineLevel="0" collapsed="false">
      <c r="A795" s="7" t="n">
        <v>1481</v>
      </c>
      <c r="B795" s="7" t="n">
        <v>24</v>
      </c>
      <c r="C795" s="7" t="s">
        <v>24</v>
      </c>
      <c r="D795" s="7" t="s">
        <v>25</v>
      </c>
      <c r="E795" s="7" t="n">
        <v>0</v>
      </c>
      <c r="F795" s="7" t="n">
        <v>0</v>
      </c>
      <c r="G795" s="7" t="s">
        <v>36</v>
      </c>
      <c r="H795" s="7" t="s">
        <v>32</v>
      </c>
      <c r="I795" s="7" t="n">
        <v>41.1</v>
      </c>
      <c r="J795" s="7" t="s">
        <v>39</v>
      </c>
      <c r="K795" s="7" t="n">
        <v>289.3</v>
      </c>
      <c r="L795" s="7" t="s">
        <v>37</v>
      </c>
      <c r="M795" s="7" t="s">
        <v>30</v>
      </c>
    </row>
    <row r="796" customFormat="false" ht="15" hidden="false" customHeight="true" outlineLevel="0" collapsed="false">
      <c r="A796" s="7" t="n">
        <v>1502</v>
      </c>
      <c r="B796" s="7" t="n">
        <v>74</v>
      </c>
      <c r="C796" s="7" t="s">
        <v>33</v>
      </c>
      <c r="D796" s="7" t="s">
        <v>25</v>
      </c>
      <c r="E796" s="7" t="n">
        <v>0</v>
      </c>
      <c r="F796" s="7" t="n">
        <v>0</v>
      </c>
      <c r="G796" s="7" t="s">
        <v>26</v>
      </c>
      <c r="H796" s="7" t="s">
        <v>32</v>
      </c>
      <c r="I796" s="7" t="n">
        <v>32.1</v>
      </c>
      <c r="J796" s="7" t="s">
        <v>39</v>
      </c>
      <c r="K796" s="7" t="n">
        <v>167.8</v>
      </c>
      <c r="L796" s="7" t="s">
        <v>37</v>
      </c>
      <c r="M796" s="7" t="s">
        <v>30</v>
      </c>
    </row>
    <row r="797" customFormat="false" ht="15" hidden="false" customHeight="true" outlineLevel="0" collapsed="false">
      <c r="A797" s="7" t="n">
        <v>1526</v>
      </c>
      <c r="B797" s="7" t="n">
        <v>70</v>
      </c>
      <c r="C797" s="7" t="s">
        <v>24</v>
      </c>
      <c r="D797" s="7" t="s">
        <v>25</v>
      </c>
      <c r="E797" s="7" t="n">
        <v>0</v>
      </c>
      <c r="F797" s="7" t="n">
        <v>0</v>
      </c>
      <c r="G797" s="7" t="s">
        <v>36</v>
      </c>
      <c r="H797" s="7" t="s">
        <v>32</v>
      </c>
      <c r="I797" s="7" t="n">
        <v>26.1</v>
      </c>
      <c r="J797" s="7" t="s">
        <v>39</v>
      </c>
      <c r="K797" s="7" t="n">
        <v>221.8</v>
      </c>
      <c r="L797" s="7" t="s">
        <v>37</v>
      </c>
      <c r="M797" s="7" t="s">
        <v>30</v>
      </c>
    </row>
    <row r="798" customFormat="false" ht="15" hidden="false" customHeight="true" outlineLevel="0" collapsed="false">
      <c r="A798" s="7" t="n">
        <v>1561</v>
      </c>
      <c r="B798" s="7" t="n">
        <v>58</v>
      </c>
      <c r="C798" s="7" t="s">
        <v>24</v>
      </c>
      <c r="D798" s="7" t="s">
        <v>25</v>
      </c>
      <c r="E798" s="7" t="n">
        <v>0</v>
      </c>
      <c r="F798" s="7" t="n">
        <v>0</v>
      </c>
      <c r="G798" s="7" t="s">
        <v>35</v>
      </c>
      <c r="H798" s="7" t="s">
        <v>27</v>
      </c>
      <c r="I798" s="7" t="n">
        <v>20.2</v>
      </c>
      <c r="J798" s="7" t="s">
        <v>39</v>
      </c>
      <c r="K798" s="7" t="n">
        <v>254.4</v>
      </c>
      <c r="L798" s="7" t="s">
        <v>37</v>
      </c>
      <c r="M798" s="7" t="s">
        <v>30</v>
      </c>
    </row>
    <row r="799" customFormat="false" ht="15" hidden="false" customHeight="true" outlineLevel="0" collapsed="false">
      <c r="A799" s="7" t="n">
        <v>1667</v>
      </c>
      <c r="B799" s="7" t="n">
        <v>39</v>
      </c>
      <c r="C799" s="7" t="s">
        <v>24</v>
      </c>
      <c r="D799" s="7" t="s">
        <v>25</v>
      </c>
      <c r="E799" s="7" t="n">
        <v>0</v>
      </c>
      <c r="F799" s="7" t="n">
        <v>0</v>
      </c>
      <c r="G799" s="7" t="s">
        <v>34</v>
      </c>
      <c r="H799" s="7" t="s">
        <v>27</v>
      </c>
      <c r="I799" s="7" t="n">
        <v>41.4</v>
      </c>
      <c r="J799" s="7" t="s">
        <v>39</v>
      </c>
      <c r="K799" s="7" t="n">
        <v>184.5</v>
      </c>
      <c r="L799" s="7" t="s">
        <v>37</v>
      </c>
      <c r="M799" s="7" t="s">
        <v>30</v>
      </c>
    </row>
    <row r="800" customFormat="false" ht="15" hidden="false" customHeight="true" outlineLevel="0" collapsed="false">
      <c r="A800" s="7" t="n">
        <v>1749</v>
      </c>
      <c r="B800" s="7" t="n">
        <v>57</v>
      </c>
      <c r="C800" s="7" t="s">
        <v>33</v>
      </c>
      <c r="D800" s="7" t="s">
        <v>25</v>
      </c>
      <c r="E800" s="7" t="n">
        <v>0</v>
      </c>
      <c r="F800" s="7" t="n">
        <v>0</v>
      </c>
      <c r="G800" s="7" t="s">
        <v>35</v>
      </c>
      <c r="H800" s="7" t="s">
        <v>32</v>
      </c>
      <c r="I800" s="7" t="n">
        <v>25.1</v>
      </c>
      <c r="J800" s="7" t="s">
        <v>39</v>
      </c>
      <c r="K800" s="7" t="n">
        <v>157</v>
      </c>
      <c r="L800" s="7" t="s">
        <v>37</v>
      </c>
      <c r="M800" s="7" t="s">
        <v>30</v>
      </c>
    </row>
    <row r="801" customFormat="false" ht="15" hidden="false" customHeight="true" outlineLevel="0" collapsed="false">
      <c r="A801" s="7" t="n">
        <v>1789</v>
      </c>
      <c r="B801" s="7" t="n">
        <v>81</v>
      </c>
      <c r="C801" s="7" t="s">
        <v>24</v>
      </c>
      <c r="D801" s="7" t="s">
        <v>25</v>
      </c>
      <c r="E801" s="7" t="n">
        <v>0</v>
      </c>
      <c r="F801" s="7" t="n">
        <v>0</v>
      </c>
      <c r="G801" s="7" t="s">
        <v>34</v>
      </c>
      <c r="H801" s="7" t="s">
        <v>27</v>
      </c>
      <c r="I801" s="7" t="n">
        <v>30.7</v>
      </c>
      <c r="J801" s="7" t="s">
        <v>39</v>
      </c>
      <c r="K801" s="7" t="n">
        <v>150</v>
      </c>
      <c r="L801" s="7" t="s">
        <v>37</v>
      </c>
      <c r="M801" s="7" t="s">
        <v>30</v>
      </c>
    </row>
    <row r="802" customFormat="false" ht="15" hidden="false" customHeight="true" outlineLevel="0" collapsed="false">
      <c r="A802" s="7" t="n">
        <v>1988</v>
      </c>
      <c r="B802" s="7" t="n">
        <v>33</v>
      </c>
      <c r="C802" s="7" t="s">
        <v>24</v>
      </c>
      <c r="D802" s="7" t="s">
        <v>25</v>
      </c>
      <c r="E802" s="7" t="n">
        <v>0</v>
      </c>
      <c r="F802" s="7" t="n">
        <v>0</v>
      </c>
      <c r="G802" s="7" t="s">
        <v>36</v>
      </c>
      <c r="H802" s="7" t="s">
        <v>32</v>
      </c>
      <c r="I802" s="7" t="n">
        <v>29.1</v>
      </c>
      <c r="J802" s="7" t="s">
        <v>39</v>
      </c>
      <c r="K802" s="7" t="n">
        <v>248.5</v>
      </c>
      <c r="L802" s="7" t="s">
        <v>37</v>
      </c>
      <c r="M802" s="7" t="s">
        <v>30</v>
      </c>
    </row>
    <row r="803" customFormat="false" ht="15" hidden="false" customHeight="true" outlineLevel="0" collapsed="false">
      <c r="A803" s="7" t="n">
        <v>1994</v>
      </c>
      <c r="B803" s="7" t="n">
        <v>75</v>
      </c>
      <c r="C803" s="7" t="s">
        <v>33</v>
      </c>
      <c r="D803" s="7" t="s">
        <v>25</v>
      </c>
      <c r="E803" s="7" t="n">
        <v>0</v>
      </c>
      <c r="F803" s="7" t="n">
        <v>0</v>
      </c>
      <c r="G803" s="7" t="s">
        <v>36</v>
      </c>
      <c r="H803" s="7" t="s">
        <v>27</v>
      </c>
      <c r="I803" s="7" t="n">
        <v>24</v>
      </c>
      <c r="J803" s="7" t="s">
        <v>39</v>
      </c>
      <c r="K803" s="7" t="n">
        <v>180.4</v>
      </c>
      <c r="L803" s="7" t="s">
        <v>37</v>
      </c>
      <c r="M803" s="7" t="s">
        <v>30</v>
      </c>
    </row>
    <row r="804" customFormat="false" ht="15" hidden="false" customHeight="true" outlineLevel="0" collapsed="false">
      <c r="A804" s="7" t="n">
        <v>2084</v>
      </c>
      <c r="B804" s="7" t="n">
        <v>64</v>
      </c>
      <c r="C804" s="7" t="s">
        <v>33</v>
      </c>
      <c r="D804" s="7" t="s">
        <v>25</v>
      </c>
      <c r="E804" s="7" t="n">
        <v>0</v>
      </c>
      <c r="F804" s="7" t="n">
        <v>0</v>
      </c>
      <c r="G804" s="7" t="s">
        <v>34</v>
      </c>
      <c r="H804" s="7" t="s">
        <v>32</v>
      </c>
      <c r="I804" s="7" t="n">
        <v>32.6</v>
      </c>
      <c r="J804" s="7" t="s">
        <v>39</v>
      </c>
      <c r="K804" s="7" t="n">
        <v>283.3</v>
      </c>
      <c r="L804" s="7" t="s">
        <v>37</v>
      </c>
      <c r="M804" s="7" t="s">
        <v>30</v>
      </c>
    </row>
    <row r="805" customFormat="false" ht="15" hidden="false" customHeight="true" outlineLevel="0" collapsed="false">
      <c r="A805" s="7" t="n">
        <v>2168</v>
      </c>
      <c r="B805" s="7" t="n">
        <v>38</v>
      </c>
      <c r="C805" s="7" t="s">
        <v>33</v>
      </c>
      <c r="D805" s="7" t="s">
        <v>25</v>
      </c>
      <c r="E805" s="7" t="n">
        <v>0</v>
      </c>
      <c r="F805" s="7" t="n">
        <v>0</v>
      </c>
      <c r="G805" s="7" t="s">
        <v>36</v>
      </c>
      <c r="H805" s="7" t="s">
        <v>32</v>
      </c>
      <c r="I805" s="7" t="n">
        <v>26.5</v>
      </c>
      <c r="J805" s="7" t="s">
        <v>39</v>
      </c>
      <c r="K805" s="7" t="n">
        <v>123.3</v>
      </c>
      <c r="L805" s="7" t="s">
        <v>37</v>
      </c>
      <c r="M805" s="7" t="s">
        <v>30</v>
      </c>
    </row>
    <row r="806" customFormat="false" ht="15" hidden="false" customHeight="true" outlineLevel="0" collapsed="false">
      <c r="A806" s="7" t="n">
        <v>2222</v>
      </c>
      <c r="B806" s="7" t="n">
        <v>64</v>
      </c>
      <c r="C806" s="7" t="s">
        <v>24</v>
      </c>
      <c r="D806" s="7" t="s">
        <v>25</v>
      </c>
      <c r="E806" s="7" t="n">
        <v>0</v>
      </c>
      <c r="F806" s="7" t="n">
        <v>0</v>
      </c>
      <c r="G806" s="7" t="s">
        <v>35</v>
      </c>
      <c r="H806" s="7" t="s">
        <v>27</v>
      </c>
      <c r="I806" s="7" t="n">
        <v>34.9</v>
      </c>
      <c r="J806" s="7" t="s">
        <v>39</v>
      </c>
      <c r="K806" s="7" t="n">
        <v>149.9</v>
      </c>
      <c r="L806" s="7" t="s">
        <v>37</v>
      </c>
      <c r="M806" s="7" t="s">
        <v>30</v>
      </c>
    </row>
    <row r="807" customFormat="false" ht="15" hidden="false" customHeight="true" outlineLevel="0" collapsed="false">
      <c r="A807" s="7" t="n">
        <v>2232</v>
      </c>
      <c r="B807" s="7" t="n">
        <v>76</v>
      </c>
      <c r="C807" s="7" t="s">
        <v>24</v>
      </c>
      <c r="D807" s="7" t="s">
        <v>25</v>
      </c>
      <c r="E807" s="7" t="n">
        <v>0</v>
      </c>
      <c r="F807" s="7" t="n">
        <v>0</v>
      </c>
      <c r="G807" s="7" t="s">
        <v>35</v>
      </c>
      <c r="H807" s="7" t="s">
        <v>27</v>
      </c>
      <c r="I807" s="7" t="n">
        <v>27.6</v>
      </c>
      <c r="J807" s="7" t="s">
        <v>39</v>
      </c>
      <c r="K807" s="7" t="n">
        <v>210.3</v>
      </c>
      <c r="L807" s="7" t="s">
        <v>37</v>
      </c>
      <c r="M807" s="7" t="s">
        <v>30</v>
      </c>
    </row>
    <row r="808" customFormat="false" ht="15" hidden="false" customHeight="true" outlineLevel="0" collapsed="false">
      <c r="A808" s="7" t="n">
        <v>2335</v>
      </c>
      <c r="B808" s="7" t="n">
        <v>23</v>
      </c>
      <c r="C808" s="7" t="s">
        <v>24</v>
      </c>
      <c r="D808" s="7" t="s">
        <v>25</v>
      </c>
      <c r="E808" s="7" t="n">
        <v>0</v>
      </c>
      <c r="F808" s="7" t="n">
        <v>0</v>
      </c>
      <c r="G808" s="7" t="s">
        <v>26</v>
      </c>
      <c r="H808" s="7" t="s">
        <v>27</v>
      </c>
      <c r="I808" s="7" t="n">
        <v>37.7</v>
      </c>
      <c r="J808" s="7" t="s">
        <v>39</v>
      </c>
      <c r="K808" s="7" t="n">
        <v>250.9</v>
      </c>
      <c r="L808" s="7" t="s">
        <v>37</v>
      </c>
      <c r="M808" s="7" t="s">
        <v>30</v>
      </c>
    </row>
    <row r="809" customFormat="false" ht="15" hidden="false" customHeight="true" outlineLevel="0" collapsed="false">
      <c r="A809" s="7" t="n">
        <v>2375</v>
      </c>
      <c r="B809" s="7" t="n">
        <v>87</v>
      </c>
      <c r="C809" s="7" t="s">
        <v>33</v>
      </c>
      <c r="D809" s="7" t="s">
        <v>25</v>
      </c>
      <c r="E809" s="7" t="n">
        <v>0</v>
      </c>
      <c r="F809" s="7" t="n">
        <v>0</v>
      </c>
      <c r="G809" s="7" t="s">
        <v>36</v>
      </c>
      <c r="H809" s="7" t="s">
        <v>32</v>
      </c>
      <c r="I809" s="7" t="n">
        <v>26.7</v>
      </c>
      <c r="J809" s="7" t="s">
        <v>39</v>
      </c>
      <c r="K809" s="7" t="n">
        <v>181.2</v>
      </c>
      <c r="L809" s="7" t="s">
        <v>37</v>
      </c>
      <c r="M809" s="7" t="s">
        <v>30</v>
      </c>
    </row>
    <row r="810" customFormat="false" ht="15" hidden="false" customHeight="true" outlineLevel="0" collapsed="false">
      <c r="A810" s="7" t="n">
        <v>2402</v>
      </c>
      <c r="B810" s="7" t="n">
        <v>85</v>
      </c>
      <c r="C810" s="7" t="s">
        <v>24</v>
      </c>
      <c r="D810" s="7" t="s">
        <v>25</v>
      </c>
      <c r="E810" s="7" t="n">
        <v>0</v>
      </c>
      <c r="F810" s="7" t="n">
        <v>0</v>
      </c>
      <c r="G810" s="7" t="s">
        <v>36</v>
      </c>
      <c r="H810" s="7" t="s">
        <v>27</v>
      </c>
      <c r="I810" s="7" t="n">
        <v>21.1</v>
      </c>
      <c r="J810" s="7" t="s">
        <v>39</v>
      </c>
      <c r="K810" s="7" t="n">
        <v>247</v>
      </c>
      <c r="L810" s="7" t="s">
        <v>37</v>
      </c>
      <c r="M810" s="7" t="s">
        <v>30</v>
      </c>
    </row>
    <row r="811" customFormat="false" ht="15" hidden="false" customHeight="true" outlineLevel="0" collapsed="false">
      <c r="A811" s="7" t="n">
        <v>2439</v>
      </c>
      <c r="B811" s="7" t="n">
        <v>34</v>
      </c>
      <c r="C811" s="7" t="s">
        <v>24</v>
      </c>
      <c r="D811" s="7" t="s">
        <v>25</v>
      </c>
      <c r="E811" s="7" t="n">
        <v>0</v>
      </c>
      <c r="F811" s="7" t="n">
        <v>0</v>
      </c>
      <c r="G811" s="7" t="s">
        <v>26</v>
      </c>
      <c r="H811" s="7" t="s">
        <v>27</v>
      </c>
      <c r="I811" s="7" t="n">
        <v>35</v>
      </c>
      <c r="J811" s="7" t="s">
        <v>39</v>
      </c>
      <c r="K811" s="7" t="n">
        <v>222.3</v>
      </c>
      <c r="L811" s="7" t="s">
        <v>37</v>
      </c>
      <c r="M811" s="7" t="s">
        <v>30</v>
      </c>
    </row>
    <row r="812" customFormat="false" ht="15" hidden="false" customHeight="true" outlineLevel="0" collapsed="false">
      <c r="A812" s="7" t="n">
        <v>2483</v>
      </c>
      <c r="B812" s="7" t="n">
        <v>69</v>
      </c>
      <c r="C812" s="7" t="s">
        <v>33</v>
      </c>
      <c r="D812" s="7" t="s">
        <v>25</v>
      </c>
      <c r="E812" s="7" t="n">
        <v>0</v>
      </c>
      <c r="F812" s="7" t="n">
        <v>0</v>
      </c>
      <c r="G812" s="7" t="s">
        <v>34</v>
      </c>
      <c r="H812" s="7" t="s">
        <v>27</v>
      </c>
      <c r="I812" s="7" t="n">
        <v>25.8</v>
      </c>
      <c r="J812" s="7" t="s">
        <v>39</v>
      </c>
      <c r="K812" s="7" t="n">
        <v>124.9</v>
      </c>
      <c r="L812" s="7" t="s">
        <v>37</v>
      </c>
      <c r="M812" s="7" t="s">
        <v>30</v>
      </c>
    </row>
    <row r="813" customFormat="false" ht="15" hidden="false" customHeight="true" outlineLevel="0" collapsed="false">
      <c r="A813" s="7" t="n">
        <v>67</v>
      </c>
      <c r="B813" s="7" t="n">
        <v>87</v>
      </c>
      <c r="C813" s="7" t="s">
        <v>24</v>
      </c>
      <c r="D813" s="7" t="s">
        <v>25</v>
      </c>
      <c r="E813" s="7" t="n">
        <v>0</v>
      </c>
      <c r="F813" s="7" t="n">
        <v>0</v>
      </c>
      <c r="G813" s="7" t="s">
        <v>31</v>
      </c>
      <c r="H813" s="7" t="s">
        <v>32</v>
      </c>
      <c r="I813" s="7" t="n">
        <v>19.2</v>
      </c>
      <c r="J813" s="7" t="s">
        <v>39</v>
      </c>
      <c r="K813" s="7" t="n">
        <v>130</v>
      </c>
      <c r="L813" s="7" t="s">
        <v>29</v>
      </c>
      <c r="M813" s="7" t="s">
        <v>30</v>
      </c>
    </row>
    <row r="814" customFormat="false" ht="15" hidden="false" customHeight="true" outlineLevel="0" collapsed="false">
      <c r="A814" s="7" t="n">
        <v>105</v>
      </c>
      <c r="B814" s="7" t="n">
        <v>59</v>
      </c>
      <c r="C814" s="7" t="s">
        <v>24</v>
      </c>
      <c r="D814" s="7" t="s">
        <v>25</v>
      </c>
      <c r="E814" s="7" t="n">
        <v>0</v>
      </c>
      <c r="F814" s="7" t="n">
        <v>0</v>
      </c>
      <c r="G814" s="7" t="s">
        <v>35</v>
      </c>
      <c r="H814" s="7" t="s">
        <v>32</v>
      </c>
      <c r="I814" s="7" t="n">
        <v>30.2</v>
      </c>
      <c r="J814" s="7" t="s">
        <v>39</v>
      </c>
      <c r="K814" s="7" t="n">
        <v>263.8</v>
      </c>
      <c r="L814" s="7" t="s">
        <v>29</v>
      </c>
      <c r="M814" s="7" t="s">
        <v>30</v>
      </c>
    </row>
    <row r="815" customFormat="false" ht="15" hidden="false" customHeight="true" outlineLevel="0" collapsed="false">
      <c r="A815" s="7" t="n">
        <v>143</v>
      </c>
      <c r="B815" s="7" t="n">
        <v>43</v>
      </c>
      <c r="C815" s="7" t="s">
        <v>33</v>
      </c>
      <c r="D815" s="7" t="s">
        <v>25</v>
      </c>
      <c r="E815" s="7" t="n">
        <v>0</v>
      </c>
      <c r="F815" s="7" t="n">
        <v>0</v>
      </c>
      <c r="G815" s="7" t="s">
        <v>34</v>
      </c>
      <c r="H815" s="7" t="s">
        <v>27</v>
      </c>
      <c r="I815" s="7" t="n">
        <v>28.3</v>
      </c>
      <c r="J815" s="7" t="s">
        <v>39</v>
      </c>
      <c r="K815" s="7" t="n">
        <v>176.9</v>
      </c>
      <c r="L815" s="7" t="s">
        <v>29</v>
      </c>
      <c r="M815" s="7" t="s">
        <v>30</v>
      </c>
    </row>
    <row r="816" customFormat="false" ht="15" hidden="false" customHeight="true" outlineLevel="0" collapsed="false">
      <c r="A816" s="7" t="n">
        <v>169</v>
      </c>
      <c r="B816" s="7" t="n">
        <v>19</v>
      </c>
      <c r="C816" s="7" t="s">
        <v>33</v>
      </c>
      <c r="D816" s="7" t="s">
        <v>25</v>
      </c>
      <c r="E816" s="7" t="n">
        <v>0</v>
      </c>
      <c r="F816" s="7" t="n">
        <v>0</v>
      </c>
      <c r="G816" s="7" t="s">
        <v>36</v>
      </c>
      <c r="H816" s="7" t="s">
        <v>32</v>
      </c>
      <c r="I816" s="7" t="n">
        <v>31.3</v>
      </c>
      <c r="J816" s="7" t="s">
        <v>39</v>
      </c>
      <c r="K816" s="7" t="n">
        <v>223.5</v>
      </c>
      <c r="L816" s="7" t="s">
        <v>29</v>
      </c>
      <c r="M816" s="7" t="s">
        <v>30</v>
      </c>
    </row>
    <row r="817" customFormat="false" ht="15" hidden="false" customHeight="true" outlineLevel="0" collapsed="false">
      <c r="A817" s="7" t="n">
        <v>179</v>
      </c>
      <c r="B817" s="7" t="n">
        <v>46</v>
      </c>
      <c r="C817" s="7" t="s">
        <v>33</v>
      </c>
      <c r="D817" s="7" t="s">
        <v>25</v>
      </c>
      <c r="E817" s="7" t="n">
        <v>0</v>
      </c>
      <c r="F817" s="7" t="n">
        <v>0</v>
      </c>
      <c r="G817" s="7" t="s">
        <v>36</v>
      </c>
      <c r="H817" s="7" t="s">
        <v>32</v>
      </c>
      <c r="I817" s="7" t="n">
        <v>23.3</v>
      </c>
      <c r="J817" s="7" t="s">
        <v>39</v>
      </c>
      <c r="K817" s="7" t="n">
        <v>268.5</v>
      </c>
      <c r="L817" s="7" t="s">
        <v>29</v>
      </c>
      <c r="M817" s="7" t="s">
        <v>30</v>
      </c>
    </row>
    <row r="818" customFormat="false" ht="15" hidden="false" customHeight="true" outlineLevel="0" collapsed="false">
      <c r="A818" s="7" t="n">
        <v>213</v>
      </c>
      <c r="B818" s="7" t="n">
        <v>25</v>
      </c>
      <c r="C818" s="7" t="s">
        <v>33</v>
      </c>
      <c r="D818" s="7" t="s">
        <v>25</v>
      </c>
      <c r="E818" s="7" t="n">
        <v>0</v>
      </c>
      <c r="F818" s="7" t="n">
        <v>0</v>
      </c>
      <c r="G818" s="7" t="s">
        <v>31</v>
      </c>
      <c r="H818" s="7" t="s">
        <v>32</v>
      </c>
      <c r="I818" s="7" t="n">
        <v>24.8</v>
      </c>
      <c r="J818" s="7" t="s">
        <v>39</v>
      </c>
      <c r="K818" s="7" t="n">
        <v>294.2</v>
      </c>
      <c r="L818" s="7" t="s">
        <v>29</v>
      </c>
      <c r="M818" s="7" t="s">
        <v>30</v>
      </c>
    </row>
    <row r="819" customFormat="false" ht="15" hidden="false" customHeight="true" outlineLevel="0" collapsed="false">
      <c r="A819" s="7" t="n">
        <v>216</v>
      </c>
      <c r="B819" s="7" t="n">
        <v>67</v>
      </c>
      <c r="C819" s="7" t="s">
        <v>24</v>
      </c>
      <c r="D819" s="7" t="s">
        <v>25</v>
      </c>
      <c r="E819" s="7" t="n">
        <v>0</v>
      </c>
      <c r="F819" s="7" t="n">
        <v>0</v>
      </c>
      <c r="G819" s="7" t="s">
        <v>35</v>
      </c>
      <c r="H819" s="7" t="s">
        <v>32</v>
      </c>
      <c r="I819" s="7" t="n">
        <v>41.7</v>
      </c>
      <c r="J819" s="7" t="s">
        <v>39</v>
      </c>
      <c r="K819" s="7" t="n">
        <v>237.3</v>
      </c>
      <c r="L819" s="7" t="s">
        <v>29</v>
      </c>
      <c r="M819" s="7" t="s">
        <v>30</v>
      </c>
    </row>
    <row r="820" customFormat="false" ht="15" hidden="false" customHeight="true" outlineLevel="0" collapsed="false">
      <c r="A820" s="7" t="n">
        <v>245</v>
      </c>
      <c r="B820" s="7" t="n">
        <v>23</v>
      </c>
      <c r="C820" s="7" t="s">
        <v>33</v>
      </c>
      <c r="D820" s="7" t="s">
        <v>25</v>
      </c>
      <c r="E820" s="7" t="n">
        <v>0</v>
      </c>
      <c r="F820" s="7" t="n">
        <v>0</v>
      </c>
      <c r="G820" s="7" t="s">
        <v>26</v>
      </c>
      <c r="H820" s="7" t="s">
        <v>27</v>
      </c>
      <c r="I820" s="7" t="n">
        <v>24.2</v>
      </c>
      <c r="J820" s="7" t="s">
        <v>39</v>
      </c>
      <c r="K820" s="7" t="n">
        <v>140.9</v>
      </c>
      <c r="L820" s="7" t="s">
        <v>29</v>
      </c>
      <c r="M820" s="7" t="s">
        <v>30</v>
      </c>
    </row>
    <row r="821" customFormat="false" ht="15" hidden="false" customHeight="true" outlineLevel="0" collapsed="false">
      <c r="A821" s="7" t="n">
        <v>249</v>
      </c>
      <c r="B821" s="7" t="n">
        <v>34</v>
      </c>
      <c r="C821" s="7" t="s">
        <v>33</v>
      </c>
      <c r="D821" s="7" t="s">
        <v>25</v>
      </c>
      <c r="E821" s="7" t="n">
        <v>0</v>
      </c>
      <c r="F821" s="7" t="n">
        <v>0</v>
      </c>
      <c r="G821" s="7" t="s">
        <v>31</v>
      </c>
      <c r="H821" s="7" t="s">
        <v>27</v>
      </c>
      <c r="I821" s="7" t="n">
        <v>25.1</v>
      </c>
      <c r="J821" s="7" t="s">
        <v>39</v>
      </c>
      <c r="K821" s="7" t="n">
        <v>203.1</v>
      </c>
      <c r="L821" s="7" t="s">
        <v>29</v>
      </c>
      <c r="M821" s="7" t="s">
        <v>30</v>
      </c>
    </row>
    <row r="822" customFormat="false" ht="15" hidden="false" customHeight="true" outlineLevel="0" collapsed="false">
      <c r="A822" s="7" t="n">
        <v>277</v>
      </c>
      <c r="B822" s="7" t="n">
        <v>43</v>
      </c>
      <c r="C822" s="7" t="s">
        <v>33</v>
      </c>
      <c r="D822" s="7" t="s">
        <v>25</v>
      </c>
      <c r="E822" s="7" t="n">
        <v>0</v>
      </c>
      <c r="F822" s="7" t="n">
        <v>0</v>
      </c>
      <c r="G822" s="7" t="s">
        <v>36</v>
      </c>
      <c r="H822" s="7" t="s">
        <v>27</v>
      </c>
      <c r="I822" s="7" t="n">
        <v>23.9</v>
      </c>
      <c r="J822" s="7" t="s">
        <v>39</v>
      </c>
      <c r="K822" s="7" t="n">
        <v>214.9</v>
      </c>
      <c r="L822" s="7" t="s">
        <v>29</v>
      </c>
      <c r="M822" s="7" t="s">
        <v>30</v>
      </c>
    </row>
    <row r="823" customFormat="false" ht="15" hidden="false" customHeight="true" outlineLevel="0" collapsed="false">
      <c r="A823" s="7" t="n">
        <v>329</v>
      </c>
      <c r="B823" s="7" t="n">
        <v>43</v>
      </c>
      <c r="C823" s="7" t="s">
        <v>24</v>
      </c>
      <c r="D823" s="7" t="s">
        <v>25</v>
      </c>
      <c r="E823" s="7" t="n">
        <v>0</v>
      </c>
      <c r="F823" s="7" t="n">
        <v>0</v>
      </c>
      <c r="G823" s="7" t="s">
        <v>34</v>
      </c>
      <c r="H823" s="7" t="s">
        <v>32</v>
      </c>
      <c r="I823" s="7" t="n">
        <v>34.4</v>
      </c>
      <c r="J823" s="7" t="s">
        <v>39</v>
      </c>
      <c r="K823" s="7" t="n">
        <v>203.7</v>
      </c>
      <c r="L823" s="7" t="s">
        <v>29</v>
      </c>
      <c r="M823" s="7" t="s">
        <v>30</v>
      </c>
    </row>
    <row r="824" customFormat="false" ht="15" hidden="false" customHeight="true" outlineLevel="0" collapsed="false">
      <c r="A824" s="7" t="n">
        <v>339</v>
      </c>
      <c r="B824" s="7" t="n">
        <v>70</v>
      </c>
      <c r="C824" s="7" t="s">
        <v>33</v>
      </c>
      <c r="D824" s="7" t="s">
        <v>25</v>
      </c>
      <c r="E824" s="7" t="n">
        <v>0</v>
      </c>
      <c r="F824" s="7" t="n">
        <v>0</v>
      </c>
      <c r="G824" s="7" t="s">
        <v>31</v>
      </c>
      <c r="H824" s="7" t="s">
        <v>27</v>
      </c>
      <c r="I824" s="7" t="n">
        <v>41.6</v>
      </c>
      <c r="J824" s="7" t="s">
        <v>39</v>
      </c>
      <c r="K824" s="7" t="n">
        <v>259.3</v>
      </c>
      <c r="L824" s="7" t="s">
        <v>29</v>
      </c>
      <c r="M824" s="7" t="s">
        <v>30</v>
      </c>
    </row>
    <row r="825" customFormat="false" ht="15" hidden="false" customHeight="true" outlineLevel="0" collapsed="false">
      <c r="A825" s="7" t="n">
        <v>352</v>
      </c>
      <c r="B825" s="7" t="n">
        <v>70</v>
      </c>
      <c r="C825" s="7" t="s">
        <v>33</v>
      </c>
      <c r="D825" s="7" t="s">
        <v>25</v>
      </c>
      <c r="E825" s="7" t="n">
        <v>0</v>
      </c>
      <c r="F825" s="7" t="n">
        <v>0</v>
      </c>
      <c r="G825" s="7" t="s">
        <v>31</v>
      </c>
      <c r="H825" s="7" t="s">
        <v>32</v>
      </c>
      <c r="I825" s="7" t="n">
        <v>38.3</v>
      </c>
      <c r="J825" s="7" t="s">
        <v>39</v>
      </c>
      <c r="K825" s="7" t="n">
        <v>135.3</v>
      </c>
      <c r="L825" s="7" t="s">
        <v>29</v>
      </c>
      <c r="M825" s="7" t="s">
        <v>30</v>
      </c>
    </row>
    <row r="826" customFormat="false" ht="15" hidden="false" customHeight="true" outlineLevel="0" collapsed="false">
      <c r="A826" s="7" t="n">
        <v>368</v>
      </c>
      <c r="B826" s="7" t="n">
        <v>74</v>
      </c>
      <c r="C826" s="7" t="s">
        <v>24</v>
      </c>
      <c r="D826" s="7" t="s">
        <v>25</v>
      </c>
      <c r="E826" s="7" t="n">
        <v>0</v>
      </c>
      <c r="F826" s="7" t="n">
        <v>0</v>
      </c>
      <c r="G826" s="7" t="s">
        <v>35</v>
      </c>
      <c r="H826" s="7" t="s">
        <v>27</v>
      </c>
      <c r="I826" s="7" t="n">
        <v>26.5</v>
      </c>
      <c r="J826" s="7" t="s">
        <v>39</v>
      </c>
      <c r="K826" s="7" t="n">
        <v>190.6</v>
      </c>
      <c r="L826" s="7" t="s">
        <v>29</v>
      </c>
      <c r="M826" s="7" t="s">
        <v>30</v>
      </c>
    </row>
    <row r="827" customFormat="false" ht="15" hidden="false" customHeight="true" outlineLevel="0" collapsed="false">
      <c r="A827" s="7" t="n">
        <v>380</v>
      </c>
      <c r="B827" s="7" t="n">
        <v>47</v>
      </c>
      <c r="C827" s="7" t="s">
        <v>33</v>
      </c>
      <c r="D827" s="7" t="s">
        <v>25</v>
      </c>
      <c r="E827" s="7" t="n">
        <v>0</v>
      </c>
      <c r="F827" s="7" t="n">
        <v>0</v>
      </c>
      <c r="G827" s="7" t="s">
        <v>31</v>
      </c>
      <c r="H827" s="7" t="s">
        <v>27</v>
      </c>
      <c r="I827" s="7" t="n">
        <v>38.8</v>
      </c>
      <c r="J827" s="7" t="s">
        <v>39</v>
      </c>
      <c r="K827" s="7" t="n">
        <v>254.7</v>
      </c>
      <c r="L827" s="7" t="s">
        <v>29</v>
      </c>
      <c r="M827" s="7" t="s">
        <v>30</v>
      </c>
    </row>
    <row r="828" customFormat="false" ht="15" hidden="false" customHeight="true" outlineLevel="0" collapsed="false">
      <c r="A828" s="7" t="n">
        <v>389</v>
      </c>
      <c r="B828" s="7" t="n">
        <v>25</v>
      </c>
      <c r="C828" s="7" t="s">
        <v>24</v>
      </c>
      <c r="D828" s="7" t="s">
        <v>25</v>
      </c>
      <c r="E828" s="7" t="n">
        <v>0</v>
      </c>
      <c r="F828" s="7" t="n">
        <v>0</v>
      </c>
      <c r="G828" s="7" t="s">
        <v>35</v>
      </c>
      <c r="H828" s="7" t="s">
        <v>27</v>
      </c>
      <c r="I828" s="7" t="n">
        <v>24.8</v>
      </c>
      <c r="J828" s="7" t="s">
        <v>39</v>
      </c>
      <c r="K828" s="7" t="n">
        <v>129</v>
      </c>
      <c r="L828" s="7" t="s">
        <v>29</v>
      </c>
      <c r="M828" s="7" t="s">
        <v>30</v>
      </c>
    </row>
    <row r="829" customFormat="false" ht="15" hidden="false" customHeight="true" outlineLevel="0" collapsed="false">
      <c r="A829" s="7" t="n">
        <v>391</v>
      </c>
      <c r="B829" s="7" t="n">
        <v>73</v>
      </c>
      <c r="C829" s="7" t="s">
        <v>24</v>
      </c>
      <c r="D829" s="7" t="s">
        <v>25</v>
      </c>
      <c r="E829" s="7" t="n">
        <v>0</v>
      </c>
      <c r="F829" s="7" t="n">
        <v>0</v>
      </c>
      <c r="G829" s="7" t="s">
        <v>26</v>
      </c>
      <c r="H829" s="7" t="s">
        <v>27</v>
      </c>
      <c r="I829" s="7" t="n">
        <v>26.5</v>
      </c>
      <c r="J829" s="7" t="s">
        <v>39</v>
      </c>
      <c r="K829" s="7" t="n">
        <v>165.2</v>
      </c>
      <c r="L829" s="7" t="s">
        <v>29</v>
      </c>
      <c r="M829" s="7" t="s">
        <v>30</v>
      </c>
    </row>
    <row r="830" customFormat="false" ht="15" hidden="false" customHeight="true" outlineLevel="0" collapsed="false">
      <c r="A830" s="7" t="n">
        <v>393</v>
      </c>
      <c r="B830" s="7" t="n">
        <v>49</v>
      </c>
      <c r="C830" s="7" t="s">
        <v>24</v>
      </c>
      <c r="D830" s="7" t="s">
        <v>25</v>
      </c>
      <c r="E830" s="7" t="n">
        <v>0</v>
      </c>
      <c r="F830" s="7" t="n">
        <v>0</v>
      </c>
      <c r="G830" s="7" t="s">
        <v>35</v>
      </c>
      <c r="H830" s="7" t="s">
        <v>32</v>
      </c>
      <c r="I830" s="7" t="n">
        <v>27</v>
      </c>
      <c r="J830" s="7" t="s">
        <v>39</v>
      </c>
      <c r="K830" s="7" t="n">
        <v>167.9</v>
      </c>
      <c r="L830" s="7" t="s">
        <v>29</v>
      </c>
      <c r="M830" s="7" t="s">
        <v>30</v>
      </c>
    </row>
    <row r="831" customFormat="false" ht="15" hidden="false" customHeight="true" outlineLevel="0" collapsed="false">
      <c r="A831" s="7" t="n">
        <v>395</v>
      </c>
      <c r="B831" s="7" t="n">
        <v>45</v>
      </c>
      <c r="C831" s="7" t="s">
        <v>24</v>
      </c>
      <c r="D831" s="7" t="s">
        <v>25</v>
      </c>
      <c r="E831" s="7" t="n">
        <v>0</v>
      </c>
      <c r="F831" s="7" t="n">
        <v>0</v>
      </c>
      <c r="G831" s="7" t="s">
        <v>26</v>
      </c>
      <c r="H831" s="7" t="s">
        <v>27</v>
      </c>
      <c r="I831" s="7" t="n">
        <v>28.1</v>
      </c>
      <c r="J831" s="7" t="s">
        <v>39</v>
      </c>
      <c r="K831" s="7" t="n">
        <v>250.4</v>
      </c>
      <c r="L831" s="7" t="s">
        <v>29</v>
      </c>
      <c r="M831" s="7" t="s">
        <v>30</v>
      </c>
    </row>
    <row r="832" customFormat="false" ht="15" hidden="false" customHeight="true" outlineLevel="0" collapsed="false">
      <c r="A832" s="7" t="n">
        <v>418</v>
      </c>
      <c r="B832" s="7" t="n">
        <v>56</v>
      </c>
      <c r="C832" s="7" t="s">
        <v>33</v>
      </c>
      <c r="D832" s="7" t="s">
        <v>25</v>
      </c>
      <c r="E832" s="7" t="n">
        <v>0</v>
      </c>
      <c r="F832" s="7" t="n">
        <v>0</v>
      </c>
      <c r="G832" s="7" t="s">
        <v>35</v>
      </c>
      <c r="H832" s="7" t="s">
        <v>27</v>
      </c>
      <c r="I832" s="7" t="n">
        <v>38.8</v>
      </c>
      <c r="J832" s="7" t="s">
        <v>39</v>
      </c>
      <c r="K832" s="7" t="n">
        <v>224.9</v>
      </c>
      <c r="L832" s="7" t="s">
        <v>29</v>
      </c>
      <c r="M832" s="7" t="s">
        <v>30</v>
      </c>
    </row>
    <row r="833" customFormat="false" ht="15" hidden="false" customHeight="true" outlineLevel="0" collapsed="false">
      <c r="A833" s="7" t="n">
        <v>467</v>
      </c>
      <c r="B833" s="7" t="n">
        <v>54</v>
      </c>
      <c r="C833" s="7" t="s">
        <v>33</v>
      </c>
      <c r="D833" s="7" t="s">
        <v>25</v>
      </c>
      <c r="E833" s="7" t="n">
        <v>0</v>
      </c>
      <c r="F833" s="7" t="n">
        <v>0</v>
      </c>
      <c r="G833" s="7" t="s">
        <v>35</v>
      </c>
      <c r="H833" s="7" t="s">
        <v>27</v>
      </c>
      <c r="I833" s="7" t="n">
        <v>28.5</v>
      </c>
      <c r="J833" s="7" t="s">
        <v>39</v>
      </c>
      <c r="K833" s="7" t="n">
        <v>269.3</v>
      </c>
      <c r="L833" s="7" t="s">
        <v>29</v>
      </c>
      <c r="M833" s="7" t="s">
        <v>30</v>
      </c>
    </row>
    <row r="834" customFormat="false" ht="15" hidden="false" customHeight="true" outlineLevel="0" collapsed="false">
      <c r="A834" s="7" t="n">
        <v>558</v>
      </c>
      <c r="B834" s="7" t="n">
        <v>63</v>
      </c>
      <c r="C834" s="7" t="s">
        <v>24</v>
      </c>
      <c r="D834" s="7" t="s">
        <v>25</v>
      </c>
      <c r="E834" s="7" t="n">
        <v>0</v>
      </c>
      <c r="F834" s="7" t="n">
        <v>0</v>
      </c>
      <c r="G834" s="7" t="s">
        <v>35</v>
      </c>
      <c r="H834" s="7" t="s">
        <v>27</v>
      </c>
      <c r="I834" s="7" t="n">
        <v>34</v>
      </c>
      <c r="J834" s="7" t="s">
        <v>39</v>
      </c>
      <c r="K834" s="7" t="n">
        <v>212.6</v>
      </c>
      <c r="L834" s="7" t="s">
        <v>29</v>
      </c>
      <c r="M834" s="7" t="s">
        <v>30</v>
      </c>
    </row>
    <row r="835" customFormat="false" ht="15" hidden="false" customHeight="true" outlineLevel="0" collapsed="false">
      <c r="A835" s="7" t="n">
        <v>571</v>
      </c>
      <c r="B835" s="7" t="n">
        <v>58</v>
      </c>
      <c r="C835" s="7" t="s">
        <v>24</v>
      </c>
      <c r="D835" s="7" t="s">
        <v>25</v>
      </c>
      <c r="E835" s="7" t="n">
        <v>0</v>
      </c>
      <c r="F835" s="7" t="n">
        <v>0</v>
      </c>
      <c r="G835" s="7" t="s">
        <v>36</v>
      </c>
      <c r="H835" s="7" t="s">
        <v>27</v>
      </c>
      <c r="I835" s="7" t="n">
        <v>23.3</v>
      </c>
      <c r="J835" s="7" t="s">
        <v>39</v>
      </c>
      <c r="K835" s="7" t="n">
        <v>167.8</v>
      </c>
      <c r="L835" s="7" t="s">
        <v>29</v>
      </c>
      <c r="M835" s="7" t="s">
        <v>30</v>
      </c>
    </row>
    <row r="836" customFormat="false" ht="15" hidden="false" customHeight="true" outlineLevel="0" collapsed="false">
      <c r="A836" s="7" t="n">
        <v>583</v>
      </c>
      <c r="B836" s="7" t="n">
        <v>78</v>
      </c>
      <c r="C836" s="7" t="s">
        <v>24</v>
      </c>
      <c r="D836" s="7" t="s">
        <v>25</v>
      </c>
      <c r="E836" s="7" t="n">
        <v>0</v>
      </c>
      <c r="F836" s="7" t="n">
        <v>0</v>
      </c>
      <c r="G836" s="7" t="s">
        <v>34</v>
      </c>
      <c r="H836" s="7" t="s">
        <v>32</v>
      </c>
      <c r="I836" s="7" t="n">
        <v>35.2</v>
      </c>
      <c r="J836" s="7" t="s">
        <v>39</v>
      </c>
      <c r="K836" s="7" t="n">
        <v>163.9</v>
      </c>
      <c r="L836" s="7" t="s">
        <v>29</v>
      </c>
      <c r="M836" s="7" t="s">
        <v>30</v>
      </c>
    </row>
    <row r="837" customFormat="false" ht="15" hidden="false" customHeight="true" outlineLevel="0" collapsed="false">
      <c r="A837" s="7" t="n">
        <v>594</v>
      </c>
      <c r="B837" s="7" t="n">
        <v>22</v>
      </c>
      <c r="C837" s="7" t="s">
        <v>33</v>
      </c>
      <c r="D837" s="7" t="s">
        <v>25</v>
      </c>
      <c r="E837" s="7" t="n">
        <v>0</v>
      </c>
      <c r="F837" s="7" t="n">
        <v>0</v>
      </c>
      <c r="G837" s="7" t="s">
        <v>35</v>
      </c>
      <c r="H837" s="7" t="s">
        <v>27</v>
      </c>
      <c r="I837" s="7" t="n">
        <v>29</v>
      </c>
      <c r="J837" s="7" t="s">
        <v>39</v>
      </c>
      <c r="K837" s="7" t="n">
        <v>120.9</v>
      </c>
      <c r="L837" s="7" t="s">
        <v>29</v>
      </c>
      <c r="M837" s="7" t="s">
        <v>30</v>
      </c>
    </row>
    <row r="838" customFormat="false" ht="15" hidden="false" customHeight="true" outlineLevel="0" collapsed="false">
      <c r="A838" s="7" t="n">
        <v>637</v>
      </c>
      <c r="B838" s="7" t="n">
        <v>69</v>
      </c>
      <c r="C838" s="7" t="s">
        <v>33</v>
      </c>
      <c r="D838" s="7" t="s">
        <v>25</v>
      </c>
      <c r="E838" s="7" t="n">
        <v>0</v>
      </c>
      <c r="F838" s="7" t="n">
        <v>0</v>
      </c>
      <c r="G838" s="7" t="s">
        <v>35</v>
      </c>
      <c r="H838" s="7" t="s">
        <v>32</v>
      </c>
      <c r="I838" s="7" t="n">
        <v>37.6</v>
      </c>
      <c r="J838" s="7" t="s">
        <v>39</v>
      </c>
      <c r="K838" s="7" t="n">
        <v>194.5</v>
      </c>
      <c r="L838" s="7" t="s">
        <v>29</v>
      </c>
      <c r="M838" s="7" t="s">
        <v>30</v>
      </c>
    </row>
    <row r="839" customFormat="false" ht="15" hidden="false" customHeight="true" outlineLevel="0" collapsed="false">
      <c r="A839" s="7" t="n">
        <v>679</v>
      </c>
      <c r="B839" s="7" t="n">
        <v>87</v>
      </c>
      <c r="C839" s="7" t="s">
        <v>33</v>
      </c>
      <c r="D839" s="7" t="s">
        <v>25</v>
      </c>
      <c r="E839" s="7" t="n">
        <v>0</v>
      </c>
      <c r="F839" s="7" t="n">
        <v>0</v>
      </c>
      <c r="G839" s="7" t="s">
        <v>36</v>
      </c>
      <c r="H839" s="7" t="s">
        <v>32</v>
      </c>
      <c r="I839" s="7" t="n">
        <v>39.6</v>
      </c>
      <c r="J839" s="7" t="s">
        <v>39</v>
      </c>
      <c r="K839" s="7" t="n">
        <v>161.8</v>
      </c>
      <c r="L839" s="7" t="s">
        <v>29</v>
      </c>
      <c r="M839" s="7" t="s">
        <v>30</v>
      </c>
    </row>
    <row r="840" customFormat="false" ht="15" hidden="false" customHeight="true" outlineLevel="0" collapsed="false">
      <c r="A840" s="7" t="n">
        <v>686</v>
      </c>
      <c r="B840" s="7" t="n">
        <v>65</v>
      </c>
      <c r="C840" s="7" t="s">
        <v>24</v>
      </c>
      <c r="D840" s="7" t="s">
        <v>25</v>
      </c>
      <c r="E840" s="7" t="n">
        <v>0</v>
      </c>
      <c r="F840" s="7" t="n">
        <v>0</v>
      </c>
      <c r="G840" s="7" t="s">
        <v>26</v>
      </c>
      <c r="H840" s="7" t="s">
        <v>27</v>
      </c>
      <c r="I840" s="7" t="n">
        <v>25.1</v>
      </c>
      <c r="J840" s="7" t="s">
        <v>39</v>
      </c>
      <c r="K840" s="7" t="n">
        <v>185.4</v>
      </c>
      <c r="L840" s="7" t="s">
        <v>29</v>
      </c>
      <c r="M840" s="7" t="s">
        <v>30</v>
      </c>
    </row>
    <row r="841" customFormat="false" ht="15" hidden="false" customHeight="true" outlineLevel="0" collapsed="false">
      <c r="A841" s="7" t="n">
        <v>693</v>
      </c>
      <c r="B841" s="7" t="n">
        <v>80</v>
      </c>
      <c r="C841" s="7" t="s">
        <v>33</v>
      </c>
      <c r="D841" s="7" t="s">
        <v>25</v>
      </c>
      <c r="E841" s="7" t="n">
        <v>0</v>
      </c>
      <c r="F841" s="7" t="n">
        <v>0</v>
      </c>
      <c r="G841" s="7" t="s">
        <v>35</v>
      </c>
      <c r="H841" s="7" t="s">
        <v>32</v>
      </c>
      <c r="I841" s="7" t="n">
        <v>32.7</v>
      </c>
      <c r="J841" s="7" t="s">
        <v>39</v>
      </c>
      <c r="K841" s="7" t="n">
        <v>257.7</v>
      </c>
      <c r="L841" s="7" t="s">
        <v>29</v>
      </c>
      <c r="M841" s="7" t="s">
        <v>30</v>
      </c>
    </row>
    <row r="842" customFormat="false" ht="15" hidden="false" customHeight="true" outlineLevel="0" collapsed="false">
      <c r="A842" s="7" t="n">
        <v>706</v>
      </c>
      <c r="B842" s="7" t="n">
        <v>27</v>
      </c>
      <c r="C842" s="7" t="s">
        <v>24</v>
      </c>
      <c r="D842" s="7" t="s">
        <v>25</v>
      </c>
      <c r="E842" s="7" t="n">
        <v>0</v>
      </c>
      <c r="F842" s="7" t="n">
        <v>0</v>
      </c>
      <c r="G842" s="7" t="s">
        <v>31</v>
      </c>
      <c r="H842" s="7" t="s">
        <v>27</v>
      </c>
      <c r="I842" s="7" t="n">
        <v>28.4</v>
      </c>
      <c r="J842" s="7" t="s">
        <v>39</v>
      </c>
      <c r="K842" s="7" t="n">
        <v>285.1</v>
      </c>
      <c r="L842" s="7" t="s">
        <v>29</v>
      </c>
      <c r="M842" s="7" t="s">
        <v>30</v>
      </c>
    </row>
    <row r="843" customFormat="false" ht="15" hidden="false" customHeight="true" outlineLevel="0" collapsed="false">
      <c r="A843" s="7" t="n">
        <v>715</v>
      </c>
      <c r="B843" s="7" t="n">
        <v>40</v>
      </c>
      <c r="C843" s="7" t="s">
        <v>33</v>
      </c>
      <c r="D843" s="7" t="s">
        <v>25</v>
      </c>
      <c r="E843" s="7" t="n">
        <v>0</v>
      </c>
      <c r="F843" s="7" t="n">
        <v>0</v>
      </c>
      <c r="G843" s="7" t="s">
        <v>26</v>
      </c>
      <c r="H843" s="7" t="s">
        <v>27</v>
      </c>
      <c r="I843" s="7" t="n">
        <v>30.4</v>
      </c>
      <c r="J843" s="7" t="s">
        <v>39</v>
      </c>
      <c r="K843" s="7" t="n">
        <v>193.8</v>
      </c>
      <c r="L843" s="7" t="s">
        <v>29</v>
      </c>
      <c r="M843" s="7" t="s">
        <v>30</v>
      </c>
    </row>
    <row r="844" customFormat="false" ht="15" hidden="false" customHeight="true" outlineLevel="0" collapsed="false">
      <c r="A844" s="7" t="n">
        <v>723</v>
      </c>
      <c r="B844" s="7" t="n">
        <v>54</v>
      </c>
      <c r="C844" s="7" t="s">
        <v>33</v>
      </c>
      <c r="D844" s="7" t="s">
        <v>25</v>
      </c>
      <c r="E844" s="7" t="n">
        <v>0</v>
      </c>
      <c r="F844" s="7" t="n">
        <v>0</v>
      </c>
      <c r="G844" s="7" t="s">
        <v>36</v>
      </c>
      <c r="H844" s="7" t="s">
        <v>32</v>
      </c>
      <c r="I844" s="7" t="n">
        <v>32.9</v>
      </c>
      <c r="J844" s="7" t="s">
        <v>39</v>
      </c>
      <c r="K844" s="7" t="n">
        <v>134.9</v>
      </c>
      <c r="L844" s="7" t="s">
        <v>29</v>
      </c>
      <c r="M844" s="7" t="s">
        <v>30</v>
      </c>
    </row>
    <row r="845" customFormat="false" ht="15" hidden="false" customHeight="true" outlineLevel="0" collapsed="false">
      <c r="A845" s="7" t="n">
        <v>749</v>
      </c>
      <c r="B845" s="7" t="n">
        <v>43</v>
      </c>
      <c r="C845" s="7" t="s">
        <v>33</v>
      </c>
      <c r="D845" s="7" t="s">
        <v>25</v>
      </c>
      <c r="E845" s="7" t="n">
        <v>0</v>
      </c>
      <c r="F845" s="7" t="n">
        <v>0</v>
      </c>
      <c r="G845" s="7" t="s">
        <v>36</v>
      </c>
      <c r="H845" s="7" t="s">
        <v>27</v>
      </c>
      <c r="I845" s="7" t="n">
        <v>32.1</v>
      </c>
      <c r="J845" s="7" t="s">
        <v>39</v>
      </c>
      <c r="K845" s="7" t="n">
        <v>299.8</v>
      </c>
      <c r="L845" s="7" t="s">
        <v>29</v>
      </c>
      <c r="M845" s="7" t="s">
        <v>30</v>
      </c>
    </row>
    <row r="846" customFormat="false" ht="15" hidden="false" customHeight="true" outlineLevel="0" collapsed="false">
      <c r="A846" s="7" t="n">
        <v>755</v>
      </c>
      <c r="B846" s="7" t="n">
        <v>50</v>
      </c>
      <c r="C846" s="7" t="s">
        <v>33</v>
      </c>
      <c r="D846" s="7" t="s">
        <v>25</v>
      </c>
      <c r="E846" s="7" t="n">
        <v>0</v>
      </c>
      <c r="F846" s="7" t="n">
        <v>0</v>
      </c>
      <c r="G846" s="7" t="s">
        <v>31</v>
      </c>
      <c r="H846" s="7" t="s">
        <v>27</v>
      </c>
      <c r="I846" s="7" t="n">
        <v>29.3</v>
      </c>
      <c r="J846" s="7" t="s">
        <v>39</v>
      </c>
      <c r="K846" s="7" t="n">
        <v>258.5</v>
      </c>
      <c r="L846" s="7" t="s">
        <v>29</v>
      </c>
      <c r="M846" s="7" t="s">
        <v>30</v>
      </c>
    </row>
    <row r="847" customFormat="false" ht="15" hidden="false" customHeight="true" outlineLevel="0" collapsed="false">
      <c r="A847" s="7" t="n">
        <v>789</v>
      </c>
      <c r="B847" s="7" t="n">
        <v>62</v>
      </c>
      <c r="C847" s="7" t="s">
        <v>24</v>
      </c>
      <c r="D847" s="7" t="s">
        <v>25</v>
      </c>
      <c r="E847" s="7" t="n">
        <v>0</v>
      </c>
      <c r="F847" s="7" t="n">
        <v>0</v>
      </c>
      <c r="G847" s="7" t="s">
        <v>34</v>
      </c>
      <c r="H847" s="7" t="s">
        <v>27</v>
      </c>
      <c r="I847" s="7" t="n">
        <v>34.4</v>
      </c>
      <c r="J847" s="7" t="s">
        <v>39</v>
      </c>
      <c r="K847" s="7" t="n">
        <v>173.2</v>
      </c>
      <c r="L847" s="7" t="s">
        <v>29</v>
      </c>
      <c r="M847" s="7" t="s">
        <v>30</v>
      </c>
    </row>
    <row r="848" customFormat="false" ht="15" hidden="false" customHeight="true" outlineLevel="0" collapsed="false">
      <c r="A848" s="7" t="n">
        <v>810</v>
      </c>
      <c r="B848" s="7" t="n">
        <v>87</v>
      </c>
      <c r="C848" s="7" t="s">
        <v>24</v>
      </c>
      <c r="D848" s="7" t="s">
        <v>25</v>
      </c>
      <c r="E848" s="7" t="n">
        <v>0</v>
      </c>
      <c r="F848" s="7" t="n">
        <v>0</v>
      </c>
      <c r="G848" s="7" t="s">
        <v>31</v>
      </c>
      <c r="H848" s="7" t="s">
        <v>27</v>
      </c>
      <c r="I848" s="7" t="n">
        <v>25.2</v>
      </c>
      <c r="J848" s="7" t="s">
        <v>39</v>
      </c>
      <c r="K848" s="7" t="n">
        <v>142.1</v>
      </c>
      <c r="L848" s="7" t="s">
        <v>29</v>
      </c>
      <c r="M848" s="7" t="s">
        <v>30</v>
      </c>
    </row>
    <row r="849" customFormat="false" ht="15" hidden="false" customHeight="true" outlineLevel="0" collapsed="false">
      <c r="A849" s="7" t="n">
        <v>841</v>
      </c>
      <c r="B849" s="7" t="n">
        <v>23</v>
      </c>
      <c r="C849" s="7" t="s">
        <v>33</v>
      </c>
      <c r="D849" s="7" t="s">
        <v>25</v>
      </c>
      <c r="E849" s="7" t="n">
        <v>0</v>
      </c>
      <c r="F849" s="7" t="n">
        <v>0</v>
      </c>
      <c r="G849" s="7" t="s">
        <v>26</v>
      </c>
      <c r="H849" s="7" t="s">
        <v>32</v>
      </c>
      <c r="I849" s="7" t="n">
        <v>33.3</v>
      </c>
      <c r="J849" s="7" t="s">
        <v>39</v>
      </c>
      <c r="K849" s="7" t="n">
        <v>275.3</v>
      </c>
      <c r="L849" s="7" t="s">
        <v>29</v>
      </c>
      <c r="M849" s="7" t="s">
        <v>30</v>
      </c>
    </row>
    <row r="850" customFormat="false" ht="15" hidden="false" customHeight="true" outlineLevel="0" collapsed="false">
      <c r="A850" s="7" t="n">
        <v>849</v>
      </c>
      <c r="B850" s="7" t="n">
        <v>24</v>
      </c>
      <c r="C850" s="7" t="s">
        <v>33</v>
      </c>
      <c r="D850" s="7" t="s">
        <v>25</v>
      </c>
      <c r="E850" s="7" t="n">
        <v>0</v>
      </c>
      <c r="F850" s="7" t="n">
        <v>0</v>
      </c>
      <c r="G850" s="7" t="s">
        <v>34</v>
      </c>
      <c r="H850" s="7" t="s">
        <v>32</v>
      </c>
      <c r="I850" s="7" t="n">
        <v>28</v>
      </c>
      <c r="J850" s="7" t="s">
        <v>39</v>
      </c>
      <c r="K850" s="7" t="n">
        <v>145.5</v>
      </c>
      <c r="L850" s="7" t="s">
        <v>29</v>
      </c>
      <c r="M850" s="7" t="s">
        <v>30</v>
      </c>
    </row>
    <row r="851" customFormat="false" ht="15" hidden="false" customHeight="true" outlineLevel="0" collapsed="false">
      <c r="A851" s="7" t="n">
        <v>852</v>
      </c>
      <c r="B851" s="7" t="n">
        <v>46</v>
      </c>
      <c r="C851" s="7" t="s">
        <v>24</v>
      </c>
      <c r="D851" s="7" t="s">
        <v>25</v>
      </c>
      <c r="E851" s="7" t="n">
        <v>0</v>
      </c>
      <c r="F851" s="7" t="n">
        <v>0</v>
      </c>
      <c r="G851" s="7" t="s">
        <v>26</v>
      </c>
      <c r="H851" s="7" t="s">
        <v>27</v>
      </c>
      <c r="I851" s="7" t="n">
        <v>40.2</v>
      </c>
      <c r="J851" s="7" t="s">
        <v>39</v>
      </c>
      <c r="K851" s="7" t="n">
        <v>249.7</v>
      </c>
      <c r="L851" s="7" t="s">
        <v>29</v>
      </c>
      <c r="M851" s="7" t="s">
        <v>30</v>
      </c>
    </row>
    <row r="852" customFormat="false" ht="15" hidden="false" customHeight="true" outlineLevel="0" collapsed="false">
      <c r="A852" s="7" t="n">
        <v>868</v>
      </c>
      <c r="B852" s="7" t="n">
        <v>88</v>
      </c>
      <c r="C852" s="7" t="s">
        <v>33</v>
      </c>
      <c r="D852" s="7" t="s">
        <v>25</v>
      </c>
      <c r="E852" s="7" t="n">
        <v>0</v>
      </c>
      <c r="F852" s="7" t="n">
        <v>0</v>
      </c>
      <c r="G852" s="7" t="s">
        <v>31</v>
      </c>
      <c r="H852" s="7" t="s">
        <v>27</v>
      </c>
      <c r="I852" s="7" t="n">
        <v>33.3</v>
      </c>
      <c r="J852" s="7" t="s">
        <v>39</v>
      </c>
      <c r="K852" s="7" t="n">
        <v>292.9</v>
      </c>
      <c r="L852" s="7" t="s">
        <v>29</v>
      </c>
      <c r="M852" s="7" t="s">
        <v>30</v>
      </c>
    </row>
    <row r="853" customFormat="false" ht="15" hidden="false" customHeight="true" outlineLevel="0" collapsed="false">
      <c r="A853" s="7" t="n">
        <v>869</v>
      </c>
      <c r="B853" s="7" t="n">
        <v>21</v>
      </c>
      <c r="C853" s="7" t="s">
        <v>24</v>
      </c>
      <c r="D853" s="7" t="s">
        <v>25</v>
      </c>
      <c r="E853" s="7" t="n">
        <v>0</v>
      </c>
      <c r="F853" s="7" t="n">
        <v>0</v>
      </c>
      <c r="G853" s="7" t="s">
        <v>31</v>
      </c>
      <c r="H853" s="7" t="s">
        <v>27</v>
      </c>
      <c r="I853" s="7" t="n">
        <v>20.9</v>
      </c>
      <c r="J853" s="7" t="s">
        <v>39</v>
      </c>
      <c r="K853" s="7" t="n">
        <v>198.1</v>
      </c>
      <c r="L853" s="7" t="s">
        <v>29</v>
      </c>
      <c r="M853" s="7" t="s">
        <v>30</v>
      </c>
    </row>
    <row r="854" customFormat="false" ht="15" hidden="false" customHeight="true" outlineLevel="0" collapsed="false">
      <c r="A854" s="7" t="n">
        <v>873</v>
      </c>
      <c r="B854" s="7" t="n">
        <v>45</v>
      </c>
      <c r="C854" s="7" t="s">
        <v>24</v>
      </c>
      <c r="D854" s="7" t="s">
        <v>25</v>
      </c>
      <c r="E854" s="7" t="n">
        <v>0</v>
      </c>
      <c r="F854" s="7" t="n">
        <v>0</v>
      </c>
      <c r="G854" s="7" t="s">
        <v>34</v>
      </c>
      <c r="H854" s="7" t="s">
        <v>27</v>
      </c>
      <c r="I854" s="7" t="n">
        <v>18.6</v>
      </c>
      <c r="J854" s="7" t="s">
        <v>39</v>
      </c>
      <c r="K854" s="7" t="n">
        <v>194.8</v>
      </c>
      <c r="L854" s="7" t="s">
        <v>29</v>
      </c>
      <c r="M854" s="7" t="s">
        <v>30</v>
      </c>
    </row>
    <row r="855" customFormat="false" ht="15" hidden="false" customHeight="true" outlineLevel="0" collapsed="false">
      <c r="A855" s="7" t="n">
        <v>978</v>
      </c>
      <c r="B855" s="7" t="n">
        <v>74</v>
      </c>
      <c r="C855" s="7" t="s">
        <v>24</v>
      </c>
      <c r="D855" s="7" t="s">
        <v>25</v>
      </c>
      <c r="E855" s="7" t="n">
        <v>0</v>
      </c>
      <c r="F855" s="7" t="n">
        <v>0</v>
      </c>
      <c r="G855" s="7" t="s">
        <v>31</v>
      </c>
      <c r="H855" s="7" t="s">
        <v>27</v>
      </c>
      <c r="I855" s="7" t="n">
        <v>23.7</v>
      </c>
      <c r="J855" s="7" t="s">
        <v>39</v>
      </c>
      <c r="K855" s="7" t="n">
        <v>176.4</v>
      </c>
      <c r="L855" s="7" t="s">
        <v>29</v>
      </c>
      <c r="M855" s="7" t="s">
        <v>30</v>
      </c>
    </row>
    <row r="856" customFormat="false" ht="15" hidden="false" customHeight="true" outlineLevel="0" collapsed="false">
      <c r="A856" s="7" t="n">
        <v>981</v>
      </c>
      <c r="B856" s="7" t="n">
        <v>26</v>
      </c>
      <c r="C856" s="7" t="s">
        <v>33</v>
      </c>
      <c r="D856" s="7" t="s">
        <v>25</v>
      </c>
      <c r="E856" s="7" t="n">
        <v>0</v>
      </c>
      <c r="F856" s="7" t="n">
        <v>0</v>
      </c>
      <c r="G856" s="7" t="s">
        <v>26</v>
      </c>
      <c r="H856" s="7" t="s">
        <v>32</v>
      </c>
      <c r="I856" s="7" t="n">
        <v>20.7</v>
      </c>
      <c r="J856" s="7" t="s">
        <v>39</v>
      </c>
      <c r="K856" s="7" t="n">
        <v>290.5</v>
      </c>
      <c r="L856" s="7" t="s">
        <v>29</v>
      </c>
      <c r="M856" s="7" t="s">
        <v>30</v>
      </c>
    </row>
    <row r="857" customFormat="false" ht="15" hidden="false" customHeight="true" outlineLevel="0" collapsed="false">
      <c r="A857" s="7" t="n">
        <v>993</v>
      </c>
      <c r="B857" s="7" t="n">
        <v>75</v>
      </c>
      <c r="C857" s="7" t="s">
        <v>33</v>
      </c>
      <c r="D857" s="7" t="s">
        <v>25</v>
      </c>
      <c r="E857" s="7" t="n">
        <v>0</v>
      </c>
      <c r="F857" s="7" t="n">
        <v>0</v>
      </c>
      <c r="G857" s="7" t="s">
        <v>34</v>
      </c>
      <c r="H857" s="7" t="s">
        <v>32</v>
      </c>
      <c r="I857" s="7" t="n">
        <v>31.4</v>
      </c>
      <c r="J857" s="7" t="s">
        <v>39</v>
      </c>
      <c r="K857" s="7" t="n">
        <v>221.3</v>
      </c>
      <c r="L857" s="7" t="s">
        <v>29</v>
      </c>
      <c r="M857" s="7" t="s">
        <v>30</v>
      </c>
    </row>
    <row r="858" customFormat="false" ht="15" hidden="false" customHeight="true" outlineLevel="0" collapsed="false">
      <c r="A858" s="7" t="n">
        <v>998</v>
      </c>
      <c r="B858" s="7" t="n">
        <v>40</v>
      </c>
      <c r="C858" s="7" t="s">
        <v>24</v>
      </c>
      <c r="D858" s="7" t="s">
        <v>25</v>
      </c>
      <c r="E858" s="7" t="n">
        <v>0</v>
      </c>
      <c r="F858" s="7" t="n">
        <v>0</v>
      </c>
      <c r="G858" s="7" t="s">
        <v>36</v>
      </c>
      <c r="H858" s="7" t="s">
        <v>27</v>
      </c>
      <c r="I858" s="7" t="n">
        <v>33.9</v>
      </c>
      <c r="J858" s="7" t="s">
        <v>39</v>
      </c>
      <c r="K858" s="7" t="n">
        <v>254.9</v>
      </c>
      <c r="L858" s="7" t="s">
        <v>29</v>
      </c>
      <c r="M858" s="7" t="s">
        <v>30</v>
      </c>
    </row>
    <row r="859" customFormat="false" ht="15" hidden="false" customHeight="true" outlineLevel="0" collapsed="false">
      <c r="A859" s="7" t="n">
        <v>1061</v>
      </c>
      <c r="B859" s="7" t="n">
        <v>60</v>
      </c>
      <c r="C859" s="7" t="s">
        <v>33</v>
      </c>
      <c r="D859" s="7" t="s">
        <v>25</v>
      </c>
      <c r="E859" s="7" t="n">
        <v>0</v>
      </c>
      <c r="F859" s="7" t="n">
        <v>0</v>
      </c>
      <c r="G859" s="7" t="s">
        <v>26</v>
      </c>
      <c r="H859" s="7" t="s">
        <v>32</v>
      </c>
      <c r="I859" s="7" t="n">
        <v>23.4</v>
      </c>
      <c r="J859" s="7" t="s">
        <v>39</v>
      </c>
      <c r="K859" s="7" t="n">
        <v>226.9</v>
      </c>
      <c r="L859" s="7" t="s">
        <v>29</v>
      </c>
      <c r="M859" s="7" t="s">
        <v>30</v>
      </c>
    </row>
    <row r="860" customFormat="false" ht="15" hidden="false" customHeight="true" outlineLevel="0" collapsed="false">
      <c r="A860" s="7" t="n">
        <v>1073</v>
      </c>
      <c r="B860" s="7" t="n">
        <v>57</v>
      </c>
      <c r="C860" s="7" t="s">
        <v>33</v>
      </c>
      <c r="D860" s="7" t="s">
        <v>25</v>
      </c>
      <c r="E860" s="7" t="n">
        <v>0</v>
      </c>
      <c r="F860" s="7" t="n">
        <v>0</v>
      </c>
      <c r="G860" s="7" t="s">
        <v>34</v>
      </c>
      <c r="H860" s="7" t="s">
        <v>27</v>
      </c>
      <c r="I860" s="7" t="n">
        <v>26.1</v>
      </c>
      <c r="J860" s="7" t="s">
        <v>39</v>
      </c>
      <c r="K860" s="7" t="n">
        <v>256.2</v>
      </c>
      <c r="L860" s="7" t="s">
        <v>29</v>
      </c>
      <c r="M860" s="7" t="s">
        <v>30</v>
      </c>
    </row>
    <row r="861" customFormat="false" ht="15" hidden="false" customHeight="true" outlineLevel="0" collapsed="false">
      <c r="A861" s="7" t="n">
        <v>1086</v>
      </c>
      <c r="B861" s="7" t="n">
        <v>46</v>
      </c>
      <c r="C861" s="7" t="s">
        <v>33</v>
      </c>
      <c r="D861" s="7" t="s">
        <v>25</v>
      </c>
      <c r="E861" s="7" t="n">
        <v>0</v>
      </c>
      <c r="F861" s="7" t="n">
        <v>0</v>
      </c>
      <c r="G861" s="7" t="s">
        <v>26</v>
      </c>
      <c r="H861" s="7" t="s">
        <v>32</v>
      </c>
      <c r="I861" s="7" t="n">
        <v>20.4</v>
      </c>
      <c r="J861" s="7" t="s">
        <v>39</v>
      </c>
      <c r="K861" s="7" t="n">
        <v>229.1</v>
      </c>
      <c r="L861" s="7" t="s">
        <v>29</v>
      </c>
      <c r="M861" s="7" t="s">
        <v>30</v>
      </c>
    </row>
    <row r="862" customFormat="false" ht="15" hidden="false" customHeight="true" outlineLevel="0" collapsed="false">
      <c r="A862" s="7" t="n">
        <v>1112</v>
      </c>
      <c r="B862" s="7" t="n">
        <v>61</v>
      </c>
      <c r="C862" s="7" t="s">
        <v>33</v>
      </c>
      <c r="D862" s="7" t="s">
        <v>25</v>
      </c>
      <c r="E862" s="7" t="n">
        <v>0</v>
      </c>
      <c r="F862" s="7" t="n">
        <v>0</v>
      </c>
      <c r="G862" s="7" t="s">
        <v>31</v>
      </c>
      <c r="H862" s="7" t="s">
        <v>27</v>
      </c>
      <c r="I862" s="7" t="n">
        <v>40.4</v>
      </c>
      <c r="J862" s="7" t="s">
        <v>39</v>
      </c>
      <c r="K862" s="7" t="n">
        <v>140.7</v>
      </c>
      <c r="L862" s="7" t="s">
        <v>29</v>
      </c>
      <c r="M862" s="7" t="s">
        <v>30</v>
      </c>
    </row>
    <row r="863" customFormat="false" ht="15" hidden="false" customHeight="true" outlineLevel="0" collapsed="false">
      <c r="A863" s="7" t="n">
        <v>1115</v>
      </c>
      <c r="B863" s="7" t="n">
        <v>66</v>
      </c>
      <c r="C863" s="7" t="s">
        <v>24</v>
      </c>
      <c r="D863" s="7" t="s">
        <v>25</v>
      </c>
      <c r="E863" s="7" t="n">
        <v>0</v>
      </c>
      <c r="F863" s="7" t="n">
        <v>0</v>
      </c>
      <c r="G863" s="7" t="s">
        <v>34</v>
      </c>
      <c r="H863" s="7" t="s">
        <v>27</v>
      </c>
      <c r="I863" s="7" t="n">
        <v>38.6</v>
      </c>
      <c r="J863" s="7" t="s">
        <v>39</v>
      </c>
      <c r="K863" s="7" t="n">
        <v>124</v>
      </c>
      <c r="L863" s="7" t="s">
        <v>29</v>
      </c>
      <c r="M863" s="7" t="s">
        <v>30</v>
      </c>
    </row>
    <row r="864" customFormat="false" ht="15" hidden="false" customHeight="true" outlineLevel="0" collapsed="false">
      <c r="A864" s="7" t="n">
        <v>1161</v>
      </c>
      <c r="B864" s="7" t="n">
        <v>48</v>
      </c>
      <c r="C864" s="7" t="s">
        <v>33</v>
      </c>
      <c r="D864" s="7" t="s">
        <v>25</v>
      </c>
      <c r="E864" s="7" t="n">
        <v>0</v>
      </c>
      <c r="F864" s="7" t="n">
        <v>0</v>
      </c>
      <c r="G864" s="7" t="s">
        <v>26</v>
      </c>
      <c r="H864" s="7" t="s">
        <v>32</v>
      </c>
      <c r="I864" s="7" t="n">
        <v>38.4</v>
      </c>
      <c r="J864" s="7" t="s">
        <v>39</v>
      </c>
      <c r="K864" s="7" t="n">
        <v>263.8</v>
      </c>
      <c r="L864" s="7" t="s">
        <v>29</v>
      </c>
      <c r="M864" s="7" t="s">
        <v>30</v>
      </c>
    </row>
    <row r="865" customFormat="false" ht="15" hidden="false" customHeight="true" outlineLevel="0" collapsed="false">
      <c r="A865" s="7" t="n">
        <v>1168</v>
      </c>
      <c r="B865" s="7" t="n">
        <v>51</v>
      </c>
      <c r="C865" s="7" t="s">
        <v>24</v>
      </c>
      <c r="D865" s="7" t="s">
        <v>25</v>
      </c>
      <c r="E865" s="7" t="n">
        <v>0</v>
      </c>
      <c r="F865" s="7" t="n">
        <v>0</v>
      </c>
      <c r="G865" s="7" t="s">
        <v>34</v>
      </c>
      <c r="H865" s="7" t="s">
        <v>32</v>
      </c>
      <c r="I865" s="7" t="n">
        <v>24.1</v>
      </c>
      <c r="J865" s="7" t="s">
        <v>39</v>
      </c>
      <c r="K865" s="7" t="n">
        <v>141.3</v>
      </c>
      <c r="L865" s="7" t="s">
        <v>29</v>
      </c>
      <c r="M865" s="7" t="s">
        <v>30</v>
      </c>
    </row>
    <row r="866" customFormat="false" ht="15" hidden="false" customHeight="true" outlineLevel="0" collapsed="false">
      <c r="A866" s="7" t="n">
        <v>1169</v>
      </c>
      <c r="B866" s="7" t="n">
        <v>43</v>
      </c>
      <c r="C866" s="7" t="s">
        <v>33</v>
      </c>
      <c r="D866" s="7" t="s">
        <v>25</v>
      </c>
      <c r="E866" s="7" t="n">
        <v>0</v>
      </c>
      <c r="F866" s="7" t="n">
        <v>0</v>
      </c>
      <c r="G866" s="7" t="s">
        <v>26</v>
      </c>
      <c r="H866" s="7" t="s">
        <v>27</v>
      </c>
      <c r="I866" s="7" t="n">
        <v>36.3</v>
      </c>
      <c r="J866" s="7" t="s">
        <v>39</v>
      </c>
      <c r="K866" s="7" t="n">
        <v>167</v>
      </c>
      <c r="L866" s="7" t="s">
        <v>29</v>
      </c>
      <c r="M866" s="7" t="s">
        <v>30</v>
      </c>
    </row>
    <row r="867" customFormat="false" ht="15" hidden="false" customHeight="true" outlineLevel="0" collapsed="false">
      <c r="A867" s="7" t="n">
        <v>1179</v>
      </c>
      <c r="B867" s="7" t="n">
        <v>34</v>
      </c>
      <c r="C867" s="7" t="s">
        <v>24</v>
      </c>
      <c r="D867" s="7" t="s">
        <v>25</v>
      </c>
      <c r="E867" s="7" t="n">
        <v>0</v>
      </c>
      <c r="F867" s="7" t="n">
        <v>0</v>
      </c>
      <c r="G867" s="7" t="s">
        <v>35</v>
      </c>
      <c r="H867" s="7" t="s">
        <v>27</v>
      </c>
      <c r="I867" s="7" t="n">
        <v>28.8</v>
      </c>
      <c r="J867" s="7" t="s">
        <v>39</v>
      </c>
      <c r="K867" s="7" t="n">
        <v>160.5</v>
      </c>
      <c r="L867" s="7" t="s">
        <v>29</v>
      </c>
      <c r="M867" s="7" t="s">
        <v>30</v>
      </c>
    </row>
    <row r="868" customFormat="false" ht="15" hidden="false" customHeight="true" outlineLevel="0" collapsed="false">
      <c r="A868" s="7" t="n">
        <v>1210</v>
      </c>
      <c r="B868" s="7" t="n">
        <v>18</v>
      </c>
      <c r="C868" s="7" t="s">
        <v>24</v>
      </c>
      <c r="D868" s="7" t="s">
        <v>25</v>
      </c>
      <c r="E868" s="7" t="n">
        <v>0</v>
      </c>
      <c r="F868" s="7" t="n">
        <v>0</v>
      </c>
      <c r="G868" s="7" t="s">
        <v>36</v>
      </c>
      <c r="H868" s="7" t="s">
        <v>27</v>
      </c>
      <c r="I868" s="7" t="n">
        <v>38.2</v>
      </c>
      <c r="J868" s="7" t="s">
        <v>39</v>
      </c>
      <c r="K868" s="7" t="n">
        <v>173.5</v>
      </c>
      <c r="L868" s="7" t="s">
        <v>29</v>
      </c>
      <c r="M868" s="7" t="s">
        <v>30</v>
      </c>
    </row>
    <row r="869" customFormat="false" ht="15" hidden="false" customHeight="true" outlineLevel="0" collapsed="false">
      <c r="A869" s="7" t="n">
        <v>1220</v>
      </c>
      <c r="B869" s="7" t="n">
        <v>22</v>
      </c>
      <c r="C869" s="7" t="s">
        <v>24</v>
      </c>
      <c r="D869" s="7" t="s">
        <v>25</v>
      </c>
      <c r="E869" s="7" t="n">
        <v>0</v>
      </c>
      <c r="F869" s="7" t="n">
        <v>0</v>
      </c>
      <c r="G869" s="7" t="s">
        <v>26</v>
      </c>
      <c r="H869" s="7" t="s">
        <v>27</v>
      </c>
      <c r="I869" s="7" t="n">
        <v>17.3</v>
      </c>
      <c r="J869" s="7" t="s">
        <v>39</v>
      </c>
      <c r="K869" s="7" t="n">
        <v>224.6</v>
      </c>
      <c r="L869" s="7" t="s">
        <v>29</v>
      </c>
      <c r="M869" s="7" t="s">
        <v>30</v>
      </c>
    </row>
    <row r="870" customFormat="false" ht="15" hidden="false" customHeight="true" outlineLevel="0" collapsed="false">
      <c r="A870" s="7" t="n">
        <v>1226</v>
      </c>
      <c r="B870" s="7" t="n">
        <v>69</v>
      </c>
      <c r="C870" s="7" t="s">
        <v>33</v>
      </c>
      <c r="D870" s="7" t="s">
        <v>25</v>
      </c>
      <c r="E870" s="7" t="n">
        <v>0</v>
      </c>
      <c r="F870" s="7" t="n">
        <v>0</v>
      </c>
      <c r="G870" s="7" t="s">
        <v>31</v>
      </c>
      <c r="H870" s="7" t="s">
        <v>27</v>
      </c>
      <c r="I870" s="7" t="n">
        <v>21.2</v>
      </c>
      <c r="J870" s="7" t="s">
        <v>39</v>
      </c>
      <c r="K870" s="7" t="n">
        <v>236.7</v>
      </c>
      <c r="L870" s="7" t="s">
        <v>29</v>
      </c>
      <c r="M870" s="7" t="s">
        <v>30</v>
      </c>
    </row>
    <row r="871" customFormat="false" ht="15" hidden="false" customHeight="true" outlineLevel="0" collapsed="false">
      <c r="A871" s="7" t="n">
        <v>1243</v>
      </c>
      <c r="B871" s="7" t="n">
        <v>38</v>
      </c>
      <c r="C871" s="7" t="s">
        <v>24</v>
      </c>
      <c r="D871" s="7" t="s">
        <v>25</v>
      </c>
      <c r="E871" s="7" t="n">
        <v>0</v>
      </c>
      <c r="F871" s="7" t="n">
        <v>0</v>
      </c>
      <c r="G871" s="7" t="s">
        <v>26</v>
      </c>
      <c r="H871" s="7" t="s">
        <v>27</v>
      </c>
      <c r="I871" s="7" t="n">
        <v>23.3</v>
      </c>
      <c r="J871" s="7" t="s">
        <v>39</v>
      </c>
      <c r="K871" s="7" t="n">
        <v>207</v>
      </c>
      <c r="L871" s="7" t="s">
        <v>29</v>
      </c>
      <c r="M871" s="7" t="s">
        <v>30</v>
      </c>
    </row>
    <row r="872" customFormat="false" ht="15" hidden="false" customHeight="true" outlineLevel="0" collapsed="false">
      <c r="A872" s="7" t="n">
        <v>1284</v>
      </c>
      <c r="B872" s="7" t="n">
        <v>61</v>
      </c>
      <c r="C872" s="7" t="s">
        <v>24</v>
      </c>
      <c r="D872" s="7" t="s">
        <v>25</v>
      </c>
      <c r="E872" s="7" t="n">
        <v>0</v>
      </c>
      <c r="F872" s="7" t="n">
        <v>0</v>
      </c>
      <c r="G872" s="7" t="s">
        <v>35</v>
      </c>
      <c r="H872" s="7" t="s">
        <v>27</v>
      </c>
      <c r="I872" s="7" t="n">
        <v>34.2</v>
      </c>
      <c r="J872" s="7" t="s">
        <v>39</v>
      </c>
      <c r="K872" s="7" t="n">
        <v>202.5</v>
      </c>
      <c r="L872" s="7" t="s">
        <v>29</v>
      </c>
      <c r="M872" s="7" t="s">
        <v>30</v>
      </c>
    </row>
    <row r="873" customFormat="false" ht="15" hidden="false" customHeight="true" outlineLevel="0" collapsed="false">
      <c r="A873" s="7" t="n">
        <v>1302</v>
      </c>
      <c r="B873" s="7" t="n">
        <v>37</v>
      </c>
      <c r="C873" s="7" t="s">
        <v>24</v>
      </c>
      <c r="D873" s="7" t="s">
        <v>25</v>
      </c>
      <c r="E873" s="7" t="n">
        <v>0</v>
      </c>
      <c r="F873" s="7" t="n">
        <v>0</v>
      </c>
      <c r="G873" s="7" t="s">
        <v>26</v>
      </c>
      <c r="H873" s="7" t="s">
        <v>27</v>
      </c>
      <c r="I873" s="7" t="n">
        <v>38.7</v>
      </c>
      <c r="J873" s="7" t="s">
        <v>39</v>
      </c>
      <c r="K873" s="7" t="n">
        <v>241.6</v>
      </c>
      <c r="L873" s="7" t="s">
        <v>29</v>
      </c>
      <c r="M873" s="7" t="s">
        <v>30</v>
      </c>
    </row>
    <row r="874" customFormat="false" ht="15" hidden="false" customHeight="true" outlineLevel="0" collapsed="false">
      <c r="A874" s="7" t="n">
        <v>1334</v>
      </c>
      <c r="B874" s="7" t="n">
        <v>34</v>
      </c>
      <c r="C874" s="7" t="s">
        <v>33</v>
      </c>
      <c r="D874" s="7" t="s">
        <v>25</v>
      </c>
      <c r="E874" s="7" t="n">
        <v>0</v>
      </c>
      <c r="F874" s="7" t="n">
        <v>0</v>
      </c>
      <c r="G874" s="7" t="s">
        <v>26</v>
      </c>
      <c r="H874" s="7" t="s">
        <v>32</v>
      </c>
      <c r="I874" s="7" t="n">
        <v>40.5</v>
      </c>
      <c r="J874" s="7" t="s">
        <v>39</v>
      </c>
      <c r="K874" s="7" t="n">
        <v>285.8</v>
      </c>
      <c r="L874" s="7" t="s">
        <v>29</v>
      </c>
      <c r="M874" s="7" t="s">
        <v>30</v>
      </c>
    </row>
    <row r="875" customFormat="false" ht="15" hidden="false" customHeight="true" outlineLevel="0" collapsed="false">
      <c r="A875" s="7" t="n">
        <v>1372</v>
      </c>
      <c r="B875" s="7" t="n">
        <v>28</v>
      </c>
      <c r="C875" s="7" t="s">
        <v>33</v>
      </c>
      <c r="D875" s="7" t="s">
        <v>25</v>
      </c>
      <c r="E875" s="7" t="n">
        <v>0</v>
      </c>
      <c r="F875" s="7" t="n">
        <v>0</v>
      </c>
      <c r="G875" s="7" t="s">
        <v>36</v>
      </c>
      <c r="H875" s="7" t="s">
        <v>27</v>
      </c>
      <c r="I875" s="7" t="n">
        <v>23.2</v>
      </c>
      <c r="J875" s="7" t="s">
        <v>39</v>
      </c>
      <c r="K875" s="7" t="n">
        <v>263.4</v>
      </c>
      <c r="L875" s="7" t="s">
        <v>29</v>
      </c>
      <c r="M875" s="7" t="s">
        <v>30</v>
      </c>
    </row>
    <row r="876" customFormat="false" ht="15" hidden="false" customHeight="true" outlineLevel="0" collapsed="false">
      <c r="A876" s="7" t="n">
        <v>1379</v>
      </c>
      <c r="B876" s="7" t="n">
        <v>34</v>
      </c>
      <c r="C876" s="7" t="s">
        <v>24</v>
      </c>
      <c r="D876" s="7" t="s">
        <v>25</v>
      </c>
      <c r="E876" s="7" t="n">
        <v>0</v>
      </c>
      <c r="F876" s="7" t="n">
        <v>0</v>
      </c>
      <c r="G876" s="7" t="s">
        <v>31</v>
      </c>
      <c r="H876" s="7" t="s">
        <v>32</v>
      </c>
      <c r="I876" s="7" t="n">
        <v>34.4</v>
      </c>
      <c r="J876" s="7" t="s">
        <v>39</v>
      </c>
      <c r="K876" s="7" t="n">
        <v>122.5</v>
      </c>
      <c r="L876" s="7" t="s">
        <v>29</v>
      </c>
      <c r="M876" s="7" t="s">
        <v>30</v>
      </c>
    </row>
    <row r="877" customFormat="false" ht="15" hidden="false" customHeight="true" outlineLevel="0" collapsed="false">
      <c r="A877" s="7" t="n">
        <v>1395</v>
      </c>
      <c r="B877" s="7" t="n">
        <v>57</v>
      </c>
      <c r="C877" s="7" t="s">
        <v>33</v>
      </c>
      <c r="D877" s="7" t="s">
        <v>25</v>
      </c>
      <c r="E877" s="7" t="n">
        <v>0</v>
      </c>
      <c r="F877" s="7" t="n">
        <v>0</v>
      </c>
      <c r="G877" s="7" t="s">
        <v>34</v>
      </c>
      <c r="H877" s="7" t="s">
        <v>27</v>
      </c>
      <c r="I877" s="7" t="n">
        <v>39.9</v>
      </c>
      <c r="J877" s="7" t="s">
        <v>39</v>
      </c>
      <c r="K877" s="7" t="n">
        <v>163.8</v>
      </c>
      <c r="L877" s="7" t="s">
        <v>29</v>
      </c>
      <c r="M877" s="7" t="s">
        <v>30</v>
      </c>
    </row>
    <row r="878" customFormat="false" ht="15" hidden="false" customHeight="true" outlineLevel="0" collapsed="false">
      <c r="A878" s="7" t="n">
        <v>1411</v>
      </c>
      <c r="B878" s="7" t="n">
        <v>57</v>
      </c>
      <c r="C878" s="7" t="s">
        <v>24</v>
      </c>
      <c r="D878" s="7" t="s">
        <v>25</v>
      </c>
      <c r="E878" s="7" t="n">
        <v>0</v>
      </c>
      <c r="F878" s="7" t="n">
        <v>0</v>
      </c>
      <c r="G878" s="7" t="s">
        <v>35</v>
      </c>
      <c r="H878" s="7" t="s">
        <v>27</v>
      </c>
      <c r="I878" s="7" t="n">
        <v>34.5</v>
      </c>
      <c r="J878" s="7" t="s">
        <v>39</v>
      </c>
      <c r="K878" s="7" t="n">
        <v>198.3</v>
      </c>
      <c r="L878" s="7" t="s">
        <v>29</v>
      </c>
      <c r="M878" s="7" t="s">
        <v>30</v>
      </c>
    </row>
    <row r="879" customFormat="false" ht="15" hidden="false" customHeight="true" outlineLevel="0" collapsed="false">
      <c r="A879" s="7" t="n">
        <v>1418</v>
      </c>
      <c r="B879" s="7" t="n">
        <v>27</v>
      </c>
      <c r="C879" s="7" t="s">
        <v>33</v>
      </c>
      <c r="D879" s="7" t="s">
        <v>25</v>
      </c>
      <c r="E879" s="7" t="n">
        <v>0</v>
      </c>
      <c r="F879" s="7" t="n">
        <v>0</v>
      </c>
      <c r="G879" s="7" t="s">
        <v>26</v>
      </c>
      <c r="H879" s="7" t="s">
        <v>27</v>
      </c>
      <c r="I879" s="7" t="n">
        <v>37.4</v>
      </c>
      <c r="J879" s="7" t="s">
        <v>39</v>
      </c>
      <c r="K879" s="7" t="n">
        <v>260</v>
      </c>
      <c r="L879" s="7" t="s">
        <v>29</v>
      </c>
      <c r="M879" s="7" t="s">
        <v>30</v>
      </c>
    </row>
    <row r="880" customFormat="false" ht="15" hidden="false" customHeight="true" outlineLevel="0" collapsed="false">
      <c r="A880" s="7" t="n">
        <v>1452</v>
      </c>
      <c r="B880" s="7" t="n">
        <v>18</v>
      </c>
      <c r="C880" s="7" t="s">
        <v>33</v>
      </c>
      <c r="D880" s="7" t="s">
        <v>25</v>
      </c>
      <c r="E880" s="7" t="n">
        <v>0</v>
      </c>
      <c r="F880" s="7" t="n">
        <v>0</v>
      </c>
      <c r="G880" s="7" t="s">
        <v>34</v>
      </c>
      <c r="H880" s="7" t="s">
        <v>32</v>
      </c>
      <c r="I880" s="7" t="n">
        <v>39.7</v>
      </c>
      <c r="J880" s="7" t="s">
        <v>39</v>
      </c>
      <c r="K880" s="7" t="n">
        <v>124.7</v>
      </c>
      <c r="L880" s="7" t="s">
        <v>29</v>
      </c>
      <c r="M880" s="7" t="s">
        <v>30</v>
      </c>
    </row>
    <row r="881" customFormat="false" ht="15" hidden="false" customHeight="true" outlineLevel="0" collapsed="false">
      <c r="A881" s="7" t="n">
        <v>1484</v>
      </c>
      <c r="B881" s="7" t="n">
        <v>43</v>
      </c>
      <c r="C881" s="7" t="s">
        <v>24</v>
      </c>
      <c r="D881" s="7" t="s">
        <v>25</v>
      </c>
      <c r="E881" s="7" t="n">
        <v>0</v>
      </c>
      <c r="F881" s="7" t="n">
        <v>0</v>
      </c>
      <c r="G881" s="7" t="s">
        <v>36</v>
      </c>
      <c r="H881" s="7" t="s">
        <v>32</v>
      </c>
      <c r="I881" s="7" t="n">
        <v>24.4</v>
      </c>
      <c r="J881" s="7" t="s">
        <v>39</v>
      </c>
      <c r="K881" s="7" t="n">
        <v>201.1</v>
      </c>
      <c r="L881" s="7" t="s">
        <v>29</v>
      </c>
      <c r="M881" s="7" t="s">
        <v>30</v>
      </c>
    </row>
    <row r="882" customFormat="false" ht="15" hidden="false" customHeight="true" outlineLevel="0" collapsed="false">
      <c r="A882" s="7" t="n">
        <v>1523</v>
      </c>
      <c r="B882" s="7" t="n">
        <v>43</v>
      </c>
      <c r="C882" s="7" t="s">
        <v>24</v>
      </c>
      <c r="D882" s="7" t="s">
        <v>25</v>
      </c>
      <c r="E882" s="7" t="n">
        <v>0</v>
      </c>
      <c r="F882" s="7" t="n">
        <v>0</v>
      </c>
      <c r="G882" s="7" t="s">
        <v>26</v>
      </c>
      <c r="H882" s="7" t="s">
        <v>27</v>
      </c>
      <c r="I882" s="7" t="n">
        <v>27.1</v>
      </c>
      <c r="J882" s="7" t="s">
        <v>39</v>
      </c>
      <c r="K882" s="7" t="n">
        <v>203.7</v>
      </c>
      <c r="L882" s="7" t="s">
        <v>29</v>
      </c>
      <c r="M882" s="7" t="s">
        <v>30</v>
      </c>
    </row>
    <row r="883" customFormat="false" ht="15" hidden="false" customHeight="true" outlineLevel="0" collapsed="false">
      <c r="A883" s="7" t="n">
        <v>1530</v>
      </c>
      <c r="B883" s="7" t="n">
        <v>82</v>
      </c>
      <c r="C883" s="7" t="s">
        <v>33</v>
      </c>
      <c r="D883" s="7" t="s">
        <v>25</v>
      </c>
      <c r="E883" s="7" t="n">
        <v>0</v>
      </c>
      <c r="F883" s="7" t="n">
        <v>0</v>
      </c>
      <c r="G883" s="7" t="s">
        <v>36</v>
      </c>
      <c r="H883" s="7" t="s">
        <v>27</v>
      </c>
      <c r="I883" s="7" t="n">
        <v>36.6</v>
      </c>
      <c r="J883" s="7" t="s">
        <v>39</v>
      </c>
      <c r="K883" s="7" t="n">
        <v>159.3</v>
      </c>
      <c r="L883" s="7" t="s">
        <v>29</v>
      </c>
      <c r="M883" s="7" t="s">
        <v>30</v>
      </c>
    </row>
    <row r="884" customFormat="false" ht="15" hidden="false" customHeight="true" outlineLevel="0" collapsed="false">
      <c r="A884" s="7" t="n">
        <v>1534</v>
      </c>
      <c r="B884" s="7" t="n">
        <v>70</v>
      </c>
      <c r="C884" s="7" t="s">
        <v>33</v>
      </c>
      <c r="D884" s="7" t="s">
        <v>25</v>
      </c>
      <c r="E884" s="7" t="n">
        <v>0</v>
      </c>
      <c r="F884" s="7" t="n">
        <v>0</v>
      </c>
      <c r="G884" s="7" t="s">
        <v>34</v>
      </c>
      <c r="H884" s="7" t="s">
        <v>27</v>
      </c>
      <c r="I884" s="7" t="n">
        <v>25.1</v>
      </c>
      <c r="J884" s="7" t="s">
        <v>39</v>
      </c>
      <c r="K884" s="7" t="n">
        <v>122.9</v>
      </c>
      <c r="L884" s="7" t="s">
        <v>29</v>
      </c>
      <c r="M884" s="7" t="s">
        <v>30</v>
      </c>
    </row>
    <row r="885" customFormat="false" ht="15" hidden="false" customHeight="true" outlineLevel="0" collapsed="false">
      <c r="A885" s="7" t="n">
        <v>1550</v>
      </c>
      <c r="B885" s="7" t="n">
        <v>25</v>
      </c>
      <c r="C885" s="7" t="s">
        <v>24</v>
      </c>
      <c r="D885" s="7" t="s">
        <v>25</v>
      </c>
      <c r="E885" s="7" t="n">
        <v>0</v>
      </c>
      <c r="F885" s="7" t="n">
        <v>0</v>
      </c>
      <c r="G885" s="7" t="s">
        <v>34</v>
      </c>
      <c r="H885" s="7" t="s">
        <v>27</v>
      </c>
      <c r="I885" s="7" t="n">
        <v>30.5</v>
      </c>
      <c r="J885" s="7" t="s">
        <v>39</v>
      </c>
      <c r="K885" s="7" t="n">
        <v>217.3</v>
      </c>
      <c r="L885" s="7" t="s">
        <v>29</v>
      </c>
      <c r="M885" s="7" t="s">
        <v>30</v>
      </c>
    </row>
    <row r="886" customFormat="false" ht="15" hidden="false" customHeight="true" outlineLevel="0" collapsed="false">
      <c r="A886" s="7" t="n">
        <v>1553</v>
      </c>
      <c r="B886" s="7" t="n">
        <v>25</v>
      </c>
      <c r="C886" s="7" t="s">
        <v>24</v>
      </c>
      <c r="D886" s="7" t="s">
        <v>25</v>
      </c>
      <c r="E886" s="7" t="n">
        <v>0</v>
      </c>
      <c r="F886" s="7" t="n">
        <v>0</v>
      </c>
      <c r="G886" s="7" t="s">
        <v>34</v>
      </c>
      <c r="H886" s="7" t="s">
        <v>32</v>
      </c>
      <c r="I886" s="7" t="n">
        <v>24.3</v>
      </c>
      <c r="J886" s="7" t="s">
        <v>39</v>
      </c>
      <c r="K886" s="7" t="n">
        <v>266.9</v>
      </c>
      <c r="L886" s="7" t="s">
        <v>29</v>
      </c>
      <c r="M886" s="7" t="s">
        <v>30</v>
      </c>
    </row>
    <row r="887" customFormat="false" ht="15" hidden="false" customHeight="true" outlineLevel="0" collapsed="false">
      <c r="A887" s="7" t="n">
        <v>1580</v>
      </c>
      <c r="B887" s="7" t="n">
        <v>45</v>
      </c>
      <c r="C887" s="7" t="s">
        <v>33</v>
      </c>
      <c r="D887" s="7" t="s">
        <v>25</v>
      </c>
      <c r="E887" s="7" t="n">
        <v>0</v>
      </c>
      <c r="F887" s="7" t="n">
        <v>0</v>
      </c>
      <c r="G887" s="7" t="s">
        <v>35</v>
      </c>
      <c r="H887" s="7" t="s">
        <v>27</v>
      </c>
      <c r="I887" s="7" t="n">
        <v>25.5</v>
      </c>
      <c r="J887" s="7" t="s">
        <v>39</v>
      </c>
      <c r="K887" s="7" t="n">
        <v>263.8</v>
      </c>
      <c r="L887" s="7" t="s">
        <v>29</v>
      </c>
      <c r="M887" s="7" t="s">
        <v>30</v>
      </c>
    </row>
    <row r="888" customFormat="false" ht="15" hidden="false" customHeight="true" outlineLevel="0" collapsed="false">
      <c r="A888" s="7" t="n">
        <v>1603</v>
      </c>
      <c r="B888" s="7" t="n">
        <v>42</v>
      </c>
      <c r="C888" s="7" t="s">
        <v>33</v>
      </c>
      <c r="D888" s="7" t="s">
        <v>25</v>
      </c>
      <c r="E888" s="7" t="n">
        <v>0</v>
      </c>
      <c r="F888" s="7" t="n">
        <v>0</v>
      </c>
      <c r="G888" s="7" t="s">
        <v>34</v>
      </c>
      <c r="H888" s="7" t="s">
        <v>32</v>
      </c>
      <c r="I888" s="7" t="n">
        <v>41.8</v>
      </c>
      <c r="J888" s="7" t="s">
        <v>39</v>
      </c>
      <c r="K888" s="7" t="n">
        <v>208.1</v>
      </c>
      <c r="L888" s="7" t="s">
        <v>29</v>
      </c>
      <c r="M888" s="7" t="s">
        <v>30</v>
      </c>
    </row>
    <row r="889" customFormat="false" ht="15" hidden="false" customHeight="true" outlineLevel="0" collapsed="false">
      <c r="A889" s="7" t="n">
        <v>1622</v>
      </c>
      <c r="B889" s="7" t="n">
        <v>89</v>
      </c>
      <c r="C889" s="7" t="s">
        <v>24</v>
      </c>
      <c r="D889" s="7" t="s">
        <v>25</v>
      </c>
      <c r="E889" s="7" t="n">
        <v>0</v>
      </c>
      <c r="F889" s="7" t="n">
        <v>0</v>
      </c>
      <c r="G889" s="7" t="s">
        <v>31</v>
      </c>
      <c r="H889" s="7" t="s">
        <v>32</v>
      </c>
      <c r="I889" s="7" t="n">
        <v>18.9</v>
      </c>
      <c r="J889" s="7" t="s">
        <v>39</v>
      </c>
      <c r="K889" s="7" t="n">
        <v>172.1</v>
      </c>
      <c r="L889" s="7" t="s">
        <v>29</v>
      </c>
      <c r="M889" s="7" t="s">
        <v>30</v>
      </c>
    </row>
    <row r="890" customFormat="false" ht="15" hidden="false" customHeight="true" outlineLevel="0" collapsed="false">
      <c r="A890" s="7" t="n">
        <v>1624</v>
      </c>
      <c r="B890" s="7" t="n">
        <v>41</v>
      </c>
      <c r="C890" s="7" t="s">
        <v>24</v>
      </c>
      <c r="D890" s="7" t="s">
        <v>25</v>
      </c>
      <c r="E890" s="7" t="n">
        <v>0</v>
      </c>
      <c r="F890" s="7" t="n">
        <v>0</v>
      </c>
      <c r="G890" s="7" t="s">
        <v>26</v>
      </c>
      <c r="H890" s="7" t="s">
        <v>32</v>
      </c>
      <c r="I890" s="7" t="n">
        <v>20.6</v>
      </c>
      <c r="J890" s="7" t="s">
        <v>39</v>
      </c>
      <c r="K890" s="7" t="n">
        <v>135</v>
      </c>
      <c r="L890" s="7" t="s">
        <v>29</v>
      </c>
      <c r="M890" s="7" t="s">
        <v>30</v>
      </c>
    </row>
    <row r="891" customFormat="false" ht="15" hidden="false" customHeight="true" outlineLevel="0" collapsed="false">
      <c r="A891" s="7" t="n">
        <v>1697</v>
      </c>
      <c r="B891" s="7" t="n">
        <v>78</v>
      </c>
      <c r="C891" s="7" t="s">
        <v>33</v>
      </c>
      <c r="D891" s="7" t="s">
        <v>25</v>
      </c>
      <c r="E891" s="7" t="n">
        <v>0</v>
      </c>
      <c r="F891" s="7" t="n">
        <v>0</v>
      </c>
      <c r="G891" s="7" t="s">
        <v>36</v>
      </c>
      <c r="H891" s="7" t="s">
        <v>27</v>
      </c>
      <c r="I891" s="7" t="n">
        <v>33.1</v>
      </c>
      <c r="J891" s="7" t="s">
        <v>39</v>
      </c>
      <c r="K891" s="7" t="n">
        <v>296.1</v>
      </c>
      <c r="L891" s="7" t="s">
        <v>29</v>
      </c>
      <c r="M891" s="7" t="s">
        <v>30</v>
      </c>
    </row>
    <row r="892" customFormat="false" ht="15" hidden="false" customHeight="true" outlineLevel="0" collapsed="false">
      <c r="A892" s="7" t="n">
        <v>1733</v>
      </c>
      <c r="B892" s="7" t="n">
        <v>61</v>
      </c>
      <c r="C892" s="7" t="s">
        <v>24</v>
      </c>
      <c r="D892" s="7" t="s">
        <v>25</v>
      </c>
      <c r="E892" s="7" t="n">
        <v>0</v>
      </c>
      <c r="F892" s="7" t="n">
        <v>0</v>
      </c>
      <c r="G892" s="7" t="s">
        <v>36</v>
      </c>
      <c r="H892" s="7" t="s">
        <v>27</v>
      </c>
      <c r="I892" s="7" t="n">
        <v>18.3</v>
      </c>
      <c r="J892" s="7" t="s">
        <v>39</v>
      </c>
      <c r="K892" s="7" t="n">
        <v>183.5</v>
      </c>
      <c r="L892" s="7" t="s">
        <v>29</v>
      </c>
      <c r="M892" s="7" t="s">
        <v>30</v>
      </c>
    </row>
    <row r="893" customFormat="false" ht="15" hidden="false" customHeight="true" outlineLevel="0" collapsed="false">
      <c r="A893" s="7" t="n">
        <v>1772</v>
      </c>
      <c r="B893" s="7" t="n">
        <v>46</v>
      </c>
      <c r="C893" s="7" t="s">
        <v>24</v>
      </c>
      <c r="D893" s="7" t="s">
        <v>25</v>
      </c>
      <c r="E893" s="7" t="n">
        <v>0</v>
      </c>
      <c r="F893" s="7" t="n">
        <v>0</v>
      </c>
      <c r="G893" s="7" t="s">
        <v>31</v>
      </c>
      <c r="H893" s="7" t="s">
        <v>27</v>
      </c>
      <c r="I893" s="7" t="n">
        <v>42</v>
      </c>
      <c r="J893" s="7" t="s">
        <v>39</v>
      </c>
      <c r="K893" s="7" t="n">
        <v>237.9</v>
      </c>
      <c r="L893" s="7" t="s">
        <v>29</v>
      </c>
      <c r="M893" s="7" t="s">
        <v>30</v>
      </c>
    </row>
    <row r="894" customFormat="false" ht="15" hidden="false" customHeight="true" outlineLevel="0" collapsed="false">
      <c r="A894" s="7" t="n">
        <v>1779</v>
      </c>
      <c r="B894" s="7" t="n">
        <v>62</v>
      </c>
      <c r="C894" s="7" t="s">
        <v>33</v>
      </c>
      <c r="D894" s="7" t="s">
        <v>25</v>
      </c>
      <c r="E894" s="7" t="n">
        <v>0</v>
      </c>
      <c r="F894" s="7" t="n">
        <v>0</v>
      </c>
      <c r="G894" s="7" t="s">
        <v>35</v>
      </c>
      <c r="H894" s="7" t="s">
        <v>27</v>
      </c>
      <c r="I894" s="7" t="n">
        <v>33</v>
      </c>
      <c r="J894" s="7" t="s">
        <v>39</v>
      </c>
      <c r="K894" s="7" t="n">
        <v>182.9</v>
      </c>
      <c r="L894" s="7" t="s">
        <v>29</v>
      </c>
      <c r="M894" s="7" t="s">
        <v>30</v>
      </c>
    </row>
    <row r="895" customFormat="false" ht="15" hidden="false" customHeight="true" outlineLevel="0" collapsed="false">
      <c r="A895" s="7" t="n">
        <v>1782</v>
      </c>
      <c r="B895" s="7" t="n">
        <v>64</v>
      </c>
      <c r="C895" s="7" t="s">
        <v>33</v>
      </c>
      <c r="D895" s="7" t="s">
        <v>25</v>
      </c>
      <c r="E895" s="7" t="n">
        <v>0</v>
      </c>
      <c r="F895" s="7" t="n">
        <v>0</v>
      </c>
      <c r="G895" s="7" t="s">
        <v>31</v>
      </c>
      <c r="H895" s="7" t="s">
        <v>27</v>
      </c>
      <c r="I895" s="7" t="n">
        <v>29.2</v>
      </c>
      <c r="J895" s="7" t="s">
        <v>39</v>
      </c>
      <c r="K895" s="7" t="n">
        <v>155.6</v>
      </c>
      <c r="L895" s="7" t="s">
        <v>29</v>
      </c>
      <c r="M895" s="7" t="s">
        <v>30</v>
      </c>
    </row>
    <row r="896" customFormat="false" ht="15" hidden="false" customHeight="true" outlineLevel="0" collapsed="false">
      <c r="A896" s="7" t="n">
        <v>1783</v>
      </c>
      <c r="B896" s="7" t="n">
        <v>84</v>
      </c>
      <c r="C896" s="7" t="s">
        <v>24</v>
      </c>
      <c r="D896" s="7" t="s">
        <v>25</v>
      </c>
      <c r="E896" s="7" t="n">
        <v>0</v>
      </c>
      <c r="F896" s="7" t="n">
        <v>0</v>
      </c>
      <c r="G896" s="7" t="s">
        <v>26</v>
      </c>
      <c r="H896" s="7" t="s">
        <v>27</v>
      </c>
      <c r="I896" s="7" t="n">
        <v>25</v>
      </c>
      <c r="J896" s="7" t="s">
        <v>39</v>
      </c>
      <c r="K896" s="7" t="n">
        <v>294.9</v>
      </c>
      <c r="L896" s="7" t="s">
        <v>29</v>
      </c>
      <c r="M896" s="7" t="s">
        <v>30</v>
      </c>
    </row>
    <row r="897" customFormat="false" ht="15" hidden="false" customHeight="true" outlineLevel="0" collapsed="false">
      <c r="A897" s="7" t="n">
        <v>1791</v>
      </c>
      <c r="B897" s="7" t="n">
        <v>37</v>
      </c>
      <c r="C897" s="7" t="s">
        <v>33</v>
      </c>
      <c r="D897" s="7" t="s">
        <v>25</v>
      </c>
      <c r="E897" s="7" t="n">
        <v>0</v>
      </c>
      <c r="F897" s="7" t="n">
        <v>0</v>
      </c>
      <c r="G897" s="7" t="s">
        <v>35</v>
      </c>
      <c r="H897" s="7" t="s">
        <v>27</v>
      </c>
      <c r="I897" s="7" t="n">
        <v>24.3</v>
      </c>
      <c r="J897" s="7" t="s">
        <v>39</v>
      </c>
      <c r="K897" s="7" t="n">
        <v>206.7</v>
      </c>
      <c r="L897" s="7" t="s">
        <v>29</v>
      </c>
      <c r="M897" s="7" t="s">
        <v>30</v>
      </c>
    </row>
    <row r="898" customFormat="false" ht="15" hidden="false" customHeight="true" outlineLevel="0" collapsed="false">
      <c r="A898" s="7" t="n">
        <v>1869</v>
      </c>
      <c r="B898" s="7" t="n">
        <v>42</v>
      </c>
      <c r="C898" s="7" t="s">
        <v>33</v>
      </c>
      <c r="D898" s="7" t="s">
        <v>25</v>
      </c>
      <c r="E898" s="7" t="n">
        <v>0</v>
      </c>
      <c r="F898" s="7" t="n">
        <v>0</v>
      </c>
      <c r="G898" s="7" t="s">
        <v>34</v>
      </c>
      <c r="H898" s="7" t="s">
        <v>27</v>
      </c>
      <c r="I898" s="7" t="n">
        <v>32.3</v>
      </c>
      <c r="J898" s="7" t="s">
        <v>39</v>
      </c>
      <c r="K898" s="7" t="n">
        <v>295.5</v>
      </c>
      <c r="L898" s="7" t="s">
        <v>29</v>
      </c>
      <c r="M898" s="7" t="s">
        <v>30</v>
      </c>
    </row>
    <row r="899" customFormat="false" ht="15" hidden="false" customHeight="true" outlineLevel="0" collapsed="false">
      <c r="A899" s="7" t="n">
        <v>1939</v>
      </c>
      <c r="B899" s="7" t="n">
        <v>55</v>
      </c>
      <c r="C899" s="7" t="s">
        <v>24</v>
      </c>
      <c r="D899" s="7" t="s">
        <v>25</v>
      </c>
      <c r="E899" s="7" t="n">
        <v>0</v>
      </c>
      <c r="F899" s="7" t="n">
        <v>0</v>
      </c>
      <c r="G899" s="7" t="s">
        <v>31</v>
      </c>
      <c r="H899" s="7" t="s">
        <v>32</v>
      </c>
      <c r="I899" s="7" t="n">
        <v>18.3</v>
      </c>
      <c r="J899" s="7" t="s">
        <v>39</v>
      </c>
      <c r="K899" s="7" t="n">
        <v>246.5</v>
      </c>
      <c r="L899" s="7" t="s">
        <v>29</v>
      </c>
      <c r="M899" s="7" t="s">
        <v>30</v>
      </c>
    </row>
    <row r="900" customFormat="false" ht="15" hidden="false" customHeight="true" outlineLevel="0" collapsed="false">
      <c r="A900" s="7" t="n">
        <v>1956</v>
      </c>
      <c r="B900" s="7" t="n">
        <v>56</v>
      </c>
      <c r="C900" s="7" t="s">
        <v>24</v>
      </c>
      <c r="D900" s="7" t="s">
        <v>25</v>
      </c>
      <c r="E900" s="7" t="n">
        <v>0</v>
      </c>
      <c r="F900" s="7" t="n">
        <v>0</v>
      </c>
      <c r="G900" s="7" t="s">
        <v>35</v>
      </c>
      <c r="H900" s="7" t="s">
        <v>27</v>
      </c>
      <c r="I900" s="7" t="n">
        <v>17.3</v>
      </c>
      <c r="J900" s="7" t="s">
        <v>39</v>
      </c>
      <c r="K900" s="7" t="n">
        <v>200</v>
      </c>
      <c r="L900" s="7" t="s">
        <v>29</v>
      </c>
      <c r="M900" s="7" t="s">
        <v>30</v>
      </c>
    </row>
    <row r="901" customFormat="false" ht="15" hidden="false" customHeight="true" outlineLevel="0" collapsed="false">
      <c r="A901" s="7" t="n">
        <v>1995</v>
      </c>
      <c r="B901" s="7" t="n">
        <v>85</v>
      </c>
      <c r="C901" s="7" t="s">
        <v>24</v>
      </c>
      <c r="D901" s="7" t="s">
        <v>25</v>
      </c>
      <c r="E901" s="7" t="n">
        <v>0</v>
      </c>
      <c r="F901" s="7" t="n">
        <v>0</v>
      </c>
      <c r="G901" s="7" t="s">
        <v>26</v>
      </c>
      <c r="H901" s="7" t="s">
        <v>27</v>
      </c>
      <c r="I901" s="7" t="n">
        <v>30</v>
      </c>
      <c r="J901" s="7" t="s">
        <v>39</v>
      </c>
      <c r="K901" s="7" t="n">
        <v>228.7</v>
      </c>
      <c r="L901" s="7" t="s">
        <v>29</v>
      </c>
      <c r="M901" s="7" t="s">
        <v>30</v>
      </c>
    </row>
    <row r="902" customFormat="false" ht="15" hidden="false" customHeight="true" outlineLevel="0" collapsed="false">
      <c r="A902" s="7" t="n">
        <v>2021</v>
      </c>
      <c r="B902" s="7" t="n">
        <v>20</v>
      </c>
      <c r="C902" s="7" t="s">
        <v>33</v>
      </c>
      <c r="D902" s="7" t="s">
        <v>25</v>
      </c>
      <c r="E902" s="7" t="n">
        <v>0</v>
      </c>
      <c r="F902" s="7" t="n">
        <v>0</v>
      </c>
      <c r="G902" s="7" t="s">
        <v>35</v>
      </c>
      <c r="H902" s="7" t="s">
        <v>32</v>
      </c>
      <c r="I902" s="7" t="n">
        <v>22.9</v>
      </c>
      <c r="J902" s="7" t="s">
        <v>39</v>
      </c>
      <c r="K902" s="7" t="n">
        <v>215.7</v>
      </c>
      <c r="L902" s="7" t="s">
        <v>29</v>
      </c>
      <c r="M902" s="7" t="s">
        <v>30</v>
      </c>
    </row>
    <row r="903" customFormat="false" ht="15" hidden="false" customHeight="true" outlineLevel="0" collapsed="false">
      <c r="A903" s="7" t="n">
        <v>2024</v>
      </c>
      <c r="B903" s="7" t="n">
        <v>40</v>
      </c>
      <c r="C903" s="7" t="s">
        <v>24</v>
      </c>
      <c r="D903" s="7" t="s">
        <v>25</v>
      </c>
      <c r="E903" s="7" t="n">
        <v>0</v>
      </c>
      <c r="F903" s="7" t="n">
        <v>0</v>
      </c>
      <c r="G903" s="7" t="s">
        <v>35</v>
      </c>
      <c r="H903" s="7" t="s">
        <v>27</v>
      </c>
      <c r="I903" s="7" t="n">
        <v>36.3</v>
      </c>
      <c r="J903" s="7" t="s">
        <v>39</v>
      </c>
      <c r="K903" s="7" t="n">
        <v>232.3</v>
      </c>
      <c r="L903" s="7" t="s">
        <v>29</v>
      </c>
      <c r="M903" s="7" t="s">
        <v>30</v>
      </c>
    </row>
    <row r="904" customFormat="false" ht="15" hidden="false" customHeight="true" outlineLevel="0" collapsed="false">
      <c r="A904" s="7" t="n">
        <v>2029</v>
      </c>
      <c r="B904" s="7" t="n">
        <v>31</v>
      </c>
      <c r="C904" s="7" t="s">
        <v>33</v>
      </c>
      <c r="D904" s="7" t="s">
        <v>25</v>
      </c>
      <c r="E904" s="7" t="n">
        <v>0</v>
      </c>
      <c r="F904" s="7" t="n">
        <v>0</v>
      </c>
      <c r="G904" s="7" t="s">
        <v>26</v>
      </c>
      <c r="H904" s="7" t="s">
        <v>27</v>
      </c>
      <c r="I904" s="7" t="n">
        <v>37.2</v>
      </c>
      <c r="J904" s="7" t="s">
        <v>39</v>
      </c>
      <c r="K904" s="7" t="n">
        <v>253</v>
      </c>
      <c r="L904" s="7" t="s">
        <v>29</v>
      </c>
      <c r="M904" s="7" t="s">
        <v>30</v>
      </c>
    </row>
    <row r="905" customFormat="false" ht="15" hidden="false" customHeight="true" outlineLevel="0" collapsed="false">
      <c r="A905" s="7" t="n">
        <v>2042</v>
      </c>
      <c r="B905" s="7" t="n">
        <v>85</v>
      </c>
      <c r="C905" s="7" t="s">
        <v>24</v>
      </c>
      <c r="D905" s="7" t="s">
        <v>25</v>
      </c>
      <c r="E905" s="7" t="n">
        <v>0</v>
      </c>
      <c r="F905" s="7" t="n">
        <v>0</v>
      </c>
      <c r="G905" s="7" t="s">
        <v>35</v>
      </c>
      <c r="H905" s="7" t="s">
        <v>27</v>
      </c>
      <c r="I905" s="7" t="n">
        <v>36.8</v>
      </c>
      <c r="J905" s="7" t="s">
        <v>39</v>
      </c>
      <c r="K905" s="7" t="n">
        <v>280.4</v>
      </c>
      <c r="L905" s="7" t="s">
        <v>29</v>
      </c>
      <c r="M905" s="7" t="s">
        <v>30</v>
      </c>
    </row>
    <row r="906" customFormat="false" ht="15" hidden="false" customHeight="true" outlineLevel="0" collapsed="false">
      <c r="A906" s="7" t="n">
        <v>2063</v>
      </c>
      <c r="B906" s="7" t="n">
        <v>43</v>
      </c>
      <c r="C906" s="7" t="s">
        <v>33</v>
      </c>
      <c r="D906" s="7" t="s">
        <v>25</v>
      </c>
      <c r="E906" s="7" t="n">
        <v>0</v>
      </c>
      <c r="F906" s="7" t="n">
        <v>0</v>
      </c>
      <c r="G906" s="7" t="s">
        <v>26</v>
      </c>
      <c r="H906" s="7" t="s">
        <v>27</v>
      </c>
      <c r="I906" s="7" t="n">
        <v>26.5</v>
      </c>
      <c r="J906" s="7" t="s">
        <v>39</v>
      </c>
      <c r="K906" s="7" t="n">
        <v>182</v>
      </c>
      <c r="L906" s="7" t="s">
        <v>29</v>
      </c>
      <c r="M906" s="7" t="s">
        <v>30</v>
      </c>
    </row>
    <row r="907" customFormat="false" ht="15" hidden="false" customHeight="true" outlineLevel="0" collapsed="false">
      <c r="A907" s="7" t="n">
        <v>2088</v>
      </c>
      <c r="B907" s="7" t="n">
        <v>58</v>
      </c>
      <c r="C907" s="7" t="s">
        <v>24</v>
      </c>
      <c r="D907" s="7" t="s">
        <v>25</v>
      </c>
      <c r="E907" s="7" t="n">
        <v>0</v>
      </c>
      <c r="F907" s="7" t="n">
        <v>0</v>
      </c>
      <c r="G907" s="7" t="s">
        <v>34</v>
      </c>
      <c r="H907" s="7" t="s">
        <v>32</v>
      </c>
      <c r="I907" s="7" t="n">
        <v>18</v>
      </c>
      <c r="J907" s="7" t="s">
        <v>39</v>
      </c>
      <c r="K907" s="7" t="n">
        <v>155.3</v>
      </c>
      <c r="L907" s="7" t="s">
        <v>29</v>
      </c>
      <c r="M907" s="7" t="s">
        <v>30</v>
      </c>
    </row>
    <row r="908" customFormat="false" ht="15" hidden="false" customHeight="true" outlineLevel="0" collapsed="false">
      <c r="A908" s="7" t="n">
        <v>2098</v>
      </c>
      <c r="B908" s="7" t="n">
        <v>58</v>
      </c>
      <c r="C908" s="7" t="s">
        <v>33</v>
      </c>
      <c r="D908" s="7" t="s">
        <v>25</v>
      </c>
      <c r="E908" s="7" t="n">
        <v>0</v>
      </c>
      <c r="F908" s="7" t="n">
        <v>0</v>
      </c>
      <c r="G908" s="7" t="s">
        <v>34</v>
      </c>
      <c r="H908" s="7" t="s">
        <v>32</v>
      </c>
      <c r="I908" s="7" t="n">
        <v>19</v>
      </c>
      <c r="J908" s="7" t="s">
        <v>39</v>
      </c>
      <c r="K908" s="7" t="n">
        <v>218.5</v>
      </c>
      <c r="L908" s="7" t="s">
        <v>29</v>
      </c>
      <c r="M908" s="7" t="s">
        <v>30</v>
      </c>
    </row>
    <row r="909" customFormat="false" ht="15" hidden="false" customHeight="true" outlineLevel="0" collapsed="false">
      <c r="A909" s="7" t="n">
        <v>2125</v>
      </c>
      <c r="B909" s="7" t="n">
        <v>72</v>
      </c>
      <c r="C909" s="7" t="s">
        <v>33</v>
      </c>
      <c r="D909" s="7" t="s">
        <v>25</v>
      </c>
      <c r="E909" s="7" t="n">
        <v>0</v>
      </c>
      <c r="F909" s="7" t="n">
        <v>0</v>
      </c>
      <c r="G909" s="7" t="s">
        <v>35</v>
      </c>
      <c r="H909" s="7" t="s">
        <v>27</v>
      </c>
      <c r="I909" s="7" t="n">
        <v>35.8</v>
      </c>
      <c r="J909" s="7" t="s">
        <v>39</v>
      </c>
      <c r="K909" s="7" t="n">
        <v>146.1</v>
      </c>
      <c r="L909" s="7" t="s">
        <v>29</v>
      </c>
      <c r="M909" s="7" t="s">
        <v>30</v>
      </c>
    </row>
    <row r="910" customFormat="false" ht="15" hidden="false" customHeight="true" outlineLevel="0" collapsed="false">
      <c r="A910" s="7" t="n">
        <v>2163</v>
      </c>
      <c r="B910" s="7" t="n">
        <v>23</v>
      </c>
      <c r="C910" s="7" t="s">
        <v>24</v>
      </c>
      <c r="D910" s="7" t="s">
        <v>25</v>
      </c>
      <c r="E910" s="7" t="n">
        <v>0</v>
      </c>
      <c r="F910" s="7" t="n">
        <v>0</v>
      </c>
      <c r="G910" s="7" t="s">
        <v>36</v>
      </c>
      <c r="H910" s="7" t="s">
        <v>32</v>
      </c>
      <c r="I910" s="7" t="n">
        <v>21</v>
      </c>
      <c r="J910" s="7" t="s">
        <v>39</v>
      </c>
      <c r="K910" s="7" t="n">
        <v>177.5</v>
      </c>
      <c r="L910" s="7" t="s">
        <v>29</v>
      </c>
      <c r="M910" s="7" t="s">
        <v>30</v>
      </c>
    </row>
    <row r="911" customFormat="false" ht="15" hidden="false" customHeight="true" outlineLevel="0" collapsed="false">
      <c r="A911" s="7" t="n">
        <v>2198</v>
      </c>
      <c r="B911" s="7" t="n">
        <v>45</v>
      </c>
      <c r="C911" s="7" t="s">
        <v>33</v>
      </c>
      <c r="D911" s="7" t="s">
        <v>25</v>
      </c>
      <c r="E911" s="7" t="n">
        <v>0</v>
      </c>
      <c r="F911" s="7" t="n">
        <v>0</v>
      </c>
      <c r="G911" s="7" t="s">
        <v>31</v>
      </c>
      <c r="H911" s="7" t="s">
        <v>32</v>
      </c>
      <c r="I911" s="7" t="n">
        <v>35.5</v>
      </c>
      <c r="J911" s="7" t="s">
        <v>39</v>
      </c>
      <c r="K911" s="7" t="n">
        <v>187.5</v>
      </c>
      <c r="L911" s="7" t="s">
        <v>29</v>
      </c>
      <c r="M911" s="7" t="s">
        <v>30</v>
      </c>
    </row>
    <row r="912" customFormat="false" ht="15" hidden="false" customHeight="true" outlineLevel="0" collapsed="false">
      <c r="A912" s="7" t="n">
        <v>2234</v>
      </c>
      <c r="B912" s="7" t="n">
        <v>39</v>
      </c>
      <c r="C912" s="7" t="s">
        <v>24</v>
      </c>
      <c r="D912" s="7" t="s">
        <v>25</v>
      </c>
      <c r="E912" s="7" t="n">
        <v>0</v>
      </c>
      <c r="F912" s="7" t="n">
        <v>0</v>
      </c>
      <c r="G912" s="7" t="s">
        <v>26</v>
      </c>
      <c r="H912" s="7" t="s">
        <v>27</v>
      </c>
      <c r="I912" s="7" t="n">
        <v>39.9</v>
      </c>
      <c r="J912" s="7" t="s">
        <v>39</v>
      </c>
      <c r="K912" s="7" t="n">
        <v>283.6</v>
      </c>
      <c r="L912" s="7" t="s">
        <v>29</v>
      </c>
      <c r="M912" s="7" t="s">
        <v>30</v>
      </c>
    </row>
    <row r="913" customFormat="false" ht="15" hidden="false" customHeight="true" outlineLevel="0" collapsed="false">
      <c r="A913" s="7" t="n">
        <v>2250</v>
      </c>
      <c r="B913" s="7" t="n">
        <v>62</v>
      </c>
      <c r="C913" s="7" t="s">
        <v>24</v>
      </c>
      <c r="D913" s="7" t="s">
        <v>25</v>
      </c>
      <c r="E913" s="7" t="n">
        <v>0</v>
      </c>
      <c r="F913" s="7" t="n">
        <v>0</v>
      </c>
      <c r="G913" s="7" t="s">
        <v>26</v>
      </c>
      <c r="H913" s="7" t="s">
        <v>27</v>
      </c>
      <c r="I913" s="7" t="n">
        <v>33.6</v>
      </c>
      <c r="J913" s="7" t="s">
        <v>39</v>
      </c>
      <c r="K913" s="7" t="n">
        <v>152.9</v>
      </c>
      <c r="L913" s="7" t="s">
        <v>29</v>
      </c>
      <c r="M913" s="7" t="s">
        <v>30</v>
      </c>
    </row>
    <row r="914" customFormat="false" ht="15" hidden="false" customHeight="true" outlineLevel="0" collapsed="false">
      <c r="A914" s="7" t="n">
        <v>2251</v>
      </c>
      <c r="B914" s="7" t="n">
        <v>68</v>
      </c>
      <c r="C914" s="7" t="s">
        <v>24</v>
      </c>
      <c r="D914" s="7" t="s">
        <v>25</v>
      </c>
      <c r="E914" s="7" t="n">
        <v>0</v>
      </c>
      <c r="F914" s="7" t="n">
        <v>0</v>
      </c>
      <c r="G914" s="7" t="s">
        <v>35</v>
      </c>
      <c r="H914" s="7" t="s">
        <v>32</v>
      </c>
      <c r="I914" s="7" t="n">
        <v>25.7</v>
      </c>
      <c r="J914" s="7" t="s">
        <v>39</v>
      </c>
      <c r="K914" s="7" t="n">
        <v>160.3</v>
      </c>
      <c r="L914" s="7" t="s">
        <v>29</v>
      </c>
      <c r="M914" s="7" t="s">
        <v>30</v>
      </c>
    </row>
    <row r="915" customFormat="false" ht="15" hidden="false" customHeight="true" outlineLevel="0" collapsed="false">
      <c r="A915" s="7" t="n">
        <v>2264</v>
      </c>
      <c r="B915" s="7" t="n">
        <v>59</v>
      </c>
      <c r="C915" s="7" t="s">
        <v>33</v>
      </c>
      <c r="D915" s="7" t="s">
        <v>25</v>
      </c>
      <c r="E915" s="7" t="n">
        <v>0</v>
      </c>
      <c r="F915" s="7" t="n">
        <v>0</v>
      </c>
      <c r="G915" s="7" t="s">
        <v>26</v>
      </c>
      <c r="H915" s="7" t="s">
        <v>32</v>
      </c>
      <c r="I915" s="7" t="n">
        <v>40.9</v>
      </c>
      <c r="J915" s="7" t="s">
        <v>39</v>
      </c>
      <c r="K915" s="7" t="n">
        <v>165.9</v>
      </c>
      <c r="L915" s="7" t="s">
        <v>29</v>
      </c>
      <c r="M915" s="7" t="s">
        <v>30</v>
      </c>
    </row>
    <row r="916" customFormat="false" ht="15" hidden="false" customHeight="true" outlineLevel="0" collapsed="false">
      <c r="A916" s="7" t="n">
        <v>2269</v>
      </c>
      <c r="B916" s="7" t="n">
        <v>81</v>
      </c>
      <c r="C916" s="7" t="s">
        <v>33</v>
      </c>
      <c r="D916" s="7" t="s">
        <v>25</v>
      </c>
      <c r="E916" s="7" t="n">
        <v>0</v>
      </c>
      <c r="F916" s="7" t="n">
        <v>0</v>
      </c>
      <c r="G916" s="7" t="s">
        <v>34</v>
      </c>
      <c r="H916" s="7" t="s">
        <v>32</v>
      </c>
      <c r="I916" s="7" t="n">
        <v>41.9</v>
      </c>
      <c r="J916" s="7" t="s">
        <v>39</v>
      </c>
      <c r="K916" s="7" t="n">
        <v>188.9</v>
      </c>
      <c r="L916" s="7" t="s">
        <v>29</v>
      </c>
      <c r="M916" s="7" t="s">
        <v>30</v>
      </c>
    </row>
    <row r="917" customFormat="false" ht="15" hidden="false" customHeight="true" outlineLevel="0" collapsed="false">
      <c r="A917" s="7" t="n">
        <v>2357</v>
      </c>
      <c r="B917" s="7" t="n">
        <v>57</v>
      </c>
      <c r="C917" s="7" t="s">
        <v>33</v>
      </c>
      <c r="D917" s="7" t="s">
        <v>25</v>
      </c>
      <c r="E917" s="7" t="n">
        <v>0</v>
      </c>
      <c r="F917" s="7" t="n">
        <v>0</v>
      </c>
      <c r="G917" s="7" t="s">
        <v>34</v>
      </c>
      <c r="H917" s="7" t="s">
        <v>27</v>
      </c>
      <c r="I917" s="7" t="n">
        <v>38.5</v>
      </c>
      <c r="J917" s="7" t="s">
        <v>39</v>
      </c>
      <c r="K917" s="7" t="n">
        <v>122.3</v>
      </c>
      <c r="L917" s="7" t="s">
        <v>29</v>
      </c>
      <c r="M917" s="7" t="s">
        <v>30</v>
      </c>
    </row>
    <row r="918" customFormat="false" ht="15" hidden="false" customHeight="true" outlineLevel="0" collapsed="false">
      <c r="A918" s="7" t="n">
        <v>2365</v>
      </c>
      <c r="B918" s="7" t="n">
        <v>66</v>
      </c>
      <c r="C918" s="7" t="s">
        <v>24</v>
      </c>
      <c r="D918" s="7" t="s">
        <v>25</v>
      </c>
      <c r="E918" s="7" t="n">
        <v>0</v>
      </c>
      <c r="F918" s="7" t="n">
        <v>0</v>
      </c>
      <c r="G918" s="7" t="s">
        <v>26</v>
      </c>
      <c r="H918" s="7" t="s">
        <v>27</v>
      </c>
      <c r="I918" s="7" t="n">
        <v>39.7</v>
      </c>
      <c r="J918" s="7" t="s">
        <v>39</v>
      </c>
      <c r="K918" s="7" t="n">
        <v>195.2</v>
      </c>
      <c r="L918" s="7" t="s">
        <v>29</v>
      </c>
      <c r="M918" s="7" t="s">
        <v>30</v>
      </c>
    </row>
    <row r="919" customFormat="false" ht="15" hidden="false" customHeight="true" outlineLevel="0" collapsed="false">
      <c r="A919" s="7" t="n">
        <v>2378</v>
      </c>
      <c r="B919" s="7" t="n">
        <v>70</v>
      </c>
      <c r="C919" s="7" t="s">
        <v>24</v>
      </c>
      <c r="D919" s="7" t="s">
        <v>25</v>
      </c>
      <c r="E919" s="7" t="n">
        <v>0</v>
      </c>
      <c r="F919" s="7" t="n">
        <v>0</v>
      </c>
      <c r="G919" s="7" t="s">
        <v>31</v>
      </c>
      <c r="H919" s="7" t="s">
        <v>27</v>
      </c>
      <c r="I919" s="7" t="n">
        <v>28.1</v>
      </c>
      <c r="J919" s="7" t="s">
        <v>39</v>
      </c>
      <c r="K919" s="7" t="n">
        <v>232.6</v>
      </c>
      <c r="L919" s="7" t="s">
        <v>29</v>
      </c>
      <c r="M919" s="7" t="s">
        <v>30</v>
      </c>
    </row>
    <row r="920" customFormat="false" ht="15" hidden="false" customHeight="true" outlineLevel="0" collapsed="false">
      <c r="A920" s="7" t="n">
        <v>2421</v>
      </c>
      <c r="B920" s="7" t="n">
        <v>48</v>
      </c>
      <c r="C920" s="7" t="s">
        <v>33</v>
      </c>
      <c r="D920" s="7" t="s">
        <v>25</v>
      </c>
      <c r="E920" s="7" t="n">
        <v>0</v>
      </c>
      <c r="F920" s="7" t="n">
        <v>0</v>
      </c>
      <c r="G920" s="7" t="s">
        <v>36</v>
      </c>
      <c r="H920" s="7" t="s">
        <v>27</v>
      </c>
      <c r="I920" s="7" t="n">
        <v>38.4</v>
      </c>
      <c r="J920" s="7" t="s">
        <v>39</v>
      </c>
      <c r="K920" s="7" t="n">
        <v>259.5</v>
      </c>
      <c r="L920" s="7" t="s">
        <v>29</v>
      </c>
      <c r="M920" s="7" t="s">
        <v>30</v>
      </c>
    </row>
    <row r="921" customFormat="false" ht="15" hidden="false" customHeight="true" outlineLevel="0" collapsed="false">
      <c r="A921" s="7" t="n">
        <v>2429</v>
      </c>
      <c r="B921" s="7" t="n">
        <v>81</v>
      </c>
      <c r="C921" s="7" t="s">
        <v>24</v>
      </c>
      <c r="D921" s="7" t="s">
        <v>25</v>
      </c>
      <c r="E921" s="7" t="n">
        <v>0</v>
      </c>
      <c r="F921" s="7" t="n">
        <v>0</v>
      </c>
      <c r="G921" s="7" t="s">
        <v>36</v>
      </c>
      <c r="H921" s="7" t="s">
        <v>27</v>
      </c>
      <c r="I921" s="7" t="n">
        <v>36.4</v>
      </c>
      <c r="J921" s="7" t="s">
        <v>39</v>
      </c>
      <c r="K921" s="7" t="n">
        <v>130.7</v>
      </c>
      <c r="L921" s="7" t="s">
        <v>29</v>
      </c>
      <c r="M921" s="7" t="s">
        <v>30</v>
      </c>
    </row>
    <row r="922" customFormat="false" ht="15" hidden="false" customHeight="true" outlineLevel="0" collapsed="false">
      <c r="A922" s="7" t="n">
        <v>2434</v>
      </c>
      <c r="B922" s="7" t="n">
        <v>86</v>
      </c>
      <c r="C922" s="7" t="s">
        <v>33</v>
      </c>
      <c r="D922" s="7" t="s">
        <v>25</v>
      </c>
      <c r="E922" s="7" t="n">
        <v>0</v>
      </c>
      <c r="F922" s="7" t="n">
        <v>0</v>
      </c>
      <c r="G922" s="7" t="s">
        <v>35</v>
      </c>
      <c r="H922" s="7" t="s">
        <v>32</v>
      </c>
      <c r="I922" s="7" t="n">
        <v>24.2</v>
      </c>
      <c r="J922" s="7" t="s">
        <v>39</v>
      </c>
      <c r="K922" s="7" t="n">
        <v>199.2</v>
      </c>
      <c r="L922" s="7" t="s">
        <v>29</v>
      </c>
      <c r="M922" s="7" t="s">
        <v>30</v>
      </c>
    </row>
    <row r="923" customFormat="false" ht="15" hidden="false" customHeight="true" outlineLevel="0" collapsed="false">
      <c r="A923" s="7" t="n">
        <v>2461</v>
      </c>
      <c r="B923" s="7" t="n">
        <v>76</v>
      </c>
      <c r="C923" s="7" t="s">
        <v>24</v>
      </c>
      <c r="D923" s="7" t="s">
        <v>25</v>
      </c>
      <c r="E923" s="7" t="n">
        <v>0</v>
      </c>
      <c r="F923" s="7" t="n">
        <v>0</v>
      </c>
      <c r="G923" s="7" t="s">
        <v>36</v>
      </c>
      <c r="H923" s="7" t="s">
        <v>27</v>
      </c>
      <c r="I923" s="7" t="n">
        <v>18.5</v>
      </c>
      <c r="J923" s="7" t="s">
        <v>39</v>
      </c>
      <c r="K923" s="7" t="n">
        <v>181.9</v>
      </c>
      <c r="L923" s="7" t="s">
        <v>29</v>
      </c>
      <c r="M923" s="7" t="s">
        <v>30</v>
      </c>
    </row>
    <row r="924" customFormat="false" ht="15" hidden="false" customHeight="true" outlineLevel="0" collapsed="false">
      <c r="A924" s="7" t="n">
        <v>2473</v>
      </c>
      <c r="B924" s="7" t="n">
        <v>81</v>
      </c>
      <c r="C924" s="7" t="s">
        <v>24</v>
      </c>
      <c r="D924" s="7" t="s">
        <v>25</v>
      </c>
      <c r="E924" s="7" t="n">
        <v>0</v>
      </c>
      <c r="F924" s="7" t="n">
        <v>0</v>
      </c>
      <c r="G924" s="7" t="s">
        <v>34</v>
      </c>
      <c r="H924" s="7" t="s">
        <v>27</v>
      </c>
      <c r="I924" s="7" t="n">
        <v>24.1</v>
      </c>
      <c r="J924" s="7" t="s">
        <v>39</v>
      </c>
      <c r="K924" s="7" t="n">
        <v>202.9</v>
      </c>
      <c r="L924" s="7" t="s">
        <v>29</v>
      </c>
      <c r="M924" s="7" t="s">
        <v>30</v>
      </c>
    </row>
    <row r="925" customFormat="false" ht="15" hidden="false" customHeight="true" outlineLevel="0" collapsed="false">
      <c r="A925" s="7" t="n">
        <v>2493</v>
      </c>
      <c r="B925" s="7" t="n">
        <v>51</v>
      </c>
      <c r="C925" s="7" t="s">
        <v>33</v>
      </c>
      <c r="D925" s="7" t="s">
        <v>25</v>
      </c>
      <c r="E925" s="7" t="n">
        <v>0</v>
      </c>
      <c r="F925" s="7" t="n">
        <v>0</v>
      </c>
      <c r="G925" s="7" t="s">
        <v>31</v>
      </c>
      <c r="H925" s="7" t="s">
        <v>27</v>
      </c>
      <c r="I925" s="7" t="n">
        <v>30.3</v>
      </c>
      <c r="J925" s="7" t="s">
        <v>39</v>
      </c>
      <c r="K925" s="7" t="n">
        <v>184.3</v>
      </c>
      <c r="L925" s="7" t="s">
        <v>29</v>
      </c>
      <c r="M925" s="7" t="s">
        <v>30</v>
      </c>
    </row>
    <row r="926" customFormat="false" ht="15" hidden="false" customHeight="true" outlineLevel="0" collapsed="false">
      <c r="A926" s="7" t="n">
        <v>1</v>
      </c>
      <c r="B926" s="7" t="n">
        <v>32</v>
      </c>
      <c r="C926" s="7" t="s">
        <v>33</v>
      </c>
      <c r="D926" s="7" t="s">
        <v>25</v>
      </c>
      <c r="E926" s="7" t="n">
        <v>0</v>
      </c>
      <c r="F926" s="7" t="n">
        <v>0</v>
      </c>
      <c r="G926" s="7" t="s">
        <v>26</v>
      </c>
      <c r="H926" s="7" t="s">
        <v>27</v>
      </c>
      <c r="I926" s="7" t="n">
        <v>28.1</v>
      </c>
      <c r="J926" s="7" t="s">
        <v>30</v>
      </c>
      <c r="K926" s="7" t="n">
        <v>202.7</v>
      </c>
      <c r="L926" s="7" t="s">
        <v>29</v>
      </c>
      <c r="M926" s="7" t="s">
        <v>30</v>
      </c>
    </row>
    <row r="927" customFormat="false" ht="15" hidden="false" customHeight="true" outlineLevel="0" collapsed="false">
      <c r="A927" s="7" t="n">
        <v>14</v>
      </c>
      <c r="B927" s="7" t="n">
        <v>54</v>
      </c>
      <c r="C927" s="7" t="s">
        <v>33</v>
      </c>
      <c r="D927" s="7" t="s">
        <v>25</v>
      </c>
      <c r="E927" s="7" t="n">
        <v>0</v>
      </c>
      <c r="F927" s="7" t="n">
        <v>0</v>
      </c>
      <c r="G927" s="7" t="s">
        <v>35</v>
      </c>
      <c r="H927" s="7" t="s">
        <v>27</v>
      </c>
      <c r="I927" s="7" t="n">
        <v>23.1</v>
      </c>
      <c r="J927" s="7" t="s">
        <v>30</v>
      </c>
      <c r="K927" s="7" t="n">
        <v>159.4</v>
      </c>
      <c r="L927" s="7" t="s">
        <v>29</v>
      </c>
      <c r="M927" s="7" t="s">
        <v>30</v>
      </c>
    </row>
    <row r="928" customFormat="false" ht="15" hidden="false" customHeight="true" outlineLevel="0" collapsed="false">
      <c r="A928" s="7" t="n">
        <v>56</v>
      </c>
      <c r="B928" s="7" t="n">
        <v>31</v>
      </c>
      <c r="C928" s="7" t="s">
        <v>24</v>
      </c>
      <c r="D928" s="7" t="s">
        <v>25</v>
      </c>
      <c r="E928" s="7" t="n">
        <v>0</v>
      </c>
      <c r="F928" s="7" t="n">
        <v>0</v>
      </c>
      <c r="G928" s="7" t="s">
        <v>35</v>
      </c>
      <c r="H928" s="7" t="s">
        <v>27</v>
      </c>
      <c r="I928" s="7" t="n">
        <v>20.4</v>
      </c>
      <c r="J928" s="7" t="s">
        <v>30</v>
      </c>
      <c r="K928" s="7" t="n">
        <v>183.1</v>
      </c>
      <c r="L928" s="7" t="s">
        <v>29</v>
      </c>
      <c r="M928" s="7" t="s">
        <v>30</v>
      </c>
    </row>
    <row r="929" customFormat="false" ht="15" hidden="false" customHeight="true" outlineLevel="0" collapsed="false">
      <c r="A929" s="7" t="n">
        <v>59</v>
      </c>
      <c r="B929" s="7" t="n">
        <v>40</v>
      </c>
      <c r="C929" s="7" t="s">
        <v>33</v>
      </c>
      <c r="D929" s="7" t="s">
        <v>25</v>
      </c>
      <c r="E929" s="7" t="n">
        <v>0</v>
      </c>
      <c r="F929" s="7" t="n">
        <v>0</v>
      </c>
      <c r="G929" s="7" t="s">
        <v>35</v>
      </c>
      <c r="H929" s="7" t="s">
        <v>27</v>
      </c>
      <c r="I929" s="7" t="n">
        <v>33</v>
      </c>
      <c r="J929" s="7" t="s">
        <v>30</v>
      </c>
      <c r="K929" s="7" t="n">
        <v>182.2</v>
      </c>
      <c r="L929" s="7" t="s">
        <v>29</v>
      </c>
      <c r="M929" s="7" t="s">
        <v>30</v>
      </c>
    </row>
    <row r="930" customFormat="false" ht="15" hidden="false" customHeight="true" outlineLevel="0" collapsed="false">
      <c r="A930" s="7" t="n">
        <v>107</v>
      </c>
      <c r="B930" s="7" t="n">
        <v>31</v>
      </c>
      <c r="C930" s="7" t="s">
        <v>24</v>
      </c>
      <c r="D930" s="7" t="s">
        <v>25</v>
      </c>
      <c r="E930" s="7" t="n">
        <v>0</v>
      </c>
      <c r="F930" s="7" t="n">
        <v>0</v>
      </c>
      <c r="G930" s="7" t="s">
        <v>36</v>
      </c>
      <c r="H930" s="7" t="s">
        <v>27</v>
      </c>
      <c r="I930" s="7" t="n">
        <v>22.8</v>
      </c>
      <c r="J930" s="7" t="s">
        <v>30</v>
      </c>
      <c r="K930" s="7" t="n">
        <v>123.2</v>
      </c>
      <c r="L930" s="7" t="s">
        <v>29</v>
      </c>
      <c r="M930" s="7" t="s">
        <v>30</v>
      </c>
    </row>
    <row r="931" customFormat="false" ht="15" hidden="false" customHeight="true" outlineLevel="0" collapsed="false">
      <c r="A931" s="7" t="n">
        <v>201</v>
      </c>
      <c r="B931" s="7" t="n">
        <v>41</v>
      </c>
      <c r="C931" s="7" t="s">
        <v>33</v>
      </c>
      <c r="D931" s="7" t="s">
        <v>25</v>
      </c>
      <c r="E931" s="7" t="n">
        <v>0</v>
      </c>
      <c r="F931" s="7" t="n">
        <v>0</v>
      </c>
      <c r="G931" s="7" t="s">
        <v>31</v>
      </c>
      <c r="H931" s="7" t="s">
        <v>27</v>
      </c>
      <c r="I931" s="7" t="n">
        <v>24.1</v>
      </c>
      <c r="J931" s="7" t="s">
        <v>30</v>
      </c>
      <c r="K931" s="7" t="n">
        <v>126.5</v>
      </c>
      <c r="L931" s="7" t="s">
        <v>37</v>
      </c>
      <c r="M931" s="7" t="s">
        <v>30</v>
      </c>
    </row>
    <row r="932" customFormat="false" ht="15" hidden="false" customHeight="true" outlineLevel="0" collapsed="false">
      <c r="A932" s="7" t="n">
        <v>228</v>
      </c>
      <c r="B932" s="7" t="n">
        <v>64</v>
      </c>
      <c r="C932" s="7" t="s">
        <v>24</v>
      </c>
      <c r="D932" s="7" t="s">
        <v>25</v>
      </c>
      <c r="E932" s="7" t="n">
        <v>0</v>
      </c>
      <c r="F932" s="7" t="n">
        <v>0</v>
      </c>
      <c r="G932" s="7" t="s">
        <v>31</v>
      </c>
      <c r="H932" s="7" t="s">
        <v>32</v>
      </c>
      <c r="I932" s="7" t="n">
        <v>28.6</v>
      </c>
      <c r="J932" s="7" t="s">
        <v>30</v>
      </c>
      <c r="K932" s="7" t="n">
        <v>181.3</v>
      </c>
      <c r="L932" s="7" t="s">
        <v>37</v>
      </c>
      <c r="M932" s="7" t="s">
        <v>30</v>
      </c>
    </row>
    <row r="933" customFormat="false" ht="15" hidden="false" customHeight="true" outlineLevel="0" collapsed="false">
      <c r="A933" s="7" t="n">
        <v>248</v>
      </c>
      <c r="B933" s="7" t="n">
        <v>28</v>
      </c>
      <c r="C933" s="7" t="s">
        <v>33</v>
      </c>
      <c r="D933" s="7" t="s">
        <v>25</v>
      </c>
      <c r="E933" s="7" t="n">
        <v>0</v>
      </c>
      <c r="F933" s="7" t="n">
        <v>0</v>
      </c>
      <c r="G933" s="7" t="s">
        <v>31</v>
      </c>
      <c r="H933" s="7" t="s">
        <v>27</v>
      </c>
      <c r="I933" s="7" t="n">
        <v>31.5</v>
      </c>
      <c r="J933" s="7" t="s">
        <v>30</v>
      </c>
      <c r="K933" s="7" t="n">
        <v>199.9</v>
      </c>
      <c r="L933" s="7" t="s">
        <v>29</v>
      </c>
      <c r="M933" s="7" t="s">
        <v>30</v>
      </c>
    </row>
    <row r="934" customFormat="false" ht="15" hidden="false" customHeight="true" outlineLevel="0" collapsed="false">
      <c r="A934" s="7" t="n">
        <v>333</v>
      </c>
      <c r="B934" s="7" t="n">
        <v>77</v>
      </c>
      <c r="C934" s="7" t="s">
        <v>24</v>
      </c>
      <c r="D934" s="7" t="s">
        <v>25</v>
      </c>
      <c r="E934" s="7" t="n">
        <v>0</v>
      </c>
      <c r="F934" s="7" t="n">
        <v>0</v>
      </c>
      <c r="G934" s="7" t="s">
        <v>35</v>
      </c>
      <c r="H934" s="7" t="s">
        <v>32</v>
      </c>
      <c r="I934" s="7" t="n">
        <v>34.7</v>
      </c>
      <c r="J934" s="7" t="s">
        <v>30</v>
      </c>
      <c r="K934" s="7" t="n">
        <v>159.2</v>
      </c>
      <c r="L934" s="7" t="s">
        <v>29</v>
      </c>
      <c r="M934" s="7" t="s">
        <v>30</v>
      </c>
    </row>
    <row r="935" customFormat="false" ht="15" hidden="false" customHeight="true" outlineLevel="0" collapsed="false">
      <c r="A935" s="7" t="n">
        <v>355</v>
      </c>
      <c r="B935" s="7" t="n">
        <v>66</v>
      </c>
      <c r="C935" s="7" t="s">
        <v>24</v>
      </c>
      <c r="D935" s="7" t="s">
        <v>25</v>
      </c>
      <c r="E935" s="7" t="n">
        <v>0</v>
      </c>
      <c r="F935" s="7" t="n">
        <v>0</v>
      </c>
      <c r="G935" s="7" t="s">
        <v>26</v>
      </c>
      <c r="H935" s="7" t="s">
        <v>27</v>
      </c>
      <c r="I935" s="7" t="n">
        <v>41.4</v>
      </c>
      <c r="J935" s="7" t="s">
        <v>30</v>
      </c>
      <c r="K935" s="7" t="n">
        <v>281.7</v>
      </c>
      <c r="L935" s="7" t="s">
        <v>29</v>
      </c>
      <c r="M935" s="7" t="s">
        <v>30</v>
      </c>
    </row>
    <row r="936" customFormat="false" ht="15" hidden="false" customHeight="true" outlineLevel="0" collapsed="false">
      <c r="A936" s="7" t="n">
        <v>374</v>
      </c>
      <c r="B936" s="7" t="n">
        <v>43</v>
      </c>
      <c r="C936" s="7" t="s">
        <v>24</v>
      </c>
      <c r="D936" s="7" t="s">
        <v>25</v>
      </c>
      <c r="E936" s="7" t="n">
        <v>0</v>
      </c>
      <c r="F936" s="7" t="n">
        <v>0</v>
      </c>
      <c r="G936" s="7" t="s">
        <v>36</v>
      </c>
      <c r="H936" s="7" t="s">
        <v>27</v>
      </c>
      <c r="I936" s="7" t="n">
        <v>24.4</v>
      </c>
      <c r="J936" s="7" t="s">
        <v>30</v>
      </c>
      <c r="K936" s="7" t="n">
        <v>289.5</v>
      </c>
      <c r="L936" s="7" t="s">
        <v>29</v>
      </c>
      <c r="M936" s="7" t="s">
        <v>30</v>
      </c>
    </row>
    <row r="937" customFormat="false" ht="15" hidden="false" customHeight="true" outlineLevel="0" collapsed="false">
      <c r="A937" s="7" t="n">
        <v>459</v>
      </c>
      <c r="B937" s="7" t="n">
        <v>86</v>
      </c>
      <c r="C937" s="7" t="s">
        <v>33</v>
      </c>
      <c r="D937" s="7" t="s">
        <v>25</v>
      </c>
      <c r="E937" s="7" t="n">
        <v>0</v>
      </c>
      <c r="F937" s="7" t="n">
        <v>0</v>
      </c>
      <c r="G937" s="7" t="s">
        <v>34</v>
      </c>
      <c r="H937" s="7" t="s">
        <v>27</v>
      </c>
      <c r="I937" s="7" t="n">
        <v>25.2</v>
      </c>
      <c r="J937" s="7" t="s">
        <v>30</v>
      </c>
      <c r="K937" s="7" t="n">
        <v>152.8</v>
      </c>
      <c r="L937" s="7" t="s">
        <v>29</v>
      </c>
      <c r="M937" s="7" t="s">
        <v>30</v>
      </c>
    </row>
    <row r="938" customFormat="false" ht="15" hidden="false" customHeight="true" outlineLevel="0" collapsed="false">
      <c r="A938" s="7" t="n">
        <v>474</v>
      </c>
      <c r="B938" s="7" t="n">
        <v>60</v>
      </c>
      <c r="C938" s="7" t="s">
        <v>33</v>
      </c>
      <c r="D938" s="7" t="s">
        <v>25</v>
      </c>
      <c r="E938" s="7" t="n">
        <v>0</v>
      </c>
      <c r="F938" s="7" t="n">
        <v>0</v>
      </c>
      <c r="G938" s="7" t="s">
        <v>34</v>
      </c>
      <c r="H938" s="7" t="s">
        <v>32</v>
      </c>
      <c r="I938" s="7" t="n">
        <v>19.8</v>
      </c>
      <c r="J938" s="7" t="s">
        <v>30</v>
      </c>
      <c r="K938" s="7" t="n">
        <v>299</v>
      </c>
      <c r="L938" s="7" t="s">
        <v>37</v>
      </c>
      <c r="M938" s="7" t="s">
        <v>30</v>
      </c>
    </row>
    <row r="939" customFormat="false" ht="15" hidden="false" customHeight="true" outlineLevel="0" collapsed="false">
      <c r="A939" s="7" t="n">
        <v>494</v>
      </c>
      <c r="B939" s="7" t="n">
        <v>43</v>
      </c>
      <c r="C939" s="7" t="s">
        <v>24</v>
      </c>
      <c r="D939" s="7" t="s">
        <v>25</v>
      </c>
      <c r="E939" s="7" t="n">
        <v>0</v>
      </c>
      <c r="F939" s="7" t="n">
        <v>0</v>
      </c>
      <c r="G939" s="7" t="s">
        <v>31</v>
      </c>
      <c r="H939" s="7" t="s">
        <v>27</v>
      </c>
      <c r="I939" s="7" t="n">
        <v>37.7</v>
      </c>
      <c r="J939" s="7" t="s">
        <v>30</v>
      </c>
      <c r="K939" s="7" t="n">
        <v>285.1</v>
      </c>
      <c r="L939" s="7" t="s">
        <v>29</v>
      </c>
      <c r="M939" s="7" t="s">
        <v>30</v>
      </c>
    </row>
    <row r="940" customFormat="false" ht="15" hidden="false" customHeight="true" outlineLevel="0" collapsed="false">
      <c r="A940" s="7" t="n">
        <v>517</v>
      </c>
      <c r="B940" s="7" t="n">
        <v>32</v>
      </c>
      <c r="C940" s="7" t="s">
        <v>24</v>
      </c>
      <c r="D940" s="7" t="s">
        <v>25</v>
      </c>
      <c r="E940" s="7" t="n">
        <v>0</v>
      </c>
      <c r="F940" s="7" t="n">
        <v>0</v>
      </c>
      <c r="G940" s="7" t="s">
        <v>31</v>
      </c>
      <c r="H940" s="7" t="s">
        <v>32</v>
      </c>
      <c r="I940" s="7" t="n">
        <v>24.5</v>
      </c>
      <c r="J940" s="7" t="s">
        <v>30</v>
      </c>
      <c r="K940" s="7" t="n">
        <v>256.2</v>
      </c>
      <c r="L940" s="7" t="s">
        <v>29</v>
      </c>
      <c r="M940" s="7" t="s">
        <v>30</v>
      </c>
    </row>
    <row r="941" customFormat="false" ht="15" hidden="false" customHeight="true" outlineLevel="0" collapsed="false">
      <c r="A941" s="7" t="n">
        <v>528</v>
      </c>
      <c r="B941" s="7" t="n">
        <v>54</v>
      </c>
      <c r="C941" s="7" t="s">
        <v>33</v>
      </c>
      <c r="D941" s="7" t="s">
        <v>25</v>
      </c>
      <c r="E941" s="7" t="n">
        <v>0</v>
      </c>
      <c r="F941" s="7" t="n">
        <v>0</v>
      </c>
      <c r="G941" s="7" t="s">
        <v>35</v>
      </c>
      <c r="H941" s="7" t="s">
        <v>27</v>
      </c>
      <c r="I941" s="7" t="n">
        <v>21.8</v>
      </c>
      <c r="J941" s="7" t="s">
        <v>30</v>
      </c>
      <c r="K941" s="7" t="n">
        <v>173.6</v>
      </c>
      <c r="L941" s="7" t="s">
        <v>29</v>
      </c>
      <c r="M941" s="7" t="s">
        <v>30</v>
      </c>
    </row>
    <row r="942" customFormat="false" ht="15" hidden="false" customHeight="true" outlineLevel="0" collapsed="false">
      <c r="A942" s="7" t="n">
        <v>529</v>
      </c>
      <c r="B942" s="7" t="n">
        <v>61</v>
      </c>
      <c r="C942" s="7" t="s">
        <v>33</v>
      </c>
      <c r="D942" s="7" t="s">
        <v>25</v>
      </c>
      <c r="E942" s="7" t="n">
        <v>0</v>
      </c>
      <c r="F942" s="7" t="n">
        <v>0</v>
      </c>
      <c r="G942" s="7" t="s">
        <v>31</v>
      </c>
      <c r="H942" s="7" t="s">
        <v>27</v>
      </c>
      <c r="I942" s="7" t="n">
        <v>37.5</v>
      </c>
      <c r="J942" s="7" t="s">
        <v>30</v>
      </c>
      <c r="K942" s="7" t="n">
        <v>202.2</v>
      </c>
      <c r="L942" s="7" t="s">
        <v>29</v>
      </c>
      <c r="M942" s="7" t="s">
        <v>30</v>
      </c>
    </row>
    <row r="943" customFormat="false" ht="15" hidden="false" customHeight="true" outlineLevel="0" collapsed="false">
      <c r="A943" s="7" t="n">
        <v>575</v>
      </c>
      <c r="B943" s="7" t="n">
        <v>71</v>
      </c>
      <c r="C943" s="7" t="s">
        <v>24</v>
      </c>
      <c r="D943" s="7" t="s">
        <v>25</v>
      </c>
      <c r="E943" s="7" t="n">
        <v>0</v>
      </c>
      <c r="F943" s="7" t="n">
        <v>0</v>
      </c>
      <c r="G943" s="7" t="s">
        <v>26</v>
      </c>
      <c r="H943" s="7" t="s">
        <v>27</v>
      </c>
      <c r="I943" s="7" t="n">
        <v>29.8</v>
      </c>
      <c r="J943" s="7" t="s">
        <v>30</v>
      </c>
      <c r="K943" s="7" t="n">
        <v>196.5</v>
      </c>
      <c r="L943" s="7" t="s">
        <v>29</v>
      </c>
      <c r="M943" s="7" t="s">
        <v>30</v>
      </c>
    </row>
    <row r="944" customFormat="false" ht="15" hidden="false" customHeight="true" outlineLevel="0" collapsed="false">
      <c r="A944" s="7" t="n">
        <v>584</v>
      </c>
      <c r="B944" s="7" t="n">
        <v>73</v>
      </c>
      <c r="C944" s="7" t="s">
        <v>33</v>
      </c>
      <c r="D944" s="7" t="s">
        <v>25</v>
      </c>
      <c r="E944" s="7" t="n">
        <v>0</v>
      </c>
      <c r="F944" s="7" t="n">
        <v>0</v>
      </c>
      <c r="G944" s="7" t="s">
        <v>34</v>
      </c>
      <c r="H944" s="7" t="s">
        <v>32</v>
      </c>
      <c r="I944" s="7" t="n">
        <v>29.5</v>
      </c>
      <c r="J944" s="7" t="s">
        <v>30</v>
      </c>
      <c r="K944" s="7" t="n">
        <v>224.8</v>
      </c>
      <c r="L944" s="7" t="s">
        <v>37</v>
      </c>
      <c r="M944" s="7" t="s">
        <v>30</v>
      </c>
    </row>
    <row r="945" customFormat="false" ht="15" hidden="false" customHeight="true" outlineLevel="0" collapsed="false">
      <c r="A945" s="7" t="n">
        <v>597</v>
      </c>
      <c r="B945" s="7" t="n">
        <v>46</v>
      </c>
      <c r="C945" s="7" t="s">
        <v>33</v>
      </c>
      <c r="D945" s="7" t="s">
        <v>25</v>
      </c>
      <c r="E945" s="7" t="n">
        <v>0</v>
      </c>
      <c r="F945" s="7" t="n">
        <v>0</v>
      </c>
      <c r="G945" s="7" t="s">
        <v>36</v>
      </c>
      <c r="H945" s="7" t="s">
        <v>32</v>
      </c>
      <c r="I945" s="7" t="n">
        <v>32.4</v>
      </c>
      <c r="J945" s="7" t="s">
        <v>30</v>
      </c>
      <c r="K945" s="7" t="n">
        <v>232.1</v>
      </c>
      <c r="L945" s="7" t="s">
        <v>29</v>
      </c>
      <c r="M945" s="7" t="s">
        <v>30</v>
      </c>
    </row>
    <row r="946" customFormat="false" ht="15" hidden="false" customHeight="true" outlineLevel="0" collapsed="false">
      <c r="A946" s="7" t="n">
        <v>623</v>
      </c>
      <c r="B946" s="7" t="n">
        <v>59</v>
      </c>
      <c r="C946" s="7" t="s">
        <v>24</v>
      </c>
      <c r="D946" s="7" t="s">
        <v>25</v>
      </c>
      <c r="E946" s="7" t="n">
        <v>0</v>
      </c>
      <c r="F946" s="7" t="n">
        <v>0</v>
      </c>
      <c r="G946" s="7" t="s">
        <v>35</v>
      </c>
      <c r="H946" s="7" t="s">
        <v>27</v>
      </c>
      <c r="I946" s="7" t="n">
        <v>27.1</v>
      </c>
      <c r="J946" s="7" t="s">
        <v>30</v>
      </c>
      <c r="K946" s="7" t="n">
        <v>209.4</v>
      </c>
      <c r="L946" s="7" t="s">
        <v>37</v>
      </c>
      <c r="M946" s="7" t="s">
        <v>30</v>
      </c>
    </row>
    <row r="947" customFormat="false" ht="15" hidden="false" customHeight="true" outlineLevel="0" collapsed="false">
      <c r="A947" s="7" t="n">
        <v>636</v>
      </c>
      <c r="B947" s="7" t="n">
        <v>53</v>
      </c>
      <c r="C947" s="7" t="s">
        <v>33</v>
      </c>
      <c r="D947" s="7" t="s">
        <v>25</v>
      </c>
      <c r="E947" s="7" t="n">
        <v>0</v>
      </c>
      <c r="F947" s="7" t="n">
        <v>0</v>
      </c>
      <c r="G947" s="7" t="s">
        <v>26</v>
      </c>
      <c r="H947" s="7" t="s">
        <v>27</v>
      </c>
      <c r="I947" s="7" t="n">
        <v>35.6</v>
      </c>
      <c r="J947" s="7" t="s">
        <v>30</v>
      </c>
      <c r="K947" s="7" t="n">
        <v>154.2</v>
      </c>
      <c r="L947" s="7" t="s">
        <v>29</v>
      </c>
      <c r="M947" s="7" t="s">
        <v>30</v>
      </c>
    </row>
    <row r="948" customFormat="false" ht="15" hidden="false" customHeight="true" outlineLevel="0" collapsed="false">
      <c r="A948" s="7" t="n">
        <v>669</v>
      </c>
      <c r="B948" s="7" t="n">
        <v>85</v>
      </c>
      <c r="C948" s="7" t="s">
        <v>33</v>
      </c>
      <c r="D948" s="7" t="s">
        <v>25</v>
      </c>
      <c r="E948" s="7" t="n">
        <v>0</v>
      </c>
      <c r="F948" s="7" t="n">
        <v>0</v>
      </c>
      <c r="G948" s="7" t="s">
        <v>31</v>
      </c>
      <c r="H948" s="7" t="s">
        <v>32</v>
      </c>
      <c r="I948" s="7" t="n">
        <v>20.8</v>
      </c>
      <c r="J948" s="7" t="s">
        <v>30</v>
      </c>
      <c r="K948" s="7" t="n">
        <v>182.2</v>
      </c>
      <c r="L948" s="7" t="s">
        <v>29</v>
      </c>
      <c r="M948" s="7" t="s">
        <v>30</v>
      </c>
    </row>
    <row r="949" customFormat="false" ht="15" hidden="false" customHeight="true" outlineLevel="0" collapsed="false">
      <c r="A949" s="7" t="n">
        <v>674</v>
      </c>
      <c r="B949" s="7" t="n">
        <v>35</v>
      </c>
      <c r="C949" s="7" t="s">
        <v>24</v>
      </c>
      <c r="D949" s="7" t="s">
        <v>25</v>
      </c>
      <c r="E949" s="7" t="n">
        <v>0</v>
      </c>
      <c r="F949" s="7" t="n">
        <v>0</v>
      </c>
      <c r="G949" s="7" t="s">
        <v>36</v>
      </c>
      <c r="H949" s="7" t="s">
        <v>32</v>
      </c>
      <c r="I949" s="7" t="n">
        <v>27.4</v>
      </c>
      <c r="J949" s="7" t="s">
        <v>30</v>
      </c>
      <c r="K949" s="7" t="n">
        <v>198.8</v>
      </c>
      <c r="L949" s="7" t="s">
        <v>37</v>
      </c>
      <c r="M949" s="7" t="s">
        <v>30</v>
      </c>
    </row>
    <row r="950" customFormat="false" ht="15" hidden="false" customHeight="true" outlineLevel="0" collapsed="false">
      <c r="A950" s="7" t="n">
        <v>676</v>
      </c>
      <c r="B950" s="7" t="n">
        <v>41</v>
      </c>
      <c r="C950" s="7" t="s">
        <v>24</v>
      </c>
      <c r="D950" s="7" t="s">
        <v>25</v>
      </c>
      <c r="E950" s="7" t="n">
        <v>0</v>
      </c>
      <c r="F950" s="7" t="n">
        <v>0</v>
      </c>
      <c r="G950" s="7" t="s">
        <v>31</v>
      </c>
      <c r="H950" s="7" t="s">
        <v>32</v>
      </c>
      <c r="I950" s="7" t="n">
        <v>34.7</v>
      </c>
      <c r="J950" s="7" t="s">
        <v>30</v>
      </c>
      <c r="K950" s="7" t="n">
        <v>279.9</v>
      </c>
      <c r="L950" s="7" t="s">
        <v>29</v>
      </c>
      <c r="M950" s="7" t="s">
        <v>30</v>
      </c>
    </row>
    <row r="951" customFormat="false" ht="15" hidden="false" customHeight="true" outlineLevel="0" collapsed="false">
      <c r="A951" s="7" t="n">
        <v>697</v>
      </c>
      <c r="B951" s="7" t="n">
        <v>75</v>
      </c>
      <c r="C951" s="7" t="s">
        <v>33</v>
      </c>
      <c r="D951" s="7" t="s">
        <v>25</v>
      </c>
      <c r="E951" s="7" t="n">
        <v>0</v>
      </c>
      <c r="F951" s="7" t="n">
        <v>0</v>
      </c>
      <c r="G951" s="7" t="s">
        <v>34</v>
      </c>
      <c r="H951" s="7" t="s">
        <v>27</v>
      </c>
      <c r="I951" s="7" t="n">
        <v>17.1</v>
      </c>
      <c r="J951" s="7" t="s">
        <v>30</v>
      </c>
      <c r="K951" s="7" t="n">
        <v>172.3</v>
      </c>
      <c r="L951" s="7" t="s">
        <v>29</v>
      </c>
      <c r="M951" s="7" t="s">
        <v>30</v>
      </c>
    </row>
    <row r="952" customFormat="false" ht="15" hidden="false" customHeight="true" outlineLevel="0" collapsed="false">
      <c r="A952" s="7" t="n">
        <v>736</v>
      </c>
      <c r="B952" s="7" t="n">
        <v>44</v>
      </c>
      <c r="C952" s="7" t="s">
        <v>24</v>
      </c>
      <c r="D952" s="7" t="s">
        <v>25</v>
      </c>
      <c r="E952" s="7" t="n">
        <v>0</v>
      </c>
      <c r="F952" s="7" t="n">
        <v>0</v>
      </c>
      <c r="G952" s="7" t="s">
        <v>36</v>
      </c>
      <c r="H952" s="7" t="s">
        <v>32</v>
      </c>
      <c r="I952" s="7" t="n">
        <v>22.9</v>
      </c>
      <c r="J952" s="7" t="s">
        <v>30</v>
      </c>
      <c r="K952" s="7" t="n">
        <v>223.7</v>
      </c>
      <c r="L952" s="7" t="s">
        <v>29</v>
      </c>
      <c r="M952" s="7" t="s">
        <v>30</v>
      </c>
    </row>
    <row r="953" customFormat="false" ht="15" hidden="false" customHeight="true" outlineLevel="0" collapsed="false">
      <c r="A953" s="7" t="n">
        <v>763</v>
      </c>
      <c r="B953" s="7" t="n">
        <v>23</v>
      </c>
      <c r="C953" s="7" t="s">
        <v>33</v>
      </c>
      <c r="D953" s="7" t="s">
        <v>25</v>
      </c>
      <c r="E953" s="7" t="n">
        <v>0</v>
      </c>
      <c r="F953" s="7" t="n">
        <v>0</v>
      </c>
      <c r="G953" s="7" t="s">
        <v>26</v>
      </c>
      <c r="H953" s="7" t="s">
        <v>32</v>
      </c>
      <c r="I953" s="7" t="n">
        <v>39.4</v>
      </c>
      <c r="J953" s="7" t="s">
        <v>30</v>
      </c>
      <c r="K953" s="7" t="n">
        <v>298.2</v>
      </c>
      <c r="L953" s="7" t="s">
        <v>37</v>
      </c>
      <c r="M953" s="7" t="s">
        <v>30</v>
      </c>
    </row>
    <row r="954" customFormat="false" ht="15" hidden="false" customHeight="true" outlineLevel="0" collapsed="false">
      <c r="A954" s="7" t="n">
        <v>790</v>
      </c>
      <c r="B954" s="7" t="n">
        <v>73</v>
      </c>
      <c r="C954" s="7" t="s">
        <v>24</v>
      </c>
      <c r="D954" s="7" t="s">
        <v>25</v>
      </c>
      <c r="E954" s="7" t="n">
        <v>0</v>
      </c>
      <c r="F954" s="7" t="n">
        <v>0</v>
      </c>
      <c r="G954" s="7" t="s">
        <v>34</v>
      </c>
      <c r="H954" s="7" t="s">
        <v>27</v>
      </c>
      <c r="I954" s="7" t="n">
        <v>41.3</v>
      </c>
      <c r="J954" s="7" t="s">
        <v>30</v>
      </c>
      <c r="K954" s="7" t="n">
        <v>182.2</v>
      </c>
      <c r="L954" s="7" t="s">
        <v>29</v>
      </c>
      <c r="M954" s="7" t="s">
        <v>30</v>
      </c>
    </row>
    <row r="955" customFormat="false" ht="15" hidden="false" customHeight="true" outlineLevel="0" collapsed="false">
      <c r="A955" s="7" t="n">
        <v>813</v>
      </c>
      <c r="B955" s="7" t="n">
        <v>53</v>
      </c>
      <c r="C955" s="7" t="s">
        <v>24</v>
      </c>
      <c r="D955" s="7" t="s">
        <v>25</v>
      </c>
      <c r="E955" s="7" t="n">
        <v>0</v>
      </c>
      <c r="F955" s="7" t="n">
        <v>0</v>
      </c>
      <c r="G955" s="7" t="s">
        <v>35</v>
      </c>
      <c r="H955" s="7" t="s">
        <v>32</v>
      </c>
      <c r="I955" s="7" t="n">
        <v>35.2</v>
      </c>
      <c r="J955" s="7" t="s">
        <v>30</v>
      </c>
      <c r="K955" s="7" t="n">
        <v>279.2</v>
      </c>
      <c r="L955" s="7" t="s">
        <v>29</v>
      </c>
      <c r="M955" s="7" t="s">
        <v>30</v>
      </c>
    </row>
    <row r="956" customFormat="false" ht="15" hidden="false" customHeight="true" outlineLevel="0" collapsed="false">
      <c r="A956" s="7" t="n">
        <v>878</v>
      </c>
      <c r="B956" s="7" t="n">
        <v>32</v>
      </c>
      <c r="C956" s="7" t="s">
        <v>24</v>
      </c>
      <c r="D956" s="7" t="s">
        <v>25</v>
      </c>
      <c r="E956" s="7" t="n">
        <v>0</v>
      </c>
      <c r="F956" s="7" t="n">
        <v>0</v>
      </c>
      <c r="G956" s="7" t="s">
        <v>26</v>
      </c>
      <c r="H956" s="7" t="s">
        <v>27</v>
      </c>
      <c r="I956" s="7" t="n">
        <v>29.6</v>
      </c>
      <c r="J956" s="7" t="s">
        <v>30</v>
      </c>
      <c r="K956" s="7" t="n">
        <v>138.7</v>
      </c>
      <c r="L956" s="7" t="s">
        <v>37</v>
      </c>
      <c r="M956" s="7" t="s">
        <v>30</v>
      </c>
    </row>
    <row r="957" customFormat="false" ht="15" hidden="false" customHeight="true" outlineLevel="0" collapsed="false">
      <c r="A957" s="7" t="n">
        <v>894</v>
      </c>
      <c r="B957" s="7" t="n">
        <v>67</v>
      </c>
      <c r="C957" s="7" t="s">
        <v>33</v>
      </c>
      <c r="D957" s="7" t="s">
        <v>25</v>
      </c>
      <c r="E957" s="7" t="n">
        <v>0</v>
      </c>
      <c r="F957" s="7" t="n">
        <v>0</v>
      </c>
      <c r="G957" s="7" t="s">
        <v>35</v>
      </c>
      <c r="H957" s="7" t="s">
        <v>32</v>
      </c>
      <c r="I957" s="7" t="n">
        <v>34.2</v>
      </c>
      <c r="J957" s="7" t="s">
        <v>30</v>
      </c>
      <c r="K957" s="7" t="n">
        <v>146.6</v>
      </c>
      <c r="L957" s="7" t="s">
        <v>29</v>
      </c>
      <c r="M957" s="7" t="s">
        <v>30</v>
      </c>
    </row>
    <row r="958" customFormat="false" ht="15" hidden="false" customHeight="true" outlineLevel="0" collapsed="false">
      <c r="A958" s="7" t="n">
        <v>912</v>
      </c>
      <c r="B958" s="7" t="n">
        <v>62</v>
      </c>
      <c r="C958" s="7" t="s">
        <v>24</v>
      </c>
      <c r="D958" s="7" t="s">
        <v>25</v>
      </c>
      <c r="E958" s="7" t="n">
        <v>0</v>
      </c>
      <c r="F958" s="7" t="n">
        <v>0</v>
      </c>
      <c r="G958" s="7" t="s">
        <v>35</v>
      </c>
      <c r="H958" s="7" t="s">
        <v>32</v>
      </c>
      <c r="I958" s="7" t="n">
        <v>25.2</v>
      </c>
      <c r="J958" s="7" t="s">
        <v>30</v>
      </c>
      <c r="K958" s="7" t="n">
        <v>191.8</v>
      </c>
      <c r="L958" s="7" t="s">
        <v>29</v>
      </c>
      <c r="M958" s="7" t="s">
        <v>30</v>
      </c>
    </row>
    <row r="959" customFormat="false" ht="15" hidden="false" customHeight="true" outlineLevel="0" collapsed="false">
      <c r="A959" s="7" t="n">
        <v>927</v>
      </c>
      <c r="B959" s="7" t="n">
        <v>87</v>
      </c>
      <c r="C959" s="7" t="s">
        <v>24</v>
      </c>
      <c r="D959" s="7" t="s">
        <v>25</v>
      </c>
      <c r="E959" s="7" t="n">
        <v>0</v>
      </c>
      <c r="F959" s="7" t="n">
        <v>0</v>
      </c>
      <c r="G959" s="7" t="s">
        <v>31</v>
      </c>
      <c r="H959" s="7" t="s">
        <v>27</v>
      </c>
      <c r="I959" s="7" t="n">
        <v>20</v>
      </c>
      <c r="J959" s="7" t="s">
        <v>30</v>
      </c>
      <c r="K959" s="7" t="n">
        <v>256.3</v>
      </c>
      <c r="L959" s="7" t="s">
        <v>37</v>
      </c>
      <c r="M959" s="7" t="s">
        <v>30</v>
      </c>
    </row>
    <row r="960" customFormat="false" ht="15" hidden="false" customHeight="true" outlineLevel="0" collapsed="false">
      <c r="A960" s="7" t="n">
        <v>946</v>
      </c>
      <c r="B960" s="7" t="n">
        <v>46</v>
      </c>
      <c r="C960" s="7" t="s">
        <v>24</v>
      </c>
      <c r="D960" s="7" t="s">
        <v>25</v>
      </c>
      <c r="E960" s="7" t="n">
        <v>0</v>
      </c>
      <c r="F960" s="7" t="n">
        <v>0</v>
      </c>
      <c r="G960" s="7" t="s">
        <v>26</v>
      </c>
      <c r="H960" s="7" t="s">
        <v>27</v>
      </c>
      <c r="I960" s="7" t="n">
        <v>36.3</v>
      </c>
      <c r="J960" s="7" t="s">
        <v>30</v>
      </c>
      <c r="K960" s="7" t="n">
        <v>270.1</v>
      </c>
      <c r="L960" s="7" t="s">
        <v>37</v>
      </c>
      <c r="M960" s="7" t="s">
        <v>30</v>
      </c>
    </row>
    <row r="961" customFormat="false" ht="15" hidden="false" customHeight="true" outlineLevel="0" collapsed="false">
      <c r="A961" s="7" t="n">
        <v>959</v>
      </c>
      <c r="B961" s="7" t="n">
        <v>88</v>
      </c>
      <c r="C961" s="7" t="s">
        <v>33</v>
      </c>
      <c r="D961" s="7" t="s">
        <v>25</v>
      </c>
      <c r="E961" s="7" t="n">
        <v>0</v>
      </c>
      <c r="F961" s="7" t="n">
        <v>0</v>
      </c>
      <c r="G961" s="7" t="s">
        <v>31</v>
      </c>
      <c r="H961" s="7" t="s">
        <v>27</v>
      </c>
      <c r="I961" s="7" t="n">
        <v>25.4</v>
      </c>
      <c r="J961" s="7" t="s">
        <v>30</v>
      </c>
      <c r="K961" s="7" t="n">
        <v>146.2</v>
      </c>
      <c r="L961" s="7" t="s">
        <v>37</v>
      </c>
      <c r="M961" s="7" t="s">
        <v>30</v>
      </c>
    </row>
    <row r="962" customFormat="false" ht="15" hidden="false" customHeight="true" outlineLevel="0" collapsed="false">
      <c r="A962" s="7" t="n">
        <v>977</v>
      </c>
      <c r="B962" s="7" t="n">
        <v>68</v>
      </c>
      <c r="C962" s="7" t="s">
        <v>24</v>
      </c>
      <c r="D962" s="7" t="s">
        <v>25</v>
      </c>
      <c r="E962" s="7" t="n">
        <v>0</v>
      </c>
      <c r="F962" s="7" t="n">
        <v>0</v>
      </c>
      <c r="G962" s="7" t="s">
        <v>31</v>
      </c>
      <c r="H962" s="7" t="s">
        <v>27</v>
      </c>
      <c r="I962" s="7" t="n">
        <v>36.8</v>
      </c>
      <c r="J962" s="7" t="s">
        <v>30</v>
      </c>
      <c r="K962" s="7" t="n">
        <v>213.4</v>
      </c>
      <c r="L962" s="7" t="s">
        <v>29</v>
      </c>
      <c r="M962" s="7" t="s">
        <v>30</v>
      </c>
    </row>
    <row r="963" customFormat="false" ht="15" hidden="false" customHeight="true" outlineLevel="0" collapsed="false">
      <c r="A963" s="7" t="n">
        <v>1043</v>
      </c>
      <c r="B963" s="7" t="n">
        <v>85</v>
      </c>
      <c r="C963" s="7" t="s">
        <v>24</v>
      </c>
      <c r="D963" s="7" t="s">
        <v>25</v>
      </c>
      <c r="E963" s="7" t="n">
        <v>0</v>
      </c>
      <c r="F963" s="7" t="n">
        <v>0</v>
      </c>
      <c r="G963" s="7" t="s">
        <v>31</v>
      </c>
      <c r="H963" s="7" t="s">
        <v>32</v>
      </c>
      <c r="I963" s="7" t="n">
        <v>34.4</v>
      </c>
      <c r="J963" s="7" t="s">
        <v>30</v>
      </c>
      <c r="K963" s="7" t="n">
        <v>195.3</v>
      </c>
      <c r="L963" s="7" t="s">
        <v>29</v>
      </c>
      <c r="M963" s="7" t="s">
        <v>30</v>
      </c>
    </row>
    <row r="964" customFormat="false" ht="15" hidden="false" customHeight="true" outlineLevel="0" collapsed="false">
      <c r="A964" s="7" t="n">
        <v>1044</v>
      </c>
      <c r="B964" s="7" t="n">
        <v>70</v>
      </c>
      <c r="C964" s="7" t="s">
        <v>33</v>
      </c>
      <c r="D964" s="7" t="s">
        <v>25</v>
      </c>
      <c r="E964" s="7" t="n">
        <v>0</v>
      </c>
      <c r="F964" s="7" t="n">
        <v>0</v>
      </c>
      <c r="G964" s="7" t="s">
        <v>26</v>
      </c>
      <c r="H964" s="7" t="s">
        <v>27</v>
      </c>
      <c r="I964" s="7" t="n">
        <v>38</v>
      </c>
      <c r="J964" s="7" t="s">
        <v>30</v>
      </c>
      <c r="K964" s="7" t="n">
        <v>270.8</v>
      </c>
      <c r="L964" s="7" t="s">
        <v>37</v>
      </c>
      <c r="M964" s="7" t="s">
        <v>30</v>
      </c>
    </row>
    <row r="965" customFormat="false" ht="15" hidden="false" customHeight="true" outlineLevel="0" collapsed="false">
      <c r="A965" s="7" t="n">
        <v>1062</v>
      </c>
      <c r="B965" s="7" t="n">
        <v>81</v>
      </c>
      <c r="C965" s="7" t="s">
        <v>24</v>
      </c>
      <c r="D965" s="7" t="s">
        <v>25</v>
      </c>
      <c r="E965" s="7" t="n">
        <v>0</v>
      </c>
      <c r="F965" s="7" t="n">
        <v>0</v>
      </c>
      <c r="G965" s="7" t="s">
        <v>34</v>
      </c>
      <c r="H965" s="7" t="s">
        <v>27</v>
      </c>
      <c r="I965" s="7" t="n">
        <v>17.2</v>
      </c>
      <c r="J965" s="7" t="s">
        <v>30</v>
      </c>
      <c r="K965" s="7" t="n">
        <v>223.1</v>
      </c>
      <c r="L965" s="7" t="s">
        <v>37</v>
      </c>
      <c r="M965" s="7" t="s">
        <v>30</v>
      </c>
    </row>
    <row r="966" customFormat="false" ht="15" hidden="false" customHeight="true" outlineLevel="0" collapsed="false">
      <c r="A966" s="7" t="n">
        <v>1134</v>
      </c>
      <c r="B966" s="7" t="n">
        <v>35</v>
      </c>
      <c r="C966" s="7" t="s">
        <v>33</v>
      </c>
      <c r="D966" s="7" t="s">
        <v>25</v>
      </c>
      <c r="E966" s="7" t="n">
        <v>0</v>
      </c>
      <c r="F966" s="7" t="n">
        <v>0</v>
      </c>
      <c r="G966" s="7" t="s">
        <v>35</v>
      </c>
      <c r="H966" s="7" t="s">
        <v>27</v>
      </c>
      <c r="I966" s="7" t="n">
        <v>27</v>
      </c>
      <c r="J966" s="7" t="s">
        <v>30</v>
      </c>
      <c r="K966" s="7" t="n">
        <v>189</v>
      </c>
      <c r="L966" s="7" t="s">
        <v>29</v>
      </c>
      <c r="M966" s="7" t="s">
        <v>30</v>
      </c>
    </row>
    <row r="967" customFormat="false" ht="15" hidden="false" customHeight="true" outlineLevel="0" collapsed="false">
      <c r="A967" s="7" t="n">
        <v>1176</v>
      </c>
      <c r="B967" s="7" t="n">
        <v>60</v>
      </c>
      <c r="C967" s="7" t="s">
        <v>33</v>
      </c>
      <c r="D967" s="7" t="s">
        <v>25</v>
      </c>
      <c r="E967" s="7" t="n">
        <v>0</v>
      </c>
      <c r="F967" s="7" t="n">
        <v>0</v>
      </c>
      <c r="G967" s="7" t="s">
        <v>34</v>
      </c>
      <c r="H967" s="7" t="s">
        <v>27</v>
      </c>
      <c r="I967" s="7" t="n">
        <v>23.4</v>
      </c>
      <c r="J967" s="7" t="s">
        <v>30</v>
      </c>
      <c r="K967" s="7" t="n">
        <v>121.8</v>
      </c>
      <c r="L967" s="7" t="s">
        <v>37</v>
      </c>
      <c r="M967" s="7" t="s">
        <v>30</v>
      </c>
    </row>
    <row r="968" customFormat="false" ht="15" hidden="false" customHeight="true" outlineLevel="0" collapsed="false">
      <c r="A968" s="7" t="n">
        <v>1217</v>
      </c>
      <c r="B968" s="7" t="n">
        <v>73</v>
      </c>
      <c r="C968" s="7" t="s">
        <v>33</v>
      </c>
      <c r="D968" s="7" t="s">
        <v>25</v>
      </c>
      <c r="E968" s="7" t="n">
        <v>0</v>
      </c>
      <c r="F968" s="7" t="n">
        <v>0</v>
      </c>
      <c r="G968" s="7" t="s">
        <v>34</v>
      </c>
      <c r="H968" s="7" t="s">
        <v>32</v>
      </c>
      <c r="I968" s="7" t="n">
        <v>34</v>
      </c>
      <c r="J968" s="7" t="s">
        <v>30</v>
      </c>
      <c r="K968" s="7" t="n">
        <v>229</v>
      </c>
      <c r="L968" s="7" t="s">
        <v>29</v>
      </c>
      <c r="M968" s="7" t="s">
        <v>30</v>
      </c>
    </row>
    <row r="969" customFormat="false" ht="15" hidden="false" customHeight="true" outlineLevel="0" collapsed="false">
      <c r="A969" s="7" t="n">
        <v>1233</v>
      </c>
      <c r="B969" s="7" t="n">
        <v>71</v>
      </c>
      <c r="C969" s="7" t="s">
        <v>24</v>
      </c>
      <c r="D969" s="7" t="s">
        <v>25</v>
      </c>
      <c r="E969" s="7" t="n">
        <v>0</v>
      </c>
      <c r="F969" s="7" t="n">
        <v>0</v>
      </c>
      <c r="G969" s="7" t="s">
        <v>34</v>
      </c>
      <c r="H969" s="7" t="s">
        <v>27</v>
      </c>
      <c r="I969" s="7" t="n">
        <v>19.6</v>
      </c>
      <c r="J969" s="7" t="s">
        <v>30</v>
      </c>
      <c r="K969" s="7" t="n">
        <v>210.1</v>
      </c>
      <c r="L969" s="7" t="s">
        <v>29</v>
      </c>
      <c r="M969" s="7" t="s">
        <v>30</v>
      </c>
    </row>
    <row r="970" customFormat="false" ht="15" hidden="false" customHeight="true" outlineLevel="0" collapsed="false">
      <c r="A970" s="7" t="n">
        <v>1245</v>
      </c>
      <c r="B970" s="7" t="n">
        <v>73</v>
      </c>
      <c r="C970" s="7" t="s">
        <v>24</v>
      </c>
      <c r="D970" s="7" t="s">
        <v>25</v>
      </c>
      <c r="E970" s="7" t="n">
        <v>0</v>
      </c>
      <c r="F970" s="7" t="n">
        <v>0</v>
      </c>
      <c r="G970" s="7" t="s">
        <v>31</v>
      </c>
      <c r="H970" s="7" t="s">
        <v>32</v>
      </c>
      <c r="I970" s="7" t="n">
        <v>36.5</v>
      </c>
      <c r="J970" s="7" t="s">
        <v>30</v>
      </c>
      <c r="K970" s="7" t="n">
        <v>267</v>
      </c>
      <c r="L970" s="7" t="s">
        <v>29</v>
      </c>
      <c r="M970" s="7" t="s">
        <v>30</v>
      </c>
    </row>
    <row r="971" customFormat="false" ht="15" hidden="false" customHeight="true" outlineLevel="0" collapsed="false">
      <c r="A971" s="7" t="n">
        <v>1248</v>
      </c>
      <c r="B971" s="7" t="n">
        <v>36</v>
      </c>
      <c r="C971" s="7" t="s">
        <v>24</v>
      </c>
      <c r="D971" s="7" t="s">
        <v>25</v>
      </c>
      <c r="E971" s="7" t="n">
        <v>0</v>
      </c>
      <c r="F971" s="7" t="n">
        <v>0</v>
      </c>
      <c r="G971" s="7" t="s">
        <v>31</v>
      </c>
      <c r="H971" s="7" t="s">
        <v>27</v>
      </c>
      <c r="I971" s="7" t="n">
        <v>27.8</v>
      </c>
      <c r="J971" s="7" t="s">
        <v>30</v>
      </c>
      <c r="K971" s="7" t="n">
        <v>201.9</v>
      </c>
      <c r="L971" s="7" t="s">
        <v>29</v>
      </c>
      <c r="M971" s="7" t="s">
        <v>30</v>
      </c>
    </row>
    <row r="972" customFormat="false" ht="15" hidden="false" customHeight="true" outlineLevel="0" collapsed="false">
      <c r="A972" s="7" t="n">
        <v>1268</v>
      </c>
      <c r="B972" s="7" t="n">
        <v>29</v>
      </c>
      <c r="C972" s="7" t="s">
        <v>33</v>
      </c>
      <c r="D972" s="7" t="s">
        <v>25</v>
      </c>
      <c r="E972" s="7" t="n">
        <v>0</v>
      </c>
      <c r="F972" s="7" t="n">
        <v>0</v>
      </c>
      <c r="G972" s="7" t="s">
        <v>26</v>
      </c>
      <c r="H972" s="7" t="s">
        <v>27</v>
      </c>
      <c r="I972" s="7" t="n">
        <v>22.6</v>
      </c>
      <c r="J972" s="7" t="s">
        <v>30</v>
      </c>
      <c r="K972" s="7" t="n">
        <v>199.3</v>
      </c>
      <c r="L972" s="7" t="s">
        <v>29</v>
      </c>
      <c r="M972" s="7" t="s">
        <v>30</v>
      </c>
    </row>
    <row r="973" customFormat="false" ht="15" hidden="false" customHeight="true" outlineLevel="0" collapsed="false">
      <c r="A973" s="7" t="n">
        <v>1316</v>
      </c>
      <c r="B973" s="7" t="n">
        <v>85</v>
      </c>
      <c r="C973" s="7" t="s">
        <v>24</v>
      </c>
      <c r="D973" s="7" t="s">
        <v>25</v>
      </c>
      <c r="E973" s="7" t="n">
        <v>0</v>
      </c>
      <c r="F973" s="7" t="n">
        <v>0</v>
      </c>
      <c r="G973" s="7" t="s">
        <v>26</v>
      </c>
      <c r="H973" s="7" t="s">
        <v>27</v>
      </c>
      <c r="I973" s="7" t="n">
        <v>19.1</v>
      </c>
      <c r="J973" s="7" t="s">
        <v>30</v>
      </c>
      <c r="K973" s="7" t="n">
        <v>204.6</v>
      </c>
      <c r="L973" s="7" t="s">
        <v>29</v>
      </c>
      <c r="M973" s="7" t="s">
        <v>30</v>
      </c>
    </row>
    <row r="974" customFormat="false" ht="15" hidden="false" customHeight="true" outlineLevel="0" collapsed="false">
      <c r="A974" s="7" t="n">
        <v>1324</v>
      </c>
      <c r="B974" s="7" t="n">
        <v>40</v>
      </c>
      <c r="C974" s="7" t="s">
        <v>24</v>
      </c>
      <c r="D974" s="7" t="s">
        <v>25</v>
      </c>
      <c r="E974" s="7" t="n">
        <v>0</v>
      </c>
      <c r="F974" s="7" t="n">
        <v>0</v>
      </c>
      <c r="G974" s="7" t="s">
        <v>26</v>
      </c>
      <c r="H974" s="7" t="s">
        <v>27</v>
      </c>
      <c r="I974" s="7" t="n">
        <v>37.7</v>
      </c>
      <c r="J974" s="7" t="s">
        <v>30</v>
      </c>
      <c r="K974" s="7" t="n">
        <v>241.6</v>
      </c>
      <c r="L974" s="7" t="s">
        <v>29</v>
      </c>
      <c r="M974" s="7" t="s">
        <v>30</v>
      </c>
    </row>
    <row r="975" customFormat="false" ht="15" hidden="false" customHeight="true" outlineLevel="0" collapsed="false">
      <c r="A975" s="7" t="n">
        <v>1376</v>
      </c>
      <c r="B975" s="7" t="n">
        <v>61</v>
      </c>
      <c r="C975" s="7" t="s">
        <v>24</v>
      </c>
      <c r="D975" s="7" t="s">
        <v>25</v>
      </c>
      <c r="E975" s="7" t="n">
        <v>0</v>
      </c>
      <c r="F975" s="7" t="n">
        <v>0</v>
      </c>
      <c r="G975" s="7" t="s">
        <v>26</v>
      </c>
      <c r="H975" s="7" t="s">
        <v>32</v>
      </c>
      <c r="I975" s="7" t="n">
        <v>22.3</v>
      </c>
      <c r="J975" s="7" t="s">
        <v>30</v>
      </c>
      <c r="K975" s="7" t="n">
        <v>169.8</v>
      </c>
      <c r="L975" s="7" t="s">
        <v>37</v>
      </c>
      <c r="M975" s="7" t="s">
        <v>30</v>
      </c>
    </row>
    <row r="976" customFormat="false" ht="15" hidden="false" customHeight="true" outlineLevel="0" collapsed="false">
      <c r="A976" s="7" t="n">
        <v>1441</v>
      </c>
      <c r="B976" s="7" t="n">
        <v>37</v>
      </c>
      <c r="C976" s="7" t="s">
        <v>33</v>
      </c>
      <c r="D976" s="7" t="s">
        <v>25</v>
      </c>
      <c r="E976" s="7" t="n">
        <v>0</v>
      </c>
      <c r="F976" s="7" t="n">
        <v>0</v>
      </c>
      <c r="G976" s="7" t="s">
        <v>26</v>
      </c>
      <c r="H976" s="7" t="s">
        <v>27</v>
      </c>
      <c r="I976" s="7" t="n">
        <v>40.2</v>
      </c>
      <c r="J976" s="7" t="s">
        <v>30</v>
      </c>
      <c r="K976" s="7" t="n">
        <v>259.2</v>
      </c>
      <c r="L976" s="7" t="s">
        <v>37</v>
      </c>
      <c r="M976" s="7" t="s">
        <v>30</v>
      </c>
    </row>
    <row r="977" customFormat="false" ht="15" hidden="false" customHeight="true" outlineLevel="0" collapsed="false">
      <c r="A977" s="7" t="n">
        <v>1442</v>
      </c>
      <c r="B977" s="7" t="n">
        <v>19</v>
      </c>
      <c r="C977" s="7" t="s">
        <v>24</v>
      </c>
      <c r="D977" s="7" t="s">
        <v>25</v>
      </c>
      <c r="E977" s="7" t="n">
        <v>0</v>
      </c>
      <c r="F977" s="7" t="n">
        <v>0</v>
      </c>
      <c r="G977" s="7" t="s">
        <v>31</v>
      </c>
      <c r="H977" s="7" t="s">
        <v>27</v>
      </c>
      <c r="I977" s="7" t="n">
        <v>17.7</v>
      </c>
      <c r="J977" s="7" t="s">
        <v>30</v>
      </c>
      <c r="K977" s="7" t="n">
        <v>230.3</v>
      </c>
      <c r="L977" s="7" t="s">
        <v>29</v>
      </c>
      <c r="M977" s="7" t="s">
        <v>30</v>
      </c>
    </row>
    <row r="978" customFormat="false" ht="15" hidden="false" customHeight="true" outlineLevel="0" collapsed="false">
      <c r="A978" s="7" t="n">
        <v>1445</v>
      </c>
      <c r="B978" s="7" t="n">
        <v>56</v>
      </c>
      <c r="C978" s="7" t="s">
        <v>24</v>
      </c>
      <c r="D978" s="7" t="s">
        <v>25</v>
      </c>
      <c r="E978" s="7" t="n">
        <v>0</v>
      </c>
      <c r="F978" s="7" t="n">
        <v>0</v>
      </c>
      <c r="G978" s="7" t="s">
        <v>35</v>
      </c>
      <c r="H978" s="7" t="s">
        <v>27</v>
      </c>
      <c r="I978" s="7" t="n">
        <v>18.1</v>
      </c>
      <c r="J978" s="7" t="s">
        <v>30</v>
      </c>
      <c r="K978" s="7" t="n">
        <v>197.9</v>
      </c>
      <c r="L978" s="7" t="s">
        <v>29</v>
      </c>
      <c r="M978" s="7" t="s">
        <v>30</v>
      </c>
    </row>
    <row r="979" customFormat="false" ht="15" hidden="false" customHeight="true" outlineLevel="0" collapsed="false">
      <c r="A979" s="7" t="n">
        <v>1490</v>
      </c>
      <c r="B979" s="7" t="n">
        <v>21</v>
      </c>
      <c r="C979" s="7" t="s">
        <v>24</v>
      </c>
      <c r="D979" s="7" t="s">
        <v>25</v>
      </c>
      <c r="E979" s="7" t="n">
        <v>0</v>
      </c>
      <c r="F979" s="7" t="n">
        <v>0</v>
      </c>
      <c r="G979" s="7" t="s">
        <v>34</v>
      </c>
      <c r="H979" s="7" t="s">
        <v>32</v>
      </c>
      <c r="I979" s="7" t="n">
        <v>29.3</v>
      </c>
      <c r="J979" s="7" t="s">
        <v>30</v>
      </c>
      <c r="K979" s="7" t="n">
        <v>276.4</v>
      </c>
      <c r="L979" s="7" t="s">
        <v>37</v>
      </c>
      <c r="M979" s="7" t="s">
        <v>30</v>
      </c>
    </row>
    <row r="980" customFormat="false" ht="15" hidden="false" customHeight="true" outlineLevel="0" collapsed="false">
      <c r="A980" s="7" t="n">
        <v>1497</v>
      </c>
      <c r="B980" s="7" t="n">
        <v>38</v>
      </c>
      <c r="C980" s="7" t="s">
        <v>33</v>
      </c>
      <c r="D980" s="7" t="s">
        <v>25</v>
      </c>
      <c r="E980" s="7" t="n">
        <v>0</v>
      </c>
      <c r="F980" s="7" t="n">
        <v>0</v>
      </c>
      <c r="G980" s="7" t="s">
        <v>26</v>
      </c>
      <c r="H980" s="7" t="s">
        <v>32</v>
      </c>
      <c r="I980" s="7" t="n">
        <v>25.3</v>
      </c>
      <c r="J980" s="7" t="s">
        <v>30</v>
      </c>
      <c r="K980" s="7" t="n">
        <v>266.1</v>
      </c>
      <c r="L980" s="7" t="s">
        <v>29</v>
      </c>
      <c r="M980" s="7" t="s">
        <v>30</v>
      </c>
    </row>
    <row r="981" customFormat="false" ht="15" hidden="false" customHeight="true" outlineLevel="0" collapsed="false">
      <c r="A981" s="7" t="n">
        <v>1538</v>
      </c>
      <c r="B981" s="7" t="n">
        <v>51</v>
      </c>
      <c r="C981" s="7" t="s">
        <v>33</v>
      </c>
      <c r="D981" s="7" t="s">
        <v>25</v>
      </c>
      <c r="E981" s="7" t="n">
        <v>0</v>
      </c>
      <c r="F981" s="7" t="n">
        <v>0</v>
      </c>
      <c r="G981" s="7" t="s">
        <v>26</v>
      </c>
      <c r="H981" s="7" t="s">
        <v>27</v>
      </c>
      <c r="I981" s="7" t="n">
        <v>27</v>
      </c>
      <c r="J981" s="7" t="s">
        <v>30</v>
      </c>
      <c r="K981" s="7" t="n">
        <v>232.4</v>
      </c>
      <c r="L981" s="7" t="s">
        <v>29</v>
      </c>
      <c r="M981" s="7" t="s">
        <v>30</v>
      </c>
    </row>
    <row r="982" customFormat="false" ht="15" hidden="false" customHeight="true" outlineLevel="0" collapsed="false">
      <c r="A982" s="7" t="n">
        <v>1560</v>
      </c>
      <c r="B982" s="7" t="n">
        <v>71</v>
      </c>
      <c r="C982" s="7" t="s">
        <v>33</v>
      </c>
      <c r="D982" s="7" t="s">
        <v>25</v>
      </c>
      <c r="E982" s="7" t="n">
        <v>0</v>
      </c>
      <c r="F982" s="7" t="n">
        <v>0</v>
      </c>
      <c r="G982" s="7" t="s">
        <v>31</v>
      </c>
      <c r="H982" s="7" t="s">
        <v>27</v>
      </c>
      <c r="I982" s="7" t="n">
        <v>28.4</v>
      </c>
      <c r="J982" s="7" t="s">
        <v>30</v>
      </c>
      <c r="K982" s="7" t="n">
        <v>122.3</v>
      </c>
      <c r="L982" s="7" t="s">
        <v>29</v>
      </c>
      <c r="M982" s="7" t="s">
        <v>30</v>
      </c>
    </row>
    <row r="983" customFormat="false" ht="15" hidden="false" customHeight="true" outlineLevel="0" collapsed="false">
      <c r="A983" s="7" t="n">
        <v>1594</v>
      </c>
      <c r="B983" s="7" t="n">
        <v>42</v>
      </c>
      <c r="C983" s="7" t="s">
        <v>24</v>
      </c>
      <c r="D983" s="7" t="s">
        <v>25</v>
      </c>
      <c r="E983" s="7" t="n">
        <v>0</v>
      </c>
      <c r="F983" s="7" t="n">
        <v>0</v>
      </c>
      <c r="G983" s="7" t="s">
        <v>35</v>
      </c>
      <c r="H983" s="7" t="s">
        <v>27</v>
      </c>
      <c r="I983" s="7" t="n">
        <v>26.2</v>
      </c>
      <c r="J983" s="7" t="s">
        <v>30</v>
      </c>
      <c r="K983" s="7" t="n">
        <v>178.8</v>
      </c>
      <c r="L983" s="7" t="s">
        <v>29</v>
      </c>
      <c r="M983" s="7" t="s">
        <v>30</v>
      </c>
    </row>
    <row r="984" customFormat="false" ht="15" hidden="false" customHeight="true" outlineLevel="0" collapsed="false">
      <c r="A984" s="7" t="n">
        <v>1696</v>
      </c>
      <c r="B984" s="7" t="n">
        <v>19</v>
      </c>
      <c r="C984" s="7" t="s">
        <v>33</v>
      </c>
      <c r="D984" s="7" t="s">
        <v>25</v>
      </c>
      <c r="E984" s="7" t="n">
        <v>0</v>
      </c>
      <c r="F984" s="7" t="n">
        <v>0</v>
      </c>
      <c r="G984" s="7" t="s">
        <v>36</v>
      </c>
      <c r="H984" s="7" t="s">
        <v>27</v>
      </c>
      <c r="I984" s="7" t="n">
        <v>35.2</v>
      </c>
      <c r="J984" s="7" t="s">
        <v>30</v>
      </c>
      <c r="K984" s="7" t="n">
        <v>185.7</v>
      </c>
      <c r="L984" s="7" t="s">
        <v>29</v>
      </c>
      <c r="M984" s="7" t="s">
        <v>30</v>
      </c>
    </row>
    <row r="985" customFormat="false" ht="15" hidden="false" customHeight="true" outlineLevel="0" collapsed="false">
      <c r="A985" s="7" t="n">
        <v>1708</v>
      </c>
      <c r="B985" s="7" t="n">
        <v>61</v>
      </c>
      <c r="C985" s="7" t="s">
        <v>33</v>
      </c>
      <c r="D985" s="7" t="s">
        <v>25</v>
      </c>
      <c r="E985" s="7" t="n">
        <v>0</v>
      </c>
      <c r="F985" s="7" t="n">
        <v>0</v>
      </c>
      <c r="G985" s="7" t="s">
        <v>34</v>
      </c>
      <c r="H985" s="7" t="s">
        <v>27</v>
      </c>
      <c r="I985" s="7" t="n">
        <v>40.1</v>
      </c>
      <c r="J985" s="7" t="s">
        <v>30</v>
      </c>
      <c r="K985" s="7" t="n">
        <v>224</v>
      </c>
      <c r="L985" s="7" t="s">
        <v>29</v>
      </c>
      <c r="M985" s="7" t="s">
        <v>30</v>
      </c>
    </row>
    <row r="986" customFormat="false" ht="15" hidden="false" customHeight="true" outlineLevel="0" collapsed="false">
      <c r="A986" s="7" t="n">
        <v>1739</v>
      </c>
      <c r="B986" s="7" t="n">
        <v>44</v>
      </c>
      <c r="C986" s="7" t="s">
        <v>33</v>
      </c>
      <c r="D986" s="7" t="s">
        <v>25</v>
      </c>
      <c r="E986" s="7" t="n">
        <v>0</v>
      </c>
      <c r="F986" s="7" t="n">
        <v>0</v>
      </c>
      <c r="G986" s="7" t="s">
        <v>31</v>
      </c>
      <c r="H986" s="7" t="s">
        <v>27</v>
      </c>
      <c r="I986" s="7" t="n">
        <v>21</v>
      </c>
      <c r="J986" s="7" t="s">
        <v>30</v>
      </c>
      <c r="K986" s="7" t="n">
        <v>251.9</v>
      </c>
      <c r="L986" s="7" t="s">
        <v>37</v>
      </c>
      <c r="M986" s="7" t="s">
        <v>30</v>
      </c>
    </row>
    <row r="987" customFormat="false" ht="15" hidden="false" customHeight="true" outlineLevel="0" collapsed="false">
      <c r="A987" s="7" t="n">
        <v>1768</v>
      </c>
      <c r="B987" s="7" t="n">
        <v>35</v>
      </c>
      <c r="C987" s="7" t="s">
        <v>33</v>
      </c>
      <c r="D987" s="7" t="s">
        <v>25</v>
      </c>
      <c r="E987" s="7" t="n">
        <v>0</v>
      </c>
      <c r="F987" s="7" t="n">
        <v>0</v>
      </c>
      <c r="G987" s="7" t="s">
        <v>34</v>
      </c>
      <c r="H987" s="7" t="s">
        <v>27</v>
      </c>
      <c r="I987" s="7" t="n">
        <v>41.7</v>
      </c>
      <c r="J987" s="7" t="s">
        <v>30</v>
      </c>
      <c r="K987" s="7" t="n">
        <v>192.1</v>
      </c>
      <c r="L987" s="7" t="s">
        <v>37</v>
      </c>
      <c r="M987" s="7" t="s">
        <v>30</v>
      </c>
    </row>
    <row r="988" customFormat="false" ht="15" hidden="false" customHeight="true" outlineLevel="0" collapsed="false">
      <c r="A988" s="7" t="n">
        <v>1843</v>
      </c>
      <c r="B988" s="7" t="n">
        <v>18</v>
      </c>
      <c r="C988" s="7" t="s">
        <v>33</v>
      </c>
      <c r="D988" s="7" t="s">
        <v>25</v>
      </c>
      <c r="E988" s="7" t="n">
        <v>0</v>
      </c>
      <c r="F988" s="7" t="n">
        <v>0</v>
      </c>
      <c r="G988" s="7" t="s">
        <v>26</v>
      </c>
      <c r="H988" s="7" t="s">
        <v>27</v>
      </c>
      <c r="I988" s="7" t="n">
        <v>28.4</v>
      </c>
      <c r="J988" s="7" t="s">
        <v>30</v>
      </c>
      <c r="K988" s="7" t="n">
        <v>228.6</v>
      </c>
      <c r="L988" s="7" t="s">
        <v>29</v>
      </c>
      <c r="M988" s="7" t="s">
        <v>30</v>
      </c>
    </row>
    <row r="989" customFormat="false" ht="15" hidden="false" customHeight="true" outlineLevel="0" collapsed="false">
      <c r="A989" s="7" t="n">
        <v>1888</v>
      </c>
      <c r="B989" s="7" t="n">
        <v>70</v>
      </c>
      <c r="C989" s="7" t="s">
        <v>24</v>
      </c>
      <c r="D989" s="7" t="s">
        <v>25</v>
      </c>
      <c r="E989" s="7" t="n">
        <v>0</v>
      </c>
      <c r="F989" s="7" t="n">
        <v>0</v>
      </c>
      <c r="G989" s="7" t="s">
        <v>36</v>
      </c>
      <c r="H989" s="7" t="s">
        <v>27</v>
      </c>
      <c r="I989" s="7" t="n">
        <v>35.6</v>
      </c>
      <c r="J989" s="7" t="s">
        <v>30</v>
      </c>
      <c r="K989" s="7" t="n">
        <v>162.4</v>
      </c>
      <c r="L989" s="7" t="s">
        <v>29</v>
      </c>
      <c r="M989" s="7" t="s">
        <v>30</v>
      </c>
    </row>
    <row r="990" customFormat="false" ht="15" hidden="false" customHeight="true" outlineLevel="0" collapsed="false">
      <c r="A990" s="7" t="n">
        <v>1896</v>
      </c>
      <c r="B990" s="7" t="n">
        <v>71</v>
      </c>
      <c r="C990" s="7" t="s">
        <v>33</v>
      </c>
      <c r="D990" s="7" t="s">
        <v>25</v>
      </c>
      <c r="E990" s="7" t="n">
        <v>0</v>
      </c>
      <c r="F990" s="7" t="n">
        <v>0</v>
      </c>
      <c r="G990" s="7" t="s">
        <v>31</v>
      </c>
      <c r="H990" s="7" t="s">
        <v>27</v>
      </c>
      <c r="I990" s="7" t="n">
        <v>40.1</v>
      </c>
      <c r="J990" s="7" t="s">
        <v>30</v>
      </c>
      <c r="K990" s="7" t="n">
        <v>235.2</v>
      </c>
      <c r="L990" s="7" t="s">
        <v>29</v>
      </c>
      <c r="M990" s="7" t="s">
        <v>30</v>
      </c>
    </row>
    <row r="991" customFormat="false" ht="15" hidden="false" customHeight="true" outlineLevel="0" collapsed="false">
      <c r="A991" s="7" t="n">
        <v>1911</v>
      </c>
      <c r="B991" s="7" t="n">
        <v>30</v>
      </c>
      <c r="C991" s="7" t="s">
        <v>24</v>
      </c>
      <c r="D991" s="7" t="s">
        <v>25</v>
      </c>
      <c r="E991" s="7" t="n">
        <v>0</v>
      </c>
      <c r="F991" s="7" t="n">
        <v>0</v>
      </c>
      <c r="G991" s="7" t="s">
        <v>31</v>
      </c>
      <c r="H991" s="7" t="s">
        <v>32</v>
      </c>
      <c r="I991" s="7" t="n">
        <v>32.2</v>
      </c>
      <c r="J991" s="7" t="s">
        <v>30</v>
      </c>
      <c r="K991" s="7" t="n">
        <v>238.1</v>
      </c>
      <c r="L991" s="7" t="s">
        <v>29</v>
      </c>
      <c r="M991" s="7" t="s">
        <v>30</v>
      </c>
    </row>
    <row r="992" customFormat="false" ht="15" hidden="false" customHeight="true" outlineLevel="0" collapsed="false">
      <c r="A992" s="7" t="n">
        <v>1960</v>
      </c>
      <c r="B992" s="7" t="n">
        <v>32</v>
      </c>
      <c r="C992" s="7" t="s">
        <v>24</v>
      </c>
      <c r="D992" s="7" t="s">
        <v>25</v>
      </c>
      <c r="E992" s="7" t="n">
        <v>0</v>
      </c>
      <c r="F992" s="7" t="n">
        <v>0</v>
      </c>
      <c r="G992" s="7" t="s">
        <v>26</v>
      </c>
      <c r="H992" s="7" t="s">
        <v>32</v>
      </c>
      <c r="I992" s="7" t="n">
        <v>20.9</v>
      </c>
      <c r="J992" s="7" t="s">
        <v>30</v>
      </c>
      <c r="K992" s="7" t="n">
        <v>132.8</v>
      </c>
      <c r="L992" s="7" t="s">
        <v>29</v>
      </c>
      <c r="M992" s="7" t="s">
        <v>30</v>
      </c>
    </row>
    <row r="993" customFormat="false" ht="15" hidden="false" customHeight="true" outlineLevel="0" collapsed="false">
      <c r="A993" s="7" t="n">
        <v>1972</v>
      </c>
      <c r="B993" s="7" t="n">
        <v>35</v>
      </c>
      <c r="C993" s="7" t="s">
        <v>24</v>
      </c>
      <c r="D993" s="7" t="s">
        <v>25</v>
      </c>
      <c r="E993" s="7" t="n">
        <v>0</v>
      </c>
      <c r="F993" s="7" t="n">
        <v>0</v>
      </c>
      <c r="G993" s="7" t="s">
        <v>26</v>
      </c>
      <c r="H993" s="7" t="s">
        <v>27</v>
      </c>
      <c r="I993" s="7" t="n">
        <v>19.6</v>
      </c>
      <c r="J993" s="7" t="s">
        <v>30</v>
      </c>
      <c r="K993" s="7" t="n">
        <v>268.4</v>
      </c>
      <c r="L993" s="7" t="s">
        <v>29</v>
      </c>
      <c r="M993" s="7" t="s">
        <v>30</v>
      </c>
    </row>
    <row r="994" customFormat="false" ht="15" hidden="false" customHeight="true" outlineLevel="0" collapsed="false">
      <c r="A994" s="7" t="n">
        <v>1992</v>
      </c>
      <c r="B994" s="7" t="n">
        <v>19</v>
      </c>
      <c r="C994" s="7" t="s">
        <v>24</v>
      </c>
      <c r="D994" s="7" t="s">
        <v>25</v>
      </c>
      <c r="E994" s="7" t="n">
        <v>0</v>
      </c>
      <c r="F994" s="7" t="n">
        <v>0</v>
      </c>
      <c r="G994" s="7" t="s">
        <v>26</v>
      </c>
      <c r="H994" s="7" t="s">
        <v>27</v>
      </c>
      <c r="I994" s="7" t="n">
        <v>21.4</v>
      </c>
      <c r="J994" s="7" t="s">
        <v>30</v>
      </c>
      <c r="K994" s="7" t="n">
        <v>232.7</v>
      </c>
      <c r="L994" s="7" t="s">
        <v>29</v>
      </c>
      <c r="M994" s="7" t="s">
        <v>30</v>
      </c>
    </row>
    <row r="995" customFormat="false" ht="15" hidden="false" customHeight="true" outlineLevel="0" collapsed="false">
      <c r="A995" s="7" t="n">
        <v>1998</v>
      </c>
      <c r="B995" s="7" t="n">
        <v>66</v>
      </c>
      <c r="C995" s="7" t="s">
        <v>33</v>
      </c>
      <c r="D995" s="7" t="s">
        <v>25</v>
      </c>
      <c r="E995" s="7" t="n">
        <v>0</v>
      </c>
      <c r="F995" s="7" t="n">
        <v>0</v>
      </c>
      <c r="G995" s="7" t="s">
        <v>31</v>
      </c>
      <c r="H995" s="7" t="s">
        <v>27</v>
      </c>
      <c r="I995" s="7" t="n">
        <v>23.1</v>
      </c>
      <c r="J995" s="7" t="s">
        <v>30</v>
      </c>
      <c r="K995" s="7" t="n">
        <v>199.6</v>
      </c>
      <c r="L995" s="7" t="s">
        <v>29</v>
      </c>
      <c r="M995" s="7" t="s">
        <v>30</v>
      </c>
    </row>
    <row r="996" customFormat="false" ht="15" hidden="false" customHeight="true" outlineLevel="0" collapsed="false">
      <c r="A996" s="7" t="n">
        <v>2022</v>
      </c>
      <c r="B996" s="7" t="n">
        <v>24</v>
      </c>
      <c r="C996" s="7" t="s">
        <v>24</v>
      </c>
      <c r="D996" s="7" t="s">
        <v>25</v>
      </c>
      <c r="E996" s="7" t="n">
        <v>0</v>
      </c>
      <c r="F996" s="7" t="n">
        <v>0</v>
      </c>
      <c r="G996" s="7" t="s">
        <v>31</v>
      </c>
      <c r="H996" s="7" t="s">
        <v>32</v>
      </c>
      <c r="I996" s="7" t="n">
        <v>24.1</v>
      </c>
      <c r="J996" s="7" t="s">
        <v>30</v>
      </c>
      <c r="K996" s="7" t="n">
        <v>224.9</v>
      </c>
      <c r="L996" s="7" t="s">
        <v>29</v>
      </c>
      <c r="M996" s="7" t="s">
        <v>30</v>
      </c>
    </row>
    <row r="997" customFormat="false" ht="15" hidden="false" customHeight="true" outlineLevel="0" collapsed="false">
      <c r="A997" s="7" t="n">
        <v>2072</v>
      </c>
      <c r="B997" s="7" t="n">
        <v>88</v>
      </c>
      <c r="C997" s="7" t="s">
        <v>33</v>
      </c>
      <c r="D997" s="7" t="s">
        <v>25</v>
      </c>
      <c r="E997" s="7" t="n">
        <v>0</v>
      </c>
      <c r="F997" s="7" t="n">
        <v>0</v>
      </c>
      <c r="G997" s="7" t="s">
        <v>36</v>
      </c>
      <c r="H997" s="7" t="s">
        <v>27</v>
      </c>
      <c r="I997" s="7" t="n">
        <v>35.6</v>
      </c>
      <c r="J997" s="7" t="s">
        <v>30</v>
      </c>
      <c r="K997" s="7" t="n">
        <v>192.9</v>
      </c>
      <c r="L997" s="7" t="s">
        <v>29</v>
      </c>
      <c r="M997" s="7" t="s">
        <v>30</v>
      </c>
    </row>
    <row r="998" customFormat="false" ht="15" hidden="false" customHeight="true" outlineLevel="0" collapsed="false">
      <c r="A998" s="7" t="n">
        <v>2079</v>
      </c>
      <c r="B998" s="7" t="n">
        <v>78</v>
      </c>
      <c r="C998" s="7" t="s">
        <v>33</v>
      </c>
      <c r="D998" s="7" t="s">
        <v>25</v>
      </c>
      <c r="E998" s="7" t="n">
        <v>0</v>
      </c>
      <c r="F998" s="7" t="n">
        <v>0</v>
      </c>
      <c r="G998" s="7" t="s">
        <v>35</v>
      </c>
      <c r="H998" s="7" t="s">
        <v>27</v>
      </c>
      <c r="I998" s="7" t="n">
        <v>36.3</v>
      </c>
      <c r="J998" s="7" t="s">
        <v>30</v>
      </c>
      <c r="K998" s="7" t="n">
        <v>282.5</v>
      </c>
      <c r="L998" s="7" t="s">
        <v>37</v>
      </c>
      <c r="M998" s="7" t="s">
        <v>30</v>
      </c>
    </row>
    <row r="999" customFormat="false" ht="15" hidden="false" customHeight="true" outlineLevel="0" collapsed="false">
      <c r="A999" s="7" t="n">
        <v>2141</v>
      </c>
      <c r="B999" s="7" t="n">
        <v>71</v>
      </c>
      <c r="C999" s="7" t="s">
        <v>33</v>
      </c>
      <c r="D999" s="7" t="s">
        <v>25</v>
      </c>
      <c r="E999" s="7" t="n">
        <v>0</v>
      </c>
      <c r="F999" s="7" t="n">
        <v>0</v>
      </c>
      <c r="G999" s="7" t="s">
        <v>26</v>
      </c>
      <c r="H999" s="7" t="s">
        <v>27</v>
      </c>
      <c r="I999" s="7" t="n">
        <v>32.2</v>
      </c>
      <c r="J999" s="7" t="s">
        <v>30</v>
      </c>
      <c r="K999" s="7" t="n">
        <v>260.1</v>
      </c>
      <c r="L999" s="7" t="s">
        <v>37</v>
      </c>
      <c r="M999" s="7" t="s">
        <v>30</v>
      </c>
    </row>
    <row r="1000" customFormat="false" ht="15" hidden="false" customHeight="true" outlineLevel="0" collapsed="false">
      <c r="A1000" s="7" t="n">
        <v>2154</v>
      </c>
      <c r="B1000" s="7" t="n">
        <v>64</v>
      </c>
      <c r="C1000" s="7" t="s">
        <v>24</v>
      </c>
      <c r="D1000" s="7" t="s">
        <v>25</v>
      </c>
      <c r="E1000" s="7" t="n">
        <v>0</v>
      </c>
      <c r="F1000" s="7" t="n">
        <v>0</v>
      </c>
      <c r="G1000" s="7" t="s">
        <v>26</v>
      </c>
      <c r="H1000" s="7" t="s">
        <v>27</v>
      </c>
      <c r="I1000" s="7" t="n">
        <v>39.5</v>
      </c>
      <c r="J1000" s="7" t="s">
        <v>30</v>
      </c>
      <c r="K1000" s="7" t="n">
        <v>247.8</v>
      </c>
      <c r="L1000" s="7" t="s">
        <v>37</v>
      </c>
      <c r="M1000" s="7" t="s">
        <v>30</v>
      </c>
    </row>
    <row r="1001" customFormat="false" ht="15" hidden="false" customHeight="true" outlineLevel="0" collapsed="false">
      <c r="A1001" s="7" t="n">
        <v>2173</v>
      </c>
      <c r="B1001" s="7" t="n">
        <v>79</v>
      </c>
      <c r="C1001" s="7" t="s">
        <v>24</v>
      </c>
      <c r="D1001" s="7" t="s">
        <v>25</v>
      </c>
      <c r="E1001" s="7" t="n">
        <v>0</v>
      </c>
      <c r="F1001" s="7" t="n">
        <v>0</v>
      </c>
      <c r="G1001" s="7" t="s">
        <v>26</v>
      </c>
      <c r="H1001" s="7" t="s">
        <v>32</v>
      </c>
      <c r="I1001" s="7" t="n">
        <v>27.2</v>
      </c>
      <c r="J1001" s="7" t="s">
        <v>30</v>
      </c>
      <c r="K1001" s="7" t="n">
        <v>234.5</v>
      </c>
      <c r="L1001" s="7" t="s">
        <v>29</v>
      </c>
      <c r="M1001" s="7" t="s">
        <v>30</v>
      </c>
    </row>
    <row r="1002" customFormat="false" ht="15" hidden="false" customHeight="true" outlineLevel="0" collapsed="false">
      <c r="A1002" s="7" t="n">
        <v>2191</v>
      </c>
      <c r="B1002" s="7" t="n">
        <v>66</v>
      </c>
      <c r="C1002" s="7" t="s">
        <v>33</v>
      </c>
      <c r="D1002" s="7" t="s">
        <v>25</v>
      </c>
      <c r="E1002" s="7" t="n">
        <v>0</v>
      </c>
      <c r="F1002" s="7" t="n">
        <v>0</v>
      </c>
      <c r="G1002" s="7" t="s">
        <v>35</v>
      </c>
      <c r="H1002" s="7" t="s">
        <v>32</v>
      </c>
      <c r="I1002" s="7" t="n">
        <v>19.3</v>
      </c>
      <c r="J1002" s="7" t="s">
        <v>30</v>
      </c>
      <c r="K1002" s="7" t="n">
        <v>295.5</v>
      </c>
      <c r="L1002" s="7" t="s">
        <v>37</v>
      </c>
      <c r="M1002" s="7" t="s">
        <v>30</v>
      </c>
    </row>
    <row r="1003" customFormat="false" ht="15" hidden="false" customHeight="true" outlineLevel="0" collapsed="false">
      <c r="A1003" s="7" t="n">
        <v>2218</v>
      </c>
      <c r="B1003" s="7" t="n">
        <v>30</v>
      </c>
      <c r="C1003" s="7" t="s">
        <v>33</v>
      </c>
      <c r="D1003" s="7" t="s">
        <v>25</v>
      </c>
      <c r="E1003" s="7" t="n">
        <v>0</v>
      </c>
      <c r="F1003" s="7" t="n">
        <v>0</v>
      </c>
      <c r="G1003" s="7" t="s">
        <v>36</v>
      </c>
      <c r="H1003" s="7" t="s">
        <v>27</v>
      </c>
      <c r="I1003" s="7" t="n">
        <v>33.5</v>
      </c>
      <c r="J1003" s="7" t="s">
        <v>30</v>
      </c>
      <c r="K1003" s="7" t="n">
        <v>189.7</v>
      </c>
      <c r="L1003" s="7" t="s">
        <v>29</v>
      </c>
      <c r="M1003" s="7" t="s">
        <v>30</v>
      </c>
    </row>
    <row r="1004" customFormat="false" ht="15" hidden="false" customHeight="true" outlineLevel="0" collapsed="false">
      <c r="A1004" s="7" t="n">
        <v>2239</v>
      </c>
      <c r="B1004" s="7" t="n">
        <v>82</v>
      </c>
      <c r="C1004" s="7" t="s">
        <v>24</v>
      </c>
      <c r="D1004" s="7" t="s">
        <v>25</v>
      </c>
      <c r="E1004" s="7" t="n">
        <v>0</v>
      </c>
      <c r="F1004" s="7" t="n">
        <v>0</v>
      </c>
      <c r="G1004" s="7" t="s">
        <v>36</v>
      </c>
      <c r="H1004" s="7" t="s">
        <v>32</v>
      </c>
      <c r="I1004" s="7" t="n">
        <v>32.6</v>
      </c>
      <c r="J1004" s="7" t="s">
        <v>30</v>
      </c>
      <c r="K1004" s="7" t="n">
        <v>128.4</v>
      </c>
      <c r="L1004" s="7" t="s">
        <v>29</v>
      </c>
      <c r="M1004" s="7" t="s">
        <v>30</v>
      </c>
    </row>
    <row r="1005" customFormat="false" ht="15" hidden="false" customHeight="true" outlineLevel="0" collapsed="false">
      <c r="A1005" s="7" t="n">
        <v>2245</v>
      </c>
      <c r="B1005" s="7" t="n">
        <v>21</v>
      </c>
      <c r="C1005" s="7" t="s">
        <v>24</v>
      </c>
      <c r="D1005" s="7" t="s">
        <v>25</v>
      </c>
      <c r="E1005" s="7" t="n">
        <v>0</v>
      </c>
      <c r="F1005" s="7" t="n">
        <v>0</v>
      </c>
      <c r="G1005" s="7" t="s">
        <v>35</v>
      </c>
      <c r="H1005" s="7" t="s">
        <v>27</v>
      </c>
      <c r="I1005" s="7" t="n">
        <v>19</v>
      </c>
      <c r="J1005" s="7" t="s">
        <v>30</v>
      </c>
      <c r="K1005" s="7" t="n">
        <v>221.2</v>
      </c>
      <c r="L1005" s="7" t="s">
        <v>37</v>
      </c>
      <c r="M1005" s="7" t="s">
        <v>30</v>
      </c>
    </row>
    <row r="1006" customFormat="false" ht="15" hidden="false" customHeight="true" outlineLevel="0" collapsed="false">
      <c r="A1006" s="7" t="n">
        <v>2255</v>
      </c>
      <c r="B1006" s="7" t="n">
        <v>89</v>
      </c>
      <c r="C1006" s="7" t="s">
        <v>33</v>
      </c>
      <c r="D1006" s="7" t="s">
        <v>25</v>
      </c>
      <c r="E1006" s="7" t="n">
        <v>0</v>
      </c>
      <c r="F1006" s="7" t="n">
        <v>0</v>
      </c>
      <c r="G1006" s="7" t="s">
        <v>34</v>
      </c>
      <c r="H1006" s="7" t="s">
        <v>32</v>
      </c>
      <c r="I1006" s="7" t="n">
        <v>35.6</v>
      </c>
      <c r="J1006" s="7" t="s">
        <v>30</v>
      </c>
      <c r="K1006" s="7" t="n">
        <v>233.4</v>
      </c>
      <c r="L1006" s="7" t="s">
        <v>29</v>
      </c>
      <c r="M1006" s="7" t="s">
        <v>30</v>
      </c>
    </row>
    <row r="1007" customFormat="false" ht="15" hidden="false" customHeight="true" outlineLevel="0" collapsed="false">
      <c r="A1007" s="7" t="n">
        <v>2261</v>
      </c>
      <c r="B1007" s="7" t="n">
        <v>66</v>
      </c>
      <c r="C1007" s="7" t="s">
        <v>24</v>
      </c>
      <c r="D1007" s="7" t="s">
        <v>25</v>
      </c>
      <c r="E1007" s="7" t="n">
        <v>0</v>
      </c>
      <c r="F1007" s="7" t="n">
        <v>0</v>
      </c>
      <c r="G1007" s="7" t="s">
        <v>31</v>
      </c>
      <c r="H1007" s="7" t="s">
        <v>32</v>
      </c>
      <c r="I1007" s="7" t="n">
        <v>27</v>
      </c>
      <c r="J1007" s="7" t="s">
        <v>30</v>
      </c>
      <c r="K1007" s="7" t="n">
        <v>136.9</v>
      </c>
      <c r="L1007" s="7" t="s">
        <v>29</v>
      </c>
      <c r="M1007" s="7" t="s">
        <v>30</v>
      </c>
    </row>
    <row r="1008" customFormat="false" ht="15" hidden="false" customHeight="true" outlineLevel="0" collapsed="false">
      <c r="A1008" s="7" t="n">
        <v>2266</v>
      </c>
      <c r="B1008" s="7" t="n">
        <v>83</v>
      </c>
      <c r="C1008" s="7" t="s">
        <v>24</v>
      </c>
      <c r="D1008" s="7" t="s">
        <v>25</v>
      </c>
      <c r="E1008" s="7" t="n">
        <v>0</v>
      </c>
      <c r="F1008" s="7" t="n">
        <v>0</v>
      </c>
      <c r="G1008" s="7" t="s">
        <v>35</v>
      </c>
      <c r="H1008" s="7" t="s">
        <v>32</v>
      </c>
      <c r="I1008" s="7" t="n">
        <v>29.4</v>
      </c>
      <c r="J1008" s="7" t="s">
        <v>30</v>
      </c>
      <c r="K1008" s="7" t="n">
        <v>224.4</v>
      </c>
      <c r="L1008" s="7" t="s">
        <v>29</v>
      </c>
      <c r="M1008" s="7" t="s">
        <v>30</v>
      </c>
    </row>
    <row r="1009" customFormat="false" ht="15" hidden="false" customHeight="true" outlineLevel="0" collapsed="false">
      <c r="A1009" s="7" t="n">
        <v>2270</v>
      </c>
      <c r="B1009" s="7" t="n">
        <v>74</v>
      </c>
      <c r="C1009" s="7" t="s">
        <v>24</v>
      </c>
      <c r="D1009" s="7" t="s">
        <v>25</v>
      </c>
      <c r="E1009" s="7" t="n">
        <v>0</v>
      </c>
      <c r="F1009" s="7" t="n">
        <v>0</v>
      </c>
      <c r="G1009" s="7" t="s">
        <v>35</v>
      </c>
      <c r="H1009" s="7" t="s">
        <v>32</v>
      </c>
      <c r="I1009" s="7" t="n">
        <v>39.8</v>
      </c>
      <c r="J1009" s="7" t="s">
        <v>30</v>
      </c>
      <c r="K1009" s="7" t="n">
        <v>134.4</v>
      </c>
      <c r="L1009" s="7" t="s">
        <v>37</v>
      </c>
      <c r="M1009" s="7" t="s">
        <v>30</v>
      </c>
    </row>
    <row r="1010" customFormat="false" ht="15" hidden="false" customHeight="true" outlineLevel="0" collapsed="false">
      <c r="A1010" s="7" t="n">
        <v>2319</v>
      </c>
      <c r="B1010" s="7" t="n">
        <v>57</v>
      </c>
      <c r="C1010" s="7" t="s">
        <v>24</v>
      </c>
      <c r="D1010" s="7" t="s">
        <v>25</v>
      </c>
      <c r="E1010" s="7" t="n">
        <v>0</v>
      </c>
      <c r="F1010" s="7" t="n">
        <v>0</v>
      </c>
      <c r="G1010" s="7" t="s">
        <v>34</v>
      </c>
      <c r="H1010" s="7" t="s">
        <v>27</v>
      </c>
      <c r="I1010" s="7" t="n">
        <v>19.9</v>
      </c>
      <c r="J1010" s="7" t="s">
        <v>30</v>
      </c>
      <c r="K1010" s="7" t="n">
        <v>185.8</v>
      </c>
      <c r="L1010" s="7" t="s">
        <v>37</v>
      </c>
      <c r="M1010" s="7" t="s">
        <v>30</v>
      </c>
    </row>
    <row r="1011" customFormat="false" ht="15" hidden="false" customHeight="true" outlineLevel="0" collapsed="false">
      <c r="A1011" s="7" t="n">
        <v>2390</v>
      </c>
      <c r="B1011" s="7" t="n">
        <v>64</v>
      </c>
      <c r="C1011" s="7" t="s">
        <v>24</v>
      </c>
      <c r="D1011" s="7" t="s">
        <v>25</v>
      </c>
      <c r="E1011" s="7" t="n">
        <v>0</v>
      </c>
      <c r="F1011" s="7" t="n">
        <v>0</v>
      </c>
      <c r="G1011" s="7" t="s">
        <v>36</v>
      </c>
      <c r="H1011" s="7" t="s">
        <v>27</v>
      </c>
      <c r="I1011" s="7" t="n">
        <v>21.8</v>
      </c>
      <c r="J1011" s="7" t="s">
        <v>30</v>
      </c>
      <c r="K1011" s="7" t="n">
        <v>179.4</v>
      </c>
      <c r="L1011" s="7" t="s">
        <v>37</v>
      </c>
      <c r="M1011" s="7" t="s">
        <v>30</v>
      </c>
    </row>
    <row r="1012" customFormat="false" ht="15" hidden="false" customHeight="true" outlineLevel="0" collapsed="false">
      <c r="A1012" s="7" t="n">
        <v>2414</v>
      </c>
      <c r="B1012" s="7" t="n">
        <v>28</v>
      </c>
      <c r="C1012" s="7" t="s">
        <v>33</v>
      </c>
      <c r="D1012" s="7" t="s">
        <v>25</v>
      </c>
      <c r="E1012" s="7" t="n">
        <v>0</v>
      </c>
      <c r="F1012" s="7" t="n">
        <v>0</v>
      </c>
      <c r="G1012" s="7" t="s">
        <v>26</v>
      </c>
      <c r="H1012" s="7" t="s">
        <v>32</v>
      </c>
      <c r="I1012" s="7" t="n">
        <v>18.1</v>
      </c>
      <c r="J1012" s="7" t="s">
        <v>30</v>
      </c>
      <c r="K1012" s="7" t="n">
        <v>139.1</v>
      </c>
      <c r="L1012" s="7" t="s">
        <v>29</v>
      </c>
      <c r="M1012" s="7" t="s">
        <v>30</v>
      </c>
    </row>
    <row r="1013" customFormat="false" ht="15" hidden="false" customHeight="true" outlineLevel="0" collapsed="false">
      <c r="A1013" s="7" t="n">
        <v>2419</v>
      </c>
      <c r="B1013" s="7" t="n">
        <v>86</v>
      </c>
      <c r="C1013" s="7" t="s">
        <v>24</v>
      </c>
      <c r="D1013" s="7" t="s">
        <v>25</v>
      </c>
      <c r="E1013" s="7" t="n">
        <v>0</v>
      </c>
      <c r="F1013" s="7" t="n">
        <v>0</v>
      </c>
      <c r="G1013" s="7" t="s">
        <v>35</v>
      </c>
      <c r="H1013" s="7" t="s">
        <v>32</v>
      </c>
      <c r="I1013" s="7" t="n">
        <v>30.3</v>
      </c>
      <c r="J1013" s="7" t="s">
        <v>30</v>
      </c>
      <c r="K1013" s="7" t="n">
        <v>291.5</v>
      </c>
      <c r="L1013" s="7" t="s">
        <v>29</v>
      </c>
      <c r="M1013" s="7" t="s">
        <v>30</v>
      </c>
    </row>
    <row r="1014" customFormat="false" ht="15" hidden="false" customHeight="true" outlineLevel="0" collapsed="false">
      <c r="A1014" s="7" t="n">
        <v>2458</v>
      </c>
      <c r="B1014" s="7" t="n">
        <v>58</v>
      </c>
      <c r="C1014" s="7" t="s">
        <v>33</v>
      </c>
      <c r="D1014" s="7" t="s">
        <v>25</v>
      </c>
      <c r="E1014" s="7" t="n">
        <v>0</v>
      </c>
      <c r="F1014" s="7" t="n">
        <v>0</v>
      </c>
      <c r="G1014" s="7" t="s">
        <v>31</v>
      </c>
      <c r="H1014" s="7" t="s">
        <v>32</v>
      </c>
      <c r="I1014" s="7" t="n">
        <v>24.6</v>
      </c>
      <c r="J1014" s="7" t="s">
        <v>30</v>
      </c>
      <c r="K1014" s="7" t="n">
        <v>220.2</v>
      </c>
      <c r="L1014" s="7" t="s">
        <v>29</v>
      </c>
      <c r="M1014" s="7" t="s">
        <v>30</v>
      </c>
    </row>
    <row r="1015" customFormat="false" ht="15" hidden="false" customHeight="true" outlineLevel="0" collapsed="false">
      <c r="A1015" s="7" t="n">
        <v>44</v>
      </c>
      <c r="B1015" s="7" t="n">
        <v>30</v>
      </c>
      <c r="C1015" s="7" t="s">
        <v>24</v>
      </c>
      <c r="D1015" s="7" t="s">
        <v>25</v>
      </c>
      <c r="E1015" s="7" t="n">
        <v>0</v>
      </c>
      <c r="F1015" s="7" t="n">
        <v>0</v>
      </c>
      <c r="G1015" s="7" t="s">
        <v>36</v>
      </c>
      <c r="H1015" s="7" t="s">
        <v>27</v>
      </c>
      <c r="I1015" s="7" t="n">
        <v>39.3</v>
      </c>
      <c r="J1015" s="7" t="s">
        <v>30</v>
      </c>
      <c r="K1015" s="7" t="n">
        <v>212.4</v>
      </c>
      <c r="L1015" s="7" t="s">
        <v>37</v>
      </c>
      <c r="M1015" s="7" t="s">
        <v>38</v>
      </c>
    </row>
    <row r="1016" customFormat="false" ht="15" hidden="false" customHeight="true" outlineLevel="0" collapsed="false">
      <c r="A1016" s="7" t="n">
        <v>68</v>
      </c>
      <c r="B1016" s="7" t="n">
        <v>53</v>
      </c>
      <c r="C1016" s="7" t="s">
        <v>24</v>
      </c>
      <c r="D1016" s="7" t="s">
        <v>25</v>
      </c>
      <c r="E1016" s="7" t="n">
        <v>0</v>
      </c>
      <c r="F1016" s="7" t="n">
        <v>0</v>
      </c>
      <c r="G1016" s="7" t="s">
        <v>36</v>
      </c>
      <c r="H1016" s="7" t="s">
        <v>27</v>
      </c>
      <c r="I1016" s="7" t="n">
        <v>39.9</v>
      </c>
      <c r="J1016" s="7" t="s">
        <v>30</v>
      </c>
      <c r="K1016" s="7" t="n">
        <v>295.5</v>
      </c>
      <c r="L1016" s="7" t="s">
        <v>29</v>
      </c>
      <c r="M1016" s="7" t="s">
        <v>38</v>
      </c>
    </row>
    <row r="1017" customFormat="false" ht="15" hidden="false" customHeight="true" outlineLevel="0" collapsed="false">
      <c r="A1017" s="7" t="n">
        <v>125</v>
      </c>
      <c r="B1017" s="7" t="n">
        <v>44</v>
      </c>
      <c r="C1017" s="7" t="s">
        <v>24</v>
      </c>
      <c r="D1017" s="7" t="s">
        <v>25</v>
      </c>
      <c r="E1017" s="7" t="n">
        <v>0</v>
      </c>
      <c r="F1017" s="7" t="n">
        <v>0</v>
      </c>
      <c r="G1017" s="7" t="s">
        <v>36</v>
      </c>
      <c r="H1017" s="7" t="s">
        <v>32</v>
      </c>
      <c r="I1017" s="7" t="n">
        <v>32.7</v>
      </c>
      <c r="J1017" s="7" t="s">
        <v>30</v>
      </c>
      <c r="K1017" s="7" t="n">
        <v>125.9</v>
      </c>
      <c r="L1017" s="7" t="s">
        <v>29</v>
      </c>
      <c r="M1017" s="7" t="s">
        <v>38</v>
      </c>
    </row>
    <row r="1018" customFormat="false" ht="15" hidden="false" customHeight="true" outlineLevel="0" collapsed="false">
      <c r="A1018" s="7" t="n">
        <v>132</v>
      </c>
      <c r="B1018" s="7" t="n">
        <v>21</v>
      </c>
      <c r="C1018" s="7" t="s">
        <v>24</v>
      </c>
      <c r="D1018" s="7" t="s">
        <v>25</v>
      </c>
      <c r="E1018" s="7" t="n">
        <v>0</v>
      </c>
      <c r="F1018" s="7" t="n">
        <v>0</v>
      </c>
      <c r="G1018" s="7" t="s">
        <v>36</v>
      </c>
      <c r="H1018" s="7" t="s">
        <v>32</v>
      </c>
      <c r="I1018" s="7" t="n">
        <v>29</v>
      </c>
      <c r="J1018" s="7" t="s">
        <v>30</v>
      </c>
      <c r="K1018" s="7" t="n">
        <v>149.5</v>
      </c>
      <c r="L1018" s="7" t="s">
        <v>29</v>
      </c>
      <c r="M1018" s="7" t="s">
        <v>38</v>
      </c>
    </row>
    <row r="1019" customFormat="false" ht="15" hidden="false" customHeight="true" outlineLevel="0" collapsed="false">
      <c r="A1019" s="7" t="n">
        <v>141</v>
      </c>
      <c r="B1019" s="7" t="n">
        <v>25</v>
      </c>
      <c r="C1019" s="7" t="s">
        <v>33</v>
      </c>
      <c r="D1019" s="7" t="s">
        <v>25</v>
      </c>
      <c r="E1019" s="7" t="n">
        <v>0</v>
      </c>
      <c r="F1019" s="7" t="n">
        <v>0</v>
      </c>
      <c r="G1019" s="7" t="s">
        <v>31</v>
      </c>
      <c r="H1019" s="7" t="s">
        <v>32</v>
      </c>
      <c r="I1019" s="7" t="n">
        <v>21.2</v>
      </c>
      <c r="J1019" s="7" t="s">
        <v>30</v>
      </c>
      <c r="K1019" s="7" t="n">
        <v>126.6</v>
      </c>
      <c r="L1019" s="7" t="s">
        <v>29</v>
      </c>
      <c r="M1019" s="7" t="s">
        <v>38</v>
      </c>
    </row>
    <row r="1020" customFormat="false" ht="15" hidden="false" customHeight="true" outlineLevel="0" collapsed="false">
      <c r="A1020" s="7" t="n">
        <v>273</v>
      </c>
      <c r="B1020" s="7" t="n">
        <v>76</v>
      </c>
      <c r="C1020" s="7" t="s">
        <v>33</v>
      </c>
      <c r="D1020" s="7" t="s">
        <v>25</v>
      </c>
      <c r="E1020" s="7" t="n">
        <v>0</v>
      </c>
      <c r="F1020" s="7" t="n">
        <v>0</v>
      </c>
      <c r="G1020" s="7" t="s">
        <v>34</v>
      </c>
      <c r="H1020" s="7" t="s">
        <v>27</v>
      </c>
      <c r="I1020" s="7" t="n">
        <v>23.6</v>
      </c>
      <c r="J1020" s="7" t="s">
        <v>30</v>
      </c>
      <c r="K1020" s="7" t="n">
        <v>172.8</v>
      </c>
      <c r="L1020" s="7" t="s">
        <v>29</v>
      </c>
      <c r="M1020" s="7" t="s">
        <v>38</v>
      </c>
    </row>
    <row r="1021" customFormat="false" ht="15" hidden="false" customHeight="true" outlineLevel="0" collapsed="false">
      <c r="A1021" s="7" t="n">
        <v>306</v>
      </c>
      <c r="B1021" s="7" t="n">
        <v>79</v>
      </c>
      <c r="C1021" s="7" t="s">
        <v>33</v>
      </c>
      <c r="D1021" s="7" t="s">
        <v>25</v>
      </c>
      <c r="E1021" s="7" t="n">
        <v>0</v>
      </c>
      <c r="F1021" s="7" t="n">
        <v>0</v>
      </c>
      <c r="G1021" s="7" t="s">
        <v>36</v>
      </c>
      <c r="H1021" s="7" t="s">
        <v>27</v>
      </c>
      <c r="I1021" s="7" t="n">
        <v>41.3</v>
      </c>
      <c r="J1021" s="7" t="s">
        <v>30</v>
      </c>
      <c r="K1021" s="7" t="n">
        <v>192.6</v>
      </c>
      <c r="L1021" s="7" t="s">
        <v>29</v>
      </c>
      <c r="M1021" s="7" t="s">
        <v>38</v>
      </c>
    </row>
    <row r="1022" customFormat="false" ht="15" hidden="false" customHeight="true" outlineLevel="0" collapsed="false">
      <c r="A1022" s="7" t="n">
        <v>323</v>
      </c>
      <c r="B1022" s="7" t="n">
        <v>49</v>
      </c>
      <c r="C1022" s="7" t="s">
        <v>24</v>
      </c>
      <c r="D1022" s="7" t="s">
        <v>25</v>
      </c>
      <c r="E1022" s="7" t="n">
        <v>0</v>
      </c>
      <c r="F1022" s="7" t="n">
        <v>0</v>
      </c>
      <c r="G1022" s="7" t="s">
        <v>31</v>
      </c>
      <c r="H1022" s="7" t="s">
        <v>27</v>
      </c>
      <c r="I1022" s="7" t="n">
        <v>19.9</v>
      </c>
      <c r="J1022" s="7" t="s">
        <v>30</v>
      </c>
      <c r="K1022" s="7" t="n">
        <v>120.4</v>
      </c>
      <c r="L1022" s="7" t="s">
        <v>29</v>
      </c>
      <c r="M1022" s="7" t="s">
        <v>38</v>
      </c>
    </row>
    <row r="1023" customFormat="false" ht="15" hidden="false" customHeight="true" outlineLevel="0" collapsed="false">
      <c r="A1023" s="7" t="n">
        <v>358</v>
      </c>
      <c r="B1023" s="7" t="n">
        <v>65</v>
      </c>
      <c r="C1023" s="7" t="s">
        <v>24</v>
      </c>
      <c r="D1023" s="7" t="s">
        <v>25</v>
      </c>
      <c r="E1023" s="7" t="n">
        <v>0</v>
      </c>
      <c r="F1023" s="7" t="n">
        <v>0</v>
      </c>
      <c r="G1023" s="7" t="s">
        <v>35</v>
      </c>
      <c r="H1023" s="7" t="s">
        <v>32</v>
      </c>
      <c r="I1023" s="7" t="n">
        <v>33.6</v>
      </c>
      <c r="J1023" s="7" t="s">
        <v>30</v>
      </c>
      <c r="K1023" s="7" t="n">
        <v>128.1</v>
      </c>
      <c r="L1023" s="7" t="s">
        <v>37</v>
      </c>
      <c r="M1023" s="7" t="s">
        <v>38</v>
      </c>
    </row>
    <row r="1024" customFormat="false" ht="15" hidden="false" customHeight="true" outlineLevel="0" collapsed="false">
      <c r="A1024" s="7" t="n">
        <v>387</v>
      </c>
      <c r="B1024" s="7" t="n">
        <v>41</v>
      </c>
      <c r="C1024" s="7" t="s">
        <v>33</v>
      </c>
      <c r="D1024" s="7" t="s">
        <v>25</v>
      </c>
      <c r="E1024" s="7" t="n">
        <v>0</v>
      </c>
      <c r="F1024" s="7" t="n">
        <v>0</v>
      </c>
      <c r="G1024" s="7" t="s">
        <v>26</v>
      </c>
      <c r="H1024" s="7" t="s">
        <v>27</v>
      </c>
      <c r="I1024" s="7" t="n">
        <v>23.4</v>
      </c>
      <c r="J1024" s="7" t="s">
        <v>30</v>
      </c>
      <c r="K1024" s="7" t="n">
        <v>183.9</v>
      </c>
      <c r="L1024" s="7" t="s">
        <v>29</v>
      </c>
      <c r="M1024" s="7" t="s">
        <v>38</v>
      </c>
    </row>
    <row r="1025" customFormat="false" ht="15" hidden="false" customHeight="true" outlineLevel="0" collapsed="false">
      <c r="A1025" s="7" t="n">
        <v>414</v>
      </c>
      <c r="B1025" s="7" t="n">
        <v>86</v>
      </c>
      <c r="C1025" s="7" t="s">
        <v>24</v>
      </c>
      <c r="D1025" s="7" t="s">
        <v>25</v>
      </c>
      <c r="E1025" s="7" t="n">
        <v>0</v>
      </c>
      <c r="F1025" s="7" t="n">
        <v>0</v>
      </c>
      <c r="G1025" s="7" t="s">
        <v>26</v>
      </c>
      <c r="H1025" s="7" t="s">
        <v>27</v>
      </c>
      <c r="I1025" s="7" t="n">
        <v>31.8</v>
      </c>
      <c r="J1025" s="7" t="s">
        <v>30</v>
      </c>
      <c r="K1025" s="7" t="n">
        <v>251.2</v>
      </c>
      <c r="L1025" s="7" t="s">
        <v>29</v>
      </c>
      <c r="M1025" s="7" t="s">
        <v>38</v>
      </c>
    </row>
    <row r="1026" customFormat="false" ht="15" hidden="false" customHeight="true" outlineLevel="0" collapsed="false">
      <c r="A1026" s="7" t="n">
        <v>419</v>
      </c>
      <c r="B1026" s="7" t="n">
        <v>83</v>
      </c>
      <c r="C1026" s="7" t="s">
        <v>33</v>
      </c>
      <c r="D1026" s="7" t="s">
        <v>25</v>
      </c>
      <c r="E1026" s="7" t="n">
        <v>0</v>
      </c>
      <c r="F1026" s="7" t="n">
        <v>0</v>
      </c>
      <c r="G1026" s="7" t="s">
        <v>31</v>
      </c>
      <c r="H1026" s="7" t="s">
        <v>32</v>
      </c>
      <c r="I1026" s="7" t="n">
        <v>24.9</v>
      </c>
      <c r="J1026" s="7" t="s">
        <v>30</v>
      </c>
      <c r="K1026" s="7" t="n">
        <v>233.8</v>
      </c>
      <c r="L1026" s="7" t="s">
        <v>37</v>
      </c>
      <c r="M1026" s="7" t="s">
        <v>38</v>
      </c>
    </row>
    <row r="1027" customFormat="false" ht="15" hidden="false" customHeight="true" outlineLevel="0" collapsed="false">
      <c r="A1027" s="7" t="n">
        <v>454</v>
      </c>
      <c r="B1027" s="7" t="n">
        <v>62</v>
      </c>
      <c r="C1027" s="7" t="s">
        <v>24</v>
      </c>
      <c r="D1027" s="7" t="s">
        <v>25</v>
      </c>
      <c r="E1027" s="7" t="n">
        <v>0</v>
      </c>
      <c r="F1027" s="7" t="n">
        <v>0</v>
      </c>
      <c r="G1027" s="7" t="s">
        <v>26</v>
      </c>
      <c r="H1027" s="7" t="s">
        <v>27</v>
      </c>
      <c r="I1027" s="7" t="n">
        <v>32.4</v>
      </c>
      <c r="J1027" s="7" t="s">
        <v>30</v>
      </c>
      <c r="K1027" s="7" t="n">
        <v>135.8</v>
      </c>
      <c r="L1027" s="7" t="s">
        <v>37</v>
      </c>
      <c r="M1027" s="7" t="s">
        <v>38</v>
      </c>
    </row>
    <row r="1028" customFormat="false" ht="15" hidden="false" customHeight="true" outlineLevel="0" collapsed="false">
      <c r="A1028" s="7" t="n">
        <v>465</v>
      </c>
      <c r="B1028" s="7" t="n">
        <v>76</v>
      </c>
      <c r="C1028" s="7" t="s">
        <v>33</v>
      </c>
      <c r="D1028" s="7" t="s">
        <v>25</v>
      </c>
      <c r="E1028" s="7" t="n">
        <v>0</v>
      </c>
      <c r="F1028" s="7" t="n">
        <v>0</v>
      </c>
      <c r="G1028" s="7" t="s">
        <v>34</v>
      </c>
      <c r="H1028" s="7" t="s">
        <v>32</v>
      </c>
      <c r="I1028" s="7" t="n">
        <v>31.9</v>
      </c>
      <c r="J1028" s="7" t="s">
        <v>30</v>
      </c>
      <c r="K1028" s="7" t="n">
        <v>236.4</v>
      </c>
      <c r="L1028" s="7" t="s">
        <v>29</v>
      </c>
      <c r="M1028" s="7" t="s">
        <v>38</v>
      </c>
    </row>
    <row r="1029" customFormat="false" ht="15" hidden="false" customHeight="true" outlineLevel="0" collapsed="false">
      <c r="A1029" s="7" t="n">
        <v>511</v>
      </c>
      <c r="B1029" s="7" t="n">
        <v>50</v>
      </c>
      <c r="C1029" s="7" t="s">
        <v>33</v>
      </c>
      <c r="D1029" s="7" t="s">
        <v>25</v>
      </c>
      <c r="E1029" s="7" t="n">
        <v>0</v>
      </c>
      <c r="F1029" s="7" t="n">
        <v>0</v>
      </c>
      <c r="G1029" s="7" t="s">
        <v>36</v>
      </c>
      <c r="H1029" s="7" t="s">
        <v>27</v>
      </c>
      <c r="I1029" s="7" t="n">
        <v>27.5</v>
      </c>
      <c r="J1029" s="7" t="s">
        <v>30</v>
      </c>
      <c r="K1029" s="7" t="n">
        <v>200.8</v>
      </c>
      <c r="L1029" s="7" t="s">
        <v>29</v>
      </c>
      <c r="M1029" s="7" t="s">
        <v>38</v>
      </c>
    </row>
    <row r="1030" customFormat="false" ht="15" hidden="false" customHeight="true" outlineLevel="0" collapsed="false">
      <c r="A1030" s="7" t="n">
        <v>514</v>
      </c>
      <c r="B1030" s="7" t="n">
        <v>25</v>
      </c>
      <c r="C1030" s="7" t="s">
        <v>24</v>
      </c>
      <c r="D1030" s="7" t="s">
        <v>25</v>
      </c>
      <c r="E1030" s="7" t="n">
        <v>0</v>
      </c>
      <c r="F1030" s="7" t="n">
        <v>0</v>
      </c>
      <c r="G1030" s="7" t="s">
        <v>34</v>
      </c>
      <c r="H1030" s="7" t="s">
        <v>27</v>
      </c>
      <c r="I1030" s="7" t="n">
        <v>21.1</v>
      </c>
      <c r="J1030" s="7" t="s">
        <v>30</v>
      </c>
      <c r="K1030" s="7" t="n">
        <v>177.1</v>
      </c>
      <c r="L1030" s="7" t="s">
        <v>37</v>
      </c>
      <c r="M1030" s="7" t="s">
        <v>38</v>
      </c>
    </row>
    <row r="1031" customFormat="false" ht="15" hidden="false" customHeight="true" outlineLevel="0" collapsed="false">
      <c r="A1031" s="7" t="n">
        <v>531</v>
      </c>
      <c r="B1031" s="7" t="n">
        <v>75</v>
      </c>
      <c r="C1031" s="7" t="s">
        <v>33</v>
      </c>
      <c r="D1031" s="7" t="s">
        <v>25</v>
      </c>
      <c r="E1031" s="7" t="n">
        <v>0</v>
      </c>
      <c r="F1031" s="7" t="n">
        <v>0</v>
      </c>
      <c r="G1031" s="7" t="s">
        <v>31</v>
      </c>
      <c r="H1031" s="7" t="s">
        <v>27</v>
      </c>
      <c r="I1031" s="7" t="n">
        <v>27.7</v>
      </c>
      <c r="J1031" s="7" t="s">
        <v>30</v>
      </c>
      <c r="K1031" s="7" t="n">
        <v>261</v>
      </c>
      <c r="L1031" s="7" t="s">
        <v>37</v>
      </c>
      <c r="M1031" s="7" t="s">
        <v>38</v>
      </c>
    </row>
    <row r="1032" customFormat="false" ht="15" hidden="false" customHeight="true" outlineLevel="0" collapsed="false">
      <c r="A1032" s="7" t="n">
        <v>563</v>
      </c>
      <c r="B1032" s="7" t="n">
        <v>88</v>
      </c>
      <c r="C1032" s="7" t="s">
        <v>24</v>
      </c>
      <c r="D1032" s="7" t="s">
        <v>25</v>
      </c>
      <c r="E1032" s="7" t="n">
        <v>0</v>
      </c>
      <c r="F1032" s="7" t="n">
        <v>0</v>
      </c>
      <c r="G1032" s="7" t="s">
        <v>26</v>
      </c>
      <c r="H1032" s="7" t="s">
        <v>27</v>
      </c>
      <c r="I1032" s="7" t="n">
        <v>32.8</v>
      </c>
      <c r="J1032" s="7" t="s">
        <v>30</v>
      </c>
      <c r="K1032" s="7" t="n">
        <v>249.7</v>
      </c>
      <c r="L1032" s="7" t="s">
        <v>29</v>
      </c>
      <c r="M1032" s="7" t="s">
        <v>38</v>
      </c>
    </row>
    <row r="1033" customFormat="false" ht="15" hidden="false" customHeight="true" outlineLevel="0" collapsed="false">
      <c r="A1033" s="7" t="n">
        <v>615</v>
      </c>
      <c r="B1033" s="7" t="n">
        <v>48</v>
      </c>
      <c r="C1033" s="7" t="s">
        <v>33</v>
      </c>
      <c r="D1033" s="7" t="s">
        <v>25</v>
      </c>
      <c r="E1033" s="7" t="n">
        <v>0</v>
      </c>
      <c r="F1033" s="7" t="n">
        <v>0</v>
      </c>
      <c r="G1033" s="7" t="s">
        <v>26</v>
      </c>
      <c r="H1033" s="7" t="s">
        <v>27</v>
      </c>
      <c r="I1033" s="7" t="n">
        <v>39</v>
      </c>
      <c r="J1033" s="7" t="s">
        <v>30</v>
      </c>
      <c r="K1033" s="7" t="n">
        <v>176.4</v>
      </c>
      <c r="L1033" s="7" t="s">
        <v>29</v>
      </c>
      <c r="M1033" s="7" t="s">
        <v>38</v>
      </c>
    </row>
    <row r="1034" customFormat="false" ht="15" hidden="false" customHeight="true" outlineLevel="0" collapsed="false">
      <c r="A1034" s="7" t="n">
        <v>714</v>
      </c>
      <c r="B1034" s="7" t="n">
        <v>56</v>
      </c>
      <c r="C1034" s="7" t="s">
        <v>24</v>
      </c>
      <c r="D1034" s="7" t="s">
        <v>25</v>
      </c>
      <c r="E1034" s="7" t="n">
        <v>0</v>
      </c>
      <c r="F1034" s="7" t="n">
        <v>0</v>
      </c>
      <c r="G1034" s="7" t="s">
        <v>26</v>
      </c>
      <c r="H1034" s="7" t="s">
        <v>32</v>
      </c>
      <c r="I1034" s="7" t="n">
        <v>27.2</v>
      </c>
      <c r="J1034" s="7" t="s">
        <v>30</v>
      </c>
      <c r="K1034" s="7" t="n">
        <v>213.1</v>
      </c>
      <c r="L1034" s="7" t="s">
        <v>29</v>
      </c>
      <c r="M1034" s="7" t="s">
        <v>38</v>
      </c>
    </row>
    <row r="1035" customFormat="false" ht="15" hidden="false" customHeight="true" outlineLevel="0" collapsed="false">
      <c r="A1035" s="7" t="n">
        <v>825</v>
      </c>
      <c r="B1035" s="7" t="n">
        <v>81</v>
      </c>
      <c r="C1035" s="7" t="s">
        <v>33</v>
      </c>
      <c r="D1035" s="7" t="s">
        <v>25</v>
      </c>
      <c r="E1035" s="7" t="n">
        <v>0</v>
      </c>
      <c r="F1035" s="7" t="n">
        <v>0</v>
      </c>
      <c r="G1035" s="7" t="s">
        <v>34</v>
      </c>
      <c r="H1035" s="7" t="s">
        <v>27</v>
      </c>
      <c r="I1035" s="7" t="n">
        <v>20.9</v>
      </c>
      <c r="J1035" s="7" t="s">
        <v>30</v>
      </c>
      <c r="K1035" s="7" t="n">
        <v>256.9</v>
      </c>
      <c r="L1035" s="7" t="s">
        <v>37</v>
      </c>
      <c r="M1035" s="7" t="s">
        <v>38</v>
      </c>
    </row>
    <row r="1036" customFormat="false" ht="15" hidden="false" customHeight="true" outlineLevel="0" collapsed="false">
      <c r="A1036" s="7" t="n">
        <v>877</v>
      </c>
      <c r="B1036" s="7" t="n">
        <v>81</v>
      </c>
      <c r="C1036" s="7" t="s">
        <v>24</v>
      </c>
      <c r="D1036" s="7" t="s">
        <v>25</v>
      </c>
      <c r="E1036" s="7" t="n">
        <v>0</v>
      </c>
      <c r="F1036" s="7" t="n">
        <v>0</v>
      </c>
      <c r="G1036" s="7" t="s">
        <v>34</v>
      </c>
      <c r="H1036" s="7" t="s">
        <v>32</v>
      </c>
      <c r="I1036" s="7" t="n">
        <v>26.8</v>
      </c>
      <c r="J1036" s="7" t="s">
        <v>30</v>
      </c>
      <c r="K1036" s="7" t="n">
        <v>136.2</v>
      </c>
      <c r="L1036" s="7" t="s">
        <v>29</v>
      </c>
      <c r="M1036" s="7" t="s">
        <v>38</v>
      </c>
    </row>
    <row r="1037" customFormat="false" ht="15" hidden="false" customHeight="true" outlineLevel="0" collapsed="false">
      <c r="A1037" s="7" t="n">
        <v>882</v>
      </c>
      <c r="B1037" s="7" t="n">
        <v>46</v>
      </c>
      <c r="C1037" s="7" t="s">
        <v>33</v>
      </c>
      <c r="D1037" s="7" t="s">
        <v>25</v>
      </c>
      <c r="E1037" s="7" t="n">
        <v>0</v>
      </c>
      <c r="F1037" s="7" t="n">
        <v>0</v>
      </c>
      <c r="G1037" s="7" t="s">
        <v>26</v>
      </c>
      <c r="H1037" s="7" t="s">
        <v>27</v>
      </c>
      <c r="I1037" s="7" t="n">
        <v>21.6</v>
      </c>
      <c r="J1037" s="7" t="s">
        <v>30</v>
      </c>
      <c r="K1037" s="7" t="n">
        <v>181.5</v>
      </c>
      <c r="L1037" s="7" t="s">
        <v>29</v>
      </c>
      <c r="M1037" s="7" t="s">
        <v>38</v>
      </c>
    </row>
    <row r="1038" customFormat="false" ht="15" hidden="false" customHeight="true" outlineLevel="0" collapsed="false">
      <c r="A1038" s="7" t="n">
        <v>953</v>
      </c>
      <c r="B1038" s="7" t="n">
        <v>27</v>
      </c>
      <c r="C1038" s="7" t="s">
        <v>33</v>
      </c>
      <c r="D1038" s="7" t="s">
        <v>25</v>
      </c>
      <c r="E1038" s="7" t="n">
        <v>0</v>
      </c>
      <c r="F1038" s="7" t="n">
        <v>0</v>
      </c>
      <c r="G1038" s="7" t="s">
        <v>26</v>
      </c>
      <c r="H1038" s="7" t="s">
        <v>32</v>
      </c>
      <c r="I1038" s="7" t="n">
        <v>19.7</v>
      </c>
      <c r="J1038" s="7" t="s">
        <v>30</v>
      </c>
      <c r="K1038" s="7" t="n">
        <v>120.5</v>
      </c>
      <c r="L1038" s="7" t="s">
        <v>29</v>
      </c>
      <c r="M1038" s="7" t="s">
        <v>38</v>
      </c>
    </row>
    <row r="1039" customFormat="false" ht="15" hidden="false" customHeight="true" outlineLevel="0" collapsed="false">
      <c r="A1039" s="7" t="n">
        <v>966</v>
      </c>
      <c r="B1039" s="7" t="n">
        <v>25</v>
      </c>
      <c r="C1039" s="7" t="s">
        <v>33</v>
      </c>
      <c r="D1039" s="7" t="s">
        <v>25</v>
      </c>
      <c r="E1039" s="7" t="n">
        <v>0</v>
      </c>
      <c r="F1039" s="7" t="n">
        <v>0</v>
      </c>
      <c r="G1039" s="7" t="s">
        <v>26</v>
      </c>
      <c r="H1039" s="7" t="s">
        <v>27</v>
      </c>
      <c r="I1039" s="7" t="n">
        <v>39.6</v>
      </c>
      <c r="J1039" s="7" t="s">
        <v>30</v>
      </c>
      <c r="K1039" s="7" t="n">
        <v>296.9</v>
      </c>
      <c r="L1039" s="7" t="s">
        <v>29</v>
      </c>
      <c r="M1039" s="7" t="s">
        <v>38</v>
      </c>
    </row>
    <row r="1040" customFormat="false" ht="15" hidden="false" customHeight="true" outlineLevel="0" collapsed="false">
      <c r="A1040" s="7" t="n">
        <v>973</v>
      </c>
      <c r="B1040" s="7" t="n">
        <v>47</v>
      </c>
      <c r="C1040" s="7" t="s">
        <v>33</v>
      </c>
      <c r="D1040" s="7" t="s">
        <v>25</v>
      </c>
      <c r="E1040" s="7" t="n">
        <v>0</v>
      </c>
      <c r="F1040" s="7" t="n">
        <v>0</v>
      </c>
      <c r="G1040" s="7" t="s">
        <v>31</v>
      </c>
      <c r="H1040" s="7" t="s">
        <v>27</v>
      </c>
      <c r="I1040" s="7" t="n">
        <v>29.7</v>
      </c>
      <c r="J1040" s="7" t="s">
        <v>30</v>
      </c>
      <c r="K1040" s="7" t="n">
        <v>176.3</v>
      </c>
      <c r="L1040" s="7" t="s">
        <v>29</v>
      </c>
      <c r="M1040" s="7" t="s">
        <v>38</v>
      </c>
    </row>
    <row r="1041" customFormat="false" ht="15" hidden="false" customHeight="true" outlineLevel="0" collapsed="false">
      <c r="A1041" s="7" t="n">
        <v>1030</v>
      </c>
      <c r="B1041" s="7" t="n">
        <v>59</v>
      </c>
      <c r="C1041" s="7" t="s">
        <v>33</v>
      </c>
      <c r="D1041" s="7" t="s">
        <v>25</v>
      </c>
      <c r="E1041" s="7" t="n">
        <v>0</v>
      </c>
      <c r="F1041" s="7" t="n">
        <v>0</v>
      </c>
      <c r="G1041" s="7" t="s">
        <v>26</v>
      </c>
      <c r="H1041" s="7" t="s">
        <v>32</v>
      </c>
      <c r="I1041" s="7" t="n">
        <v>29.4</v>
      </c>
      <c r="J1041" s="7" t="s">
        <v>30</v>
      </c>
      <c r="K1041" s="7" t="n">
        <v>225.2</v>
      </c>
      <c r="L1041" s="7" t="s">
        <v>37</v>
      </c>
      <c r="M1041" s="7" t="s">
        <v>38</v>
      </c>
    </row>
    <row r="1042" customFormat="false" ht="15" hidden="false" customHeight="true" outlineLevel="0" collapsed="false">
      <c r="A1042" s="7" t="n">
        <v>1036</v>
      </c>
      <c r="B1042" s="7" t="n">
        <v>42</v>
      </c>
      <c r="C1042" s="7" t="s">
        <v>24</v>
      </c>
      <c r="D1042" s="7" t="s">
        <v>25</v>
      </c>
      <c r="E1042" s="7" t="n">
        <v>0</v>
      </c>
      <c r="F1042" s="7" t="n">
        <v>0</v>
      </c>
      <c r="G1042" s="7" t="s">
        <v>31</v>
      </c>
      <c r="H1042" s="7" t="s">
        <v>27</v>
      </c>
      <c r="I1042" s="7" t="n">
        <v>38.5</v>
      </c>
      <c r="J1042" s="7" t="s">
        <v>30</v>
      </c>
      <c r="K1042" s="7" t="n">
        <v>221.8</v>
      </c>
      <c r="L1042" s="7" t="s">
        <v>37</v>
      </c>
      <c r="M1042" s="7" t="s">
        <v>38</v>
      </c>
    </row>
    <row r="1043" customFormat="false" ht="15" hidden="false" customHeight="true" outlineLevel="0" collapsed="false">
      <c r="A1043" s="7" t="n">
        <v>1074</v>
      </c>
      <c r="B1043" s="7" t="n">
        <v>41</v>
      </c>
      <c r="C1043" s="7" t="s">
        <v>33</v>
      </c>
      <c r="D1043" s="7" t="s">
        <v>25</v>
      </c>
      <c r="E1043" s="7" t="n">
        <v>0</v>
      </c>
      <c r="F1043" s="7" t="n">
        <v>0</v>
      </c>
      <c r="G1043" s="7" t="s">
        <v>31</v>
      </c>
      <c r="H1043" s="7" t="s">
        <v>27</v>
      </c>
      <c r="I1043" s="7" t="n">
        <v>21.9</v>
      </c>
      <c r="J1043" s="7" t="s">
        <v>30</v>
      </c>
      <c r="K1043" s="7" t="n">
        <v>259.9</v>
      </c>
      <c r="L1043" s="7" t="s">
        <v>37</v>
      </c>
      <c r="M1043" s="7" t="s">
        <v>38</v>
      </c>
    </row>
    <row r="1044" customFormat="false" ht="15" hidden="false" customHeight="true" outlineLevel="0" collapsed="false">
      <c r="A1044" s="7" t="n">
        <v>1094</v>
      </c>
      <c r="B1044" s="7" t="n">
        <v>76</v>
      </c>
      <c r="C1044" s="7" t="s">
        <v>24</v>
      </c>
      <c r="D1044" s="7" t="s">
        <v>25</v>
      </c>
      <c r="E1044" s="7" t="n">
        <v>0</v>
      </c>
      <c r="F1044" s="7" t="n">
        <v>0</v>
      </c>
      <c r="G1044" s="7" t="s">
        <v>26</v>
      </c>
      <c r="H1044" s="7" t="s">
        <v>27</v>
      </c>
      <c r="I1044" s="7" t="n">
        <v>39.6</v>
      </c>
      <c r="J1044" s="7" t="s">
        <v>30</v>
      </c>
      <c r="K1044" s="7" t="n">
        <v>124.6</v>
      </c>
      <c r="L1044" s="7" t="s">
        <v>37</v>
      </c>
      <c r="M1044" s="7" t="s">
        <v>38</v>
      </c>
    </row>
    <row r="1045" customFormat="false" ht="15" hidden="false" customHeight="true" outlineLevel="0" collapsed="false">
      <c r="A1045" s="7" t="n">
        <v>1138</v>
      </c>
      <c r="B1045" s="7" t="n">
        <v>31</v>
      </c>
      <c r="C1045" s="7" t="s">
        <v>24</v>
      </c>
      <c r="D1045" s="7" t="s">
        <v>25</v>
      </c>
      <c r="E1045" s="7" t="n">
        <v>0</v>
      </c>
      <c r="F1045" s="7" t="n">
        <v>0</v>
      </c>
      <c r="G1045" s="7" t="s">
        <v>35</v>
      </c>
      <c r="H1045" s="7" t="s">
        <v>27</v>
      </c>
      <c r="I1045" s="7" t="n">
        <v>22.7</v>
      </c>
      <c r="J1045" s="7" t="s">
        <v>30</v>
      </c>
      <c r="K1045" s="7" t="n">
        <v>196.6</v>
      </c>
      <c r="L1045" s="7" t="s">
        <v>29</v>
      </c>
      <c r="M1045" s="7" t="s">
        <v>38</v>
      </c>
    </row>
    <row r="1046" customFormat="false" ht="15" hidden="false" customHeight="true" outlineLevel="0" collapsed="false">
      <c r="A1046" s="7" t="n">
        <v>1154</v>
      </c>
      <c r="B1046" s="7" t="n">
        <v>56</v>
      </c>
      <c r="C1046" s="7" t="s">
        <v>24</v>
      </c>
      <c r="D1046" s="7" t="s">
        <v>25</v>
      </c>
      <c r="E1046" s="7" t="n">
        <v>0</v>
      </c>
      <c r="F1046" s="7" t="n">
        <v>0</v>
      </c>
      <c r="G1046" s="7" t="s">
        <v>36</v>
      </c>
      <c r="H1046" s="7" t="s">
        <v>27</v>
      </c>
      <c r="I1046" s="7" t="n">
        <v>19.5</v>
      </c>
      <c r="J1046" s="7" t="s">
        <v>30</v>
      </c>
      <c r="K1046" s="7" t="n">
        <v>203.2</v>
      </c>
      <c r="L1046" s="7" t="s">
        <v>29</v>
      </c>
      <c r="M1046" s="7" t="s">
        <v>38</v>
      </c>
    </row>
    <row r="1047" customFormat="false" ht="15" hidden="false" customHeight="true" outlineLevel="0" collapsed="false">
      <c r="A1047" s="7" t="n">
        <v>1165</v>
      </c>
      <c r="B1047" s="7" t="n">
        <v>62</v>
      </c>
      <c r="C1047" s="7" t="s">
        <v>33</v>
      </c>
      <c r="D1047" s="7" t="s">
        <v>25</v>
      </c>
      <c r="E1047" s="7" t="n">
        <v>0</v>
      </c>
      <c r="F1047" s="7" t="n">
        <v>0</v>
      </c>
      <c r="G1047" s="7" t="s">
        <v>36</v>
      </c>
      <c r="H1047" s="7" t="s">
        <v>32</v>
      </c>
      <c r="I1047" s="7" t="n">
        <v>27.7</v>
      </c>
      <c r="J1047" s="7" t="s">
        <v>30</v>
      </c>
      <c r="K1047" s="7" t="n">
        <v>150.3</v>
      </c>
      <c r="L1047" s="7" t="s">
        <v>29</v>
      </c>
      <c r="M1047" s="7" t="s">
        <v>38</v>
      </c>
    </row>
    <row r="1048" customFormat="false" ht="15" hidden="false" customHeight="true" outlineLevel="0" collapsed="false">
      <c r="A1048" s="7" t="n">
        <v>1177</v>
      </c>
      <c r="B1048" s="7" t="n">
        <v>51</v>
      </c>
      <c r="C1048" s="7" t="s">
        <v>24</v>
      </c>
      <c r="D1048" s="7" t="s">
        <v>25</v>
      </c>
      <c r="E1048" s="7" t="n">
        <v>0</v>
      </c>
      <c r="F1048" s="7" t="n">
        <v>0</v>
      </c>
      <c r="G1048" s="7" t="s">
        <v>35</v>
      </c>
      <c r="H1048" s="7" t="s">
        <v>32</v>
      </c>
      <c r="I1048" s="7" t="n">
        <v>24.7</v>
      </c>
      <c r="J1048" s="7" t="s">
        <v>30</v>
      </c>
      <c r="K1048" s="7" t="n">
        <v>218.2</v>
      </c>
      <c r="L1048" s="7" t="s">
        <v>29</v>
      </c>
      <c r="M1048" s="7" t="s">
        <v>38</v>
      </c>
    </row>
    <row r="1049" customFormat="false" ht="15" hidden="false" customHeight="true" outlineLevel="0" collapsed="false">
      <c r="A1049" s="7" t="n">
        <v>1178</v>
      </c>
      <c r="B1049" s="7" t="n">
        <v>26</v>
      </c>
      <c r="C1049" s="7" t="s">
        <v>33</v>
      </c>
      <c r="D1049" s="7" t="s">
        <v>25</v>
      </c>
      <c r="E1049" s="7" t="n">
        <v>0</v>
      </c>
      <c r="F1049" s="7" t="n">
        <v>0</v>
      </c>
      <c r="G1049" s="7" t="s">
        <v>31</v>
      </c>
      <c r="H1049" s="7" t="s">
        <v>32</v>
      </c>
      <c r="I1049" s="7" t="n">
        <v>34.8</v>
      </c>
      <c r="J1049" s="7" t="s">
        <v>30</v>
      </c>
      <c r="K1049" s="7" t="n">
        <v>251.8</v>
      </c>
      <c r="L1049" s="7" t="s">
        <v>29</v>
      </c>
      <c r="M1049" s="7" t="s">
        <v>38</v>
      </c>
    </row>
    <row r="1050" customFormat="false" ht="15" hidden="false" customHeight="true" outlineLevel="0" collapsed="false">
      <c r="A1050" s="7" t="n">
        <v>1192</v>
      </c>
      <c r="B1050" s="7" t="n">
        <v>79</v>
      </c>
      <c r="C1050" s="7" t="s">
        <v>24</v>
      </c>
      <c r="D1050" s="7" t="s">
        <v>25</v>
      </c>
      <c r="E1050" s="7" t="n">
        <v>0</v>
      </c>
      <c r="F1050" s="7" t="n">
        <v>0</v>
      </c>
      <c r="G1050" s="7" t="s">
        <v>26</v>
      </c>
      <c r="H1050" s="7" t="s">
        <v>32</v>
      </c>
      <c r="I1050" s="7" t="n">
        <v>17.1</v>
      </c>
      <c r="J1050" s="7" t="s">
        <v>30</v>
      </c>
      <c r="K1050" s="7" t="n">
        <v>203.9</v>
      </c>
      <c r="L1050" s="7" t="s">
        <v>37</v>
      </c>
      <c r="M1050" s="7" t="s">
        <v>38</v>
      </c>
    </row>
    <row r="1051" customFormat="false" ht="15" hidden="false" customHeight="true" outlineLevel="0" collapsed="false">
      <c r="A1051" s="7" t="n">
        <v>1207</v>
      </c>
      <c r="B1051" s="7" t="n">
        <v>56</v>
      </c>
      <c r="C1051" s="7" t="s">
        <v>33</v>
      </c>
      <c r="D1051" s="7" t="s">
        <v>25</v>
      </c>
      <c r="E1051" s="7" t="n">
        <v>0</v>
      </c>
      <c r="F1051" s="7" t="n">
        <v>0</v>
      </c>
      <c r="G1051" s="7" t="s">
        <v>34</v>
      </c>
      <c r="H1051" s="7" t="s">
        <v>27</v>
      </c>
      <c r="I1051" s="7" t="n">
        <v>38.9</v>
      </c>
      <c r="J1051" s="7" t="s">
        <v>30</v>
      </c>
      <c r="K1051" s="7" t="n">
        <v>218.6</v>
      </c>
      <c r="L1051" s="7" t="s">
        <v>37</v>
      </c>
      <c r="M1051" s="7" t="s">
        <v>38</v>
      </c>
    </row>
    <row r="1052" customFormat="false" ht="15" hidden="false" customHeight="true" outlineLevel="0" collapsed="false">
      <c r="A1052" s="7" t="n">
        <v>1239</v>
      </c>
      <c r="B1052" s="7" t="n">
        <v>58</v>
      </c>
      <c r="C1052" s="7" t="s">
        <v>33</v>
      </c>
      <c r="D1052" s="7" t="s">
        <v>25</v>
      </c>
      <c r="E1052" s="7" t="n">
        <v>0</v>
      </c>
      <c r="F1052" s="7" t="n">
        <v>0</v>
      </c>
      <c r="G1052" s="7" t="s">
        <v>26</v>
      </c>
      <c r="H1052" s="7" t="s">
        <v>27</v>
      </c>
      <c r="I1052" s="7" t="n">
        <v>35.4</v>
      </c>
      <c r="J1052" s="7" t="s">
        <v>30</v>
      </c>
      <c r="K1052" s="7" t="n">
        <v>166.9</v>
      </c>
      <c r="L1052" s="7" t="s">
        <v>29</v>
      </c>
      <c r="M1052" s="7" t="s">
        <v>38</v>
      </c>
    </row>
    <row r="1053" customFormat="false" ht="15" hidden="false" customHeight="true" outlineLevel="0" collapsed="false">
      <c r="A1053" s="7" t="n">
        <v>1322</v>
      </c>
      <c r="B1053" s="7" t="n">
        <v>44</v>
      </c>
      <c r="C1053" s="7" t="s">
        <v>33</v>
      </c>
      <c r="D1053" s="7" t="s">
        <v>25</v>
      </c>
      <c r="E1053" s="7" t="n">
        <v>0</v>
      </c>
      <c r="F1053" s="7" t="n">
        <v>0</v>
      </c>
      <c r="G1053" s="7" t="s">
        <v>34</v>
      </c>
      <c r="H1053" s="7" t="s">
        <v>27</v>
      </c>
      <c r="I1053" s="7" t="n">
        <v>40.2</v>
      </c>
      <c r="J1053" s="7" t="s">
        <v>30</v>
      </c>
      <c r="K1053" s="7" t="n">
        <v>203.3</v>
      </c>
      <c r="L1053" s="7" t="s">
        <v>29</v>
      </c>
      <c r="M1053" s="7" t="s">
        <v>38</v>
      </c>
    </row>
    <row r="1054" customFormat="false" ht="15" hidden="false" customHeight="true" outlineLevel="0" collapsed="false">
      <c r="A1054" s="7" t="n">
        <v>1368</v>
      </c>
      <c r="B1054" s="7" t="n">
        <v>44</v>
      </c>
      <c r="C1054" s="7" t="s">
        <v>33</v>
      </c>
      <c r="D1054" s="7" t="s">
        <v>25</v>
      </c>
      <c r="E1054" s="7" t="n">
        <v>0</v>
      </c>
      <c r="F1054" s="7" t="n">
        <v>0</v>
      </c>
      <c r="G1054" s="7" t="s">
        <v>35</v>
      </c>
      <c r="H1054" s="7" t="s">
        <v>27</v>
      </c>
      <c r="I1054" s="7" t="n">
        <v>21.5</v>
      </c>
      <c r="J1054" s="7" t="s">
        <v>30</v>
      </c>
      <c r="K1054" s="7" t="n">
        <v>157.9</v>
      </c>
      <c r="L1054" s="7" t="s">
        <v>29</v>
      </c>
      <c r="M1054" s="7" t="s">
        <v>38</v>
      </c>
    </row>
    <row r="1055" customFormat="false" ht="15" hidden="false" customHeight="true" outlineLevel="0" collapsed="false">
      <c r="A1055" s="7" t="n">
        <v>1388</v>
      </c>
      <c r="B1055" s="7" t="n">
        <v>30</v>
      </c>
      <c r="C1055" s="7" t="s">
        <v>33</v>
      </c>
      <c r="D1055" s="7" t="s">
        <v>25</v>
      </c>
      <c r="E1055" s="7" t="n">
        <v>0</v>
      </c>
      <c r="F1055" s="7" t="n">
        <v>0</v>
      </c>
      <c r="G1055" s="7" t="s">
        <v>26</v>
      </c>
      <c r="H1055" s="7" t="s">
        <v>27</v>
      </c>
      <c r="I1055" s="7" t="n">
        <v>39.6</v>
      </c>
      <c r="J1055" s="7" t="s">
        <v>30</v>
      </c>
      <c r="K1055" s="7" t="n">
        <v>178</v>
      </c>
      <c r="L1055" s="7" t="s">
        <v>29</v>
      </c>
      <c r="M1055" s="7" t="s">
        <v>38</v>
      </c>
    </row>
    <row r="1056" customFormat="false" ht="15" hidden="false" customHeight="true" outlineLevel="0" collapsed="false">
      <c r="A1056" s="7" t="n">
        <v>1410</v>
      </c>
      <c r="B1056" s="7" t="n">
        <v>61</v>
      </c>
      <c r="C1056" s="7" t="s">
        <v>24</v>
      </c>
      <c r="D1056" s="7" t="s">
        <v>25</v>
      </c>
      <c r="E1056" s="7" t="n">
        <v>0</v>
      </c>
      <c r="F1056" s="7" t="n">
        <v>0</v>
      </c>
      <c r="G1056" s="7" t="s">
        <v>26</v>
      </c>
      <c r="H1056" s="7" t="s">
        <v>27</v>
      </c>
      <c r="I1056" s="7" t="n">
        <v>19.7</v>
      </c>
      <c r="J1056" s="7" t="s">
        <v>30</v>
      </c>
      <c r="K1056" s="7" t="n">
        <v>127.4</v>
      </c>
      <c r="L1056" s="7" t="s">
        <v>29</v>
      </c>
      <c r="M1056" s="7" t="s">
        <v>38</v>
      </c>
    </row>
    <row r="1057" customFormat="false" ht="15" hidden="false" customHeight="true" outlineLevel="0" collapsed="false">
      <c r="A1057" s="7" t="n">
        <v>1430</v>
      </c>
      <c r="B1057" s="7" t="n">
        <v>30</v>
      </c>
      <c r="C1057" s="7" t="s">
        <v>33</v>
      </c>
      <c r="D1057" s="7" t="s">
        <v>25</v>
      </c>
      <c r="E1057" s="7" t="n">
        <v>0</v>
      </c>
      <c r="F1057" s="7" t="n">
        <v>0</v>
      </c>
      <c r="G1057" s="7" t="s">
        <v>34</v>
      </c>
      <c r="H1057" s="7" t="s">
        <v>27</v>
      </c>
      <c r="I1057" s="7" t="n">
        <v>36.2</v>
      </c>
      <c r="J1057" s="7" t="s">
        <v>30</v>
      </c>
      <c r="K1057" s="7" t="n">
        <v>159.1</v>
      </c>
      <c r="L1057" s="7" t="s">
        <v>37</v>
      </c>
      <c r="M1057" s="7" t="s">
        <v>38</v>
      </c>
    </row>
    <row r="1058" customFormat="false" ht="15" hidden="false" customHeight="true" outlineLevel="0" collapsed="false">
      <c r="A1058" s="7" t="n">
        <v>1433</v>
      </c>
      <c r="B1058" s="7" t="n">
        <v>79</v>
      </c>
      <c r="C1058" s="7" t="s">
        <v>24</v>
      </c>
      <c r="D1058" s="7" t="s">
        <v>25</v>
      </c>
      <c r="E1058" s="7" t="n">
        <v>0</v>
      </c>
      <c r="F1058" s="7" t="n">
        <v>0</v>
      </c>
      <c r="G1058" s="7" t="s">
        <v>35</v>
      </c>
      <c r="H1058" s="7" t="s">
        <v>27</v>
      </c>
      <c r="I1058" s="7" t="n">
        <v>38.9</v>
      </c>
      <c r="J1058" s="7" t="s">
        <v>30</v>
      </c>
      <c r="K1058" s="7" t="n">
        <v>146.7</v>
      </c>
      <c r="L1058" s="7" t="s">
        <v>37</v>
      </c>
      <c r="M1058" s="7" t="s">
        <v>38</v>
      </c>
    </row>
    <row r="1059" customFormat="false" ht="15" hidden="false" customHeight="true" outlineLevel="0" collapsed="false">
      <c r="A1059" s="7" t="n">
        <v>1437</v>
      </c>
      <c r="B1059" s="7" t="n">
        <v>82</v>
      </c>
      <c r="C1059" s="7" t="s">
        <v>33</v>
      </c>
      <c r="D1059" s="7" t="s">
        <v>25</v>
      </c>
      <c r="E1059" s="7" t="n">
        <v>0</v>
      </c>
      <c r="F1059" s="7" t="n">
        <v>0</v>
      </c>
      <c r="G1059" s="7" t="s">
        <v>26</v>
      </c>
      <c r="H1059" s="7" t="s">
        <v>27</v>
      </c>
      <c r="I1059" s="7" t="n">
        <v>28.1</v>
      </c>
      <c r="J1059" s="7" t="s">
        <v>30</v>
      </c>
      <c r="K1059" s="7" t="n">
        <v>127.3</v>
      </c>
      <c r="L1059" s="7" t="s">
        <v>29</v>
      </c>
      <c r="M1059" s="7" t="s">
        <v>38</v>
      </c>
    </row>
    <row r="1060" customFormat="false" ht="15" hidden="false" customHeight="true" outlineLevel="0" collapsed="false">
      <c r="A1060" s="7" t="n">
        <v>1491</v>
      </c>
      <c r="B1060" s="7" t="n">
        <v>30</v>
      </c>
      <c r="C1060" s="7" t="s">
        <v>24</v>
      </c>
      <c r="D1060" s="7" t="s">
        <v>25</v>
      </c>
      <c r="E1060" s="7" t="n">
        <v>0</v>
      </c>
      <c r="F1060" s="7" t="n">
        <v>0</v>
      </c>
      <c r="G1060" s="7" t="s">
        <v>31</v>
      </c>
      <c r="H1060" s="7" t="s">
        <v>27</v>
      </c>
      <c r="I1060" s="7" t="n">
        <v>39.4</v>
      </c>
      <c r="J1060" s="7" t="s">
        <v>30</v>
      </c>
      <c r="K1060" s="7" t="n">
        <v>179.6</v>
      </c>
      <c r="L1060" s="7" t="s">
        <v>29</v>
      </c>
      <c r="M1060" s="7" t="s">
        <v>38</v>
      </c>
    </row>
    <row r="1061" customFormat="false" ht="15" hidden="false" customHeight="true" outlineLevel="0" collapsed="false">
      <c r="A1061" s="7" t="n">
        <v>1507</v>
      </c>
      <c r="B1061" s="7" t="n">
        <v>85</v>
      </c>
      <c r="C1061" s="7" t="s">
        <v>33</v>
      </c>
      <c r="D1061" s="7" t="s">
        <v>25</v>
      </c>
      <c r="E1061" s="7" t="n">
        <v>0</v>
      </c>
      <c r="F1061" s="7" t="n">
        <v>0</v>
      </c>
      <c r="G1061" s="7" t="s">
        <v>35</v>
      </c>
      <c r="H1061" s="7" t="s">
        <v>32</v>
      </c>
      <c r="I1061" s="7" t="n">
        <v>20.8</v>
      </c>
      <c r="J1061" s="7" t="s">
        <v>30</v>
      </c>
      <c r="K1061" s="7" t="n">
        <v>139.8</v>
      </c>
      <c r="L1061" s="7" t="s">
        <v>29</v>
      </c>
      <c r="M1061" s="7" t="s">
        <v>38</v>
      </c>
    </row>
    <row r="1062" customFormat="false" ht="15" hidden="false" customHeight="true" outlineLevel="0" collapsed="false">
      <c r="A1062" s="7" t="n">
        <v>1519</v>
      </c>
      <c r="B1062" s="7" t="n">
        <v>36</v>
      </c>
      <c r="C1062" s="7" t="s">
        <v>33</v>
      </c>
      <c r="D1062" s="7" t="s">
        <v>25</v>
      </c>
      <c r="E1062" s="7" t="n">
        <v>0</v>
      </c>
      <c r="F1062" s="7" t="n">
        <v>0</v>
      </c>
      <c r="G1062" s="7" t="s">
        <v>31</v>
      </c>
      <c r="H1062" s="7" t="s">
        <v>27</v>
      </c>
      <c r="I1062" s="7" t="n">
        <v>22.3</v>
      </c>
      <c r="J1062" s="7" t="s">
        <v>30</v>
      </c>
      <c r="K1062" s="7" t="n">
        <v>148</v>
      </c>
      <c r="L1062" s="7" t="s">
        <v>29</v>
      </c>
      <c r="M1062" s="7" t="s">
        <v>38</v>
      </c>
    </row>
    <row r="1063" customFormat="false" ht="15" hidden="false" customHeight="true" outlineLevel="0" collapsed="false">
      <c r="A1063" s="7" t="n">
        <v>1536</v>
      </c>
      <c r="B1063" s="7" t="n">
        <v>83</v>
      </c>
      <c r="C1063" s="7" t="s">
        <v>33</v>
      </c>
      <c r="D1063" s="7" t="s">
        <v>25</v>
      </c>
      <c r="E1063" s="7" t="n">
        <v>0</v>
      </c>
      <c r="F1063" s="7" t="n">
        <v>0</v>
      </c>
      <c r="G1063" s="7" t="s">
        <v>34</v>
      </c>
      <c r="H1063" s="7" t="s">
        <v>27</v>
      </c>
      <c r="I1063" s="7" t="n">
        <v>33.7</v>
      </c>
      <c r="J1063" s="7" t="s">
        <v>30</v>
      </c>
      <c r="K1063" s="7" t="n">
        <v>240.8</v>
      </c>
      <c r="L1063" s="7" t="s">
        <v>29</v>
      </c>
      <c r="M1063" s="7" t="s">
        <v>38</v>
      </c>
    </row>
    <row r="1064" customFormat="false" ht="15" hidden="false" customHeight="true" outlineLevel="0" collapsed="false">
      <c r="A1064" s="7" t="n">
        <v>1537</v>
      </c>
      <c r="B1064" s="7" t="n">
        <v>40</v>
      </c>
      <c r="C1064" s="7" t="s">
        <v>24</v>
      </c>
      <c r="D1064" s="7" t="s">
        <v>25</v>
      </c>
      <c r="E1064" s="7" t="n">
        <v>0</v>
      </c>
      <c r="F1064" s="7" t="n">
        <v>0</v>
      </c>
      <c r="G1064" s="7" t="s">
        <v>34</v>
      </c>
      <c r="H1064" s="7" t="s">
        <v>27</v>
      </c>
      <c r="I1064" s="7" t="n">
        <v>39.2</v>
      </c>
      <c r="J1064" s="7" t="s">
        <v>30</v>
      </c>
      <c r="K1064" s="7" t="n">
        <v>144.5</v>
      </c>
      <c r="L1064" s="7" t="s">
        <v>37</v>
      </c>
      <c r="M1064" s="7" t="s">
        <v>38</v>
      </c>
    </row>
    <row r="1065" customFormat="false" ht="15" hidden="false" customHeight="true" outlineLevel="0" collapsed="false">
      <c r="A1065" s="7" t="n">
        <v>1566</v>
      </c>
      <c r="B1065" s="7" t="n">
        <v>64</v>
      </c>
      <c r="C1065" s="7" t="s">
        <v>33</v>
      </c>
      <c r="D1065" s="7" t="s">
        <v>25</v>
      </c>
      <c r="E1065" s="7" t="n">
        <v>0</v>
      </c>
      <c r="F1065" s="7" t="n">
        <v>0</v>
      </c>
      <c r="G1065" s="7" t="s">
        <v>34</v>
      </c>
      <c r="H1065" s="7" t="s">
        <v>32</v>
      </c>
      <c r="I1065" s="7" t="n">
        <v>21.9</v>
      </c>
      <c r="J1065" s="7" t="s">
        <v>30</v>
      </c>
      <c r="K1065" s="7" t="n">
        <v>124.7</v>
      </c>
      <c r="L1065" s="7" t="s">
        <v>37</v>
      </c>
      <c r="M1065" s="7" t="s">
        <v>38</v>
      </c>
    </row>
    <row r="1066" customFormat="false" ht="15" hidden="false" customHeight="true" outlineLevel="0" collapsed="false">
      <c r="A1066" s="7" t="n">
        <v>1577</v>
      </c>
      <c r="B1066" s="7" t="n">
        <v>53</v>
      </c>
      <c r="C1066" s="7" t="s">
        <v>33</v>
      </c>
      <c r="D1066" s="7" t="s">
        <v>25</v>
      </c>
      <c r="E1066" s="7" t="n">
        <v>0</v>
      </c>
      <c r="F1066" s="7" t="n">
        <v>0</v>
      </c>
      <c r="G1066" s="7" t="s">
        <v>31</v>
      </c>
      <c r="H1066" s="7" t="s">
        <v>27</v>
      </c>
      <c r="I1066" s="7" t="n">
        <v>19.9</v>
      </c>
      <c r="J1066" s="7" t="s">
        <v>30</v>
      </c>
      <c r="K1066" s="7" t="n">
        <v>139.3</v>
      </c>
      <c r="L1066" s="7" t="s">
        <v>37</v>
      </c>
      <c r="M1066" s="7" t="s">
        <v>38</v>
      </c>
    </row>
    <row r="1067" customFormat="false" ht="15" hidden="false" customHeight="true" outlineLevel="0" collapsed="false">
      <c r="A1067" s="7" t="n">
        <v>1593</v>
      </c>
      <c r="B1067" s="7" t="n">
        <v>23</v>
      </c>
      <c r="C1067" s="7" t="s">
        <v>33</v>
      </c>
      <c r="D1067" s="7" t="s">
        <v>25</v>
      </c>
      <c r="E1067" s="7" t="n">
        <v>0</v>
      </c>
      <c r="F1067" s="7" t="n">
        <v>0</v>
      </c>
      <c r="G1067" s="7" t="s">
        <v>26</v>
      </c>
      <c r="H1067" s="7" t="s">
        <v>27</v>
      </c>
      <c r="I1067" s="7" t="n">
        <v>32.5</v>
      </c>
      <c r="J1067" s="7" t="s">
        <v>30</v>
      </c>
      <c r="K1067" s="7" t="n">
        <v>172.3</v>
      </c>
      <c r="L1067" s="7" t="s">
        <v>29</v>
      </c>
      <c r="M1067" s="7" t="s">
        <v>38</v>
      </c>
    </row>
    <row r="1068" customFormat="false" ht="15" hidden="false" customHeight="true" outlineLevel="0" collapsed="false">
      <c r="A1068" s="7" t="n">
        <v>1612</v>
      </c>
      <c r="B1068" s="7" t="n">
        <v>79</v>
      </c>
      <c r="C1068" s="7" t="s">
        <v>24</v>
      </c>
      <c r="D1068" s="7" t="s">
        <v>25</v>
      </c>
      <c r="E1068" s="7" t="n">
        <v>0</v>
      </c>
      <c r="F1068" s="7" t="n">
        <v>0</v>
      </c>
      <c r="G1068" s="7" t="s">
        <v>35</v>
      </c>
      <c r="H1068" s="7" t="s">
        <v>32</v>
      </c>
      <c r="I1068" s="7" t="n">
        <v>33.1</v>
      </c>
      <c r="J1068" s="7" t="s">
        <v>30</v>
      </c>
      <c r="K1068" s="7" t="n">
        <v>217.6</v>
      </c>
      <c r="L1068" s="7" t="s">
        <v>37</v>
      </c>
      <c r="M1068" s="7" t="s">
        <v>38</v>
      </c>
    </row>
    <row r="1069" customFormat="false" ht="15" hidden="false" customHeight="true" outlineLevel="0" collapsed="false">
      <c r="A1069" s="7" t="n">
        <v>1625</v>
      </c>
      <c r="B1069" s="7" t="n">
        <v>55</v>
      </c>
      <c r="C1069" s="7" t="s">
        <v>33</v>
      </c>
      <c r="D1069" s="7" t="s">
        <v>25</v>
      </c>
      <c r="E1069" s="7" t="n">
        <v>0</v>
      </c>
      <c r="F1069" s="7" t="n">
        <v>0</v>
      </c>
      <c r="G1069" s="7" t="s">
        <v>31</v>
      </c>
      <c r="H1069" s="7" t="s">
        <v>32</v>
      </c>
      <c r="I1069" s="7" t="n">
        <v>30.9</v>
      </c>
      <c r="J1069" s="7" t="s">
        <v>30</v>
      </c>
      <c r="K1069" s="7" t="n">
        <v>287.8</v>
      </c>
      <c r="L1069" s="7" t="s">
        <v>29</v>
      </c>
      <c r="M1069" s="7" t="s">
        <v>38</v>
      </c>
    </row>
    <row r="1070" customFormat="false" ht="15" hidden="false" customHeight="true" outlineLevel="0" collapsed="false">
      <c r="A1070" s="7" t="n">
        <v>1632</v>
      </c>
      <c r="B1070" s="7" t="n">
        <v>40</v>
      </c>
      <c r="C1070" s="7" t="s">
        <v>33</v>
      </c>
      <c r="D1070" s="7" t="s">
        <v>25</v>
      </c>
      <c r="E1070" s="7" t="n">
        <v>0</v>
      </c>
      <c r="F1070" s="7" t="n">
        <v>0</v>
      </c>
      <c r="G1070" s="7" t="s">
        <v>31</v>
      </c>
      <c r="H1070" s="7" t="s">
        <v>32</v>
      </c>
      <c r="I1070" s="7" t="n">
        <v>22.6</v>
      </c>
      <c r="J1070" s="7" t="s">
        <v>30</v>
      </c>
      <c r="K1070" s="7" t="n">
        <v>242.8</v>
      </c>
      <c r="L1070" s="7" t="s">
        <v>29</v>
      </c>
      <c r="M1070" s="7" t="s">
        <v>38</v>
      </c>
    </row>
    <row r="1071" customFormat="false" ht="15" hidden="false" customHeight="true" outlineLevel="0" collapsed="false">
      <c r="A1071" s="7" t="n">
        <v>1640</v>
      </c>
      <c r="B1071" s="7" t="n">
        <v>70</v>
      </c>
      <c r="C1071" s="7" t="s">
        <v>33</v>
      </c>
      <c r="D1071" s="7" t="s">
        <v>25</v>
      </c>
      <c r="E1071" s="7" t="n">
        <v>0</v>
      </c>
      <c r="F1071" s="7" t="n">
        <v>0</v>
      </c>
      <c r="G1071" s="7" t="s">
        <v>26</v>
      </c>
      <c r="H1071" s="7" t="s">
        <v>27</v>
      </c>
      <c r="I1071" s="7" t="n">
        <v>27.7</v>
      </c>
      <c r="J1071" s="7" t="s">
        <v>30</v>
      </c>
      <c r="K1071" s="7" t="n">
        <v>202.2</v>
      </c>
      <c r="L1071" s="7" t="s">
        <v>37</v>
      </c>
      <c r="M1071" s="7" t="s">
        <v>38</v>
      </c>
    </row>
    <row r="1072" customFormat="false" ht="15" hidden="false" customHeight="true" outlineLevel="0" collapsed="false">
      <c r="A1072" s="7" t="n">
        <v>1658</v>
      </c>
      <c r="B1072" s="7" t="n">
        <v>73</v>
      </c>
      <c r="C1072" s="7" t="s">
        <v>33</v>
      </c>
      <c r="D1072" s="7" t="s">
        <v>25</v>
      </c>
      <c r="E1072" s="7" t="n">
        <v>0</v>
      </c>
      <c r="F1072" s="7" t="n">
        <v>0</v>
      </c>
      <c r="G1072" s="7" t="s">
        <v>35</v>
      </c>
      <c r="H1072" s="7" t="s">
        <v>32</v>
      </c>
      <c r="I1072" s="7" t="n">
        <v>32.7</v>
      </c>
      <c r="J1072" s="7" t="s">
        <v>30</v>
      </c>
      <c r="K1072" s="7" t="n">
        <v>257.4</v>
      </c>
      <c r="L1072" s="7" t="s">
        <v>29</v>
      </c>
      <c r="M1072" s="7" t="s">
        <v>38</v>
      </c>
    </row>
    <row r="1073" customFormat="false" ht="15" hidden="false" customHeight="true" outlineLevel="0" collapsed="false">
      <c r="A1073" s="7" t="n">
        <v>1702</v>
      </c>
      <c r="B1073" s="7" t="n">
        <v>72</v>
      </c>
      <c r="C1073" s="7" t="s">
        <v>33</v>
      </c>
      <c r="D1073" s="7" t="s">
        <v>25</v>
      </c>
      <c r="E1073" s="7" t="n">
        <v>0</v>
      </c>
      <c r="F1073" s="7" t="n">
        <v>0</v>
      </c>
      <c r="G1073" s="7" t="s">
        <v>36</v>
      </c>
      <c r="H1073" s="7" t="s">
        <v>27</v>
      </c>
      <c r="I1073" s="7" t="n">
        <v>25.7</v>
      </c>
      <c r="J1073" s="7" t="s">
        <v>30</v>
      </c>
      <c r="K1073" s="7" t="n">
        <v>126.3</v>
      </c>
      <c r="L1073" s="7" t="s">
        <v>29</v>
      </c>
      <c r="M1073" s="7" t="s">
        <v>38</v>
      </c>
    </row>
    <row r="1074" customFormat="false" ht="15" hidden="false" customHeight="true" outlineLevel="0" collapsed="false">
      <c r="A1074" s="7" t="n">
        <v>1707</v>
      </c>
      <c r="B1074" s="7" t="n">
        <v>58</v>
      </c>
      <c r="C1074" s="7" t="s">
        <v>24</v>
      </c>
      <c r="D1074" s="7" t="s">
        <v>25</v>
      </c>
      <c r="E1074" s="7" t="n">
        <v>0</v>
      </c>
      <c r="F1074" s="7" t="n">
        <v>0</v>
      </c>
      <c r="G1074" s="7" t="s">
        <v>31</v>
      </c>
      <c r="H1074" s="7" t="s">
        <v>27</v>
      </c>
      <c r="I1074" s="7" t="n">
        <v>29.8</v>
      </c>
      <c r="J1074" s="7" t="s">
        <v>30</v>
      </c>
      <c r="K1074" s="7" t="n">
        <v>204.5</v>
      </c>
      <c r="L1074" s="7" t="s">
        <v>29</v>
      </c>
      <c r="M1074" s="7" t="s">
        <v>38</v>
      </c>
    </row>
    <row r="1075" customFormat="false" ht="15" hidden="false" customHeight="true" outlineLevel="0" collapsed="false">
      <c r="A1075" s="7" t="n">
        <v>1822</v>
      </c>
      <c r="B1075" s="7" t="n">
        <v>18</v>
      </c>
      <c r="C1075" s="7" t="s">
        <v>33</v>
      </c>
      <c r="D1075" s="7" t="s">
        <v>25</v>
      </c>
      <c r="E1075" s="7" t="n">
        <v>0</v>
      </c>
      <c r="F1075" s="7" t="n">
        <v>0</v>
      </c>
      <c r="G1075" s="7" t="s">
        <v>35</v>
      </c>
      <c r="H1075" s="7" t="s">
        <v>27</v>
      </c>
      <c r="I1075" s="7" t="n">
        <v>28</v>
      </c>
      <c r="J1075" s="7" t="s">
        <v>30</v>
      </c>
      <c r="K1075" s="7" t="n">
        <v>203.6</v>
      </c>
      <c r="L1075" s="7" t="s">
        <v>37</v>
      </c>
      <c r="M1075" s="7" t="s">
        <v>38</v>
      </c>
    </row>
    <row r="1076" customFormat="false" ht="15" hidden="false" customHeight="true" outlineLevel="0" collapsed="false">
      <c r="A1076" s="7" t="n">
        <v>1831</v>
      </c>
      <c r="B1076" s="7" t="n">
        <v>22</v>
      </c>
      <c r="C1076" s="7" t="s">
        <v>24</v>
      </c>
      <c r="D1076" s="7" t="s">
        <v>25</v>
      </c>
      <c r="E1076" s="7" t="n">
        <v>0</v>
      </c>
      <c r="F1076" s="7" t="n">
        <v>0</v>
      </c>
      <c r="G1076" s="7" t="s">
        <v>35</v>
      </c>
      <c r="H1076" s="7" t="s">
        <v>32</v>
      </c>
      <c r="I1076" s="7" t="n">
        <v>33.8</v>
      </c>
      <c r="J1076" s="7" t="s">
        <v>30</v>
      </c>
      <c r="K1076" s="7" t="n">
        <v>182.3</v>
      </c>
      <c r="L1076" s="7" t="s">
        <v>37</v>
      </c>
      <c r="M1076" s="7" t="s">
        <v>38</v>
      </c>
    </row>
    <row r="1077" customFormat="false" ht="15" hidden="false" customHeight="true" outlineLevel="0" collapsed="false">
      <c r="A1077" s="7" t="n">
        <v>1865</v>
      </c>
      <c r="B1077" s="7" t="n">
        <v>76</v>
      </c>
      <c r="C1077" s="7" t="s">
        <v>33</v>
      </c>
      <c r="D1077" s="7" t="s">
        <v>25</v>
      </c>
      <c r="E1077" s="7" t="n">
        <v>0</v>
      </c>
      <c r="F1077" s="7" t="n">
        <v>0</v>
      </c>
      <c r="G1077" s="7" t="s">
        <v>34</v>
      </c>
      <c r="H1077" s="7" t="s">
        <v>32</v>
      </c>
      <c r="I1077" s="7" t="n">
        <v>35.3</v>
      </c>
      <c r="J1077" s="7" t="s">
        <v>30</v>
      </c>
      <c r="K1077" s="7" t="n">
        <v>158.2</v>
      </c>
      <c r="L1077" s="7" t="s">
        <v>29</v>
      </c>
      <c r="M1077" s="7" t="s">
        <v>38</v>
      </c>
    </row>
    <row r="1078" customFormat="false" ht="15" hidden="false" customHeight="true" outlineLevel="0" collapsed="false">
      <c r="A1078" s="7" t="n">
        <v>1871</v>
      </c>
      <c r="B1078" s="7" t="n">
        <v>63</v>
      </c>
      <c r="C1078" s="7" t="s">
        <v>33</v>
      </c>
      <c r="D1078" s="7" t="s">
        <v>25</v>
      </c>
      <c r="E1078" s="7" t="n">
        <v>0</v>
      </c>
      <c r="F1078" s="7" t="n">
        <v>0</v>
      </c>
      <c r="G1078" s="7" t="s">
        <v>35</v>
      </c>
      <c r="H1078" s="7" t="s">
        <v>27</v>
      </c>
      <c r="I1078" s="7" t="n">
        <v>35.1</v>
      </c>
      <c r="J1078" s="7" t="s">
        <v>30</v>
      </c>
      <c r="K1078" s="7" t="n">
        <v>204.2</v>
      </c>
      <c r="L1078" s="7" t="s">
        <v>29</v>
      </c>
      <c r="M1078" s="7" t="s">
        <v>38</v>
      </c>
    </row>
    <row r="1079" customFormat="false" ht="15" hidden="false" customHeight="true" outlineLevel="0" collapsed="false">
      <c r="A1079" s="7" t="n">
        <v>1981</v>
      </c>
      <c r="B1079" s="7" t="n">
        <v>21</v>
      </c>
      <c r="C1079" s="7" t="s">
        <v>24</v>
      </c>
      <c r="D1079" s="7" t="s">
        <v>25</v>
      </c>
      <c r="E1079" s="7" t="n">
        <v>0</v>
      </c>
      <c r="F1079" s="7" t="n">
        <v>0</v>
      </c>
      <c r="G1079" s="7" t="s">
        <v>31</v>
      </c>
      <c r="H1079" s="7" t="s">
        <v>32</v>
      </c>
      <c r="I1079" s="7" t="n">
        <v>30.2</v>
      </c>
      <c r="J1079" s="7" t="s">
        <v>30</v>
      </c>
      <c r="K1079" s="7" t="n">
        <v>297.3</v>
      </c>
      <c r="L1079" s="7" t="s">
        <v>37</v>
      </c>
      <c r="M1079" s="7" t="s">
        <v>38</v>
      </c>
    </row>
    <row r="1080" customFormat="false" ht="15" hidden="false" customHeight="true" outlineLevel="0" collapsed="false">
      <c r="A1080" s="7" t="n">
        <v>2000</v>
      </c>
      <c r="B1080" s="7" t="n">
        <v>39</v>
      </c>
      <c r="C1080" s="7" t="s">
        <v>33</v>
      </c>
      <c r="D1080" s="7" t="s">
        <v>25</v>
      </c>
      <c r="E1080" s="7" t="n">
        <v>0</v>
      </c>
      <c r="F1080" s="7" t="n">
        <v>0</v>
      </c>
      <c r="G1080" s="7" t="s">
        <v>35</v>
      </c>
      <c r="H1080" s="7" t="s">
        <v>32</v>
      </c>
      <c r="I1080" s="7" t="n">
        <v>30.1</v>
      </c>
      <c r="J1080" s="7" t="s">
        <v>30</v>
      </c>
      <c r="K1080" s="7" t="n">
        <v>299.5</v>
      </c>
      <c r="L1080" s="7" t="s">
        <v>29</v>
      </c>
      <c r="M1080" s="7" t="s">
        <v>38</v>
      </c>
    </row>
    <row r="1081" customFormat="false" ht="15" hidden="false" customHeight="true" outlineLevel="0" collapsed="false">
      <c r="A1081" s="7" t="n">
        <v>2003</v>
      </c>
      <c r="B1081" s="7" t="n">
        <v>83</v>
      </c>
      <c r="C1081" s="7" t="s">
        <v>33</v>
      </c>
      <c r="D1081" s="7" t="s">
        <v>25</v>
      </c>
      <c r="E1081" s="7" t="n">
        <v>0</v>
      </c>
      <c r="F1081" s="7" t="n">
        <v>0</v>
      </c>
      <c r="G1081" s="7" t="s">
        <v>35</v>
      </c>
      <c r="H1081" s="7" t="s">
        <v>27</v>
      </c>
      <c r="I1081" s="7" t="n">
        <v>29.5</v>
      </c>
      <c r="J1081" s="7" t="s">
        <v>30</v>
      </c>
      <c r="K1081" s="7" t="n">
        <v>147</v>
      </c>
      <c r="L1081" s="7" t="s">
        <v>37</v>
      </c>
      <c r="M1081" s="7" t="s">
        <v>38</v>
      </c>
    </row>
    <row r="1082" customFormat="false" ht="15" hidden="false" customHeight="true" outlineLevel="0" collapsed="false">
      <c r="A1082" s="7" t="n">
        <v>2023</v>
      </c>
      <c r="B1082" s="7" t="n">
        <v>84</v>
      </c>
      <c r="C1082" s="7" t="s">
        <v>24</v>
      </c>
      <c r="D1082" s="7" t="s">
        <v>25</v>
      </c>
      <c r="E1082" s="7" t="n">
        <v>0</v>
      </c>
      <c r="F1082" s="7" t="n">
        <v>0</v>
      </c>
      <c r="G1082" s="7" t="s">
        <v>31</v>
      </c>
      <c r="H1082" s="7" t="s">
        <v>27</v>
      </c>
      <c r="I1082" s="7" t="n">
        <v>22.7</v>
      </c>
      <c r="J1082" s="7" t="s">
        <v>30</v>
      </c>
      <c r="K1082" s="7" t="n">
        <v>216.4</v>
      </c>
      <c r="L1082" s="7" t="s">
        <v>29</v>
      </c>
      <c r="M1082" s="7" t="s">
        <v>38</v>
      </c>
    </row>
    <row r="1083" customFormat="false" ht="15" hidden="false" customHeight="true" outlineLevel="0" collapsed="false">
      <c r="A1083" s="7" t="n">
        <v>2054</v>
      </c>
      <c r="B1083" s="7" t="n">
        <v>53</v>
      </c>
      <c r="C1083" s="7" t="s">
        <v>24</v>
      </c>
      <c r="D1083" s="7" t="s">
        <v>25</v>
      </c>
      <c r="E1083" s="7" t="n">
        <v>0</v>
      </c>
      <c r="F1083" s="7" t="n">
        <v>0</v>
      </c>
      <c r="G1083" s="7" t="s">
        <v>31</v>
      </c>
      <c r="H1083" s="7" t="s">
        <v>27</v>
      </c>
      <c r="I1083" s="7" t="n">
        <v>33.6</v>
      </c>
      <c r="J1083" s="7" t="s">
        <v>30</v>
      </c>
      <c r="K1083" s="7" t="n">
        <v>180</v>
      </c>
      <c r="L1083" s="7" t="s">
        <v>37</v>
      </c>
      <c r="M1083" s="7" t="s">
        <v>38</v>
      </c>
    </row>
    <row r="1084" customFormat="false" ht="15" hidden="false" customHeight="true" outlineLevel="0" collapsed="false">
      <c r="A1084" s="7" t="n">
        <v>2115</v>
      </c>
      <c r="B1084" s="7" t="n">
        <v>66</v>
      </c>
      <c r="C1084" s="7" t="s">
        <v>33</v>
      </c>
      <c r="D1084" s="7" t="s">
        <v>25</v>
      </c>
      <c r="E1084" s="7" t="n">
        <v>0</v>
      </c>
      <c r="F1084" s="7" t="n">
        <v>0</v>
      </c>
      <c r="G1084" s="7" t="s">
        <v>31</v>
      </c>
      <c r="H1084" s="7" t="s">
        <v>32</v>
      </c>
      <c r="I1084" s="7" t="n">
        <v>17.4</v>
      </c>
      <c r="J1084" s="7" t="s">
        <v>30</v>
      </c>
      <c r="K1084" s="7" t="n">
        <v>160.8</v>
      </c>
      <c r="L1084" s="7" t="s">
        <v>29</v>
      </c>
      <c r="M1084" s="7" t="s">
        <v>38</v>
      </c>
    </row>
    <row r="1085" customFormat="false" ht="15" hidden="false" customHeight="true" outlineLevel="0" collapsed="false">
      <c r="A1085" s="7" t="n">
        <v>2119</v>
      </c>
      <c r="B1085" s="7" t="n">
        <v>38</v>
      </c>
      <c r="C1085" s="7" t="s">
        <v>33</v>
      </c>
      <c r="D1085" s="7" t="s">
        <v>25</v>
      </c>
      <c r="E1085" s="7" t="n">
        <v>0</v>
      </c>
      <c r="F1085" s="7" t="n">
        <v>0</v>
      </c>
      <c r="G1085" s="7" t="s">
        <v>35</v>
      </c>
      <c r="H1085" s="7" t="s">
        <v>27</v>
      </c>
      <c r="I1085" s="7" t="n">
        <v>37.2</v>
      </c>
      <c r="J1085" s="7" t="s">
        <v>30</v>
      </c>
      <c r="K1085" s="7" t="n">
        <v>276.9</v>
      </c>
      <c r="L1085" s="7" t="s">
        <v>29</v>
      </c>
      <c r="M1085" s="7" t="s">
        <v>38</v>
      </c>
    </row>
    <row r="1086" customFormat="false" ht="15" hidden="false" customHeight="true" outlineLevel="0" collapsed="false">
      <c r="A1086" s="7" t="n">
        <v>2136</v>
      </c>
      <c r="B1086" s="7" t="n">
        <v>59</v>
      </c>
      <c r="C1086" s="7" t="s">
        <v>24</v>
      </c>
      <c r="D1086" s="7" t="s">
        <v>25</v>
      </c>
      <c r="E1086" s="7" t="n">
        <v>0</v>
      </c>
      <c r="F1086" s="7" t="n">
        <v>0</v>
      </c>
      <c r="G1086" s="7" t="s">
        <v>34</v>
      </c>
      <c r="H1086" s="7" t="s">
        <v>27</v>
      </c>
      <c r="I1086" s="7" t="n">
        <v>38</v>
      </c>
      <c r="J1086" s="7" t="s">
        <v>30</v>
      </c>
      <c r="K1086" s="7" t="n">
        <v>134.1</v>
      </c>
      <c r="L1086" s="7" t="s">
        <v>29</v>
      </c>
      <c r="M1086" s="7" t="s">
        <v>38</v>
      </c>
    </row>
    <row r="1087" customFormat="false" ht="15" hidden="false" customHeight="true" outlineLevel="0" collapsed="false">
      <c r="A1087" s="7" t="n">
        <v>2213</v>
      </c>
      <c r="B1087" s="7" t="n">
        <v>28</v>
      </c>
      <c r="C1087" s="7" t="s">
        <v>33</v>
      </c>
      <c r="D1087" s="7" t="s">
        <v>25</v>
      </c>
      <c r="E1087" s="7" t="n">
        <v>0</v>
      </c>
      <c r="F1087" s="7" t="n">
        <v>0</v>
      </c>
      <c r="G1087" s="7" t="s">
        <v>35</v>
      </c>
      <c r="H1087" s="7" t="s">
        <v>27</v>
      </c>
      <c r="I1087" s="7" t="n">
        <v>34.6</v>
      </c>
      <c r="J1087" s="7" t="s">
        <v>30</v>
      </c>
      <c r="K1087" s="7" t="n">
        <v>220.1</v>
      </c>
      <c r="L1087" s="7" t="s">
        <v>37</v>
      </c>
      <c r="M1087" s="7" t="s">
        <v>38</v>
      </c>
    </row>
    <row r="1088" customFormat="false" ht="15" hidden="false" customHeight="true" outlineLevel="0" collapsed="false">
      <c r="A1088" s="7" t="n">
        <v>2225</v>
      </c>
      <c r="B1088" s="7" t="n">
        <v>79</v>
      </c>
      <c r="C1088" s="7" t="s">
        <v>33</v>
      </c>
      <c r="D1088" s="7" t="s">
        <v>25</v>
      </c>
      <c r="E1088" s="7" t="n">
        <v>0</v>
      </c>
      <c r="F1088" s="7" t="n">
        <v>0</v>
      </c>
      <c r="G1088" s="7" t="s">
        <v>31</v>
      </c>
      <c r="H1088" s="7" t="s">
        <v>27</v>
      </c>
      <c r="I1088" s="7" t="n">
        <v>21</v>
      </c>
      <c r="J1088" s="7" t="s">
        <v>30</v>
      </c>
      <c r="K1088" s="7" t="n">
        <v>246.1</v>
      </c>
      <c r="L1088" s="7" t="s">
        <v>29</v>
      </c>
      <c r="M1088" s="7" t="s">
        <v>38</v>
      </c>
    </row>
    <row r="1089" customFormat="false" ht="15" hidden="false" customHeight="true" outlineLevel="0" collapsed="false">
      <c r="A1089" s="7" t="n">
        <v>2271</v>
      </c>
      <c r="B1089" s="7" t="n">
        <v>39</v>
      </c>
      <c r="C1089" s="7" t="s">
        <v>33</v>
      </c>
      <c r="D1089" s="7" t="s">
        <v>25</v>
      </c>
      <c r="E1089" s="7" t="n">
        <v>0</v>
      </c>
      <c r="F1089" s="7" t="n">
        <v>0</v>
      </c>
      <c r="G1089" s="7" t="s">
        <v>31</v>
      </c>
      <c r="H1089" s="7" t="s">
        <v>27</v>
      </c>
      <c r="I1089" s="7" t="n">
        <v>24.4</v>
      </c>
      <c r="J1089" s="7" t="s">
        <v>30</v>
      </c>
      <c r="K1089" s="7" t="n">
        <v>261.7</v>
      </c>
      <c r="L1089" s="7" t="s">
        <v>29</v>
      </c>
      <c r="M1089" s="7" t="s">
        <v>38</v>
      </c>
    </row>
    <row r="1090" customFormat="false" ht="15" hidden="false" customHeight="true" outlineLevel="0" collapsed="false">
      <c r="A1090" s="7" t="n">
        <v>2276</v>
      </c>
      <c r="B1090" s="7" t="n">
        <v>19</v>
      </c>
      <c r="C1090" s="7" t="s">
        <v>33</v>
      </c>
      <c r="D1090" s="7" t="s">
        <v>25</v>
      </c>
      <c r="E1090" s="7" t="n">
        <v>0</v>
      </c>
      <c r="F1090" s="7" t="n">
        <v>0</v>
      </c>
      <c r="G1090" s="7" t="s">
        <v>26</v>
      </c>
      <c r="H1090" s="7" t="s">
        <v>32</v>
      </c>
      <c r="I1090" s="7" t="n">
        <v>37.8</v>
      </c>
      <c r="J1090" s="7" t="s">
        <v>30</v>
      </c>
      <c r="K1090" s="7" t="n">
        <v>124.2</v>
      </c>
      <c r="L1090" s="7" t="s">
        <v>29</v>
      </c>
      <c r="M1090" s="7" t="s">
        <v>38</v>
      </c>
    </row>
    <row r="1091" customFormat="false" ht="15" hidden="false" customHeight="true" outlineLevel="0" collapsed="false">
      <c r="A1091" s="7" t="n">
        <v>2283</v>
      </c>
      <c r="B1091" s="7" t="n">
        <v>80</v>
      </c>
      <c r="C1091" s="7" t="s">
        <v>33</v>
      </c>
      <c r="D1091" s="7" t="s">
        <v>25</v>
      </c>
      <c r="E1091" s="7" t="n">
        <v>0</v>
      </c>
      <c r="F1091" s="7" t="n">
        <v>0</v>
      </c>
      <c r="G1091" s="7" t="s">
        <v>34</v>
      </c>
      <c r="H1091" s="7" t="s">
        <v>27</v>
      </c>
      <c r="I1091" s="7" t="n">
        <v>33.6</v>
      </c>
      <c r="J1091" s="7" t="s">
        <v>30</v>
      </c>
      <c r="K1091" s="7" t="n">
        <v>294.9</v>
      </c>
      <c r="L1091" s="7" t="s">
        <v>29</v>
      </c>
      <c r="M1091" s="7" t="s">
        <v>38</v>
      </c>
    </row>
    <row r="1092" customFormat="false" ht="15" hidden="false" customHeight="true" outlineLevel="0" collapsed="false">
      <c r="A1092" s="7" t="n">
        <v>2286</v>
      </c>
      <c r="B1092" s="7" t="n">
        <v>53</v>
      </c>
      <c r="C1092" s="7" t="s">
        <v>24</v>
      </c>
      <c r="D1092" s="7" t="s">
        <v>25</v>
      </c>
      <c r="E1092" s="7" t="n">
        <v>0</v>
      </c>
      <c r="F1092" s="7" t="n">
        <v>0</v>
      </c>
      <c r="G1092" s="7" t="s">
        <v>35</v>
      </c>
      <c r="H1092" s="7" t="s">
        <v>27</v>
      </c>
      <c r="I1092" s="7" t="n">
        <v>37.7</v>
      </c>
      <c r="J1092" s="7" t="s">
        <v>30</v>
      </c>
      <c r="K1092" s="7" t="n">
        <v>198.4</v>
      </c>
      <c r="L1092" s="7" t="s">
        <v>29</v>
      </c>
      <c r="M1092" s="7" t="s">
        <v>38</v>
      </c>
    </row>
    <row r="1093" customFormat="false" ht="15" hidden="false" customHeight="true" outlineLevel="0" collapsed="false">
      <c r="A1093" s="7" t="n">
        <v>2368</v>
      </c>
      <c r="B1093" s="7" t="n">
        <v>61</v>
      </c>
      <c r="C1093" s="7" t="s">
        <v>24</v>
      </c>
      <c r="D1093" s="7" t="s">
        <v>25</v>
      </c>
      <c r="E1093" s="7" t="n">
        <v>0</v>
      </c>
      <c r="F1093" s="7" t="n">
        <v>0</v>
      </c>
      <c r="G1093" s="7" t="s">
        <v>26</v>
      </c>
      <c r="H1093" s="7" t="s">
        <v>27</v>
      </c>
      <c r="I1093" s="7" t="n">
        <v>37.9</v>
      </c>
      <c r="J1093" s="7" t="s">
        <v>30</v>
      </c>
      <c r="K1093" s="7" t="n">
        <v>295</v>
      </c>
      <c r="L1093" s="7" t="s">
        <v>37</v>
      </c>
      <c r="M1093" s="7" t="s">
        <v>38</v>
      </c>
    </row>
    <row r="1094" customFormat="false" ht="15" hidden="false" customHeight="true" outlineLevel="0" collapsed="false">
      <c r="A1094" s="7" t="n">
        <v>2411</v>
      </c>
      <c r="B1094" s="7" t="n">
        <v>89</v>
      </c>
      <c r="C1094" s="7" t="s">
        <v>24</v>
      </c>
      <c r="D1094" s="7" t="s">
        <v>25</v>
      </c>
      <c r="E1094" s="7" t="n">
        <v>0</v>
      </c>
      <c r="F1094" s="7" t="n">
        <v>0</v>
      </c>
      <c r="G1094" s="7" t="s">
        <v>31</v>
      </c>
      <c r="H1094" s="7" t="s">
        <v>27</v>
      </c>
      <c r="I1094" s="7" t="n">
        <v>37.5</v>
      </c>
      <c r="J1094" s="7" t="s">
        <v>30</v>
      </c>
      <c r="K1094" s="7" t="n">
        <v>128.7</v>
      </c>
      <c r="L1094" s="7" t="s">
        <v>29</v>
      </c>
      <c r="M1094" s="7" t="s">
        <v>38</v>
      </c>
    </row>
    <row r="1095" customFormat="false" ht="15" hidden="false" customHeight="true" outlineLevel="0" collapsed="false">
      <c r="A1095" s="7" t="n">
        <v>2440</v>
      </c>
      <c r="B1095" s="7" t="n">
        <v>18</v>
      </c>
      <c r="C1095" s="7" t="s">
        <v>24</v>
      </c>
      <c r="D1095" s="7" t="s">
        <v>25</v>
      </c>
      <c r="E1095" s="7" t="n">
        <v>0</v>
      </c>
      <c r="F1095" s="7" t="n">
        <v>0</v>
      </c>
      <c r="G1095" s="7" t="s">
        <v>35</v>
      </c>
      <c r="H1095" s="7" t="s">
        <v>32</v>
      </c>
      <c r="I1095" s="7" t="n">
        <v>37.1</v>
      </c>
      <c r="J1095" s="7" t="s">
        <v>30</v>
      </c>
      <c r="K1095" s="7" t="n">
        <v>164.8</v>
      </c>
      <c r="L1095" s="7" t="s">
        <v>29</v>
      </c>
      <c r="M1095" s="7" t="s">
        <v>38</v>
      </c>
    </row>
    <row r="1096" customFormat="false" ht="15" hidden="false" customHeight="true" outlineLevel="0" collapsed="false">
      <c r="A1096" s="7" t="n">
        <v>2450</v>
      </c>
      <c r="B1096" s="7" t="n">
        <v>72</v>
      </c>
      <c r="C1096" s="7" t="s">
        <v>24</v>
      </c>
      <c r="D1096" s="7" t="s">
        <v>25</v>
      </c>
      <c r="E1096" s="7" t="n">
        <v>0</v>
      </c>
      <c r="F1096" s="7" t="n">
        <v>0</v>
      </c>
      <c r="G1096" s="7" t="s">
        <v>35</v>
      </c>
      <c r="H1096" s="7" t="s">
        <v>32</v>
      </c>
      <c r="I1096" s="7" t="n">
        <v>20.1</v>
      </c>
      <c r="J1096" s="7" t="s">
        <v>30</v>
      </c>
      <c r="K1096" s="7" t="n">
        <v>264.6</v>
      </c>
      <c r="L1096" s="7" t="s">
        <v>29</v>
      </c>
      <c r="M1096" s="7" t="s">
        <v>38</v>
      </c>
    </row>
    <row r="1097" customFormat="false" ht="15" hidden="false" customHeight="true" outlineLevel="0" collapsed="false">
      <c r="A1097" s="7" t="n">
        <v>2477</v>
      </c>
      <c r="B1097" s="7" t="n">
        <v>54</v>
      </c>
      <c r="C1097" s="7" t="s">
        <v>24</v>
      </c>
      <c r="D1097" s="7" t="s">
        <v>25</v>
      </c>
      <c r="E1097" s="7" t="n">
        <v>0</v>
      </c>
      <c r="F1097" s="7" t="n">
        <v>0</v>
      </c>
      <c r="G1097" s="7" t="s">
        <v>34</v>
      </c>
      <c r="H1097" s="7" t="s">
        <v>27</v>
      </c>
      <c r="I1097" s="7" t="n">
        <v>33.1</v>
      </c>
      <c r="J1097" s="7" t="s">
        <v>30</v>
      </c>
      <c r="K1097" s="7" t="n">
        <v>127.2</v>
      </c>
      <c r="L1097" s="7" t="s">
        <v>29</v>
      </c>
      <c r="M1097" s="7" t="s">
        <v>38</v>
      </c>
    </row>
    <row r="1098" customFormat="false" ht="15" hidden="false" customHeight="true" outlineLevel="0" collapsed="false">
      <c r="A1098" s="7" t="n">
        <v>108</v>
      </c>
      <c r="B1098" s="7" t="n">
        <v>85</v>
      </c>
      <c r="C1098" s="7" t="s">
        <v>24</v>
      </c>
      <c r="D1098" s="7" t="s">
        <v>25</v>
      </c>
      <c r="E1098" s="7" t="n">
        <v>0</v>
      </c>
      <c r="F1098" s="7" t="n">
        <v>0</v>
      </c>
      <c r="G1098" s="7" t="s">
        <v>35</v>
      </c>
      <c r="H1098" s="7" t="s">
        <v>32</v>
      </c>
      <c r="I1098" s="7" t="n">
        <v>36.7</v>
      </c>
      <c r="J1098" s="7" t="s">
        <v>30</v>
      </c>
      <c r="K1098" s="7" t="n">
        <v>195.2</v>
      </c>
      <c r="L1098" s="7" t="s">
        <v>29</v>
      </c>
      <c r="M1098" s="7" t="s">
        <v>39</v>
      </c>
    </row>
    <row r="1099" customFormat="false" ht="15" hidden="false" customHeight="true" outlineLevel="0" collapsed="false">
      <c r="A1099" s="7" t="n">
        <v>183</v>
      </c>
      <c r="B1099" s="7" t="n">
        <v>67</v>
      </c>
      <c r="C1099" s="7" t="s">
        <v>33</v>
      </c>
      <c r="D1099" s="7" t="s">
        <v>25</v>
      </c>
      <c r="E1099" s="7" t="n">
        <v>0</v>
      </c>
      <c r="F1099" s="7" t="n">
        <v>0</v>
      </c>
      <c r="G1099" s="7" t="s">
        <v>34</v>
      </c>
      <c r="H1099" s="7" t="s">
        <v>27</v>
      </c>
      <c r="I1099" s="7" t="n">
        <v>23.5</v>
      </c>
      <c r="J1099" s="7" t="s">
        <v>30</v>
      </c>
      <c r="K1099" s="7" t="n">
        <v>292.8</v>
      </c>
      <c r="L1099" s="7" t="s">
        <v>29</v>
      </c>
      <c r="M1099" s="7" t="s">
        <v>39</v>
      </c>
    </row>
    <row r="1100" customFormat="false" ht="15" hidden="false" customHeight="true" outlineLevel="0" collapsed="false">
      <c r="A1100" s="7" t="n">
        <v>267</v>
      </c>
      <c r="B1100" s="7" t="n">
        <v>38</v>
      </c>
      <c r="C1100" s="7" t="s">
        <v>24</v>
      </c>
      <c r="D1100" s="7" t="s">
        <v>25</v>
      </c>
      <c r="E1100" s="7" t="n">
        <v>0</v>
      </c>
      <c r="F1100" s="7" t="n">
        <v>0</v>
      </c>
      <c r="G1100" s="7" t="s">
        <v>35</v>
      </c>
      <c r="H1100" s="7" t="s">
        <v>27</v>
      </c>
      <c r="I1100" s="7" t="n">
        <v>42</v>
      </c>
      <c r="J1100" s="7" t="s">
        <v>30</v>
      </c>
      <c r="K1100" s="7" t="n">
        <v>209.7</v>
      </c>
      <c r="L1100" s="7" t="s">
        <v>29</v>
      </c>
      <c r="M1100" s="7" t="s">
        <v>39</v>
      </c>
    </row>
    <row r="1101" customFormat="false" ht="15" hidden="false" customHeight="true" outlineLevel="0" collapsed="false">
      <c r="A1101" s="7" t="n">
        <v>343</v>
      </c>
      <c r="B1101" s="7" t="n">
        <v>52</v>
      </c>
      <c r="C1101" s="7" t="s">
        <v>24</v>
      </c>
      <c r="D1101" s="7" t="s">
        <v>25</v>
      </c>
      <c r="E1101" s="7" t="n">
        <v>0</v>
      </c>
      <c r="F1101" s="7" t="n">
        <v>0</v>
      </c>
      <c r="G1101" s="7" t="s">
        <v>36</v>
      </c>
      <c r="H1101" s="7" t="s">
        <v>32</v>
      </c>
      <c r="I1101" s="7" t="n">
        <v>24.7</v>
      </c>
      <c r="J1101" s="7" t="s">
        <v>30</v>
      </c>
      <c r="K1101" s="7" t="n">
        <v>212.1</v>
      </c>
      <c r="L1101" s="7" t="s">
        <v>37</v>
      </c>
      <c r="M1101" s="7" t="s">
        <v>39</v>
      </c>
    </row>
    <row r="1102" customFormat="false" ht="15" hidden="false" customHeight="true" outlineLevel="0" collapsed="false">
      <c r="A1102" s="7" t="n">
        <v>353</v>
      </c>
      <c r="B1102" s="7" t="n">
        <v>51</v>
      </c>
      <c r="C1102" s="7" t="s">
        <v>33</v>
      </c>
      <c r="D1102" s="7" t="s">
        <v>25</v>
      </c>
      <c r="E1102" s="7" t="n">
        <v>0</v>
      </c>
      <c r="F1102" s="7" t="n">
        <v>0</v>
      </c>
      <c r="G1102" s="7" t="s">
        <v>31</v>
      </c>
      <c r="H1102" s="7" t="s">
        <v>27</v>
      </c>
      <c r="I1102" s="7" t="n">
        <v>40.6</v>
      </c>
      <c r="J1102" s="7" t="s">
        <v>30</v>
      </c>
      <c r="K1102" s="7" t="n">
        <v>198.9</v>
      </c>
      <c r="L1102" s="7" t="s">
        <v>29</v>
      </c>
      <c r="M1102" s="7" t="s">
        <v>39</v>
      </c>
    </row>
    <row r="1103" customFormat="false" ht="15" hidden="false" customHeight="true" outlineLevel="0" collapsed="false">
      <c r="A1103" s="7" t="n">
        <v>361</v>
      </c>
      <c r="B1103" s="7" t="n">
        <v>56</v>
      </c>
      <c r="C1103" s="7" t="s">
        <v>24</v>
      </c>
      <c r="D1103" s="7" t="s">
        <v>25</v>
      </c>
      <c r="E1103" s="7" t="n">
        <v>0</v>
      </c>
      <c r="F1103" s="7" t="n">
        <v>0</v>
      </c>
      <c r="G1103" s="7" t="s">
        <v>34</v>
      </c>
      <c r="H1103" s="7" t="s">
        <v>32</v>
      </c>
      <c r="I1103" s="7" t="n">
        <v>24</v>
      </c>
      <c r="J1103" s="7" t="s">
        <v>30</v>
      </c>
      <c r="K1103" s="7" t="n">
        <v>273.8</v>
      </c>
      <c r="L1103" s="7" t="s">
        <v>37</v>
      </c>
      <c r="M1103" s="7" t="s">
        <v>39</v>
      </c>
    </row>
    <row r="1104" customFormat="false" ht="15" hidden="false" customHeight="true" outlineLevel="0" collapsed="false">
      <c r="A1104" s="7" t="n">
        <v>407</v>
      </c>
      <c r="B1104" s="7" t="n">
        <v>70</v>
      </c>
      <c r="C1104" s="7" t="s">
        <v>24</v>
      </c>
      <c r="D1104" s="7" t="s">
        <v>25</v>
      </c>
      <c r="E1104" s="7" t="n">
        <v>0</v>
      </c>
      <c r="F1104" s="7" t="n">
        <v>0</v>
      </c>
      <c r="G1104" s="7" t="s">
        <v>36</v>
      </c>
      <c r="H1104" s="7" t="s">
        <v>27</v>
      </c>
      <c r="I1104" s="7" t="n">
        <v>29.8</v>
      </c>
      <c r="J1104" s="7" t="s">
        <v>30</v>
      </c>
      <c r="K1104" s="7" t="n">
        <v>171.8</v>
      </c>
      <c r="L1104" s="7" t="s">
        <v>37</v>
      </c>
      <c r="M1104" s="7" t="s">
        <v>39</v>
      </c>
    </row>
    <row r="1105" customFormat="false" ht="15" hidden="false" customHeight="true" outlineLevel="0" collapsed="false">
      <c r="A1105" s="7" t="n">
        <v>423</v>
      </c>
      <c r="B1105" s="7" t="n">
        <v>59</v>
      </c>
      <c r="C1105" s="7" t="s">
        <v>24</v>
      </c>
      <c r="D1105" s="7" t="s">
        <v>25</v>
      </c>
      <c r="E1105" s="7" t="n">
        <v>0</v>
      </c>
      <c r="F1105" s="7" t="n">
        <v>0</v>
      </c>
      <c r="G1105" s="7" t="s">
        <v>34</v>
      </c>
      <c r="H1105" s="7" t="s">
        <v>32</v>
      </c>
      <c r="I1105" s="7" t="n">
        <v>30.6</v>
      </c>
      <c r="J1105" s="7" t="s">
        <v>30</v>
      </c>
      <c r="K1105" s="7" t="n">
        <v>280.9</v>
      </c>
      <c r="L1105" s="7" t="s">
        <v>37</v>
      </c>
      <c r="M1105" s="7" t="s">
        <v>39</v>
      </c>
    </row>
    <row r="1106" customFormat="false" ht="15" hidden="false" customHeight="true" outlineLevel="0" collapsed="false">
      <c r="A1106" s="7" t="n">
        <v>569</v>
      </c>
      <c r="B1106" s="7" t="n">
        <v>81</v>
      </c>
      <c r="C1106" s="7" t="s">
        <v>24</v>
      </c>
      <c r="D1106" s="7" t="s">
        <v>25</v>
      </c>
      <c r="E1106" s="7" t="n">
        <v>0</v>
      </c>
      <c r="F1106" s="7" t="n">
        <v>0</v>
      </c>
      <c r="G1106" s="7" t="s">
        <v>26</v>
      </c>
      <c r="H1106" s="7" t="s">
        <v>32</v>
      </c>
      <c r="I1106" s="7" t="n">
        <v>22.3</v>
      </c>
      <c r="J1106" s="7" t="s">
        <v>30</v>
      </c>
      <c r="K1106" s="7" t="n">
        <v>256.6</v>
      </c>
      <c r="L1106" s="7" t="s">
        <v>29</v>
      </c>
      <c r="M1106" s="7" t="s">
        <v>39</v>
      </c>
    </row>
    <row r="1107" customFormat="false" ht="15" hidden="false" customHeight="true" outlineLevel="0" collapsed="false">
      <c r="A1107" s="7" t="n">
        <v>631</v>
      </c>
      <c r="B1107" s="7" t="n">
        <v>50</v>
      </c>
      <c r="C1107" s="7" t="s">
        <v>24</v>
      </c>
      <c r="D1107" s="7" t="s">
        <v>25</v>
      </c>
      <c r="E1107" s="7" t="n">
        <v>0</v>
      </c>
      <c r="F1107" s="7" t="n">
        <v>0</v>
      </c>
      <c r="G1107" s="7" t="s">
        <v>26</v>
      </c>
      <c r="H1107" s="7" t="s">
        <v>27</v>
      </c>
      <c r="I1107" s="7" t="n">
        <v>30.4</v>
      </c>
      <c r="J1107" s="7" t="s">
        <v>30</v>
      </c>
      <c r="K1107" s="7" t="n">
        <v>174.5</v>
      </c>
      <c r="L1107" s="7" t="s">
        <v>29</v>
      </c>
      <c r="M1107" s="7" t="s">
        <v>39</v>
      </c>
    </row>
    <row r="1108" customFormat="false" ht="15" hidden="false" customHeight="true" outlineLevel="0" collapsed="false">
      <c r="A1108" s="7" t="n">
        <v>655</v>
      </c>
      <c r="B1108" s="7" t="n">
        <v>83</v>
      </c>
      <c r="C1108" s="7" t="s">
        <v>33</v>
      </c>
      <c r="D1108" s="7" t="s">
        <v>25</v>
      </c>
      <c r="E1108" s="7" t="n">
        <v>0</v>
      </c>
      <c r="F1108" s="7" t="n">
        <v>0</v>
      </c>
      <c r="G1108" s="7" t="s">
        <v>35</v>
      </c>
      <c r="H1108" s="7" t="s">
        <v>32</v>
      </c>
      <c r="I1108" s="7" t="n">
        <v>17.2</v>
      </c>
      <c r="J1108" s="7" t="s">
        <v>30</v>
      </c>
      <c r="K1108" s="7" t="n">
        <v>165.1</v>
      </c>
      <c r="L1108" s="7" t="s">
        <v>29</v>
      </c>
      <c r="M1108" s="7" t="s">
        <v>39</v>
      </c>
    </row>
    <row r="1109" customFormat="false" ht="15" hidden="false" customHeight="true" outlineLevel="0" collapsed="false">
      <c r="A1109" s="7" t="n">
        <v>750</v>
      </c>
      <c r="B1109" s="7" t="n">
        <v>36</v>
      </c>
      <c r="C1109" s="7" t="s">
        <v>24</v>
      </c>
      <c r="D1109" s="7" t="s">
        <v>25</v>
      </c>
      <c r="E1109" s="7" t="n">
        <v>0</v>
      </c>
      <c r="F1109" s="7" t="n">
        <v>0</v>
      </c>
      <c r="G1109" s="7" t="s">
        <v>34</v>
      </c>
      <c r="H1109" s="7" t="s">
        <v>32</v>
      </c>
      <c r="I1109" s="7" t="n">
        <v>32.3</v>
      </c>
      <c r="J1109" s="7" t="s">
        <v>30</v>
      </c>
      <c r="K1109" s="7" t="n">
        <v>282.3</v>
      </c>
      <c r="L1109" s="7" t="s">
        <v>29</v>
      </c>
      <c r="M1109" s="7" t="s">
        <v>39</v>
      </c>
    </row>
    <row r="1110" customFormat="false" ht="15" hidden="false" customHeight="true" outlineLevel="0" collapsed="false">
      <c r="A1110" s="7" t="n">
        <v>761</v>
      </c>
      <c r="B1110" s="7" t="n">
        <v>73</v>
      </c>
      <c r="C1110" s="7" t="s">
        <v>24</v>
      </c>
      <c r="D1110" s="7" t="s">
        <v>25</v>
      </c>
      <c r="E1110" s="7" t="n">
        <v>0</v>
      </c>
      <c r="F1110" s="7" t="n">
        <v>0</v>
      </c>
      <c r="G1110" s="7" t="s">
        <v>34</v>
      </c>
      <c r="H1110" s="7" t="s">
        <v>32</v>
      </c>
      <c r="I1110" s="7" t="n">
        <v>17.2</v>
      </c>
      <c r="J1110" s="7" t="s">
        <v>30</v>
      </c>
      <c r="K1110" s="7" t="n">
        <v>224.5</v>
      </c>
      <c r="L1110" s="7" t="s">
        <v>29</v>
      </c>
      <c r="M1110" s="7" t="s">
        <v>39</v>
      </c>
    </row>
    <row r="1111" customFormat="false" ht="15" hidden="false" customHeight="true" outlineLevel="0" collapsed="false">
      <c r="A1111" s="7" t="n">
        <v>824</v>
      </c>
      <c r="B1111" s="7" t="n">
        <v>89</v>
      </c>
      <c r="C1111" s="7" t="s">
        <v>24</v>
      </c>
      <c r="D1111" s="7" t="s">
        <v>25</v>
      </c>
      <c r="E1111" s="7" t="n">
        <v>0</v>
      </c>
      <c r="F1111" s="7" t="n">
        <v>0</v>
      </c>
      <c r="G1111" s="7" t="s">
        <v>26</v>
      </c>
      <c r="H1111" s="7" t="s">
        <v>27</v>
      </c>
      <c r="I1111" s="7" t="n">
        <v>31.4</v>
      </c>
      <c r="J1111" s="7" t="s">
        <v>30</v>
      </c>
      <c r="K1111" s="7" t="n">
        <v>154.4</v>
      </c>
      <c r="L1111" s="7" t="s">
        <v>29</v>
      </c>
      <c r="M1111" s="7" t="s">
        <v>39</v>
      </c>
    </row>
    <row r="1112" customFormat="false" ht="15" hidden="false" customHeight="true" outlineLevel="0" collapsed="false">
      <c r="A1112" s="7" t="n">
        <v>903</v>
      </c>
      <c r="B1112" s="7" t="n">
        <v>21</v>
      </c>
      <c r="C1112" s="7" t="s">
        <v>33</v>
      </c>
      <c r="D1112" s="7" t="s">
        <v>25</v>
      </c>
      <c r="E1112" s="7" t="n">
        <v>0</v>
      </c>
      <c r="F1112" s="7" t="n">
        <v>0</v>
      </c>
      <c r="G1112" s="7" t="s">
        <v>31</v>
      </c>
      <c r="H1112" s="7" t="s">
        <v>27</v>
      </c>
      <c r="I1112" s="7" t="n">
        <v>29.9</v>
      </c>
      <c r="J1112" s="7" t="s">
        <v>30</v>
      </c>
      <c r="K1112" s="7" t="n">
        <v>296</v>
      </c>
      <c r="L1112" s="7" t="s">
        <v>37</v>
      </c>
      <c r="M1112" s="7" t="s">
        <v>39</v>
      </c>
    </row>
    <row r="1113" customFormat="false" ht="15" hidden="false" customHeight="true" outlineLevel="0" collapsed="false">
      <c r="A1113" s="7" t="n">
        <v>922</v>
      </c>
      <c r="B1113" s="7" t="n">
        <v>73</v>
      </c>
      <c r="C1113" s="7" t="s">
        <v>24</v>
      </c>
      <c r="D1113" s="7" t="s">
        <v>25</v>
      </c>
      <c r="E1113" s="7" t="n">
        <v>0</v>
      </c>
      <c r="F1113" s="7" t="n">
        <v>0</v>
      </c>
      <c r="G1113" s="7" t="s">
        <v>34</v>
      </c>
      <c r="H1113" s="7" t="s">
        <v>32</v>
      </c>
      <c r="I1113" s="7" t="n">
        <v>35.2</v>
      </c>
      <c r="J1113" s="7" t="s">
        <v>30</v>
      </c>
      <c r="K1113" s="7" t="n">
        <v>291.7</v>
      </c>
      <c r="L1113" s="7" t="s">
        <v>29</v>
      </c>
      <c r="M1113" s="7" t="s">
        <v>39</v>
      </c>
    </row>
    <row r="1114" customFormat="false" ht="15" hidden="false" customHeight="true" outlineLevel="0" collapsed="false">
      <c r="A1114" s="7" t="n">
        <v>1008</v>
      </c>
      <c r="B1114" s="7" t="n">
        <v>89</v>
      </c>
      <c r="C1114" s="7" t="s">
        <v>33</v>
      </c>
      <c r="D1114" s="7" t="s">
        <v>25</v>
      </c>
      <c r="E1114" s="7" t="n">
        <v>0</v>
      </c>
      <c r="F1114" s="7" t="n">
        <v>0</v>
      </c>
      <c r="G1114" s="7" t="s">
        <v>35</v>
      </c>
      <c r="H1114" s="7" t="s">
        <v>27</v>
      </c>
      <c r="I1114" s="7" t="n">
        <v>26.2</v>
      </c>
      <c r="J1114" s="7" t="s">
        <v>30</v>
      </c>
      <c r="K1114" s="7" t="n">
        <v>235.7</v>
      </c>
      <c r="L1114" s="7" t="s">
        <v>29</v>
      </c>
      <c r="M1114" s="7" t="s">
        <v>39</v>
      </c>
    </row>
    <row r="1115" customFormat="false" ht="15" hidden="false" customHeight="true" outlineLevel="0" collapsed="false">
      <c r="A1115" s="7" t="n">
        <v>1060</v>
      </c>
      <c r="B1115" s="7" t="n">
        <v>47</v>
      </c>
      <c r="C1115" s="7" t="s">
        <v>24</v>
      </c>
      <c r="D1115" s="7" t="s">
        <v>25</v>
      </c>
      <c r="E1115" s="7" t="n">
        <v>0</v>
      </c>
      <c r="F1115" s="7" t="n">
        <v>0</v>
      </c>
      <c r="G1115" s="7" t="s">
        <v>31</v>
      </c>
      <c r="H1115" s="7" t="s">
        <v>27</v>
      </c>
      <c r="I1115" s="7" t="n">
        <v>28.8</v>
      </c>
      <c r="J1115" s="7" t="s">
        <v>30</v>
      </c>
      <c r="K1115" s="7" t="n">
        <v>157.5</v>
      </c>
      <c r="L1115" s="7" t="s">
        <v>29</v>
      </c>
      <c r="M1115" s="7" t="s">
        <v>39</v>
      </c>
    </row>
    <row r="1116" customFormat="false" ht="15" hidden="false" customHeight="true" outlineLevel="0" collapsed="false">
      <c r="A1116" s="7" t="n">
        <v>1067</v>
      </c>
      <c r="B1116" s="7" t="n">
        <v>88</v>
      </c>
      <c r="C1116" s="7" t="s">
        <v>24</v>
      </c>
      <c r="D1116" s="7" t="s">
        <v>25</v>
      </c>
      <c r="E1116" s="7" t="n">
        <v>0</v>
      </c>
      <c r="F1116" s="7" t="n">
        <v>0</v>
      </c>
      <c r="G1116" s="7" t="s">
        <v>34</v>
      </c>
      <c r="H1116" s="7" t="s">
        <v>27</v>
      </c>
      <c r="I1116" s="7" t="n">
        <v>22.1</v>
      </c>
      <c r="J1116" s="7" t="s">
        <v>30</v>
      </c>
      <c r="K1116" s="7" t="n">
        <v>122.5</v>
      </c>
      <c r="L1116" s="7" t="s">
        <v>29</v>
      </c>
      <c r="M1116" s="7" t="s">
        <v>39</v>
      </c>
    </row>
    <row r="1117" customFormat="false" ht="15" hidden="false" customHeight="true" outlineLevel="0" collapsed="false">
      <c r="A1117" s="7" t="n">
        <v>1131</v>
      </c>
      <c r="B1117" s="7" t="n">
        <v>66</v>
      </c>
      <c r="C1117" s="7" t="s">
        <v>24</v>
      </c>
      <c r="D1117" s="7" t="s">
        <v>25</v>
      </c>
      <c r="E1117" s="7" t="n">
        <v>0</v>
      </c>
      <c r="F1117" s="7" t="n">
        <v>0</v>
      </c>
      <c r="G1117" s="7" t="s">
        <v>31</v>
      </c>
      <c r="H1117" s="7" t="s">
        <v>32</v>
      </c>
      <c r="I1117" s="7" t="n">
        <v>18.7</v>
      </c>
      <c r="J1117" s="7" t="s">
        <v>30</v>
      </c>
      <c r="K1117" s="7" t="n">
        <v>211.6</v>
      </c>
      <c r="L1117" s="7" t="s">
        <v>29</v>
      </c>
      <c r="M1117" s="7" t="s">
        <v>39</v>
      </c>
    </row>
    <row r="1118" customFormat="false" ht="15" hidden="false" customHeight="true" outlineLevel="0" collapsed="false">
      <c r="A1118" s="7" t="n">
        <v>1231</v>
      </c>
      <c r="B1118" s="7" t="n">
        <v>33</v>
      </c>
      <c r="C1118" s="7" t="s">
        <v>33</v>
      </c>
      <c r="D1118" s="7" t="s">
        <v>25</v>
      </c>
      <c r="E1118" s="7" t="n">
        <v>0</v>
      </c>
      <c r="F1118" s="7" t="n">
        <v>0</v>
      </c>
      <c r="G1118" s="7" t="s">
        <v>26</v>
      </c>
      <c r="H1118" s="7" t="s">
        <v>27</v>
      </c>
      <c r="I1118" s="7" t="n">
        <v>21.7</v>
      </c>
      <c r="J1118" s="7" t="s">
        <v>30</v>
      </c>
      <c r="K1118" s="7" t="n">
        <v>294.6</v>
      </c>
      <c r="L1118" s="7" t="s">
        <v>29</v>
      </c>
      <c r="M1118" s="7" t="s">
        <v>39</v>
      </c>
    </row>
    <row r="1119" customFormat="false" ht="15" hidden="false" customHeight="true" outlineLevel="0" collapsed="false">
      <c r="A1119" s="7" t="n">
        <v>1301</v>
      </c>
      <c r="B1119" s="7" t="n">
        <v>32</v>
      </c>
      <c r="C1119" s="7" t="s">
        <v>24</v>
      </c>
      <c r="D1119" s="7" t="s">
        <v>25</v>
      </c>
      <c r="E1119" s="7" t="n">
        <v>0</v>
      </c>
      <c r="F1119" s="7" t="n">
        <v>0</v>
      </c>
      <c r="G1119" s="7" t="s">
        <v>26</v>
      </c>
      <c r="H1119" s="7" t="s">
        <v>32</v>
      </c>
      <c r="I1119" s="7" t="n">
        <v>27.4</v>
      </c>
      <c r="J1119" s="7" t="s">
        <v>30</v>
      </c>
      <c r="K1119" s="7" t="n">
        <v>177.9</v>
      </c>
      <c r="L1119" s="7" t="s">
        <v>29</v>
      </c>
      <c r="M1119" s="7" t="s">
        <v>39</v>
      </c>
    </row>
    <row r="1120" customFormat="false" ht="15" hidden="false" customHeight="true" outlineLevel="0" collapsed="false">
      <c r="A1120" s="7" t="n">
        <v>1306</v>
      </c>
      <c r="B1120" s="7" t="n">
        <v>56</v>
      </c>
      <c r="C1120" s="7" t="s">
        <v>33</v>
      </c>
      <c r="D1120" s="7" t="s">
        <v>25</v>
      </c>
      <c r="E1120" s="7" t="n">
        <v>0</v>
      </c>
      <c r="F1120" s="7" t="n">
        <v>0</v>
      </c>
      <c r="G1120" s="7" t="s">
        <v>31</v>
      </c>
      <c r="H1120" s="7" t="s">
        <v>27</v>
      </c>
      <c r="I1120" s="7" t="n">
        <v>27.4</v>
      </c>
      <c r="J1120" s="7" t="s">
        <v>30</v>
      </c>
      <c r="K1120" s="7" t="n">
        <v>147.7</v>
      </c>
      <c r="L1120" s="7" t="s">
        <v>29</v>
      </c>
      <c r="M1120" s="7" t="s">
        <v>39</v>
      </c>
    </row>
    <row r="1121" customFormat="false" ht="15" hidden="false" customHeight="true" outlineLevel="0" collapsed="false">
      <c r="A1121" s="7" t="n">
        <v>1313</v>
      </c>
      <c r="B1121" s="7" t="n">
        <v>83</v>
      </c>
      <c r="C1121" s="7" t="s">
        <v>33</v>
      </c>
      <c r="D1121" s="7" t="s">
        <v>25</v>
      </c>
      <c r="E1121" s="7" t="n">
        <v>0</v>
      </c>
      <c r="F1121" s="7" t="n">
        <v>0</v>
      </c>
      <c r="G1121" s="7" t="s">
        <v>34</v>
      </c>
      <c r="H1121" s="7" t="s">
        <v>27</v>
      </c>
      <c r="I1121" s="7" t="n">
        <v>26</v>
      </c>
      <c r="J1121" s="7" t="s">
        <v>30</v>
      </c>
      <c r="K1121" s="7" t="n">
        <v>276</v>
      </c>
      <c r="L1121" s="7" t="s">
        <v>29</v>
      </c>
      <c r="M1121" s="7" t="s">
        <v>39</v>
      </c>
    </row>
    <row r="1122" customFormat="false" ht="15" hidden="false" customHeight="true" outlineLevel="0" collapsed="false">
      <c r="A1122" s="7" t="n">
        <v>1360</v>
      </c>
      <c r="B1122" s="7" t="n">
        <v>82</v>
      </c>
      <c r="C1122" s="7" t="s">
        <v>24</v>
      </c>
      <c r="D1122" s="7" t="s">
        <v>25</v>
      </c>
      <c r="E1122" s="7" t="n">
        <v>0</v>
      </c>
      <c r="F1122" s="7" t="n">
        <v>0</v>
      </c>
      <c r="G1122" s="7" t="s">
        <v>36</v>
      </c>
      <c r="H1122" s="7" t="s">
        <v>32</v>
      </c>
      <c r="I1122" s="7" t="n">
        <v>21</v>
      </c>
      <c r="J1122" s="7" t="s">
        <v>30</v>
      </c>
      <c r="K1122" s="7" t="n">
        <v>283.6</v>
      </c>
      <c r="L1122" s="7" t="s">
        <v>29</v>
      </c>
      <c r="M1122" s="7" t="s">
        <v>39</v>
      </c>
    </row>
    <row r="1123" customFormat="false" ht="15" hidden="false" customHeight="true" outlineLevel="0" collapsed="false">
      <c r="A1123" s="7" t="n">
        <v>1509</v>
      </c>
      <c r="B1123" s="7" t="n">
        <v>72</v>
      </c>
      <c r="C1123" s="7" t="s">
        <v>24</v>
      </c>
      <c r="D1123" s="7" t="s">
        <v>25</v>
      </c>
      <c r="E1123" s="7" t="n">
        <v>0</v>
      </c>
      <c r="F1123" s="7" t="n">
        <v>0</v>
      </c>
      <c r="G1123" s="7" t="s">
        <v>31</v>
      </c>
      <c r="H1123" s="7" t="s">
        <v>27</v>
      </c>
      <c r="I1123" s="7" t="n">
        <v>39.5</v>
      </c>
      <c r="J1123" s="7" t="s">
        <v>30</v>
      </c>
      <c r="K1123" s="7" t="n">
        <v>278.9</v>
      </c>
      <c r="L1123" s="7" t="s">
        <v>29</v>
      </c>
      <c r="M1123" s="7" t="s">
        <v>39</v>
      </c>
    </row>
    <row r="1124" customFormat="false" ht="15" hidden="false" customHeight="true" outlineLevel="0" collapsed="false">
      <c r="A1124" s="7" t="n">
        <v>1559</v>
      </c>
      <c r="B1124" s="7" t="n">
        <v>51</v>
      </c>
      <c r="C1124" s="7" t="s">
        <v>24</v>
      </c>
      <c r="D1124" s="7" t="s">
        <v>25</v>
      </c>
      <c r="E1124" s="7" t="n">
        <v>0</v>
      </c>
      <c r="F1124" s="7" t="n">
        <v>0</v>
      </c>
      <c r="G1124" s="7" t="s">
        <v>34</v>
      </c>
      <c r="H1124" s="7" t="s">
        <v>27</v>
      </c>
      <c r="I1124" s="7" t="n">
        <v>29.1</v>
      </c>
      <c r="J1124" s="7" t="s">
        <v>30</v>
      </c>
      <c r="K1124" s="7" t="n">
        <v>209.9</v>
      </c>
      <c r="L1124" s="7" t="s">
        <v>37</v>
      </c>
      <c r="M1124" s="7" t="s">
        <v>39</v>
      </c>
    </row>
    <row r="1125" customFormat="false" ht="15" hidden="false" customHeight="true" outlineLevel="0" collapsed="false">
      <c r="A1125" s="7" t="n">
        <v>1597</v>
      </c>
      <c r="B1125" s="7" t="n">
        <v>70</v>
      </c>
      <c r="C1125" s="7" t="s">
        <v>33</v>
      </c>
      <c r="D1125" s="7" t="s">
        <v>25</v>
      </c>
      <c r="E1125" s="7" t="n">
        <v>0</v>
      </c>
      <c r="F1125" s="7" t="n">
        <v>0</v>
      </c>
      <c r="G1125" s="7" t="s">
        <v>34</v>
      </c>
      <c r="H1125" s="7" t="s">
        <v>27</v>
      </c>
      <c r="I1125" s="7" t="n">
        <v>40.6</v>
      </c>
      <c r="J1125" s="7" t="s">
        <v>30</v>
      </c>
      <c r="K1125" s="7" t="n">
        <v>158.1</v>
      </c>
      <c r="L1125" s="7" t="s">
        <v>37</v>
      </c>
      <c r="M1125" s="7" t="s">
        <v>39</v>
      </c>
    </row>
    <row r="1126" customFormat="false" ht="15" hidden="false" customHeight="true" outlineLevel="0" collapsed="false">
      <c r="A1126" s="7" t="n">
        <v>1775</v>
      </c>
      <c r="B1126" s="7" t="n">
        <v>83</v>
      </c>
      <c r="C1126" s="7" t="s">
        <v>24</v>
      </c>
      <c r="D1126" s="7" t="s">
        <v>25</v>
      </c>
      <c r="E1126" s="7" t="n">
        <v>0</v>
      </c>
      <c r="F1126" s="7" t="n">
        <v>0</v>
      </c>
      <c r="G1126" s="7" t="s">
        <v>34</v>
      </c>
      <c r="H1126" s="7" t="s">
        <v>32</v>
      </c>
      <c r="I1126" s="7" t="n">
        <v>27.9</v>
      </c>
      <c r="J1126" s="7" t="s">
        <v>30</v>
      </c>
      <c r="K1126" s="7" t="n">
        <v>181.3</v>
      </c>
      <c r="L1126" s="7" t="s">
        <v>29</v>
      </c>
      <c r="M1126" s="7" t="s">
        <v>39</v>
      </c>
    </row>
    <row r="1127" customFormat="false" ht="15" hidden="false" customHeight="true" outlineLevel="0" collapsed="false">
      <c r="A1127" s="7" t="n">
        <v>1880</v>
      </c>
      <c r="B1127" s="7" t="n">
        <v>89</v>
      </c>
      <c r="C1127" s="7" t="s">
        <v>33</v>
      </c>
      <c r="D1127" s="7" t="s">
        <v>25</v>
      </c>
      <c r="E1127" s="7" t="n">
        <v>0</v>
      </c>
      <c r="F1127" s="7" t="n">
        <v>0</v>
      </c>
      <c r="G1127" s="7" t="s">
        <v>31</v>
      </c>
      <c r="H1127" s="7" t="s">
        <v>32</v>
      </c>
      <c r="I1127" s="7" t="n">
        <v>28.8</v>
      </c>
      <c r="J1127" s="7" t="s">
        <v>30</v>
      </c>
      <c r="K1127" s="7" t="n">
        <v>138</v>
      </c>
      <c r="L1127" s="7" t="s">
        <v>29</v>
      </c>
      <c r="M1127" s="7" t="s">
        <v>39</v>
      </c>
    </row>
    <row r="1128" customFormat="false" ht="15" hidden="false" customHeight="true" outlineLevel="0" collapsed="false">
      <c r="A1128" s="7" t="n">
        <v>1913</v>
      </c>
      <c r="B1128" s="7" t="n">
        <v>59</v>
      </c>
      <c r="C1128" s="7" t="s">
        <v>33</v>
      </c>
      <c r="D1128" s="7" t="s">
        <v>25</v>
      </c>
      <c r="E1128" s="7" t="n">
        <v>0</v>
      </c>
      <c r="F1128" s="7" t="n">
        <v>0</v>
      </c>
      <c r="G1128" s="7" t="s">
        <v>26</v>
      </c>
      <c r="H1128" s="7" t="s">
        <v>27</v>
      </c>
      <c r="I1128" s="7" t="n">
        <v>38.1</v>
      </c>
      <c r="J1128" s="7" t="s">
        <v>30</v>
      </c>
      <c r="K1128" s="7" t="n">
        <v>125.9</v>
      </c>
      <c r="L1128" s="7" t="s">
        <v>37</v>
      </c>
      <c r="M1128" s="7" t="s">
        <v>39</v>
      </c>
    </row>
    <row r="1129" customFormat="false" ht="15" hidden="false" customHeight="true" outlineLevel="0" collapsed="false">
      <c r="A1129" s="7" t="n">
        <v>2045</v>
      </c>
      <c r="B1129" s="7" t="n">
        <v>75</v>
      </c>
      <c r="C1129" s="7" t="s">
        <v>33</v>
      </c>
      <c r="D1129" s="7" t="s">
        <v>25</v>
      </c>
      <c r="E1129" s="7" t="n">
        <v>0</v>
      </c>
      <c r="F1129" s="7" t="n">
        <v>0</v>
      </c>
      <c r="G1129" s="7" t="s">
        <v>36</v>
      </c>
      <c r="H1129" s="7" t="s">
        <v>27</v>
      </c>
      <c r="I1129" s="7" t="n">
        <v>33.9</v>
      </c>
      <c r="J1129" s="7" t="s">
        <v>30</v>
      </c>
      <c r="K1129" s="7" t="n">
        <v>146.5</v>
      </c>
      <c r="L1129" s="7" t="s">
        <v>29</v>
      </c>
      <c r="M1129" s="7" t="s">
        <v>39</v>
      </c>
    </row>
    <row r="1130" customFormat="false" ht="15" hidden="false" customHeight="true" outlineLevel="0" collapsed="false">
      <c r="A1130" s="7" t="n">
        <v>2147</v>
      </c>
      <c r="B1130" s="7" t="n">
        <v>27</v>
      </c>
      <c r="C1130" s="7" t="s">
        <v>24</v>
      </c>
      <c r="D1130" s="7" t="s">
        <v>25</v>
      </c>
      <c r="E1130" s="7" t="n">
        <v>0</v>
      </c>
      <c r="F1130" s="7" t="n">
        <v>0</v>
      </c>
      <c r="G1130" s="7" t="s">
        <v>34</v>
      </c>
      <c r="H1130" s="7" t="s">
        <v>27</v>
      </c>
      <c r="I1130" s="7" t="n">
        <v>41.9</v>
      </c>
      <c r="J1130" s="7" t="s">
        <v>30</v>
      </c>
      <c r="K1130" s="7" t="n">
        <v>220.7</v>
      </c>
      <c r="L1130" s="7" t="s">
        <v>29</v>
      </c>
      <c r="M1130" s="7" t="s">
        <v>39</v>
      </c>
    </row>
    <row r="1131" customFormat="false" ht="15" hidden="false" customHeight="true" outlineLevel="0" collapsed="false">
      <c r="A1131" s="7" t="n">
        <v>2219</v>
      </c>
      <c r="B1131" s="7" t="n">
        <v>54</v>
      </c>
      <c r="C1131" s="7" t="s">
        <v>24</v>
      </c>
      <c r="D1131" s="7" t="s">
        <v>25</v>
      </c>
      <c r="E1131" s="7" t="n">
        <v>0</v>
      </c>
      <c r="F1131" s="7" t="n">
        <v>0</v>
      </c>
      <c r="G1131" s="7" t="s">
        <v>26</v>
      </c>
      <c r="H1131" s="7" t="s">
        <v>27</v>
      </c>
      <c r="I1131" s="7" t="n">
        <v>36.1</v>
      </c>
      <c r="J1131" s="7" t="s">
        <v>30</v>
      </c>
      <c r="K1131" s="7" t="n">
        <v>196.1</v>
      </c>
      <c r="L1131" s="7" t="s">
        <v>29</v>
      </c>
      <c r="M1131" s="7" t="s">
        <v>39</v>
      </c>
    </row>
    <row r="1132" customFormat="false" ht="15" hidden="false" customHeight="true" outlineLevel="0" collapsed="false">
      <c r="A1132" s="7" t="n">
        <v>2263</v>
      </c>
      <c r="B1132" s="7" t="n">
        <v>77</v>
      </c>
      <c r="C1132" s="7" t="s">
        <v>33</v>
      </c>
      <c r="D1132" s="7" t="s">
        <v>25</v>
      </c>
      <c r="E1132" s="7" t="n">
        <v>0</v>
      </c>
      <c r="F1132" s="7" t="n">
        <v>0</v>
      </c>
      <c r="G1132" s="7" t="s">
        <v>35</v>
      </c>
      <c r="H1132" s="7" t="s">
        <v>27</v>
      </c>
      <c r="I1132" s="7" t="n">
        <v>22.3</v>
      </c>
      <c r="J1132" s="7" t="s">
        <v>30</v>
      </c>
      <c r="K1132" s="7" t="n">
        <v>249.5</v>
      </c>
      <c r="L1132" s="7" t="s">
        <v>37</v>
      </c>
      <c r="M1132" s="7" t="s">
        <v>39</v>
      </c>
    </row>
    <row r="1133" customFormat="false" ht="15" hidden="false" customHeight="true" outlineLevel="0" collapsed="false">
      <c r="A1133" s="7" t="n">
        <v>2363</v>
      </c>
      <c r="B1133" s="7" t="n">
        <v>89</v>
      </c>
      <c r="C1133" s="7" t="s">
        <v>33</v>
      </c>
      <c r="D1133" s="7" t="s">
        <v>25</v>
      </c>
      <c r="E1133" s="7" t="n">
        <v>0</v>
      </c>
      <c r="F1133" s="7" t="n">
        <v>0</v>
      </c>
      <c r="G1133" s="7" t="s">
        <v>26</v>
      </c>
      <c r="H1133" s="7" t="s">
        <v>32</v>
      </c>
      <c r="I1133" s="7" t="n">
        <v>36</v>
      </c>
      <c r="J1133" s="7" t="s">
        <v>30</v>
      </c>
      <c r="K1133" s="7" t="n">
        <v>205.2</v>
      </c>
      <c r="L1133" s="7" t="s">
        <v>37</v>
      </c>
      <c r="M1133" s="7" t="s">
        <v>39</v>
      </c>
    </row>
    <row r="1134" customFormat="false" ht="15" hidden="false" customHeight="true" outlineLevel="0" collapsed="false">
      <c r="A1134" s="7" t="n">
        <v>2401</v>
      </c>
      <c r="B1134" s="7" t="n">
        <v>33</v>
      </c>
      <c r="C1134" s="7" t="s">
        <v>33</v>
      </c>
      <c r="D1134" s="7" t="s">
        <v>25</v>
      </c>
      <c r="E1134" s="7" t="n">
        <v>0</v>
      </c>
      <c r="F1134" s="7" t="n">
        <v>0</v>
      </c>
      <c r="G1134" s="7" t="s">
        <v>35</v>
      </c>
      <c r="H1134" s="7" t="s">
        <v>27</v>
      </c>
      <c r="I1134" s="7" t="n">
        <v>40.8</v>
      </c>
      <c r="J1134" s="7" t="s">
        <v>30</v>
      </c>
      <c r="K1134" s="7" t="n">
        <v>157.4</v>
      </c>
      <c r="L1134" s="7" t="s">
        <v>29</v>
      </c>
      <c r="M1134" s="7" t="s">
        <v>39</v>
      </c>
    </row>
    <row r="1135" customFormat="false" ht="15" hidden="false" customHeight="true" outlineLevel="0" collapsed="false">
      <c r="A1135" s="7" t="n">
        <v>2415</v>
      </c>
      <c r="B1135" s="7" t="n">
        <v>43</v>
      </c>
      <c r="C1135" s="7" t="s">
        <v>24</v>
      </c>
      <c r="D1135" s="7" t="s">
        <v>25</v>
      </c>
      <c r="E1135" s="7" t="n">
        <v>0</v>
      </c>
      <c r="F1135" s="7" t="n">
        <v>0</v>
      </c>
      <c r="G1135" s="7" t="s">
        <v>34</v>
      </c>
      <c r="H1135" s="7" t="s">
        <v>27</v>
      </c>
      <c r="I1135" s="7" t="n">
        <v>31.5</v>
      </c>
      <c r="J1135" s="7" t="s">
        <v>30</v>
      </c>
      <c r="K1135" s="7" t="n">
        <v>288.3</v>
      </c>
      <c r="L1135" s="7" t="s">
        <v>29</v>
      </c>
      <c r="M1135" s="7" t="s">
        <v>39</v>
      </c>
    </row>
    <row r="1136" customFormat="false" ht="15" hidden="false" customHeight="true" outlineLevel="0" collapsed="false">
      <c r="A1136" s="7" t="n">
        <v>2485</v>
      </c>
      <c r="B1136" s="7" t="n">
        <v>51</v>
      </c>
      <c r="C1136" s="7" t="s">
        <v>33</v>
      </c>
      <c r="D1136" s="7" t="s">
        <v>25</v>
      </c>
      <c r="E1136" s="7" t="n">
        <v>0</v>
      </c>
      <c r="F1136" s="7" t="n">
        <v>0</v>
      </c>
      <c r="G1136" s="7" t="s">
        <v>35</v>
      </c>
      <c r="H1136" s="7" t="s">
        <v>27</v>
      </c>
      <c r="I1136" s="7" t="n">
        <v>41.2</v>
      </c>
      <c r="J1136" s="7" t="s">
        <v>30</v>
      </c>
      <c r="K1136" s="7" t="n">
        <v>182.8</v>
      </c>
      <c r="L1136" s="7" t="s">
        <v>37</v>
      </c>
      <c r="M1136" s="7" t="s">
        <v>39</v>
      </c>
    </row>
    <row r="1137" customFormat="false" ht="15" hidden="false" customHeight="true" outlineLevel="0" collapsed="false">
      <c r="A1137" s="7" t="n">
        <v>2500</v>
      </c>
      <c r="B1137" s="7" t="n">
        <v>49</v>
      </c>
      <c r="C1137" s="7" t="s">
        <v>33</v>
      </c>
      <c r="D1137" s="7" t="s">
        <v>25</v>
      </c>
      <c r="E1137" s="7" t="n">
        <v>0</v>
      </c>
      <c r="F1137" s="7" t="n">
        <v>0</v>
      </c>
      <c r="G1137" s="7" t="s">
        <v>36</v>
      </c>
      <c r="H1137" s="7" t="s">
        <v>27</v>
      </c>
      <c r="I1137" s="7" t="n">
        <v>33.8</v>
      </c>
      <c r="J1137" s="7" t="s">
        <v>30</v>
      </c>
      <c r="K1137" s="7" t="n">
        <v>129.7</v>
      </c>
      <c r="L1137" s="7" t="s">
        <v>29</v>
      </c>
      <c r="M1137" s="7" t="s">
        <v>39</v>
      </c>
    </row>
    <row r="1138" customFormat="false" ht="15" hidden="false" customHeight="true" outlineLevel="0" collapsed="false">
      <c r="A1138" s="7" t="n">
        <v>10</v>
      </c>
      <c r="B1138" s="7" t="n">
        <v>31</v>
      </c>
      <c r="C1138" s="7" t="s">
        <v>33</v>
      </c>
      <c r="D1138" s="7" t="s">
        <v>40</v>
      </c>
      <c r="E1138" s="7" t="n">
        <v>30</v>
      </c>
      <c r="F1138" s="7" t="n">
        <v>27</v>
      </c>
      <c r="G1138" s="7" t="s">
        <v>35</v>
      </c>
      <c r="H1138" s="7" t="s">
        <v>27</v>
      </c>
      <c r="I1138" s="7" t="n">
        <v>27.7</v>
      </c>
      <c r="J1138" s="7" t="s">
        <v>30</v>
      </c>
      <c r="K1138" s="7" t="n">
        <v>139.4</v>
      </c>
      <c r="L1138" s="7" t="s">
        <v>37</v>
      </c>
      <c r="M1138" s="7" t="s">
        <v>38</v>
      </c>
    </row>
    <row r="1139" customFormat="false" ht="15" hidden="false" customHeight="true" outlineLevel="0" collapsed="false">
      <c r="A1139" s="7" t="n">
        <v>20</v>
      </c>
      <c r="B1139" s="7" t="n">
        <v>65</v>
      </c>
      <c r="C1139" s="7" t="s">
        <v>24</v>
      </c>
      <c r="D1139" s="7" t="s">
        <v>40</v>
      </c>
      <c r="E1139" s="7" t="n">
        <v>6</v>
      </c>
      <c r="F1139" s="7" t="n">
        <v>5</v>
      </c>
      <c r="G1139" s="7" t="s">
        <v>31</v>
      </c>
      <c r="H1139" s="7" t="s">
        <v>27</v>
      </c>
      <c r="I1139" s="7" t="n">
        <v>39.1</v>
      </c>
      <c r="J1139" s="7" t="s">
        <v>30</v>
      </c>
      <c r="K1139" s="7" t="n">
        <v>170.2</v>
      </c>
      <c r="L1139" s="7" t="s">
        <v>29</v>
      </c>
      <c r="M1139" s="7" t="s">
        <v>38</v>
      </c>
    </row>
    <row r="1140" customFormat="false" ht="15" hidden="false" customHeight="true" outlineLevel="0" collapsed="false">
      <c r="A1140" s="7" t="n">
        <v>34</v>
      </c>
      <c r="B1140" s="7" t="n">
        <v>86</v>
      </c>
      <c r="C1140" s="7" t="s">
        <v>33</v>
      </c>
      <c r="D1140" s="7" t="s">
        <v>40</v>
      </c>
      <c r="E1140" s="7" t="n">
        <v>33</v>
      </c>
      <c r="F1140" s="7" t="n">
        <v>18</v>
      </c>
      <c r="G1140" s="7" t="s">
        <v>34</v>
      </c>
      <c r="H1140" s="7" t="s">
        <v>27</v>
      </c>
      <c r="I1140" s="7" t="n">
        <v>41.5</v>
      </c>
      <c r="J1140" s="7" t="s">
        <v>30</v>
      </c>
      <c r="K1140" s="7" t="n">
        <v>123.1</v>
      </c>
      <c r="L1140" s="7" t="s">
        <v>29</v>
      </c>
      <c r="M1140" s="7" t="s">
        <v>38</v>
      </c>
    </row>
    <row r="1141" customFormat="false" ht="15" hidden="false" customHeight="true" outlineLevel="0" collapsed="false">
      <c r="A1141" s="7" t="n">
        <v>73</v>
      </c>
      <c r="B1141" s="7" t="n">
        <v>28</v>
      </c>
      <c r="C1141" s="7" t="s">
        <v>33</v>
      </c>
      <c r="D1141" s="7" t="s">
        <v>40</v>
      </c>
      <c r="E1141" s="7" t="n">
        <v>26</v>
      </c>
      <c r="F1141" s="7" t="n">
        <v>12</v>
      </c>
      <c r="G1141" s="7" t="s">
        <v>26</v>
      </c>
      <c r="H1141" s="7" t="s">
        <v>27</v>
      </c>
      <c r="I1141" s="7" t="n">
        <v>21.1</v>
      </c>
      <c r="J1141" s="7" t="s">
        <v>30</v>
      </c>
      <c r="K1141" s="7" t="n">
        <v>266.6</v>
      </c>
      <c r="L1141" s="7" t="s">
        <v>29</v>
      </c>
      <c r="M1141" s="7" t="s">
        <v>38</v>
      </c>
    </row>
    <row r="1142" customFormat="false" ht="15" hidden="false" customHeight="true" outlineLevel="0" collapsed="false">
      <c r="A1142" s="7" t="n">
        <v>95</v>
      </c>
      <c r="B1142" s="7" t="n">
        <v>54</v>
      </c>
      <c r="C1142" s="7" t="s">
        <v>33</v>
      </c>
      <c r="D1142" s="7" t="s">
        <v>40</v>
      </c>
      <c r="E1142" s="7" t="n">
        <v>38</v>
      </c>
      <c r="F1142" s="7" t="n">
        <v>21</v>
      </c>
      <c r="G1142" s="7" t="s">
        <v>36</v>
      </c>
      <c r="H1142" s="7" t="s">
        <v>32</v>
      </c>
      <c r="I1142" s="7" t="n">
        <v>19.7</v>
      </c>
      <c r="J1142" s="7" t="s">
        <v>30</v>
      </c>
      <c r="K1142" s="7" t="n">
        <v>167.5</v>
      </c>
      <c r="L1142" s="7" t="s">
        <v>37</v>
      </c>
      <c r="M1142" s="7" t="s">
        <v>38</v>
      </c>
    </row>
    <row r="1143" customFormat="false" ht="15" hidden="false" customHeight="true" outlineLevel="0" collapsed="false">
      <c r="A1143" s="7" t="n">
        <v>120</v>
      </c>
      <c r="B1143" s="7" t="n">
        <v>53</v>
      </c>
      <c r="C1143" s="7" t="s">
        <v>33</v>
      </c>
      <c r="D1143" s="7" t="s">
        <v>40</v>
      </c>
      <c r="E1143" s="7" t="n">
        <v>33</v>
      </c>
      <c r="F1143" s="7" t="n">
        <v>16</v>
      </c>
      <c r="G1143" s="7" t="s">
        <v>35</v>
      </c>
      <c r="H1143" s="7" t="s">
        <v>27</v>
      </c>
      <c r="I1143" s="7" t="n">
        <v>26.6</v>
      </c>
      <c r="J1143" s="7" t="s">
        <v>30</v>
      </c>
      <c r="K1143" s="7" t="n">
        <v>267.9</v>
      </c>
      <c r="L1143" s="7" t="s">
        <v>29</v>
      </c>
      <c r="M1143" s="7" t="s">
        <v>38</v>
      </c>
    </row>
    <row r="1144" customFormat="false" ht="15" hidden="false" customHeight="true" outlineLevel="0" collapsed="false">
      <c r="A1144" s="7" t="n">
        <v>156</v>
      </c>
      <c r="B1144" s="7" t="n">
        <v>24</v>
      </c>
      <c r="C1144" s="7" t="s">
        <v>24</v>
      </c>
      <c r="D1144" s="7" t="s">
        <v>40</v>
      </c>
      <c r="E1144" s="7" t="n">
        <v>8</v>
      </c>
      <c r="F1144" s="7" t="n">
        <v>26</v>
      </c>
      <c r="G1144" s="7" t="s">
        <v>34</v>
      </c>
      <c r="H1144" s="7" t="s">
        <v>27</v>
      </c>
      <c r="I1144" s="7" t="n">
        <v>30.2</v>
      </c>
      <c r="J1144" s="7" t="s">
        <v>30</v>
      </c>
      <c r="K1144" s="7" t="n">
        <v>120.5</v>
      </c>
      <c r="L1144" s="7" t="s">
        <v>29</v>
      </c>
      <c r="M1144" s="7" t="s">
        <v>38</v>
      </c>
    </row>
    <row r="1145" customFormat="false" ht="15" hidden="false" customHeight="true" outlineLevel="0" collapsed="false">
      <c r="A1145" s="7" t="n">
        <v>165</v>
      </c>
      <c r="B1145" s="7" t="n">
        <v>22</v>
      </c>
      <c r="C1145" s="7" t="s">
        <v>24</v>
      </c>
      <c r="D1145" s="7" t="s">
        <v>40</v>
      </c>
      <c r="E1145" s="7" t="n">
        <v>27</v>
      </c>
      <c r="F1145" s="7" t="n">
        <v>23</v>
      </c>
      <c r="G1145" s="7" t="s">
        <v>31</v>
      </c>
      <c r="H1145" s="7" t="s">
        <v>27</v>
      </c>
      <c r="I1145" s="7" t="n">
        <v>33.8</v>
      </c>
      <c r="J1145" s="7" t="s">
        <v>30</v>
      </c>
      <c r="K1145" s="7" t="n">
        <v>166.3</v>
      </c>
      <c r="L1145" s="7" t="s">
        <v>29</v>
      </c>
      <c r="M1145" s="7" t="s">
        <v>39</v>
      </c>
    </row>
    <row r="1146" customFormat="false" ht="15" hidden="false" customHeight="true" outlineLevel="0" collapsed="false">
      <c r="A1146" s="7" t="n">
        <v>197</v>
      </c>
      <c r="B1146" s="7" t="n">
        <v>62</v>
      </c>
      <c r="C1146" s="7" t="s">
        <v>33</v>
      </c>
      <c r="D1146" s="7" t="s">
        <v>40</v>
      </c>
      <c r="E1146" s="7" t="n">
        <v>15</v>
      </c>
      <c r="F1146" s="7" t="n">
        <v>29</v>
      </c>
      <c r="G1146" s="7" t="s">
        <v>34</v>
      </c>
      <c r="H1146" s="7" t="s">
        <v>27</v>
      </c>
      <c r="I1146" s="7" t="n">
        <v>29.4</v>
      </c>
      <c r="J1146" s="7" t="s">
        <v>30</v>
      </c>
      <c r="K1146" s="7" t="n">
        <v>243.5</v>
      </c>
      <c r="L1146" s="7" t="s">
        <v>29</v>
      </c>
      <c r="M1146" s="7" t="s">
        <v>38</v>
      </c>
    </row>
    <row r="1147" customFormat="false" ht="15" hidden="false" customHeight="true" outlineLevel="0" collapsed="false">
      <c r="A1147" s="7" t="n">
        <v>202</v>
      </c>
      <c r="B1147" s="7" t="n">
        <v>33</v>
      </c>
      <c r="C1147" s="7" t="s">
        <v>24</v>
      </c>
      <c r="D1147" s="7" t="s">
        <v>40</v>
      </c>
      <c r="E1147" s="7" t="n">
        <v>14</v>
      </c>
      <c r="F1147" s="7" t="n">
        <v>20</v>
      </c>
      <c r="G1147" s="7" t="s">
        <v>36</v>
      </c>
      <c r="H1147" s="7" t="s">
        <v>32</v>
      </c>
      <c r="I1147" s="7" t="n">
        <v>23.7</v>
      </c>
      <c r="J1147" s="7" t="s">
        <v>30</v>
      </c>
      <c r="K1147" s="7" t="n">
        <v>273.6</v>
      </c>
      <c r="L1147" s="7" t="s">
        <v>37</v>
      </c>
      <c r="M1147" s="7" t="s">
        <v>38</v>
      </c>
    </row>
    <row r="1148" customFormat="false" ht="15" hidden="false" customHeight="true" outlineLevel="0" collapsed="false">
      <c r="A1148" s="7" t="n">
        <v>204</v>
      </c>
      <c r="B1148" s="7" t="n">
        <v>54</v>
      </c>
      <c r="C1148" s="7" t="s">
        <v>24</v>
      </c>
      <c r="D1148" s="7" t="s">
        <v>40</v>
      </c>
      <c r="E1148" s="7" t="n">
        <v>18</v>
      </c>
      <c r="F1148" s="7" t="n">
        <v>29</v>
      </c>
      <c r="G1148" s="7" t="s">
        <v>26</v>
      </c>
      <c r="H1148" s="7" t="s">
        <v>27</v>
      </c>
      <c r="I1148" s="7" t="n">
        <v>33.4</v>
      </c>
      <c r="J1148" s="7" t="s">
        <v>30</v>
      </c>
      <c r="K1148" s="7" t="n">
        <v>221.8</v>
      </c>
      <c r="L1148" s="7" t="s">
        <v>29</v>
      </c>
      <c r="M1148" s="7" t="s">
        <v>39</v>
      </c>
    </row>
    <row r="1149" customFormat="false" ht="15" hidden="false" customHeight="true" outlineLevel="0" collapsed="false">
      <c r="A1149" s="7" t="n">
        <v>217</v>
      </c>
      <c r="B1149" s="7" t="n">
        <v>38</v>
      </c>
      <c r="C1149" s="7" t="s">
        <v>24</v>
      </c>
      <c r="D1149" s="7" t="s">
        <v>40</v>
      </c>
      <c r="E1149" s="7" t="n">
        <v>16</v>
      </c>
      <c r="F1149" s="7" t="n">
        <v>20</v>
      </c>
      <c r="G1149" s="7" t="s">
        <v>36</v>
      </c>
      <c r="H1149" s="7" t="s">
        <v>27</v>
      </c>
      <c r="I1149" s="7" t="n">
        <v>23</v>
      </c>
      <c r="J1149" s="7" t="s">
        <v>30</v>
      </c>
      <c r="K1149" s="7" t="n">
        <v>182.6</v>
      </c>
      <c r="L1149" s="7" t="s">
        <v>29</v>
      </c>
      <c r="M1149" s="7" t="s">
        <v>38</v>
      </c>
    </row>
    <row r="1150" customFormat="false" ht="15" hidden="false" customHeight="true" outlineLevel="0" collapsed="false">
      <c r="A1150" s="7" t="n">
        <v>287</v>
      </c>
      <c r="B1150" s="7" t="n">
        <v>70</v>
      </c>
      <c r="C1150" s="7" t="s">
        <v>33</v>
      </c>
      <c r="D1150" s="7" t="s">
        <v>40</v>
      </c>
      <c r="E1150" s="7" t="n">
        <v>33</v>
      </c>
      <c r="F1150" s="7" t="n">
        <v>24</v>
      </c>
      <c r="G1150" s="7" t="s">
        <v>36</v>
      </c>
      <c r="H1150" s="7" t="s">
        <v>32</v>
      </c>
      <c r="I1150" s="7" t="n">
        <v>23</v>
      </c>
      <c r="J1150" s="7" t="s">
        <v>30</v>
      </c>
      <c r="K1150" s="7" t="n">
        <v>285.3</v>
      </c>
      <c r="L1150" s="7" t="s">
        <v>37</v>
      </c>
      <c r="M1150" s="7" t="s">
        <v>38</v>
      </c>
    </row>
    <row r="1151" customFormat="false" ht="15" hidden="false" customHeight="true" outlineLevel="0" collapsed="false">
      <c r="A1151" s="7" t="n">
        <v>293</v>
      </c>
      <c r="B1151" s="7" t="n">
        <v>55</v>
      </c>
      <c r="C1151" s="7" t="s">
        <v>33</v>
      </c>
      <c r="D1151" s="7" t="s">
        <v>40</v>
      </c>
      <c r="E1151" s="7" t="n">
        <v>11</v>
      </c>
      <c r="F1151" s="7" t="n">
        <v>11</v>
      </c>
      <c r="G1151" s="7" t="s">
        <v>26</v>
      </c>
      <c r="H1151" s="7" t="s">
        <v>27</v>
      </c>
      <c r="I1151" s="7" t="n">
        <v>39.1</v>
      </c>
      <c r="J1151" s="7" t="s">
        <v>30</v>
      </c>
      <c r="K1151" s="7" t="n">
        <v>154.4</v>
      </c>
      <c r="L1151" s="7" t="s">
        <v>29</v>
      </c>
      <c r="M1151" s="7" t="s">
        <v>38</v>
      </c>
    </row>
    <row r="1152" customFormat="false" ht="15" hidden="false" customHeight="true" outlineLevel="0" collapsed="false">
      <c r="A1152" s="7" t="n">
        <v>319</v>
      </c>
      <c r="B1152" s="7" t="n">
        <v>18</v>
      </c>
      <c r="C1152" s="7" t="s">
        <v>24</v>
      </c>
      <c r="D1152" s="7" t="s">
        <v>40</v>
      </c>
      <c r="E1152" s="7" t="n">
        <v>18</v>
      </c>
      <c r="F1152" s="7" t="n">
        <v>10</v>
      </c>
      <c r="G1152" s="7" t="s">
        <v>26</v>
      </c>
      <c r="H1152" s="7" t="s">
        <v>27</v>
      </c>
      <c r="I1152" s="7" t="n">
        <v>18.8</v>
      </c>
      <c r="J1152" s="7" t="s">
        <v>30</v>
      </c>
      <c r="K1152" s="7" t="n">
        <v>239.6</v>
      </c>
      <c r="L1152" s="7" t="s">
        <v>29</v>
      </c>
      <c r="M1152" s="7" t="s">
        <v>38</v>
      </c>
    </row>
    <row r="1153" customFormat="false" ht="15" hidden="false" customHeight="true" outlineLevel="0" collapsed="false">
      <c r="A1153" s="7" t="n">
        <v>338</v>
      </c>
      <c r="B1153" s="7" t="n">
        <v>84</v>
      </c>
      <c r="C1153" s="7" t="s">
        <v>24</v>
      </c>
      <c r="D1153" s="7" t="s">
        <v>40</v>
      </c>
      <c r="E1153" s="7" t="n">
        <v>7</v>
      </c>
      <c r="F1153" s="7" t="n">
        <v>10</v>
      </c>
      <c r="G1153" s="7" t="s">
        <v>26</v>
      </c>
      <c r="H1153" s="7" t="s">
        <v>27</v>
      </c>
      <c r="I1153" s="7" t="n">
        <v>23.7</v>
      </c>
      <c r="J1153" s="7" t="s">
        <v>30</v>
      </c>
      <c r="K1153" s="7" t="n">
        <v>245</v>
      </c>
      <c r="L1153" s="7" t="s">
        <v>37</v>
      </c>
      <c r="M1153" s="7" t="s">
        <v>38</v>
      </c>
    </row>
    <row r="1154" customFormat="false" ht="15" hidden="false" customHeight="true" outlineLevel="0" collapsed="false">
      <c r="A1154" s="7" t="n">
        <v>359</v>
      </c>
      <c r="B1154" s="7" t="n">
        <v>80</v>
      </c>
      <c r="C1154" s="7" t="s">
        <v>24</v>
      </c>
      <c r="D1154" s="7" t="s">
        <v>40</v>
      </c>
      <c r="E1154" s="7" t="n">
        <v>24</v>
      </c>
      <c r="F1154" s="7" t="n">
        <v>25</v>
      </c>
      <c r="G1154" s="7" t="s">
        <v>31</v>
      </c>
      <c r="H1154" s="7" t="s">
        <v>32</v>
      </c>
      <c r="I1154" s="7" t="n">
        <v>33.5</v>
      </c>
      <c r="J1154" s="7" t="s">
        <v>30</v>
      </c>
      <c r="K1154" s="7" t="n">
        <v>263.9</v>
      </c>
      <c r="L1154" s="7" t="s">
        <v>37</v>
      </c>
      <c r="M1154" s="7" t="s">
        <v>38</v>
      </c>
    </row>
    <row r="1155" customFormat="false" ht="15" hidden="false" customHeight="true" outlineLevel="0" collapsed="false">
      <c r="A1155" s="7" t="n">
        <v>384</v>
      </c>
      <c r="B1155" s="7" t="n">
        <v>48</v>
      </c>
      <c r="C1155" s="7" t="s">
        <v>33</v>
      </c>
      <c r="D1155" s="7" t="s">
        <v>40</v>
      </c>
      <c r="E1155" s="7" t="n">
        <v>17</v>
      </c>
      <c r="F1155" s="7" t="n">
        <v>21</v>
      </c>
      <c r="G1155" s="7" t="s">
        <v>35</v>
      </c>
      <c r="H1155" s="7" t="s">
        <v>27</v>
      </c>
      <c r="I1155" s="7" t="n">
        <v>34</v>
      </c>
      <c r="J1155" s="7" t="s">
        <v>30</v>
      </c>
      <c r="K1155" s="7" t="n">
        <v>195.7</v>
      </c>
      <c r="L1155" s="7" t="s">
        <v>29</v>
      </c>
      <c r="M1155" s="7" t="s">
        <v>39</v>
      </c>
    </row>
    <row r="1156" customFormat="false" ht="15" hidden="false" customHeight="true" outlineLevel="0" collapsed="false">
      <c r="A1156" s="7" t="n">
        <v>410</v>
      </c>
      <c r="B1156" s="7" t="n">
        <v>51</v>
      </c>
      <c r="C1156" s="7" t="s">
        <v>24</v>
      </c>
      <c r="D1156" s="7" t="s">
        <v>40</v>
      </c>
      <c r="E1156" s="7" t="n">
        <v>31</v>
      </c>
      <c r="F1156" s="7" t="n">
        <v>13</v>
      </c>
      <c r="G1156" s="7" t="s">
        <v>36</v>
      </c>
      <c r="H1156" s="7" t="s">
        <v>27</v>
      </c>
      <c r="I1156" s="7" t="n">
        <v>27.3</v>
      </c>
      <c r="J1156" s="7" t="s">
        <v>30</v>
      </c>
      <c r="K1156" s="7" t="n">
        <v>125</v>
      </c>
      <c r="L1156" s="7" t="s">
        <v>29</v>
      </c>
      <c r="M1156" s="7" t="s">
        <v>38</v>
      </c>
    </row>
    <row r="1157" customFormat="false" ht="15" hidden="false" customHeight="true" outlineLevel="0" collapsed="false">
      <c r="A1157" s="7" t="n">
        <v>438</v>
      </c>
      <c r="B1157" s="7" t="n">
        <v>84</v>
      </c>
      <c r="C1157" s="7" t="s">
        <v>24</v>
      </c>
      <c r="D1157" s="7" t="s">
        <v>40</v>
      </c>
      <c r="E1157" s="7" t="n">
        <v>33</v>
      </c>
      <c r="F1157" s="7" t="n">
        <v>23</v>
      </c>
      <c r="G1157" s="7" t="s">
        <v>36</v>
      </c>
      <c r="H1157" s="7" t="s">
        <v>27</v>
      </c>
      <c r="I1157" s="7" t="n">
        <v>29.6</v>
      </c>
      <c r="J1157" s="7" t="s">
        <v>30</v>
      </c>
      <c r="K1157" s="7" t="n">
        <v>132.8</v>
      </c>
      <c r="L1157" s="7" t="s">
        <v>29</v>
      </c>
      <c r="M1157" s="7" t="s">
        <v>38</v>
      </c>
    </row>
    <row r="1158" customFormat="false" ht="15" hidden="false" customHeight="true" outlineLevel="0" collapsed="false">
      <c r="A1158" s="7" t="n">
        <v>446</v>
      </c>
      <c r="B1158" s="7" t="n">
        <v>57</v>
      </c>
      <c r="C1158" s="7" t="s">
        <v>24</v>
      </c>
      <c r="D1158" s="7" t="s">
        <v>40</v>
      </c>
      <c r="E1158" s="7" t="n">
        <v>30</v>
      </c>
      <c r="F1158" s="7" t="n">
        <v>7</v>
      </c>
      <c r="G1158" s="7" t="s">
        <v>26</v>
      </c>
      <c r="H1158" s="7" t="s">
        <v>27</v>
      </c>
      <c r="I1158" s="7" t="n">
        <v>31.2</v>
      </c>
      <c r="J1158" s="7" t="s">
        <v>30</v>
      </c>
      <c r="K1158" s="7" t="n">
        <v>233.9</v>
      </c>
      <c r="L1158" s="7" t="s">
        <v>29</v>
      </c>
      <c r="M1158" s="7" t="s">
        <v>39</v>
      </c>
    </row>
    <row r="1159" customFormat="false" ht="15" hidden="false" customHeight="true" outlineLevel="0" collapsed="false">
      <c r="A1159" s="7" t="n">
        <v>468</v>
      </c>
      <c r="B1159" s="7" t="n">
        <v>41</v>
      </c>
      <c r="C1159" s="7" t="s">
        <v>24</v>
      </c>
      <c r="D1159" s="7" t="s">
        <v>40</v>
      </c>
      <c r="E1159" s="7" t="n">
        <v>35</v>
      </c>
      <c r="F1159" s="7" t="n">
        <v>21</v>
      </c>
      <c r="G1159" s="7" t="s">
        <v>36</v>
      </c>
      <c r="H1159" s="7" t="s">
        <v>27</v>
      </c>
      <c r="I1159" s="7" t="n">
        <v>39.2</v>
      </c>
      <c r="J1159" s="7" t="s">
        <v>30</v>
      </c>
      <c r="K1159" s="7" t="n">
        <v>293.1</v>
      </c>
      <c r="L1159" s="7" t="s">
        <v>29</v>
      </c>
      <c r="M1159" s="7" t="s">
        <v>38</v>
      </c>
    </row>
    <row r="1160" customFormat="false" ht="15" hidden="false" customHeight="true" outlineLevel="0" collapsed="false">
      <c r="A1160" s="7" t="n">
        <v>480</v>
      </c>
      <c r="B1160" s="7" t="n">
        <v>73</v>
      </c>
      <c r="C1160" s="7" t="s">
        <v>24</v>
      </c>
      <c r="D1160" s="7" t="s">
        <v>40</v>
      </c>
      <c r="E1160" s="7" t="n">
        <v>18</v>
      </c>
      <c r="F1160" s="7" t="n">
        <v>27</v>
      </c>
      <c r="G1160" s="7" t="s">
        <v>35</v>
      </c>
      <c r="H1160" s="7" t="s">
        <v>27</v>
      </c>
      <c r="I1160" s="7" t="n">
        <v>20.1</v>
      </c>
      <c r="J1160" s="7" t="s">
        <v>30</v>
      </c>
      <c r="K1160" s="7" t="n">
        <v>283.7</v>
      </c>
      <c r="L1160" s="7" t="s">
        <v>37</v>
      </c>
      <c r="M1160" s="7" t="s">
        <v>38</v>
      </c>
    </row>
    <row r="1161" customFormat="false" ht="15" hidden="false" customHeight="true" outlineLevel="0" collapsed="false">
      <c r="A1161" s="7" t="n">
        <v>548</v>
      </c>
      <c r="B1161" s="7" t="n">
        <v>34</v>
      </c>
      <c r="C1161" s="7" t="s">
        <v>24</v>
      </c>
      <c r="D1161" s="7" t="s">
        <v>40</v>
      </c>
      <c r="E1161" s="7" t="n">
        <v>31</v>
      </c>
      <c r="F1161" s="7" t="n">
        <v>10</v>
      </c>
      <c r="G1161" s="7" t="s">
        <v>34</v>
      </c>
      <c r="H1161" s="7" t="s">
        <v>27</v>
      </c>
      <c r="I1161" s="7" t="n">
        <v>34.5</v>
      </c>
      <c r="J1161" s="7" t="s">
        <v>30</v>
      </c>
      <c r="K1161" s="7" t="n">
        <v>193.7</v>
      </c>
      <c r="L1161" s="7" t="s">
        <v>29</v>
      </c>
      <c r="M1161" s="7" t="s">
        <v>38</v>
      </c>
    </row>
    <row r="1162" customFormat="false" ht="15" hidden="false" customHeight="true" outlineLevel="0" collapsed="false">
      <c r="A1162" s="7" t="n">
        <v>599</v>
      </c>
      <c r="B1162" s="7" t="n">
        <v>83</v>
      </c>
      <c r="C1162" s="7" t="s">
        <v>24</v>
      </c>
      <c r="D1162" s="7" t="s">
        <v>40</v>
      </c>
      <c r="E1162" s="7" t="n">
        <v>16</v>
      </c>
      <c r="F1162" s="7" t="n">
        <v>11</v>
      </c>
      <c r="G1162" s="7" t="s">
        <v>26</v>
      </c>
      <c r="H1162" s="7" t="s">
        <v>27</v>
      </c>
      <c r="I1162" s="7" t="n">
        <v>40.8</v>
      </c>
      <c r="J1162" s="7" t="s">
        <v>30</v>
      </c>
      <c r="K1162" s="7" t="n">
        <v>147</v>
      </c>
      <c r="L1162" s="7" t="s">
        <v>29</v>
      </c>
      <c r="M1162" s="7" t="s">
        <v>38</v>
      </c>
    </row>
    <row r="1163" customFormat="false" ht="15" hidden="false" customHeight="true" outlineLevel="0" collapsed="false">
      <c r="A1163" s="7" t="n">
        <v>621</v>
      </c>
      <c r="B1163" s="7" t="n">
        <v>23</v>
      </c>
      <c r="C1163" s="7" t="s">
        <v>33</v>
      </c>
      <c r="D1163" s="7" t="s">
        <v>40</v>
      </c>
      <c r="E1163" s="7" t="n">
        <v>10</v>
      </c>
      <c r="F1163" s="7" t="n">
        <v>23</v>
      </c>
      <c r="G1163" s="7" t="s">
        <v>36</v>
      </c>
      <c r="H1163" s="7" t="s">
        <v>27</v>
      </c>
      <c r="I1163" s="7" t="n">
        <v>19.5</v>
      </c>
      <c r="J1163" s="7" t="s">
        <v>30</v>
      </c>
      <c r="K1163" s="7" t="n">
        <v>300</v>
      </c>
      <c r="L1163" s="7" t="s">
        <v>37</v>
      </c>
      <c r="M1163" s="7" t="s">
        <v>38</v>
      </c>
    </row>
    <row r="1164" customFormat="false" ht="15" hidden="false" customHeight="true" outlineLevel="0" collapsed="false">
      <c r="A1164" s="7" t="n">
        <v>654</v>
      </c>
      <c r="B1164" s="7" t="n">
        <v>85</v>
      </c>
      <c r="C1164" s="7" t="s">
        <v>33</v>
      </c>
      <c r="D1164" s="7" t="s">
        <v>40</v>
      </c>
      <c r="E1164" s="7" t="n">
        <v>15</v>
      </c>
      <c r="F1164" s="7" t="n">
        <v>6</v>
      </c>
      <c r="G1164" s="7" t="s">
        <v>26</v>
      </c>
      <c r="H1164" s="7" t="s">
        <v>32</v>
      </c>
      <c r="I1164" s="7" t="n">
        <v>21.7</v>
      </c>
      <c r="J1164" s="7" t="s">
        <v>30</v>
      </c>
      <c r="K1164" s="7" t="n">
        <v>299.7</v>
      </c>
      <c r="L1164" s="7" t="s">
        <v>37</v>
      </c>
      <c r="M1164" s="7" t="s">
        <v>38</v>
      </c>
    </row>
    <row r="1165" customFormat="false" ht="15" hidden="false" customHeight="true" outlineLevel="0" collapsed="false">
      <c r="A1165" s="7" t="n">
        <v>765</v>
      </c>
      <c r="B1165" s="7" t="n">
        <v>70</v>
      </c>
      <c r="C1165" s="7" t="s">
        <v>33</v>
      </c>
      <c r="D1165" s="7" t="s">
        <v>40</v>
      </c>
      <c r="E1165" s="7" t="n">
        <v>11</v>
      </c>
      <c r="F1165" s="7" t="n">
        <v>18</v>
      </c>
      <c r="G1165" s="7" t="s">
        <v>34</v>
      </c>
      <c r="H1165" s="7" t="s">
        <v>32</v>
      </c>
      <c r="I1165" s="7" t="n">
        <v>28.8</v>
      </c>
      <c r="J1165" s="7" t="s">
        <v>30</v>
      </c>
      <c r="K1165" s="7" t="n">
        <v>234.9</v>
      </c>
      <c r="L1165" s="7" t="s">
        <v>37</v>
      </c>
      <c r="M1165" s="7" t="s">
        <v>39</v>
      </c>
    </row>
    <row r="1166" customFormat="false" ht="15" hidden="false" customHeight="true" outlineLevel="0" collapsed="false">
      <c r="A1166" s="7" t="n">
        <v>784</v>
      </c>
      <c r="B1166" s="7" t="n">
        <v>33</v>
      </c>
      <c r="C1166" s="7" t="s">
        <v>33</v>
      </c>
      <c r="D1166" s="7" t="s">
        <v>40</v>
      </c>
      <c r="E1166" s="7" t="n">
        <v>27</v>
      </c>
      <c r="F1166" s="7" t="n">
        <v>5</v>
      </c>
      <c r="G1166" s="7" t="s">
        <v>26</v>
      </c>
      <c r="H1166" s="7" t="s">
        <v>32</v>
      </c>
      <c r="I1166" s="7" t="n">
        <v>24.9</v>
      </c>
      <c r="J1166" s="7" t="s">
        <v>30</v>
      </c>
      <c r="K1166" s="7" t="n">
        <v>139.3</v>
      </c>
      <c r="L1166" s="7" t="s">
        <v>29</v>
      </c>
      <c r="M1166" s="7" t="s">
        <v>39</v>
      </c>
    </row>
    <row r="1167" customFormat="false" ht="15" hidden="false" customHeight="true" outlineLevel="0" collapsed="false">
      <c r="A1167" s="7" t="n">
        <v>809</v>
      </c>
      <c r="B1167" s="7" t="n">
        <v>82</v>
      </c>
      <c r="C1167" s="7" t="s">
        <v>24</v>
      </c>
      <c r="D1167" s="7" t="s">
        <v>40</v>
      </c>
      <c r="E1167" s="7" t="n">
        <v>35</v>
      </c>
      <c r="F1167" s="7" t="n">
        <v>7</v>
      </c>
      <c r="G1167" s="7" t="s">
        <v>31</v>
      </c>
      <c r="H1167" s="7" t="s">
        <v>27</v>
      </c>
      <c r="I1167" s="7" t="n">
        <v>20.2</v>
      </c>
      <c r="J1167" s="7" t="s">
        <v>30</v>
      </c>
      <c r="K1167" s="7" t="n">
        <v>292.8</v>
      </c>
      <c r="L1167" s="7" t="s">
        <v>29</v>
      </c>
      <c r="M1167" s="7" t="s">
        <v>38</v>
      </c>
    </row>
    <row r="1168" customFormat="false" ht="15" hidden="false" customHeight="true" outlineLevel="0" collapsed="false">
      <c r="A1168" s="7" t="n">
        <v>942</v>
      </c>
      <c r="B1168" s="7" t="n">
        <v>43</v>
      </c>
      <c r="C1168" s="7" t="s">
        <v>24</v>
      </c>
      <c r="D1168" s="7" t="s">
        <v>40</v>
      </c>
      <c r="E1168" s="7" t="n">
        <v>12</v>
      </c>
      <c r="F1168" s="7" t="n">
        <v>19</v>
      </c>
      <c r="G1168" s="7" t="s">
        <v>35</v>
      </c>
      <c r="H1168" s="7" t="s">
        <v>32</v>
      </c>
      <c r="I1168" s="7" t="n">
        <v>40.1</v>
      </c>
      <c r="J1168" s="7" t="s">
        <v>30</v>
      </c>
      <c r="K1168" s="7" t="n">
        <v>125.3</v>
      </c>
      <c r="L1168" s="7" t="s">
        <v>37</v>
      </c>
      <c r="M1168" s="7" t="s">
        <v>39</v>
      </c>
    </row>
    <row r="1169" customFormat="false" ht="15" hidden="false" customHeight="true" outlineLevel="0" collapsed="false">
      <c r="A1169" s="7" t="n">
        <v>957</v>
      </c>
      <c r="B1169" s="7" t="n">
        <v>70</v>
      </c>
      <c r="C1169" s="7" t="s">
        <v>24</v>
      </c>
      <c r="D1169" s="7" t="s">
        <v>40</v>
      </c>
      <c r="E1169" s="7" t="n">
        <v>31</v>
      </c>
      <c r="F1169" s="7" t="n">
        <v>26</v>
      </c>
      <c r="G1169" s="7" t="s">
        <v>31</v>
      </c>
      <c r="H1169" s="7" t="s">
        <v>27</v>
      </c>
      <c r="I1169" s="7" t="n">
        <v>41.5</v>
      </c>
      <c r="J1169" s="7" t="s">
        <v>30</v>
      </c>
      <c r="K1169" s="7" t="n">
        <v>184.3</v>
      </c>
      <c r="L1169" s="7" t="s">
        <v>29</v>
      </c>
      <c r="M1169" s="7" t="s">
        <v>39</v>
      </c>
    </row>
    <row r="1170" customFormat="false" ht="15" hidden="false" customHeight="true" outlineLevel="0" collapsed="false">
      <c r="A1170" s="7" t="n">
        <v>1004</v>
      </c>
      <c r="B1170" s="7" t="n">
        <v>54</v>
      </c>
      <c r="C1170" s="7" t="s">
        <v>24</v>
      </c>
      <c r="D1170" s="7" t="s">
        <v>40</v>
      </c>
      <c r="E1170" s="7" t="n">
        <v>36</v>
      </c>
      <c r="F1170" s="7" t="n">
        <v>8</v>
      </c>
      <c r="G1170" s="7" t="s">
        <v>35</v>
      </c>
      <c r="H1170" s="7" t="s">
        <v>27</v>
      </c>
      <c r="I1170" s="7" t="n">
        <v>38.6</v>
      </c>
      <c r="J1170" s="7" t="s">
        <v>30</v>
      </c>
      <c r="K1170" s="7" t="n">
        <v>235.9</v>
      </c>
      <c r="L1170" s="7" t="s">
        <v>29</v>
      </c>
      <c r="M1170" s="7" t="s">
        <v>38</v>
      </c>
    </row>
    <row r="1171" customFormat="false" ht="15" hidden="false" customHeight="true" outlineLevel="0" collapsed="false">
      <c r="A1171" s="7" t="n">
        <v>1102</v>
      </c>
      <c r="B1171" s="7" t="n">
        <v>27</v>
      </c>
      <c r="C1171" s="7" t="s">
        <v>33</v>
      </c>
      <c r="D1171" s="7" t="s">
        <v>40</v>
      </c>
      <c r="E1171" s="7" t="n">
        <v>19</v>
      </c>
      <c r="F1171" s="7" t="n">
        <v>11</v>
      </c>
      <c r="G1171" s="7" t="s">
        <v>31</v>
      </c>
      <c r="H1171" s="7" t="s">
        <v>27</v>
      </c>
      <c r="I1171" s="7" t="n">
        <v>39.3</v>
      </c>
      <c r="J1171" s="7" t="s">
        <v>30</v>
      </c>
      <c r="K1171" s="7" t="n">
        <v>281.2</v>
      </c>
      <c r="L1171" s="7" t="s">
        <v>37</v>
      </c>
      <c r="M1171" s="7" t="s">
        <v>38</v>
      </c>
    </row>
    <row r="1172" customFormat="false" ht="15" hidden="false" customHeight="true" outlineLevel="0" collapsed="false">
      <c r="A1172" s="7" t="n">
        <v>1117</v>
      </c>
      <c r="B1172" s="7" t="n">
        <v>57</v>
      </c>
      <c r="C1172" s="7" t="s">
        <v>24</v>
      </c>
      <c r="D1172" s="7" t="s">
        <v>40</v>
      </c>
      <c r="E1172" s="7" t="n">
        <v>36</v>
      </c>
      <c r="F1172" s="7" t="n">
        <v>14</v>
      </c>
      <c r="G1172" s="7" t="s">
        <v>34</v>
      </c>
      <c r="H1172" s="7" t="s">
        <v>27</v>
      </c>
      <c r="I1172" s="7" t="n">
        <v>29.1</v>
      </c>
      <c r="J1172" s="7" t="s">
        <v>30</v>
      </c>
      <c r="K1172" s="7" t="n">
        <v>271.8</v>
      </c>
      <c r="L1172" s="7" t="s">
        <v>29</v>
      </c>
      <c r="M1172" s="7" t="s">
        <v>39</v>
      </c>
    </row>
    <row r="1173" customFormat="false" ht="15" hidden="false" customHeight="true" outlineLevel="0" collapsed="false">
      <c r="A1173" s="7" t="n">
        <v>1135</v>
      </c>
      <c r="B1173" s="7" t="n">
        <v>47</v>
      </c>
      <c r="C1173" s="7" t="s">
        <v>33</v>
      </c>
      <c r="D1173" s="7" t="s">
        <v>40</v>
      </c>
      <c r="E1173" s="7" t="n">
        <v>7</v>
      </c>
      <c r="F1173" s="7" t="n">
        <v>16</v>
      </c>
      <c r="G1173" s="7" t="s">
        <v>26</v>
      </c>
      <c r="H1173" s="7" t="s">
        <v>27</v>
      </c>
      <c r="I1173" s="7" t="n">
        <v>35.1</v>
      </c>
      <c r="J1173" s="7" t="s">
        <v>30</v>
      </c>
      <c r="K1173" s="7" t="n">
        <v>293.6</v>
      </c>
      <c r="L1173" s="7" t="s">
        <v>29</v>
      </c>
      <c r="M1173" s="7" t="s">
        <v>38</v>
      </c>
    </row>
    <row r="1174" customFormat="false" ht="15" hidden="false" customHeight="true" outlineLevel="0" collapsed="false">
      <c r="A1174" s="7" t="n">
        <v>1162</v>
      </c>
      <c r="B1174" s="7" t="n">
        <v>48</v>
      </c>
      <c r="C1174" s="7" t="s">
        <v>33</v>
      </c>
      <c r="D1174" s="7" t="s">
        <v>40</v>
      </c>
      <c r="E1174" s="7" t="n">
        <v>34</v>
      </c>
      <c r="F1174" s="7" t="n">
        <v>22</v>
      </c>
      <c r="G1174" s="7" t="s">
        <v>34</v>
      </c>
      <c r="H1174" s="7" t="s">
        <v>27</v>
      </c>
      <c r="I1174" s="7" t="n">
        <v>18.6</v>
      </c>
      <c r="J1174" s="7" t="s">
        <v>30</v>
      </c>
      <c r="K1174" s="7" t="n">
        <v>140.8</v>
      </c>
      <c r="L1174" s="7" t="s">
        <v>37</v>
      </c>
      <c r="M1174" s="7" t="s">
        <v>38</v>
      </c>
    </row>
    <row r="1175" customFormat="false" ht="15" hidden="false" customHeight="true" outlineLevel="0" collapsed="false">
      <c r="A1175" s="7" t="n">
        <v>1174</v>
      </c>
      <c r="B1175" s="7" t="n">
        <v>66</v>
      </c>
      <c r="C1175" s="7" t="s">
        <v>33</v>
      </c>
      <c r="D1175" s="7" t="s">
        <v>40</v>
      </c>
      <c r="E1175" s="7" t="n">
        <v>17</v>
      </c>
      <c r="F1175" s="7" t="n">
        <v>23</v>
      </c>
      <c r="G1175" s="7" t="s">
        <v>35</v>
      </c>
      <c r="H1175" s="7" t="s">
        <v>32</v>
      </c>
      <c r="I1175" s="7" t="n">
        <v>18</v>
      </c>
      <c r="J1175" s="7" t="s">
        <v>30</v>
      </c>
      <c r="K1175" s="7" t="n">
        <v>280.7</v>
      </c>
      <c r="L1175" s="7" t="s">
        <v>37</v>
      </c>
      <c r="M1175" s="7" t="s">
        <v>39</v>
      </c>
    </row>
    <row r="1176" customFormat="false" ht="15" hidden="false" customHeight="true" outlineLevel="0" collapsed="false">
      <c r="A1176" s="7" t="n">
        <v>1183</v>
      </c>
      <c r="B1176" s="7" t="n">
        <v>43</v>
      </c>
      <c r="C1176" s="7" t="s">
        <v>33</v>
      </c>
      <c r="D1176" s="7" t="s">
        <v>40</v>
      </c>
      <c r="E1176" s="7" t="n">
        <v>14</v>
      </c>
      <c r="F1176" s="7" t="n">
        <v>11</v>
      </c>
      <c r="G1176" s="7" t="s">
        <v>26</v>
      </c>
      <c r="H1176" s="7" t="s">
        <v>32</v>
      </c>
      <c r="I1176" s="7" t="n">
        <v>19.3</v>
      </c>
      <c r="J1176" s="7" t="s">
        <v>30</v>
      </c>
      <c r="K1176" s="7" t="n">
        <v>122.2</v>
      </c>
      <c r="L1176" s="7" t="s">
        <v>29</v>
      </c>
      <c r="M1176" s="7" t="s">
        <v>39</v>
      </c>
    </row>
    <row r="1177" customFormat="false" ht="15" hidden="false" customHeight="true" outlineLevel="0" collapsed="false">
      <c r="A1177" s="7" t="n">
        <v>1195</v>
      </c>
      <c r="B1177" s="7" t="n">
        <v>22</v>
      </c>
      <c r="C1177" s="7" t="s">
        <v>24</v>
      </c>
      <c r="D1177" s="7" t="s">
        <v>40</v>
      </c>
      <c r="E1177" s="7" t="n">
        <v>7</v>
      </c>
      <c r="F1177" s="7" t="n">
        <v>8</v>
      </c>
      <c r="G1177" s="7" t="s">
        <v>31</v>
      </c>
      <c r="H1177" s="7" t="s">
        <v>32</v>
      </c>
      <c r="I1177" s="7" t="n">
        <v>26</v>
      </c>
      <c r="J1177" s="7" t="s">
        <v>30</v>
      </c>
      <c r="K1177" s="7" t="n">
        <v>148.4</v>
      </c>
      <c r="L1177" s="7" t="s">
        <v>37</v>
      </c>
      <c r="M1177" s="7" t="s">
        <v>38</v>
      </c>
    </row>
    <row r="1178" customFormat="false" ht="15" hidden="false" customHeight="true" outlineLevel="0" collapsed="false">
      <c r="A1178" s="7" t="n">
        <v>1224</v>
      </c>
      <c r="B1178" s="7" t="n">
        <v>42</v>
      </c>
      <c r="C1178" s="7" t="s">
        <v>33</v>
      </c>
      <c r="D1178" s="7" t="s">
        <v>40</v>
      </c>
      <c r="E1178" s="7" t="n">
        <v>20</v>
      </c>
      <c r="F1178" s="7" t="n">
        <v>18</v>
      </c>
      <c r="G1178" s="7" t="s">
        <v>31</v>
      </c>
      <c r="H1178" s="7" t="s">
        <v>32</v>
      </c>
      <c r="I1178" s="7" t="n">
        <v>29.8</v>
      </c>
      <c r="J1178" s="7" t="s">
        <v>30</v>
      </c>
      <c r="K1178" s="7" t="n">
        <v>231</v>
      </c>
      <c r="L1178" s="7" t="s">
        <v>37</v>
      </c>
      <c r="M1178" s="7" t="s">
        <v>38</v>
      </c>
    </row>
    <row r="1179" customFormat="false" ht="15" hidden="false" customHeight="true" outlineLevel="0" collapsed="false">
      <c r="A1179" s="7" t="n">
        <v>1270</v>
      </c>
      <c r="B1179" s="7" t="n">
        <v>32</v>
      </c>
      <c r="C1179" s="7" t="s">
        <v>24</v>
      </c>
      <c r="D1179" s="7" t="s">
        <v>40</v>
      </c>
      <c r="E1179" s="7" t="n">
        <v>38</v>
      </c>
      <c r="F1179" s="7" t="n">
        <v>8</v>
      </c>
      <c r="G1179" s="7" t="s">
        <v>26</v>
      </c>
      <c r="H1179" s="7" t="s">
        <v>32</v>
      </c>
      <c r="I1179" s="7" t="n">
        <v>40.4</v>
      </c>
      <c r="J1179" s="7" t="s">
        <v>30</v>
      </c>
      <c r="K1179" s="7" t="n">
        <v>207.9</v>
      </c>
      <c r="L1179" s="7" t="s">
        <v>37</v>
      </c>
      <c r="M1179" s="7" t="s">
        <v>38</v>
      </c>
    </row>
    <row r="1180" customFormat="false" ht="15" hidden="false" customHeight="true" outlineLevel="0" collapsed="false">
      <c r="A1180" s="7" t="n">
        <v>1391</v>
      </c>
      <c r="B1180" s="7" t="n">
        <v>50</v>
      </c>
      <c r="C1180" s="7" t="s">
        <v>33</v>
      </c>
      <c r="D1180" s="7" t="s">
        <v>40</v>
      </c>
      <c r="E1180" s="7" t="n">
        <v>38</v>
      </c>
      <c r="F1180" s="7" t="n">
        <v>20</v>
      </c>
      <c r="G1180" s="7" t="s">
        <v>35</v>
      </c>
      <c r="H1180" s="7" t="s">
        <v>27</v>
      </c>
      <c r="I1180" s="7" t="n">
        <v>41.1</v>
      </c>
      <c r="J1180" s="7" t="s">
        <v>30</v>
      </c>
      <c r="K1180" s="7" t="n">
        <v>165.9</v>
      </c>
      <c r="L1180" s="7" t="s">
        <v>29</v>
      </c>
      <c r="M1180" s="7" t="s">
        <v>38</v>
      </c>
    </row>
    <row r="1181" customFormat="false" ht="15" hidden="false" customHeight="true" outlineLevel="0" collapsed="false">
      <c r="A1181" s="7" t="n">
        <v>1394</v>
      </c>
      <c r="B1181" s="7" t="n">
        <v>70</v>
      </c>
      <c r="C1181" s="7" t="s">
        <v>24</v>
      </c>
      <c r="D1181" s="7" t="s">
        <v>40</v>
      </c>
      <c r="E1181" s="7" t="n">
        <v>14</v>
      </c>
      <c r="F1181" s="7" t="n">
        <v>10</v>
      </c>
      <c r="G1181" s="7" t="s">
        <v>26</v>
      </c>
      <c r="H1181" s="7" t="s">
        <v>27</v>
      </c>
      <c r="I1181" s="7" t="n">
        <v>35.6</v>
      </c>
      <c r="J1181" s="7" t="s">
        <v>30</v>
      </c>
      <c r="K1181" s="7" t="n">
        <v>237.1</v>
      </c>
      <c r="L1181" s="7" t="s">
        <v>37</v>
      </c>
      <c r="M1181" s="7" t="s">
        <v>38</v>
      </c>
    </row>
    <row r="1182" customFormat="false" ht="15" hidden="false" customHeight="true" outlineLevel="0" collapsed="false">
      <c r="A1182" s="7" t="n">
        <v>1398</v>
      </c>
      <c r="B1182" s="7" t="n">
        <v>85</v>
      </c>
      <c r="C1182" s="7" t="s">
        <v>33</v>
      </c>
      <c r="D1182" s="7" t="s">
        <v>40</v>
      </c>
      <c r="E1182" s="7" t="n">
        <v>37</v>
      </c>
      <c r="F1182" s="7" t="n">
        <v>14</v>
      </c>
      <c r="G1182" s="7" t="s">
        <v>35</v>
      </c>
      <c r="H1182" s="7" t="s">
        <v>32</v>
      </c>
      <c r="I1182" s="7" t="n">
        <v>34.1</v>
      </c>
      <c r="J1182" s="7" t="s">
        <v>30</v>
      </c>
      <c r="K1182" s="7" t="n">
        <v>281.8</v>
      </c>
      <c r="L1182" s="7" t="s">
        <v>29</v>
      </c>
      <c r="M1182" s="7" t="s">
        <v>38</v>
      </c>
    </row>
    <row r="1183" customFormat="false" ht="15" hidden="false" customHeight="true" outlineLevel="0" collapsed="false">
      <c r="A1183" s="7" t="n">
        <v>1422</v>
      </c>
      <c r="B1183" s="7" t="n">
        <v>85</v>
      </c>
      <c r="C1183" s="7" t="s">
        <v>33</v>
      </c>
      <c r="D1183" s="7" t="s">
        <v>40</v>
      </c>
      <c r="E1183" s="7" t="n">
        <v>16</v>
      </c>
      <c r="F1183" s="7" t="n">
        <v>22</v>
      </c>
      <c r="G1183" s="7" t="s">
        <v>35</v>
      </c>
      <c r="H1183" s="7" t="s">
        <v>32</v>
      </c>
      <c r="I1183" s="7" t="n">
        <v>17.6</v>
      </c>
      <c r="J1183" s="7" t="s">
        <v>30</v>
      </c>
      <c r="K1183" s="7" t="n">
        <v>292.6</v>
      </c>
      <c r="L1183" s="7" t="s">
        <v>37</v>
      </c>
      <c r="M1183" s="7" t="s">
        <v>39</v>
      </c>
    </row>
    <row r="1184" customFormat="false" ht="15" hidden="false" customHeight="true" outlineLevel="0" collapsed="false">
      <c r="A1184" s="7" t="n">
        <v>1447</v>
      </c>
      <c r="B1184" s="7" t="n">
        <v>87</v>
      </c>
      <c r="C1184" s="7" t="s">
        <v>33</v>
      </c>
      <c r="D1184" s="7" t="s">
        <v>40</v>
      </c>
      <c r="E1184" s="7" t="n">
        <v>25</v>
      </c>
      <c r="F1184" s="7" t="n">
        <v>5</v>
      </c>
      <c r="G1184" s="7" t="s">
        <v>31</v>
      </c>
      <c r="H1184" s="7" t="s">
        <v>27</v>
      </c>
      <c r="I1184" s="7" t="n">
        <v>21.9</v>
      </c>
      <c r="J1184" s="7" t="s">
        <v>30</v>
      </c>
      <c r="K1184" s="7" t="n">
        <v>253.3</v>
      </c>
      <c r="L1184" s="7" t="s">
        <v>29</v>
      </c>
      <c r="M1184" s="7" t="s">
        <v>39</v>
      </c>
    </row>
    <row r="1185" customFormat="false" ht="15" hidden="false" customHeight="true" outlineLevel="0" collapsed="false">
      <c r="A1185" s="7" t="n">
        <v>1503</v>
      </c>
      <c r="B1185" s="7" t="n">
        <v>40</v>
      </c>
      <c r="C1185" s="7" t="s">
        <v>33</v>
      </c>
      <c r="D1185" s="7" t="s">
        <v>40</v>
      </c>
      <c r="E1185" s="7" t="n">
        <v>15</v>
      </c>
      <c r="F1185" s="7" t="n">
        <v>21</v>
      </c>
      <c r="G1185" s="7" t="s">
        <v>34</v>
      </c>
      <c r="H1185" s="7" t="s">
        <v>32</v>
      </c>
      <c r="I1185" s="7" t="n">
        <v>26.3</v>
      </c>
      <c r="J1185" s="7" t="s">
        <v>30</v>
      </c>
      <c r="K1185" s="7" t="n">
        <v>286.4</v>
      </c>
      <c r="L1185" s="7" t="s">
        <v>37</v>
      </c>
      <c r="M1185" s="7" t="s">
        <v>38</v>
      </c>
    </row>
    <row r="1186" customFormat="false" ht="15" hidden="false" customHeight="true" outlineLevel="0" collapsed="false">
      <c r="A1186" s="7" t="n">
        <v>1532</v>
      </c>
      <c r="B1186" s="7" t="n">
        <v>79</v>
      </c>
      <c r="C1186" s="7" t="s">
        <v>33</v>
      </c>
      <c r="D1186" s="7" t="s">
        <v>40</v>
      </c>
      <c r="E1186" s="7" t="n">
        <v>20</v>
      </c>
      <c r="F1186" s="7" t="n">
        <v>7</v>
      </c>
      <c r="G1186" s="7" t="s">
        <v>36</v>
      </c>
      <c r="H1186" s="7" t="s">
        <v>27</v>
      </c>
      <c r="I1186" s="7" t="n">
        <v>38</v>
      </c>
      <c r="J1186" s="7" t="s">
        <v>30</v>
      </c>
      <c r="K1186" s="7" t="n">
        <v>162</v>
      </c>
      <c r="L1186" s="7" t="s">
        <v>29</v>
      </c>
      <c r="M1186" s="7" t="s">
        <v>38</v>
      </c>
    </row>
    <row r="1187" customFormat="false" ht="15" hidden="false" customHeight="true" outlineLevel="0" collapsed="false">
      <c r="A1187" s="7" t="n">
        <v>1581</v>
      </c>
      <c r="B1187" s="7" t="n">
        <v>25</v>
      </c>
      <c r="C1187" s="7" t="s">
        <v>33</v>
      </c>
      <c r="D1187" s="7" t="s">
        <v>40</v>
      </c>
      <c r="E1187" s="7" t="n">
        <v>36</v>
      </c>
      <c r="F1187" s="7" t="n">
        <v>7</v>
      </c>
      <c r="G1187" s="7" t="s">
        <v>36</v>
      </c>
      <c r="H1187" s="7" t="s">
        <v>32</v>
      </c>
      <c r="I1187" s="7" t="n">
        <v>20.3</v>
      </c>
      <c r="J1187" s="7" t="s">
        <v>30</v>
      </c>
      <c r="K1187" s="7" t="n">
        <v>208.9</v>
      </c>
      <c r="L1187" s="7" t="s">
        <v>37</v>
      </c>
      <c r="M1187" s="7" t="s">
        <v>38</v>
      </c>
    </row>
    <row r="1188" customFormat="false" ht="15" hidden="false" customHeight="true" outlineLevel="0" collapsed="false">
      <c r="A1188" s="7" t="n">
        <v>1602</v>
      </c>
      <c r="B1188" s="7" t="n">
        <v>80</v>
      </c>
      <c r="C1188" s="7" t="s">
        <v>24</v>
      </c>
      <c r="D1188" s="7" t="s">
        <v>40</v>
      </c>
      <c r="E1188" s="7" t="n">
        <v>35</v>
      </c>
      <c r="F1188" s="7" t="n">
        <v>25</v>
      </c>
      <c r="G1188" s="7" t="s">
        <v>35</v>
      </c>
      <c r="H1188" s="7" t="s">
        <v>27</v>
      </c>
      <c r="I1188" s="7" t="n">
        <v>26.5</v>
      </c>
      <c r="J1188" s="7" t="s">
        <v>30</v>
      </c>
      <c r="K1188" s="7" t="n">
        <v>180.3</v>
      </c>
      <c r="L1188" s="7" t="s">
        <v>29</v>
      </c>
      <c r="M1188" s="7" t="s">
        <v>39</v>
      </c>
    </row>
    <row r="1189" customFormat="false" ht="15" hidden="false" customHeight="true" outlineLevel="0" collapsed="false">
      <c r="A1189" s="7" t="n">
        <v>1607</v>
      </c>
      <c r="B1189" s="7" t="n">
        <v>18</v>
      </c>
      <c r="C1189" s="7" t="s">
        <v>24</v>
      </c>
      <c r="D1189" s="7" t="s">
        <v>40</v>
      </c>
      <c r="E1189" s="7" t="n">
        <v>29</v>
      </c>
      <c r="F1189" s="7" t="n">
        <v>20</v>
      </c>
      <c r="G1189" s="7" t="s">
        <v>34</v>
      </c>
      <c r="H1189" s="7" t="s">
        <v>32</v>
      </c>
      <c r="I1189" s="7" t="n">
        <v>17.6</v>
      </c>
      <c r="J1189" s="7" t="s">
        <v>30</v>
      </c>
      <c r="K1189" s="7" t="n">
        <v>297.8</v>
      </c>
      <c r="L1189" s="7" t="s">
        <v>29</v>
      </c>
      <c r="M1189" s="7" t="s">
        <v>38</v>
      </c>
    </row>
    <row r="1190" customFormat="false" ht="15" hidden="false" customHeight="true" outlineLevel="0" collapsed="false">
      <c r="A1190" s="7" t="n">
        <v>1621</v>
      </c>
      <c r="B1190" s="7" t="n">
        <v>21</v>
      </c>
      <c r="C1190" s="7" t="s">
        <v>24</v>
      </c>
      <c r="D1190" s="7" t="s">
        <v>40</v>
      </c>
      <c r="E1190" s="7" t="n">
        <v>13</v>
      </c>
      <c r="F1190" s="7" t="n">
        <v>18</v>
      </c>
      <c r="G1190" s="7" t="s">
        <v>35</v>
      </c>
      <c r="H1190" s="7" t="s">
        <v>32</v>
      </c>
      <c r="I1190" s="7" t="n">
        <v>30.5</v>
      </c>
      <c r="J1190" s="7" t="s">
        <v>30</v>
      </c>
      <c r="K1190" s="7" t="n">
        <v>182.8</v>
      </c>
      <c r="L1190" s="7" t="s">
        <v>29</v>
      </c>
      <c r="M1190" s="7" t="s">
        <v>39</v>
      </c>
    </row>
    <row r="1191" customFormat="false" ht="15" hidden="false" customHeight="true" outlineLevel="0" collapsed="false">
      <c r="A1191" s="7" t="n">
        <v>1704</v>
      </c>
      <c r="B1191" s="7" t="n">
        <v>34</v>
      </c>
      <c r="C1191" s="7" t="s">
        <v>33</v>
      </c>
      <c r="D1191" s="7" t="s">
        <v>40</v>
      </c>
      <c r="E1191" s="7" t="n">
        <v>31</v>
      </c>
      <c r="F1191" s="7" t="n">
        <v>26</v>
      </c>
      <c r="G1191" s="7" t="s">
        <v>36</v>
      </c>
      <c r="H1191" s="7" t="s">
        <v>27</v>
      </c>
      <c r="I1191" s="7" t="n">
        <v>25.3</v>
      </c>
      <c r="J1191" s="7" t="s">
        <v>30</v>
      </c>
      <c r="K1191" s="7" t="n">
        <v>228.4</v>
      </c>
      <c r="L1191" s="7" t="s">
        <v>29</v>
      </c>
      <c r="M1191" s="7" t="s">
        <v>38</v>
      </c>
    </row>
    <row r="1192" customFormat="false" ht="15" hidden="false" customHeight="true" outlineLevel="0" collapsed="false">
      <c r="A1192" s="7" t="n">
        <v>1736</v>
      </c>
      <c r="B1192" s="7" t="n">
        <v>33</v>
      </c>
      <c r="C1192" s="7" t="s">
        <v>24</v>
      </c>
      <c r="D1192" s="7" t="s">
        <v>40</v>
      </c>
      <c r="E1192" s="7" t="n">
        <v>27</v>
      </c>
      <c r="F1192" s="7" t="n">
        <v>20</v>
      </c>
      <c r="G1192" s="7" t="s">
        <v>31</v>
      </c>
      <c r="H1192" s="7" t="s">
        <v>27</v>
      </c>
      <c r="I1192" s="7" t="n">
        <v>35.7</v>
      </c>
      <c r="J1192" s="7" t="s">
        <v>30</v>
      </c>
      <c r="K1192" s="7" t="n">
        <v>164.3</v>
      </c>
      <c r="L1192" s="7" t="s">
        <v>37</v>
      </c>
      <c r="M1192" s="7" t="s">
        <v>38</v>
      </c>
    </row>
    <row r="1193" customFormat="false" ht="15" hidden="false" customHeight="true" outlineLevel="0" collapsed="false">
      <c r="A1193" s="7" t="n">
        <v>1766</v>
      </c>
      <c r="B1193" s="7" t="n">
        <v>54</v>
      </c>
      <c r="C1193" s="7" t="s">
        <v>33</v>
      </c>
      <c r="D1193" s="7" t="s">
        <v>40</v>
      </c>
      <c r="E1193" s="7" t="n">
        <v>35</v>
      </c>
      <c r="F1193" s="7" t="n">
        <v>10</v>
      </c>
      <c r="G1193" s="7" t="s">
        <v>36</v>
      </c>
      <c r="H1193" s="7" t="s">
        <v>27</v>
      </c>
      <c r="I1193" s="7" t="n">
        <v>19.3</v>
      </c>
      <c r="J1193" s="7" t="s">
        <v>30</v>
      </c>
      <c r="K1193" s="7" t="n">
        <v>274.3</v>
      </c>
      <c r="L1193" s="7" t="s">
        <v>37</v>
      </c>
      <c r="M1193" s="7" t="s">
        <v>38</v>
      </c>
    </row>
    <row r="1194" customFormat="false" ht="15" hidden="false" customHeight="true" outlineLevel="0" collapsed="false">
      <c r="A1194" s="7" t="n">
        <v>1823</v>
      </c>
      <c r="B1194" s="7" t="n">
        <v>46</v>
      </c>
      <c r="C1194" s="7" t="s">
        <v>33</v>
      </c>
      <c r="D1194" s="7" t="s">
        <v>40</v>
      </c>
      <c r="E1194" s="7" t="n">
        <v>15</v>
      </c>
      <c r="F1194" s="7" t="n">
        <v>18</v>
      </c>
      <c r="G1194" s="7" t="s">
        <v>26</v>
      </c>
      <c r="H1194" s="7" t="s">
        <v>27</v>
      </c>
      <c r="I1194" s="7" t="n">
        <v>41.3</v>
      </c>
      <c r="J1194" s="7" t="s">
        <v>30</v>
      </c>
      <c r="K1194" s="7" t="n">
        <v>140.1</v>
      </c>
      <c r="L1194" s="7" t="s">
        <v>29</v>
      </c>
      <c r="M1194" s="7" t="s">
        <v>38</v>
      </c>
    </row>
    <row r="1195" customFormat="false" ht="15" hidden="false" customHeight="true" outlineLevel="0" collapsed="false">
      <c r="A1195" s="7" t="n">
        <v>1848</v>
      </c>
      <c r="B1195" s="7" t="n">
        <v>52</v>
      </c>
      <c r="C1195" s="7" t="s">
        <v>33</v>
      </c>
      <c r="D1195" s="7" t="s">
        <v>40</v>
      </c>
      <c r="E1195" s="7" t="n">
        <v>15</v>
      </c>
      <c r="F1195" s="7" t="n">
        <v>19</v>
      </c>
      <c r="G1195" s="7" t="s">
        <v>26</v>
      </c>
      <c r="H1195" s="7" t="s">
        <v>27</v>
      </c>
      <c r="I1195" s="7" t="n">
        <v>39.4</v>
      </c>
      <c r="J1195" s="7" t="s">
        <v>30</v>
      </c>
      <c r="K1195" s="7" t="n">
        <v>125</v>
      </c>
      <c r="L1195" s="7" t="s">
        <v>29</v>
      </c>
      <c r="M1195" s="7" t="s">
        <v>38</v>
      </c>
    </row>
    <row r="1196" customFormat="false" ht="15" hidden="false" customHeight="true" outlineLevel="0" collapsed="false">
      <c r="A1196" s="7" t="n">
        <v>1860</v>
      </c>
      <c r="B1196" s="7" t="n">
        <v>60</v>
      </c>
      <c r="C1196" s="7" t="s">
        <v>33</v>
      </c>
      <c r="D1196" s="7" t="s">
        <v>40</v>
      </c>
      <c r="E1196" s="7" t="n">
        <v>17</v>
      </c>
      <c r="F1196" s="7" t="n">
        <v>8</v>
      </c>
      <c r="G1196" s="7" t="s">
        <v>26</v>
      </c>
      <c r="H1196" s="7" t="s">
        <v>27</v>
      </c>
      <c r="I1196" s="7" t="n">
        <v>31.8</v>
      </c>
      <c r="J1196" s="7" t="s">
        <v>30</v>
      </c>
      <c r="K1196" s="7" t="n">
        <v>170</v>
      </c>
      <c r="L1196" s="7" t="s">
        <v>29</v>
      </c>
      <c r="M1196" s="7" t="s">
        <v>38</v>
      </c>
    </row>
    <row r="1197" customFormat="false" ht="15" hidden="false" customHeight="true" outlineLevel="0" collapsed="false">
      <c r="A1197" s="7" t="n">
        <v>1921</v>
      </c>
      <c r="B1197" s="7" t="n">
        <v>53</v>
      </c>
      <c r="C1197" s="7" t="s">
        <v>33</v>
      </c>
      <c r="D1197" s="7" t="s">
        <v>40</v>
      </c>
      <c r="E1197" s="7" t="n">
        <v>35</v>
      </c>
      <c r="F1197" s="7" t="n">
        <v>15</v>
      </c>
      <c r="G1197" s="7" t="s">
        <v>31</v>
      </c>
      <c r="H1197" s="7" t="s">
        <v>27</v>
      </c>
      <c r="I1197" s="7" t="n">
        <v>38.6</v>
      </c>
      <c r="J1197" s="7" t="s">
        <v>30</v>
      </c>
      <c r="K1197" s="7" t="n">
        <v>197.2</v>
      </c>
      <c r="L1197" s="7" t="s">
        <v>29</v>
      </c>
      <c r="M1197" s="7" t="s">
        <v>39</v>
      </c>
    </row>
    <row r="1198" customFormat="false" ht="15" hidden="false" customHeight="true" outlineLevel="0" collapsed="false">
      <c r="A1198" s="7" t="n">
        <v>2007</v>
      </c>
      <c r="B1198" s="7" t="n">
        <v>73</v>
      </c>
      <c r="C1198" s="7" t="s">
        <v>24</v>
      </c>
      <c r="D1198" s="7" t="s">
        <v>40</v>
      </c>
      <c r="E1198" s="7" t="n">
        <v>22</v>
      </c>
      <c r="F1198" s="7" t="n">
        <v>18</v>
      </c>
      <c r="G1198" s="7" t="s">
        <v>26</v>
      </c>
      <c r="H1198" s="7" t="s">
        <v>32</v>
      </c>
      <c r="I1198" s="7" t="n">
        <v>31.3</v>
      </c>
      <c r="J1198" s="7" t="s">
        <v>30</v>
      </c>
      <c r="K1198" s="7" t="n">
        <v>221</v>
      </c>
      <c r="L1198" s="7" t="s">
        <v>29</v>
      </c>
      <c r="M1198" s="7" t="s">
        <v>39</v>
      </c>
    </row>
    <row r="1199" customFormat="false" ht="15" hidden="false" customHeight="true" outlineLevel="0" collapsed="false">
      <c r="A1199" s="7" t="n">
        <v>2016</v>
      </c>
      <c r="B1199" s="7" t="n">
        <v>25</v>
      </c>
      <c r="C1199" s="7" t="s">
        <v>33</v>
      </c>
      <c r="D1199" s="7" t="s">
        <v>40</v>
      </c>
      <c r="E1199" s="7" t="n">
        <v>29</v>
      </c>
      <c r="F1199" s="7" t="n">
        <v>20</v>
      </c>
      <c r="G1199" s="7" t="s">
        <v>26</v>
      </c>
      <c r="H1199" s="7" t="s">
        <v>32</v>
      </c>
      <c r="I1199" s="7" t="n">
        <v>38.6</v>
      </c>
      <c r="J1199" s="7" t="s">
        <v>30</v>
      </c>
      <c r="K1199" s="7" t="n">
        <v>296.4</v>
      </c>
      <c r="L1199" s="7" t="s">
        <v>29</v>
      </c>
      <c r="M1199" s="7" t="s">
        <v>38</v>
      </c>
    </row>
    <row r="1200" customFormat="false" ht="15" hidden="false" customHeight="true" outlineLevel="0" collapsed="false">
      <c r="A1200" s="7" t="n">
        <v>2050</v>
      </c>
      <c r="B1200" s="7" t="n">
        <v>61</v>
      </c>
      <c r="C1200" s="7" t="s">
        <v>24</v>
      </c>
      <c r="D1200" s="7" t="s">
        <v>40</v>
      </c>
      <c r="E1200" s="7" t="n">
        <v>25</v>
      </c>
      <c r="F1200" s="7" t="n">
        <v>20</v>
      </c>
      <c r="G1200" s="7" t="s">
        <v>26</v>
      </c>
      <c r="H1200" s="7" t="s">
        <v>32</v>
      </c>
      <c r="I1200" s="7" t="n">
        <v>36.6</v>
      </c>
      <c r="J1200" s="7" t="s">
        <v>30</v>
      </c>
      <c r="K1200" s="7" t="n">
        <v>239.2</v>
      </c>
      <c r="L1200" s="7" t="s">
        <v>29</v>
      </c>
      <c r="M1200" s="7" t="s">
        <v>39</v>
      </c>
    </row>
    <row r="1201" customFormat="false" ht="15" hidden="false" customHeight="true" outlineLevel="0" collapsed="false">
      <c r="A1201" s="7" t="n">
        <v>2089</v>
      </c>
      <c r="B1201" s="7" t="n">
        <v>88</v>
      </c>
      <c r="C1201" s="7" t="s">
        <v>33</v>
      </c>
      <c r="D1201" s="7" t="s">
        <v>40</v>
      </c>
      <c r="E1201" s="7" t="n">
        <v>34</v>
      </c>
      <c r="F1201" s="7" t="n">
        <v>8</v>
      </c>
      <c r="G1201" s="7" t="s">
        <v>34</v>
      </c>
      <c r="H1201" s="7" t="s">
        <v>27</v>
      </c>
      <c r="I1201" s="7" t="n">
        <v>37.4</v>
      </c>
      <c r="J1201" s="7" t="s">
        <v>30</v>
      </c>
      <c r="K1201" s="7" t="n">
        <v>160</v>
      </c>
      <c r="L1201" s="7" t="s">
        <v>29</v>
      </c>
      <c r="M1201" s="7" t="s">
        <v>38</v>
      </c>
    </row>
    <row r="1202" customFormat="false" ht="15" hidden="false" customHeight="true" outlineLevel="0" collapsed="false">
      <c r="A1202" s="7" t="n">
        <v>2121</v>
      </c>
      <c r="B1202" s="7" t="n">
        <v>72</v>
      </c>
      <c r="C1202" s="7" t="s">
        <v>24</v>
      </c>
      <c r="D1202" s="7" t="s">
        <v>40</v>
      </c>
      <c r="E1202" s="7" t="n">
        <v>36</v>
      </c>
      <c r="F1202" s="7" t="n">
        <v>12</v>
      </c>
      <c r="G1202" s="7" t="s">
        <v>26</v>
      </c>
      <c r="H1202" s="7" t="s">
        <v>32</v>
      </c>
      <c r="I1202" s="7" t="n">
        <v>32.3</v>
      </c>
      <c r="J1202" s="7" t="s">
        <v>30</v>
      </c>
      <c r="K1202" s="7" t="n">
        <v>242.9</v>
      </c>
      <c r="L1202" s="7" t="s">
        <v>29</v>
      </c>
      <c r="M1202" s="7" t="s">
        <v>39</v>
      </c>
    </row>
    <row r="1203" customFormat="false" ht="15" hidden="false" customHeight="true" outlineLevel="0" collapsed="false">
      <c r="A1203" s="7" t="n">
        <v>2162</v>
      </c>
      <c r="B1203" s="7" t="n">
        <v>46</v>
      </c>
      <c r="C1203" s="7" t="s">
        <v>24</v>
      </c>
      <c r="D1203" s="7" t="s">
        <v>40</v>
      </c>
      <c r="E1203" s="7" t="n">
        <v>28</v>
      </c>
      <c r="F1203" s="7" t="n">
        <v>7</v>
      </c>
      <c r="G1203" s="7" t="s">
        <v>26</v>
      </c>
      <c r="H1203" s="7" t="s">
        <v>27</v>
      </c>
      <c r="I1203" s="7" t="n">
        <v>23.8</v>
      </c>
      <c r="J1203" s="7" t="s">
        <v>30</v>
      </c>
      <c r="K1203" s="7" t="n">
        <v>121.6</v>
      </c>
      <c r="L1203" s="7" t="s">
        <v>37</v>
      </c>
      <c r="M1203" s="7" t="s">
        <v>39</v>
      </c>
    </row>
    <row r="1204" customFormat="false" ht="15" hidden="false" customHeight="true" outlineLevel="0" collapsed="false">
      <c r="A1204" s="7" t="n">
        <v>2176</v>
      </c>
      <c r="B1204" s="7" t="n">
        <v>18</v>
      </c>
      <c r="C1204" s="7" t="s">
        <v>24</v>
      </c>
      <c r="D1204" s="7" t="s">
        <v>40</v>
      </c>
      <c r="E1204" s="7" t="n">
        <v>16</v>
      </c>
      <c r="F1204" s="7" t="n">
        <v>26</v>
      </c>
      <c r="G1204" s="7" t="s">
        <v>34</v>
      </c>
      <c r="H1204" s="7" t="s">
        <v>32</v>
      </c>
      <c r="I1204" s="7" t="n">
        <v>28.2</v>
      </c>
      <c r="J1204" s="7" t="s">
        <v>30</v>
      </c>
      <c r="K1204" s="7" t="n">
        <v>213.7</v>
      </c>
      <c r="L1204" s="7" t="s">
        <v>29</v>
      </c>
      <c r="M1204" s="7" t="s">
        <v>38</v>
      </c>
    </row>
    <row r="1205" customFormat="false" ht="15" hidden="false" customHeight="true" outlineLevel="0" collapsed="false">
      <c r="A1205" s="7" t="n">
        <v>2178</v>
      </c>
      <c r="B1205" s="7" t="n">
        <v>76</v>
      </c>
      <c r="C1205" s="7" t="s">
        <v>24</v>
      </c>
      <c r="D1205" s="7" t="s">
        <v>40</v>
      </c>
      <c r="E1205" s="7" t="n">
        <v>26</v>
      </c>
      <c r="F1205" s="7" t="n">
        <v>5</v>
      </c>
      <c r="G1205" s="7" t="s">
        <v>35</v>
      </c>
      <c r="H1205" s="7" t="s">
        <v>27</v>
      </c>
      <c r="I1205" s="7" t="n">
        <v>28.7</v>
      </c>
      <c r="J1205" s="7" t="s">
        <v>30</v>
      </c>
      <c r="K1205" s="7" t="n">
        <v>123.4</v>
      </c>
      <c r="L1205" s="7" t="s">
        <v>29</v>
      </c>
      <c r="M1205" s="7" t="s">
        <v>38</v>
      </c>
    </row>
    <row r="1206" customFormat="false" ht="15" hidden="false" customHeight="true" outlineLevel="0" collapsed="false">
      <c r="A1206" s="7" t="n">
        <v>2187</v>
      </c>
      <c r="B1206" s="7" t="n">
        <v>60</v>
      </c>
      <c r="C1206" s="7" t="s">
        <v>33</v>
      </c>
      <c r="D1206" s="7" t="s">
        <v>40</v>
      </c>
      <c r="E1206" s="7" t="n">
        <v>31</v>
      </c>
      <c r="F1206" s="7" t="n">
        <v>21</v>
      </c>
      <c r="G1206" s="7" t="s">
        <v>26</v>
      </c>
      <c r="H1206" s="7" t="s">
        <v>27</v>
      </c>
      <c r="I1206" s="7" t="n">
        <v>40.8</v>
      </c>
      <c r="J1206" s="7" t="s">
        <v>30</v>
      </c>
      <c r="K1206" s="7" t="n">
        <v>297.1</v>
      </c>
      <c r="L1206" s="7" t="s">
        <v>29</v>
      </c>
      <c r="M1206" s="7" t="s">
        <v>38</v>
      </c>
    </row>
    <row r="1207" customFormat="false" ht="15" hidden="false" customHeight="true" outlineLevel="0" collapsed="false">
      <c r="A1207" s="7" t="n">
        <v>2296</v>
      </c>
      <c r="B1207" s="7" t="n">
        <v>57</v>
      </c>
      <c r="C1207" s="7" t="s">
        <v>24</v>
      </c>
      <c r="D1207" s="7" t="s">
        <v>40</v>
      </c>
      <c r="E1207" s="7" t="n">
        <v>33</v>
      </c>
      <c r="F1207" s="7" t="n">
        <v>20</v>
      </c>
      <c r="G1207" s="7" t="s">
        <v>36</v>
      </c>
      <c r="H1207" s="7" t="s">
        <v>32</v>
      </c>
      <c r="I1207" s="7" t="n">
        <v>32.6</v>
      </c>
      <c r="J1207" s="7" t="s">
        <v>30</v>
      </c>
      <c r="K1207" s="7" t="n">
        <v>192.9</v>
      </c>
      <c r="L1207" s="7" t="s">
        <v>29</v>
      </c>
      <c r="M1207" s="7" t="s">
        <v>38</v>
      </c>
    </row>
    <row r="1208" customFormat="false" ht="15" hidden="false" customHeight="true" outlineLevel="0" collapsed="false">
      <c r="A1208" s="7" t="n">
        <v>2367</v>
      </c>
      <c r="B1208" s="7" t="n">
        <v>86</v>
      </c>
      <c r="C1208" s="7" t="s">
        <v>24</v>
      </c>
      <c r="D1208" s="7" t="s">
        <v>40</v>
      </c>
      <c r="E1208" s="7" t="n">
        <v>36</v>
      </c>
      <c r="F1208" s="7" t="n">
        <v>17</v>
      </c>
      <c r="G1208" s="7" t="s">
        <v>36</v>
      </c>
      <c r="H1208" s="7" t="s">
        <v>27</v>
      </c>
      <c r="I1208" s="7" t="n">
        <v>23.9</v>
      </c>
      <c r="J1208" s="7" t="s">
        <v>30</v>
      </c>
      <c r="K1208" s="7" t="n">
        <v>205.5</v>
      </c>
      <c r="L1208" s="7" t="s">
        <v>37</v>
      </c>
      <c r="M1208" s="7" t="s">
        <v>38</v>
      </c>
    </row>
    <row r="1209" customFormat="false" ht="15" hidden="false" customHeight="true" outlineLevel="0" collapsed="false">
      <c r="A1209" s="7" t="n">
        <v>2484</v>
      </c>
      <c r="B1209" s="7" t="n">
        <v>77</v>
      </c>
      <c r="C1209" s="7" t="s">
        <v>24</v>
      </c>
      <c r="D1209" s="7" t="s">
        <v>40</v>
      </c>
      <c r="E1209" s="7" t="n">
        <v>18</v>
      </c>
      <c r="F1209" s="7" t="n">
        <v>17</v>
      </c>
      <c r="G1209" s="7" t="s">
        <v>36</v>
      </c>
      <c r="H1209" s="7" t="s">
        <v>32</v>
      </c>
      <c r="I1209" s="7" t="n">
        <v>17.2</v>
      </c>
      <c r="J1209" s="7" t="s">
        <v>30</v>
      </c>
      <c r="K1209" s="7" t="n">
        <v>241.4</v>
      </c>
      <c r="L1209" s="7" t="s">
        <v>29</v>
      </c>
      <c r="M1209" s="7" t="s">
        <v>38</v>
      </c>
    </row>
    <row r="1210" customFormat="false" ht="15" hidden="false" customHeight="true" outlineLevel="0" collapsed="false">
      <c r="A1210" s="7" t="n">
        <v>2487</v>
      </c>
      <c r="B1210" s="7" t="n">
        <v>74</v>
      </c>
      <c r="C1210" s="7" t="s">
        <v>24</v>
      </c>
      <c r="D1210" s="7" t="s">
        <v>40</v>
      </c>
      <c r="E1210" s="7" t="n">
        <v>37</v>
      </c>
      <c r="F1210" s="7" t="n">
        <v>27</v>
      </c>
      <c r="G1210" s="7" t="s">
        <v>35</v>
      </c>
      <c r="H1210" s="7" t="s">
        <v>27</v>
      </c>
      <c r="I1210" s="7" t="n">
        <v>22.7</v>
      </c>
      <c r="J1210" s="7" t="s">
        <v>30</v>
      </c>
      <c r="K1210" s="7" t="n">
        <v>294.3</v>
      </c>
      <c r="L1210" s="7" t="s">
        <v>29</v>
      </c>
      <c r="M1210" s="7" t="s">
        <v>38</v>
      </c>
    </row>
    <row r="1211" customFormat="false" ht="15" hidden="false" customHeight="true" outlineLevel="0" collapsed="false">
      <c r="A1211" s="7" t="n">
        <v>2498</v>
      </c>
      <c r="B1211" s="7" t="n">
        <v>43</v>
      </c>
      <c r="C1211" s="7" t="s">
        <v>33</v>
      </c>
      <c r="D1211" s="7" t="s">
        <v>40</v>
      </c>
      <c r="E1211" s="7" t="n">
        <v>13</v>
      </c>
      <c r="F1211" s="7" t="n">
        <v>16</v>
      </c>
      <c r="G1211" s="7" t="s">
        <v>35</v>
      </c>
      <c r="H1211" s="7" t="s">
        <v>27</v>
      </c>
      <c r="I1211" s="7" t="n">
        <v>39.9</v>
      </c>
      <c r="J1211" s="7" t="s">
        <v>30</v>
      </c>
      <c r="K1211" s="7" t="n">
        <v>128.7</v>
      </c>
      <c r="L1211" s="7" t="s">
        <v>29</v>
      </c>
      <c r="M1211" s="7" t="s">
        <v>38</v>
      </c>
    </row>
    <row r="1212" customFormat="false" ht="15" hidden="false" customHeight="true" outlineLevel="0" collapsed="false">
      <c r="A1212" s="7" t="n">
        <v>29</v>
      </c>
      <c r="B1212" s="7" t="n">
        <v>32</v>
      </c>
      <c r="C1212" s="7" t="s">
        <v>24</v>
      </c>
      <c r="D1212" s="7" t="s">
        <v>40</v>
      </c>
      <c r="E1212" s="7" t="n">
        <v>20</v>
      </c>
      <c r="F1212" s="7" t="n">
        <v>18</v>
      </c>
      <c r="G1212" s="7" t="s">
        <v>36</v>
      </c>
      <c r="H1212" s="7" t="s">
        <v>27</v>
      </c>
      <c r="I1212" s="7" t="n">
        <v>31.5</v>
      </c>
      <c r="J1212" s="7" t="s">
        <v>30</v>
      </c>
      <c r="K1212" s="7" t="n">
        <v>203.8</v>
      </c>
      <c r="L1212" s="7" t="s">
        <v>29</v>
      </c>
      <c r="M1212" s="7" t="s">
        <v>30</v>
      </c>
    </row>
    <row r="1213" customFormat="false" ht="15" hidden="false" customHeight="true" outlineLevel="0" collapsed="false">
      <c r="A1213" s="7" t="n">
        <v>82</v>
      </c>
      <c r="B1213" s="7" t="n">
        <v>18</v>
      </c>
      <c r="C1213" s="7" t="s">
        <v>33</v>
      </c>
      <c r="D1213" s="7" t="s">
        <v>40</v>
      </c>
      <c r="E1213" s="7" t="n">
        <v>27</v>
      </c>
      <c r="F1213" s="7" t="n">
        <v>29</v>
      </c>
      <c r="G1213" s="7" t="s">
        <v>35</v>
      </c>
      <c r="H1213" s="7" t="s">
        <v>27</v>
      </c>
      <c r="I1213" s="7" t="n">
        <v>27</v>
      </c>
      <c r="J1213" s="7" t="s">
        <v>30</v>
      </c>
      <c r="K1213" s="7" t="n">
        <v>180.3</v>
      </c>
      <c r="L1213" s="7" t="s">
        <v>29</v>
      </c>
      <c r="M1213" s="7" t="s">
        <v>30</v>
      </c>
    </row>
    <row r="1214" customFormat="false" ht="15" hidden="false" customHeight="true" outlineLevel="0" collapsed="false">
      <c r="A1214" s="7" t="n">
        <v>90</v>
      </c>
      <c r="B1214" s="7" t="n">
        <v>49</v>
      </c>
      <c r="C1214" s="7" t="s">
        <v>24</v>
      </c>
      <c r="D1214" s="7" t="s">
        <v>40</v>
      </c>
      <c r="E1214" s="7" t="n">
        <v>39</v>
      </c>
      <c r="F1214" s="7" t="n">
        <v>28</v>
      </c>
      <c r="G1214" s="7" t="s">
        <v>35</v>
      </c>
      <c r="H1214" s="7" t="s">
        <v>32</v>
      </c>
      <c r="I1214" s="7" t="n">
        <v>40.6</v>
      </c>
      <c r="J1214" s="7" t="s">
        <v>30</v>
      </c>
      <c r="K1214" s="7" t="n">
        <v>193.2</v>
      </c>
      <c r="L1214" s="7" t="s">
        <v>29</v>
      </c>
      <c r="M1214" s="7" t="s">
        <v>30</v>
      </c>
    </row>
    <row r="1215" customFormat="false" ht="15" hidden="false" customHeight="true" outlineLevel="0" collapsed="false">
      <c r="A1215" s="7" t="n">
        <v>116</v>
      </c>
      <c r="B1215" s="7" t="n">
        <v>59</v>
      </c>
      <c r="C1215" s="7" t="s">
        <v>24</v>
      </c>
      <c r="D1215" s="7" t="s">
        <v>40</v>
      </c>
      <c r="E1215" s="7" t="n">
        <v>35</v>
      </c>
      <c r="F1215" s="7" t="n">
        <v>27</v>
      </c>
      <c r="G1215" s="7" t="s">
        <v>35</v>
      </c>
      <c r="H1215" s="7" t="s">
        <v>27</v>
      </c>
      <c r="I1215" s="7" t="n">
        <v>39.7</v>
      </c>
      <c r="J1215" s="7" t="s">
        <v>30</v>
      </c>
      <c r="K1215" s="7" t="n">
        <v>220.1</v>
      </c>
      <c r="L1215" s="7" t="s">
        <v>29</v>
      </c>
      <c r="M1215" s="7" t="s">
        <v>30</v>
      </c>
    </row>
    <row r="1216" customFormat="false" ht="15" hidden="false" customHeight="true" outlineLevel="0" collapsed="false">
      <c r="A1216" s="7" t="n">
        <v>188</v>
      </c>
      <c r="B1216" s="7" t="n">
        <v>46</v>
      </c>
      <c r="C1216" s="7" t="s">
        <v>33</v>
      </c>
      <c r="D1216" s="7" t="s">
        <v>40</v>
      </c>
      <c r="E1216" s="7" t="n">
        <v>29</v>
      </c>
      <c r="F1216" s="7" t="n">
        <v>26</v>
      </c>
      <c r="G1216" s="7" t="s">
        <v>36</v>
      </c>
      <c r="H1216" s="7" t="s">
        <v>27</v>
      </c>
      <c r="I1216" s="7" t="n">
        <v>34.1</v>
      </c>
      <c r="J1216" s="7" t="s">
        <v>30</v>
      </c>
      <c r="K1216" s="7" t="n">
        <v>293.7</v>
      </c>
      <c r="L1216" s="7" t="s">
        <v>29</v>
      </c>
      <c r="M1216" s="7" t="s">
        <v>30</v>
      </c>
    </row>
    <row r="1217" customFormat="false" ht="15" hidden="false" customHeight="true" outlineLevel="0" collapsed="false">
      <c r="A1217" s="7" t="n">
        <v>198</v>
      </c>
      <c r="B1217" s="7" t="n">
        <v>86</v>
      </c>
      <c r="C1217" s="7" t="s">
        <v>33</v>
      </c>
      <c r="D1217" s="7" t="s">
        <v>40</v>
      </c>
      <c r="E1217" s="7" t="n">
        <v>30</v>
      </c>
      <c r="F1217" s="7" t="n">
        <v>20</v>
      </c>
      <c r="G1217" s="7" t="s">
        <v>31</v>
      </c>
      <c r="H1217" s="7" t="s">
        <v>27</v>
      </c>
      <c r="I1217" s="7" t="n">
        <v>25.4</v>
      </c>
      <c r="J1217" s="7" t="s">
        <v>30</v>
      </c>
      <c r="K1217" s="7" t="n">
        <v>124.4</v>
      </c>
      <c r="L1217" s="7" t="s">
        <v>29</v>
      </c>
      <c r="M1217" s="7" t="s">
        <v>30</v>
      </c>
    </row>
    <row r="1218" customFormat="false" ht="15" hidden="false" customHeight="true" outlineLevel="0" collapsed="false">
      <c r="A1218" s="7" t="n">
        <v>207</v>
      </c>
      <c r="B1218" s="7" t="n">
        <v>33</v>
      </c>
      <c r="C1218" s="7" t="s">
        <v>24</v>
      </c>
      <c r="D1218" s="7" t="s">
        <v>40</v>
      </c>
      <c r="E1218" s="7" t="n">
        <v>6</v>
      </c>
      <c r="F1218" s="7" t="n">
        <v>14</v>
      </c>
      <c r="G1218" s="7" t="s">
        <v>35</v>
      </c>
      <c r="H1218" s="7" t="s">
        <v>32</v>
      </c>
      <c r="I1218" s="7" t="n">
        <v>30.6</v>
      </c>
      <c r="J1218" s="7" t="s">
        <v>30</v>
      </c>
      <c r="K1218" s="7" t="n">
        <v>212.3</v>
      </c>
      <c r="L1218" s="7" t="s">
        <v>29</v>
      </c>
      <c r="M1218" s="7" t="s">
        <v>30</v>
      </c>
    </row>
    <row r="1219" customFormat="false" ht="15" hidden="false" customHeight="true" outlineLevel="0" collapsed="false">
      <c r="A1219" s="7" t="n">
        <v>214</v>
      </c>
      <c r="B1219" s="7" t="n">
        <v>80</v>
      </c>
      <c r="C1219" s="7" t="s">
        <v>33</v>
      </c>
      <c r="D1219" s="7" t="s">
        <v>40</v>
      </c>
      <c r="E1219" s="7" t="n">
        <v>20</v>
      </c>
      <c r="F1219" s="7" t="n">
        <v>5</v>
      </c>
      <c r="G1219" s="7" t="s">
        <v>26</v>
      </c>
      <c r="H1219" s="7" t="s">
        <v>32</v>
      </c>
      <c r="I1219" s="7" t="n">
        <v>32.9</v>
      </c>
      <c r="J1219" s="7" t="s">
        <v>30</v>
      </c>
      <c r="K1219" s="7" t="n">
        <v>278.7</v>
      </c>
      <c r="L1219" s="7" t="s">
        <v>29</v>
      </c>
      <c r="M1219" s="7" t="s">
        <v>30</v>
      </c>
    </row>
    <row r="1220" customFormat="false" ht="15" hidden="false" customHeight="true" outlineLevel="0" collapsed="false">
      <c r="A1220" s="7" t="n">
        <v>244</v>
      </c>
      <c r="B1220" s="7" t="n">
        <v>67</v>
      </c>
      <c r="C1220" s="7" t="s">
        <v>33</v>
      </c>
      <c r="D1220" s="7" t="s">
        <v>40</v>
      </c>
      <c r="E1220" s="7" t="n">
        <v>5</v>
      </c>
      <c r="F1220" s="7" t="n">
        <v>8</v>
      </c>
      <c r="G1220" s="7" t="s">
        <v>35</v>
      </c>
      <c r="H1220" s="7" t="s">
        <v>27</v>
      </c>
      <c r="I1220" s="7" t="n">
        <v>20.4</v>
      </c>
      <c r="J1220" s="7" t="s">
        <v>30</v>
      </c>
      <c r="K1220" s="7" t="n">
        <v>157.6</v>
      </c>
      <c r="L1220" s="7" t="s">
        <v>29</v>
      </c>
      <c r="M1220" s="7" t="s">
        <v>30</v>
      </c>
    </row>
    <row r="1221" customFormat="false" ht="15" hidden="false" customHeight="true" outlineLevel="0" collapsed="false">
      <c r="A1221" s="7" t="n">
        <v>269</v>
      </c>
      <c r="B1221" s="7" t="n">
        <v>62</v>
      </c>
      <c r="C1221" s="7" t="s">
        <v>33</v>
      </c>
      <c r="D1221" s="7" t="s">
        <v>40</v>
      </c>
      <c r="E1221" s="7" t="n">
        <v>37</v>
      </c>
      <c r="F1221" s="7" t="n">
        <v>8</v>
      </c>
      <c r="G1221" s="7" t="s">
        <v>36</v>
      </c>
      <c r="H1221" s="7" t="s">
        <v>27</v>
      </c>
      <c r="I1221" s="7" t="n">
        <v>40.3</v>
      </c>
      <c r="J1221" s="7" t="s">
        <v>30</v>
      </c>
      <c r="K1221" s="7" t="n">
        <v>252.7</v>
      </c>
      <c r="L1221" s="7" t="s">
        <v>29</v>
      </c>
      <c r="M1221" s="7" t="s">
        <v>30</v>
      </c>
    </row>
    <row r="1222" customFormat="false" ht="15" hidden="false" customHeight="true" outlineLevel="0" collapsed="false">
      <c r="A1222" s="7" t="n">
        <v>297</v>
      </c>
      <c r="B1222" s="7" t="n">
        <v>83</v>
      </c>
      <c r="C1222" s="7" t="s">
        <v>24</v>
      </c>
      <c r="D1222" s="7" t="s">
        <v>40</v>
      </c>
      <c r="E1222" s="7" t="n">
        <v>21</v>
      </c>
      <c r="F1222" s="7" t="n">
        <v>13</v>
      </c>
      <c r="G1222" s="7" t="s">
        <v>35</v>
      </c>
      <c r="H1222" s="7" t="s">
        <v>32</v>
      </c>
      <c r="I1222" s="7" t="n">
        <v>20.1</v>
      </c>
      <c r="J1222" s="7" t="s">
        <v>30</v>
      </c>
      <c r="K1222" s="7" t="n">
        <v>273.1</v>
      </c>
      <c r="L1222" s="7" t="s">
        <v>29</v>
      </c>
      <c r="M1222" s="7" t="s">
        <v>30</v>
      </c>
    </row>
    <row r="1223" customFormat="false" ht="15" hidden="false" customHeight="true" outlineLevel="0" collapsed="false">
      <c r="A1223" s="7" t="n">
        <v>318</v>
      </c>
      <c r="B1223" s="7" t="n">
        <v>75</v>
      </c>
      <c r="C1223" s="7" t="s">
        <v>33</v>
      </c>
      <c r="D1223" s="7" t="s">
        <v>40</v>
      </c>
      <c r="E1223" s="7" t="n">
        <v>26</v>
      </c>
      <c r="F1223" s="7" t="n">
        <v>15</v>
      </c>
      <c r="G1223" s="7" t="s">
        <v>26</v>
      </c>
      <c r="H1223" s="7" t="s">
        <v>27</v>
      </c>
      <c r="I1223" s="7" t="n">
        <v>29.6</v>
      </c>
      <c r="J1223" s="7" t="s">
        <v>30</v>
      </c>
      <c r="K1223" s="7" t="n">
        <v>208.4</v>
      </c>
      <c r="L1223" s="7" t="s">
        <v>29</v>
      </c>
      <c r="M1223" s="7" t="s">
        <v>30</v>
      </c>
    </row>
    <row r="1224" customFormat="false" ht="15" hidden="false" customHeight="true" outlineLevel="0" collapsed="false">
      <c r="A1224" s="7" t="n">
        <v>356</v>
      </c>
      <c r="B1224" s="7" t="n">
        <v>19</v>
      </c>
      <c r="C1224" s="7" t="s">
        <v>33</v>
      </c>
      <c r="D1224" s="7" t="s">
        <v>40</v>
      </c>
      <c r="E1224" s="7" t="n">
        <v>27</v>
      </c>
      <c r="F1224" s="7" t="n">
        <v>26</v>
      </c>
      <c r="G1224" s="7" t="s">
        <v>35</v>
      </c>
      <c r="H1224" s="7" t="s">
        <v>27</v>
      </c>
      <c r="I1224" s="7" t="n">
        <v>37.1</v>
      </c>
      <c r="J1224" s="7" t="s">
        <v>30</v>
      </c>
      <c r="K1224" s="7" t="n">
        <v>224.5</v>
      </c>
      <c r="L1224" s="7" t="s">
        <v>29</v>
      </c>
      <c r="M1224" s="7" t="s">
        <v>30</v>
      </c>
    </row>
    <row r="1225" customFormat="false" ht="15" hidden="false" customHeight="true" outlineLevel="0" collapsed="false">
      <c r="A1225" s="7" t="n">
        <v>367</v>
      </c>
      <c r="B1225" s="7" t="n">
        <v>47</v>
      </c>
      <c r="C1225" s="7" t="s">
        <v>33</v>
      </c>
      <c r="D1225" s="7" t="s">
        <v>40</v>
      </c>
      <c r="E1225" s="7" t="n">
        <v>27</v>
      </c>
      <c r="F1225" s="7" t="n">
        <v>24</v>
      </c>
      <c r="G1225" s="7" t="s">
        <v>34</v>
      </c>
      <c r="H1225" s="7" t="s">
        <v>27</v>
      </c>
      <c r="I1225" s="7" t="n">
        <v>38</v>
      </c>
      <c r="J1225" s="7" t="s">
        <v>30</v>
      </c>
      <c r="K1225" s="7" t="n">
        <v>124.5</v>
      </c>
      <c r="L1225" s="7" t="s">
        <v>29</v>
      </c>
      <c r="M1225" s="7" t="s">
        <v>30</v>
      </c>
    </row>
    <row r="1226" customFormat="false" ht="15" hidden="false" customHeight="true" outlineLevel="0" collapsed="false">
      <c r="A1226" s="7" t="n">
        <v>453</v>
      </c>
      <c r="B1226" s="7" t="n">
        <v>33</v>
      </c>
      <c r="C1226" s="7" t="s">
        <v>24</v>
      </c>
      <c r="D1226" s="7" t="s">
        <v>40</v>
      </c>
      <c r="E1226" s="7" t="n">
        <v>23</v>
      </c>
      <c r="F1226" s="7" t="n">
        <v>29</v>
      </c>
      <c r="G1226" s="7" t="s">
        <v>35</v>
      </c>
      <c r="H1226" s="7" t="s">
        <v>27</v>
      </c>
      <c r="I1226" s="7" t="n">
        <v>25.2</v>
      </c>
      <c r="J1226" s="7" t="s">
        <v>30</v>
      </c>
      <c r="K1226" s="7" t="n">
        <v>152.6</v>
      </c>
      <c r="L1226" s="7" t="s">
        <v>29</v>
      </c>
      <c r="M1226" s="7" t="s">
        <v>30</v>
      </c>
    </row>
    <row r="1227" customFormat="false" ht="15" hidden="false" customHeight="true" outlineLevel="0" collapsed="false">
      <c r="A1227" s="7" t="n">
        <v>461</v>
      </c>
      <c r="B1227" s="7" t="n">
        <v>85</v>
      </c>
      <c r="C1227" s="7" t="s">
        <v>33</v>
      </c>
      <c r="D1227" s="7" t="s">
        <v>40</v>
      </c>
      <c r="E1227" s="7" t="n">
        <v>28</v>
      </c>
      <c r="F1227" s="7" t="n">
        <v>13</v>
      </c>
      <c r="G1227" s="7" t="s">
        <v>34</v>
      </c>
      <c r="H1227" s="7" t="s">
        <v>27</v>
      </c>
      <c r="I1227" s="7" t="n">
        <v>36.1</v>
      </c>
      <c r="J1227" s="7" t="s">
        <v>30</v>
      </c>
      <c r="K1227" s="7" t="n">
        <v>238.4</v>
      </c>
      <c r="L1227" s="7" t="s">
        <v>29</v>
      </c>
      <c r="M1227" s="7" t="s">
        <v>30</v>
      </c>
    </row>
    <row r="1228" customFormat="false" ht="15" hidden="false" customHeight="true" outlineLevel="0" collapsed="false">
      <c r="A1228" s="7" t="n">
        <v>478</v>
      </c>
      <c r="B1228" s="7" t="n">
        <v>71</v>
      </c>
      <c r="C1228" s="7" t="s">
        <v>33</v>
      </c>
      <c r="D1228" s="7" t="s">
        <v>40</v>
      </c>
      <c r="E1228" s="7" t="n">
        <v>12</v>
      </c>
      <c r="F1228" s="7" t="n">
        <v>5</v>
      </c>
      <c r="G1228" s="7" t="s">
        <v>34</v>
      </c>
      <c r="H1228" s="7" t="s">
        <v>27</v>
      </c>
      <c r="I1228" s="7" t="n">
        <v>18.7</v>
      </c>
      <c r="J1228" s="7" t="s">
        <v>30</v>
      </c>
      <c r="K1228" s="7" t="n">
        <v>220</v>
      </c>
      <c r="L1228" s="7" t="s">
        <v>37</v>
      </c>
      <c r="M1228" s="7" t="s">
        <v>30</v>
      </c>
    </row>
    <row r="1229" customFormat="false" ht="15" hidden="false" customHeight="true" outlineLevel="0" collapsed="false">
      <c r="A1229" s="7" t="n">
        <v>510</v>
      </c>
      <c r="B1229" s="7" t="n">
        <v>69</v>
      </c>
      <c r="C1229" s="7" t="s">
        <v>24</v>
      </c>
      <c r="D1229" s="7" t="s">
        <v>40</v>
      </c>
      <c r="E1229" s="7" t="n">
        <v>31</v>
      </c>
      <c r="F1229" s="7" t="n">
        <v>14</v>
      </c>
      <c r="G1229" s="7" t="s">
        <v>36</v>
      </c>
      <c r="H1229" s="7" t="s">
        <v>27</v>
      </c>
      <c r="I1229" s="7" t="n">
        <v>20</v>
      </c>
      <c r="J1229" s="7" t="s">
        <v>30</v>
      </c>
      <c r="K1229" s="7" t="n">
        <v>129.5</v>
      </c>
      <c r="L1229" s="7" t="s">
        <v>29</v>
      </c>
      <c r="M1229" s="7" t="s">
        <v>30</v>
      </c>
    </row>
    <row r="1230" customFormat="false" ht="15" hidden="false" customHeight="true" outlineLevel="0" collapsed="false">
      <c r="A1230" s="7" t="n">
        <v>551</v>
      </c>
      <c r="B1230" s="7" t="n">
        <v>48</v>
      </c>
      <c r="C1230" s="7" t="s">
        <v>33</v>
      </c>
      <c r="D1230" s="7" t="s">
        <v>40</v>
      </c>
      <c r="E1230" s="7" t="n">
        <v>7</v>
      </c>
      <c r="F1230" s="7" t="n">
        <v>12</v>
      </c>
      <c r="G1230" s="7" t="s">
        <v>26</v>
      </c>
      <c r="H1230" s="7" t="s">
        <v>27</v>
      </c>
      <c r="I1230" s="7" t="n">
        <v>24.8</v>
      </c>
      <c r="J1230" s="7" t="s">
        <v>30</v>
      </c>
      <c r="K1230" s="7" t="n">
        <v>210.7</v>
      </c>
      <c r="L1230" s="7" t="s">
        <v>29</v>
      </c>
      <c r="M1230" s="7" t="s">
        <v>30</v>
      </c>
    </row>
    <row r="1231" customFormat="false" ht="15" hidden="false" customHeight="true" outlineLevel="0" collapsed="false">
      <c r="A1231" s="7" t="n">
        <v>606</v>
      </c>
      <c r="B1231" s="7" t="n">
        <v>21</v>
      </c>
      <c r="C1231" s="7" t="s">
        <v>24</v>
      </c>
      <c r="D1231" s="7" t="s">
        <v>40</v>
      </c>
      <c r="E1231" s="7" t="n">
        <v>22</v>
      </c>
      <c r="F1231" s="7" t="n">
        <v>11</v>
      </c>
      <c r="G1231" s="7" t="s">
        <v>26</v>
      </c>
      <c r="H1231" s="7" t="s">
        <v>27</v>
      </c>
      <c r="I1231" s="7" t="n">
        <v>27.7</v>
      </c>
      <c r="J1231" s="7" t="s">
        <v>30</v>
      </c>
      <c r="K1231" s="7" t="n">
        <v>246.1</v>
      </c>
      <c r="L1231" s="7" t="s">
        <v>29</v>
      </c>
      <c r="M1231" s="7" t="s">
        <v>30</v>
      </c>
    </row>
    <row r="1232" customFormat="false" ht="15" hidden="false" customHeight="true" outlineLevel="0" collapsed="false">
      <c r="A1232" s="7" t="n">
        <v>675</v>
      </c>
      <c r="B1232" s="7" t="n">
        <v>54</v>
      </c>
      <c r="C1232" s="7" t="s">
        <v>33</v>
      </c>
      <c r="D1232" s="7" t="s">
        <v>40</v>
      </c>
      <c r="E1232" s="7" t="n">
        <v>23</v>
      </c>
      <c r="F1232" s="7" t="n">
        <v>26</v>
      </c>
      <c r="G1232" s="7" t="s">
        <v>34</v>
      </c>
      <c r="H1232" s="7" t="s">
        <v>27</v>
      </c>
      <c r="I1232" s="7" t="n">
        <v>36.7</v>
      </c>
      <c r="J1232" s="7" t="s">
        <v>30</v>
      </c>
      <c r="K1232" s="7" t="n">
        <v>218.9</v>
      </c>
      <c r="L1232" s="7" t="s">
        <v>29</v>
      </c>
      <c r="M1232" s="7" t="s">
        <v>30</v>
      </c>
    </row>
    <row r="1233" customFormat="false" ht="15" hidden="false" customHeight="true" outlineLevel="0" collapsed="false">
      <c r="A1233" s="7" t="n">
        <v>705</v>
      </c>
      <c r="B1233" s="7" t="n">
        <v>80</v>
      </c>
      <c r="C1233" s="7" t="s">
        <v>33</v>
      </c>
      <c r="D1233" s="7" t="s">
        <v>40</v>
      </c>
      <c r="E1233" s="7" t="n">
        <v>5</v>
      </c>
      <c r="F1233" s="7" t="n">
        <v>22</v>
      </c>
      <c r="G1233" s="7" t="s">
        <v>34</v>
      </c>
      <c r="H1233" s="7" t="s">
        <v>32</v>
      </c>
      <c r="I1233" s="7" t="n">
        <v>27</v>
      </c>
      <c r="J1233" s="7" t="s">
        <v>30</v>
      </c>
      <c r="K1233" s="7" t="n">
        <v>251.9</v>
      </c>
      <c r="L1233" s="7" t="s">
        <v>29</v>
      </c>
      <c r="M1233" s="7" t="s">
        <v>30</v>
      </c>
    </row>
    <row r="1234" customFormat="false" ht="15" hidden="false" customHeight="true" outlineLevel="0" collapsed="false">
      <c r="A1234" s="7" t="n">
        <v>734</v>
      </c>
      <c r="B1234" s="7" t="n">
        <v>67</v>
      </c>
      <c r="C1234" s="7" t="s">
        <v>33</v>
      </c>
      <c r="D1234" s="7" t="s">
        <v>40</v>
      </c>
      <c r="E1234" s="7" t="n">
        <v>16</v>
      </c>
      <c r="F1234" s="7" t="n">
        <v>24</v>
      </c>
      <c r="G1234" s="7" t="s">
        <v>35</v>
      </c>
      <c r="H1234" s="7" t="s">
        <v>27</v>
      </c>
      <c r="I1234" s="7" t="n">
        <v>36.7</v>
      </c>
      <c r="J1234" s="7" t="s">
        <v>30</v>
      </c>
      <c r="K1234" s="7" t="n">
        <v>294</v>
      </c>
      <c r="L1234" s="7" t="s">
        <v>29</v>
      </c>
      <c r="M1234" s="7" t="s">
        <v>30</v>
      </c>
    </row>
    <row r="1235" customFormat="false" ht="15" hidden="false" customHeight="true" outlineLevel="0" collapsed="false">
      <c r="A1235" s="7" t="n">
        <v>774</v>
      </c>
      <c r="B1235" s="7" t="n">
        <v>31</v>
      </c>
      <c r="C1235" s="7" t="s">
        <v>24</v>
      </c>
      <c r="D1235" s="7" t="s">
        <v>40</v>
      </c>
      <c r="E1235" s="7" t="n">
        <v>9</v>
      </c>
      <c r="F1235" s="7" t="n">
        <v>9</v>
      </c>
      <c r="G1235" s="7" t="s">
        <v>31</v>
      </c>
      <c r="H1235" s="7" t="s">
        <v>32</v>
      </c>
      <c r="I1235" s="7" t="n">
        <v>25.5</v>
      </c>
      <c r="J1235" s="7" t="s">
        <v>30</v>
      </c>
      <c r="K1235" s="7" t="n">
        <v>206.3</v>
      </c>
      <c r="L1235" s="7" t="s">
        <v>37</v>
      </c>
      <c r="M1235" s="7" t="s">
        <v>30</v>
      </c>
    </row>
    <row r="1236" customFormat="false" ht="15" hidden="false" customHeight="true" outlineLevel="0" collapsed="false">
      <c r="A1236" s="7" t="n">
        <v>811</v>
      </c>
      <c r="B1236" s="7" t="n">
        <v>66</v>
      </c>
      <c r="C1236" s="7" t="s">
        <v>24</v>
      </c>
      <c r="D1236" s="7" t="s">
        <v>40</v>
      </c>
      <c r="E1236" s="7" t="n">
        <v>6</v>
      </c>
      <c r="F1236" s="7" t="n">
        <v>11</v>
      </c>
      <c r="G1236" s="7" t="s">
        <v>34</v>
      </c>
      <c r="H1236" s="7" t="s">
        <v>27</v>
      </c>
      <c r="I1236" s="7" t="n">
        <v>23</v>
      </c>
      <c r="J1236" s="7" t="s">
        <v>30</v>
      </c>
      <c r="K1236" s="7" t="n">
        <v>248.8</v>
      </c>
      <c r="L1236" s="7" t="s">
        <v>37</v>
      </c>
      <c r="M1236" s="7" t="s">
        <v>30</v>
      </c>
    </row>
    <row r="1237" customFormat="false" ht="15" hidden="false" customHeight="true" outlineLevel="0" collapsed="false">
      <c r="A1237" s="7" t="n">
        <v>840</v>
      </c>
      <c r="B1237" s="7" t="n">
        <v>29</v>
      </c>
      <c r="C1237" s="7" t="s">
        <v>24</v>
      </c>
      <c r="D1237" s="7" t="s">
        <v>40</v>
      </c>
      <c r="E1237" s="7" t="n">
        <v>13</v>
      </c>
      <c r="F1237" s="7" t="n">
        <v>14</v>
      </c>
      <c r="G1237" s="7" t="s">
        <v>35</v>
      </c>
      <c r="H1237" s="7" t="s">
        <v>27</v>
      </c>
      <c r="I1237" s="7" t="n">
        <v>30.3</v>
      </c>
      <c r="J1237" s="7" t="s">
        <v>30</v>
      </c>
      <c r="K1237" s="7" t="n">
        <v>148.5</v>
      </c>
      <c r="L1237" s="7" t="s">
        <v>29</v>
      </c>
      <c r="M1237" s="7" t="s">
        <v>30</v>
      </c>
    </row>
    <row r="1238" customFormat="false" ht="15" hidden="false" customHeight="true" outlineLevel="0" collapsed="false">
      <c r="A1238" s="7" t="n">
        <v>928</v>
      </c>
      <c r="B1238" s="7" t="n">
        <v>28</v>
      </c>
      <c r="C1238" s="7" t="s">
        <v>24</v>
      </c>
      <c r="D1238" s="7" t="s">
        <v>40</v>
      </c>
      <c r="E1238" s="7" t="n">
        <v>10</v>
      </c>
      <c r="F1238" s="7" t="n">
        <v>24</v>
      </c>
      <c r="G1238" s="7" t="s">
        <v>31</v>
      </c>
      <c r="H1238" s="7" t="s">
        <v>27</v>
      </c>
      <c r="I1238" s="7" t="n">
        <v>27.4</v>
      </c>
      <c r="J1238" s="7" t="s">
        <v>30</v>
      </c>
      <c r="K1238" s="7" t="n">
        <v>271.4</v>
      </c>
      <c r="L1238" s="7" t="s">
        <v>29</v>
      </c>
      <c r="M1238" s="7" t="s">
        <v>30</v>
      </c>
    </row>
    <row r="1239" customFormat="false" ht="15" hidden="false" customHeight="true" outlineLevel="0" collapsed="false">
      <c r="A1239" s="7" t="n">
        <v>943</v>
      </c>
      <c r="B1239" s="7" t="n">
        <v>24</v>
      </c>
      <c r="C1239" s="7" t="s">
        <v>24</v>
      </c>
      <c r="D1239" s="7" t="s">
        <v>40</v>
      </c>
      <c r="E1239" s="7" t="n">
        <v>11</v>
      </c>
      <c r="F1239" s="7" t="n">
        <v>11</v>
      </c>
      <c r="G1239" s="7" t="s">
        <v>35</v>
      </c>
      <c r="H1239" s="7" t="s">
        <v>32</v>
      </c>
      <c r="I1239" s="7" t="n">
        <v>25.5</v>
      </c>
      <c r="J1239" s="7" t="s">
        <v>30</v>
      </c>
      <c r="K1239" s="7" t="n">
        <v>224.4</v>
      </c>
      <c r="L1239" s="7" t="s">
        <v>29</v>
      </c>
      <c r="M1239" s="7" t="s">
        <v>30</v>
      </c>
    </row>
    <row r="1240" customFormat="false" ht="15" hidden="false" customHeight="true" outlineLevel="0" collapsed="false">
      <c r="A1240" s="7" t="n">
        <v>988</v>
      </c>
      <c r="B1240" s="7" t="n">
        <v>19</v>
      </c>
      <c r="C1240" s="7" t="s">
        <v>24</v>
      </c>
      <c r="D1240" s="7" t="s">
        <v>40</v>
      </c>
      <c r="E1240" s="7" t="n">
        <v>20</v>
      </c>
      <c r="F1240" s="7" t="n">
        <v>5</v>
      </c>
      <c r="G1240" s="7" t="s">
        <v>31</v>
      </c>
      <c r="H1240" s="7" t="s">
        <v>27</v>
      </c>
      <c r="I1240" s="7" t="n">
        <v>41.9</v>
      </c>
      <c r="J1240" s="7" t="s">
        <v>30</v>
      </c>
      <c r="K1240" s="7" t="n">
        <v>122.7</v>
      </c>
      <c r="L1240" s="7" t="s">
        <v>29</v>
      </c>
      <c r="M1240" s="7" t="s">
        <v>30</v>
      </c>
    </row>
    <row r="1241" customFormat="false" ht="15" hidden="false" customHeight="true" outlineLevel="0" collapsed="false">
      <c r="A1241" s="7" t="n">
        <v>1070</v>
      </c>
      <c r="B1241" s="7" t="n">
        <v>45</v>
      </c>
      <c r="C1241" s="7" t="s">
        <v>24</v>
      </c>
      <c r="D1241" s="7" t="s">
        <v>40</v>
      </c>
      <c r="E1241" s="7" t="n">
        <v>32</v>
      </c>
      <c r="F1241" s="7" t="n">
        <v>27</v>
      </c>
      <c r="G1241" s="7" t="s">
        <v>34</v>
      </c>
      <c r="H1241" s="7" t="s">
        <v>27</v>
      </c>
      <c r="I1241" s="7" t="n">
        <v>17.6</v>
      </c>
      <c r="J1241" s="7" t="s">
        <v>30</v>
      </c>
      <c r="K1241" s="7" t="n">
        <v>167.5</v>
      </c>
      <c r="L1241" s="7" t="s">
        <v>37</v>
      </c>
      <c r="M1241" s="7" t="s">
        <v>30</v>
      </c>
    </row>
    <row r="1242" customFormat="false" ht="15" hidden="false" customHeight="true" outlineLevel="0" collapsed="false">
      <c r="A1242" s="7" t="n">
        <v>1127</v>
      </c>
      <c r="B1242" s="7" t="n">
        <v>71</v>
      </c>
      <c r="C1242" s="7" t="s">
        <v>24</v>
      </c>
      <c r="D1242" s="7" t="s">
        <v>40</v>
      </c>
      <c r="E1242" s="7" t="n">
        <v>31</v>
      </c>
      <c r="F1242" s="7" t="n">
        <v>17</v>
      </c>
      <c r="G1242" s="7" t="s">
        <v>26</v>
      </c>
      <c r="H1242" s="7" t="s">
        <v>27</v>
      </c>
      <c r="I1242" s="7" t="n">
        <v>31.1</v>
      </c>
      <c r="J1242" s="7" t="s">
        <v>30</v>
      </c>
      <c r="K1242" s="7" t="n">
        <v>145</v>
      </c>
      <c r="L1242" s="7" t="s">
        <v>29</v>
      </c>
      <c r="M1242" s="7" t="s">
        <v>30</v>
      </c>
    </row>
    <row r="1243" customFormat="false" ht="15" hidden="false" customHeight="true" outlineLevel="0" collapsed="false">
      <c r="A1243" s="7" t="n">
        <v>1141</v>
      </c>
      <c r="B1243" s="7" t="n">
        <v>24</v>
      </c>
      <c r="C1243" s="7" t="s">
        <v>33</v>
      </c>
      <c r="D1243" s="7" t="s">
        <v>40</v>
      </c>
      <c r="E1243" s="7" t="n">
        <v>9</v>
      </c>
      <c r="F1243" s="7" t="n">
        <v>11</v>
      </c>
      <c r="G1243" s="7" t="s">
        <v>31</v>
      </c>
      <c r="H1243" s="7" t="s">
        <v>27</v>
      </c>
      <c r="I1243" s="7" t="n">
        <v>36.8</v>
      </c>
      <c r="J1243" s="7" t="s">
        <v>30</v>
      </c>
      <c r="K1243" s="7" t="n">
        <v>268.1</v>
      </c>
      <c r="L1243" s="7" t="s">
        <v>29</v>
      </c>
      <c r="M1243" s="7" t="s">
        <v>30</v>
      </c>
    </row>
    <row r="1244" customFormat="false" ht="15" hidden="false" customHeight="true" outlineLevel="0" collapsed="false">
      <c r="A1244" s="7" t="n">
        <v>1153</v>
      </c>
      <c r="B1244" s="7" t="n">
        <v>60</v>
      </c>
      <c r="C1244" s="7" t="s">
        <v>24</v>
      </c>
      <c r="D1244" s="7" t="s">
        <v>40</v>
      </c>
      <c r="E1244" s="7" t="n">
        <v>22</v>
      </c>
      <c r="F1244" s="7" t="n">
        <v>12</v>
      </c>
      <c r="G1244" s="7" t="s">
        <v>34</v>
      </c>
      <c r="H1244" s="7" t="s">
        <v>27</v>
      </c>
      <c r="I1244" s="7" t="n">
        <v>19.4</v>
      </c>
      <c r="J1244" s="7" t="s">
        <v>30</v>
      </c>
      <c r="K1244" s="7" t="n">
        <v>261</v>
      </c>
      <c r="L1244" s="7" t="s">
        <v>29</v>
      </c>
      <c r="M1244" s="7" t="s">
        <v>30</v>
      </c>
    </row>
    <row r="1245" customFormat="false" ht="15" hidden="false" customHeight="true" outlineLevel="0" collapsed="false">
      <c r="A1245" s="7" t="n">
        <v>1194</v>
      </c>
      <c r="B1245" s="7" t="n">
        <v>57</v>
      </c>
      <c r="C1245" s="7" t="s">
        <v>33</v>
      </c>
      <c r="D1245" s="7" t="s">
        <v>40</v>
      </c>
      <c r="E1245" s="7" t="n">
        <v>24</v>
      </c>
      <c r="F1245" s="7" t="n">
        <v>11</v>
      </c>
      <c r="G1245" s="7" t="s">
        <v>26</v>
      </c>
      <c r="H1245" s="7" t="s">
        <v>27</v>
      </c>
      <c r="I1245" s="7" t="n">
        <v>20.4</v>
      </c>
      <c r="J1245" s="7" t="s">
        <v>30</v>
      </c>
      <c r="K1245" s="7" t="n">
        <v>243.1</v>
      </c>
      <c r="L1245" s="7" t="s">
        <v>37</v>
      </c>
      <c r="M1245" s="7" t="s">
        <v>30</v>
      </c>
    </row>
    <row r="1246" customFormat="false" ht="15" hidden="false" customHeight="true" outlineLevel="0" collapsed="false">
      <c r="A1246" s="7" t="n">
        <v>1373</v>
      </c>
      <c r="B1246" s="7" t="n">
        <v>76</v>
      </c>
      <c r="C1246" s="7" t="s">
        <v>24</v>
      </c>
      <c r="D1246" s="7" t="s">
        <v>40</v>
      </c>
      <c r="E1246" s="7" t="n">
        <v>13</v>
      </c>
      <c r="F1246" s="7" t="n">
        <v>5</v>
      </c>
      <c r="G1246" s="7" t="s">
        <v>35</v>
      </c>
      <c r="H1246" s="7" t="s">
        <v>32</v>
      </c>
      <c r="I1246" s="7" t="n">
        <v>24.9</v>
      </c>
      <c r="J1246" s="7" t="s">
        <v>30</v>
      </c>
      <c r="K1246" s="7" t="n">
        <v>203.6</v>
      </c>
      <c r="L1246" s="7" t="s">
        <v>29</v>
      </c>
      <c r="M1246" s="7" t="s">
        <v>30</v>
      </c>
    </row>
    <row r="1247" customFormat="false" ht="15" hidden="false" customHeight="true" outlineLevel="0" collapsed="false">
      <c r="A1247" s="7" t="n">
        <v>1381</v>
      </c>
      <c r="B1247" s="7" t="n">
        <v>31</v>
      </c>
      <c r="C1247" s="7" t="s">
        <v>24</v>
      </c>
      <c r="D1247" s="7" t="s">
        <v>40</v>
      </c>
      <c r="E1247" s="7" t="n">
        <v>19</v>
      </c>
      <c r="F1247" s="7" t="n">
        <v>17</v>
      </c>
      <c r="G1247" s="7" t="s">
        <v>36</v>
      </c>
      <c r="H1247" s="7" t="s">
        <v>27</v>
      </c>
      <c r="I1247" s="7" t="n">
        <v>38.3</v>
      </c>
      <c r="J1247" s="7" t="s">
        <v>30</v>
      </c>
      <c r="K1247" s="7" t="n">
        <v>126.6</v>
      </c>
      <c r="L1247" s="7" t="s">
        <v>29</v>
      </c>
      <c r="M1247" s="7" t="s">
        <v>30</v>
      </c>
    </row>
    <row r="1248" customFormat="false" ht="15" hidden="false" customHeight="true" outlineLevel="0" collapsed="false">
      <c r="A1248" s="7" t="n">
        <v>1400</v>
      </c>
      <c r="B1248" s="7" t="n">
        <v>18</v>
      </c>
      <c r="C1248" s="7" t="s">
        <v>33</v>
      </c>
      <c r="D1248" s="7" t="s">
        <v>40</v>
      </c>
      <c r="E1248" s="7" t="n">
        <v>12</v>
      </c>
      <c r="F1248" s="7" t="n">
        <v>18</v>
      </c>
      <c r="G1248" s="7" t="s">
        <v>26</v>
      </c>
      <c r="H1248" s="7" t="s">
        <v>27</v>
      </c>
      <c r="I1248" s="7" t="n">
        <v>31.8</v>
      </c>
      <c r="J1248" s="7" t="s">
        <v>30</v>
      </c>
      <c r="K1248" s="7" t="n">
        <v>185</v>
      </c>
      <c r="L1248" s="7" t="s">
        <v>29</v>
      </c>
      <c r="M1248" s="7" t="s">
        <v>30</v>
      </c>
    </row>
    <row r="1249" customFormat="false" ht="15" hidden="false" customHeight="true" outlineLevel="0" collapsed="false">
      <c r="A1249" s="7" t="n">
        <v>1412</v>
      </c>
      <c r="B1249" s="7" t="n">
        <v>20</v>
      </c>
      <c r="C1249" s="7" t="s">
        <v>24</v>
      </c>
      <c r="D1249" s="7" t="s">
        <v>40</v>
      </c>
      <c r="E1249" s="7" t="n">
        <v>16</v>
      </c>
      <c r="F1249" s="7" t="n">
        <v>20</v>
      </c>
      <c r="G1249" s="7" t="s">
        <v>26</v>
      </c>
      <c r="H1249" s="7" t="s">
        <v>27</v>
      </c>
      <c r="I1249" s="7" t="n">
        <v>33</v>
      </c>
      <c r="J1249" s="7" t="s">
        <v>30</v>
      </c>
      <c r="K1249" s="7" t="n">
        <v>174.5</v>
      </c>
      <c r="L1249" s="7" t="s">
        <v>29</v>
      </c>
      <c r="M1249" s="7" t="s">
        <v>30</v>
      </c>
    </row>
    <row r="1250" customFormat="false" ht="15" hidden="false" customHeight="true" outlineLevel="0" collapsed="false">
      <c r="A1250" s="7" t="n">
        <v>1420</v>
      </c>
      <c r="B1250" s="7" t="n">
        <v>53</v>
      </c>
      <c r="C1250" s="7" t="s">
        <v>33</v>
      </c>
      <c r="D1250" s="7" t="s">
        <v>40</v>
      </c>
      <c r="E1250" s="7" t="n">
        <v>28</v>
      </c>
      <c r="F1250" s="7" t="n">
        <v>11</v>
      </c>
      <c r="G1250" s="7" t="s">
        <v>31</v>
      </c>
      <c r="H1250" s="7" t="s">
        <v>27</v>
      </c>
      <c r="I1250" s="7" t="n">
        <v>27.5</v>
      </c>
      <c r="J1250" s="7" t="s">
        <v>30</v>
      </c>
      <c r="K1250" s="7" t="n">
        <v>208.1</v>
      </c>
      <c r="L1250" s="7" t="s">
        <v>29</v>
      </c>
      <c r="M1250" s="7" t="s">
        <v>30</v>
      </c>
    </row>
    <row r="1251" customFormat="false" ht="15" hidden="false" customHeight="true" outlineLevel="0" collapsed="false">
      <c r="A1251" s="7" t="n">
        <v>1439</v>
      </c>
      <c r="B1251" s="7" t="n">
        <v>83</v>
      </c>
      <c r="C1251" s="7" t="s">
        <v>33</v>
      </c>
      <c r="D1251" s="7" t="s">
        <v>40</v>
      </c>
      <c r="E1251" s="7" t="n">
        <v>34</v>
      </c>
      <c r="F1251" s="7" t="n">
        <v>17</v>
      </c>
      <c r="G1251" s="7" t="s">
        <v>35</v>
      </c>
      <c r="H1251" s="7" t="s">
        <v>27</v>
      </c>
      <c r="I1251" s="7" t="n">
        <v>29.3</v>
      </c>
      <c r="J1251" s="7" t="s">
        <v>30</v>
      </c>
      <c r="K1251" s="7" t="n">
        <v>239</v>
      </c>
      <c r="L1251" s="7" t="s">
        <v>29</v>
      </c>
      <c r="M1251" s="7" t="s">
        <v>30</v>
      </c>
    </row>
    <row r="1252" customFormat="false" ht="15" hidden="false" customHeight="true" outlineLevel="0" collapsed="false">
      <c r="A1252" s="7" t="n">
        <v>1512</v>
      </c>
      <c r="B1252" s="7" t="n">
        <v>81</v>
      </c>
      <c r="C1252" s="7" t="s">
        <v>24</v>
      </c>
      <c r="D1252" s="7" t="s">
        <v>40</v>
      </c>
      <c r="E1252" s="7" t="n">
        <v>7</v>
      </c>
      <c r="F1252" s="7" t="n">
        <v>6</v>
      </c>
      <c r="G1252" s="7" t="s">
        <v>31</v>
      </c>
      <c r="H1252" s="7" t="s">
        <v>27</v>
      </c>
      <c r="I1252" s="7" t="n">
        <v>28.1</v>
      </c>
      <c r="J1252" s="7" t="s">
        <v>30</v>
      </c>
      <c r="K1252" s="7" t="n">
        <v>207.3</v>
      </c>
      <c r="L1252" s="7" t="s">
        <v>29</v>
      </c>
      <c r="M1252" s="7" t="s">
        <v>30</v>
      </c>
    </row>
    <row r="1253" customFormat="false" ht="15" hidden="false" customHeight="true" outlineLevel="0" collapsed="false">
      <c r="A1253" s="7" t="n">
        <v>1641</v>
      </c>
      <c r="B1253" s="7" t="n">
        <v>85</v>
      </c>
      <c r="C1253" s="7" t="s">
        <v>33</v>
      </c>
      <c r="D1253" s="7" t="s">
        <v>40</v>
      </c>
      <c r="E1253" s="7" t="n">
        <v>8</v>
      </c>
      <c r="F1253" s="7" t="n">
        <v>16</v>
      </c>
      <c r="G1253" s="7" t="s">
        <v>34</v>
      </c>
      <c r="H1253" s="7" t="s">
        <v>27</v>
      </c>
      <c r="I1253" s="7" t="n">
        <v>31.7</v>
      </c>
      <c r="J1253" s="7" t="s">
        <v>30</v>
      </c>
      <c r="K1253" s="7" t="n">
        <v>272.1</v>
      </c>
      <c r="L1253" s="7" t="s">
        <v>29</v>
      </c>
      <c r="M1253" s="7" t="s">
        <v>30</v>
      </c>
    </row>
    <row r="1254" customFormat="false" ht="15" hidden="false" customHeight="true" outlineLevel="0" collapsed="false">
      <c r="A1254" s="7" t="n">
        <v>1677</v>
      </c>
      <c r="B1254" s="7" t="n">
        <v>67</v>
      </c>
      <c r="C1254" s="7" t="s">
        <v>24</v>
      </c>
      <c r="D1254" s="7" t="s">
        <v>40</v>
      </c>
      <c r="E1254" s="7" t="n">
        <v>29</v>
      </c>
      <c r="F1254" s="7" t="n">
        <v>15</v>
      </c>
      <c r="G1254" s="7" t="s">
        <v>36</v>
      </c>
      <c r="H1254" s="7" t="s">
        <v>27</v>
      </c>
      <c r="I1254" s="7" t="n">
        <v>36.9</v>
      </c>
      <c r="J1254" s="7" t="s">
        <v>30</v>
      </c>
      <c r="K1254" s="7" t="n">
        <v>265.5</v>
      </c>
      <c r="L1254" s="7" t="s">
        <v>29</v>
      </c>
      <c r="M1254" s="7" t="s">
        <v>30</v>
      </c>
    </row>
    <row r="1255" customFormat="false" ht="15" hidden="false" customHeight="true" outlineLevel="0" collapsed="false">
      <c r="A1255" s="7" t="n">
        <v>1694</v>
      </c>
      <c r="B1255" s="7" t="n">
        <v>22</v>
      </c>
      <c r="C1255" s="7" t="s">
        <v>24</v>
      </c>
      <c r="D1255" s="7" t="s">
        <v>40</v>
      </c>
      <c r="E1255" s="7" t="n">
        <v>36</v>
      </c>
      <c r="F1255" s="7" t="n">
        <v>15</v>
      </c>
      <c r="G1255" s="7" t="s">
        <v>35</v>
      </c>
      <c r="H1255" s="7" t="s">
        <v>32</v>
      </c>
      <c r="I1255" s="7" t="n">
        <v>33.5</v>
      </c>
      <c r="J1255" s="7" t="s">
        <v>30</v>
      </c>
      <c r="K1255" s="7" t="n">
        <v>252.2</v>
      </c>
      <c r="L1255" s="7" t="s">
        <v>29</v>
      </c>
      <c r="M1255" s="7" t="s">
        <v>30</v>
      </c>
    </row>
    <row r="1256" customFormat="false" ht="15" hidden="false" customHeight="true" outlineLevel="0" collapsed="false">
      <c r="A1256" s="7" t="n">
        <v>1716</v>
      </c>
      <c r="B1256" s="7" t="n">
        <v>78</v>
      </c>
      <c r="C1256" s="7" t="s">
        <v>33</v>
      </c>
      <c r="D1256" s="7" t="s">
        <v>40</v>
      </c>
      <c r="E1256" s="7" t="n">
        <v>26</v>
      </c>
      <c r="F1256" s="7" t="n">
        <v>13</v>
      </c>
      <c r="G1256" s="7" t="s">
        <v>26</v>
      </c>
      <c r="H1256" s="7" t="s">
        <v>32</v>
      </c>
      <c r="I1256" s="7" t="n">
        <v>39.7</v>
      </c>
      <c r="J1256" s="7" t="s">
        <v>30</v>
      </c>
      <c r="K1256" s="7" t="n">
        <v>199.3</v>
      </c>
      <c r="L1256" s="7" t="s">
        <v>29</v>
      </c>
      <c r="M1256" s="7" t="s">
        <v>30</v>
      </c>
    </row>
    <row r="1257" customFormat="false" ht="15" hidden="false" customHeight="true" outlineLevel="0" collapsed="false">
      <c r="A1257" s="7" t="n">
        <v>1720</v>
      </c>
      <c r="B1257" s="7" t="n">
        <v>78</v>
      </c>
      <c r="C1257" s="7" t="s">
        <v>33</v>
      </c>
      <c r="D1257" s="7" t="s">
        <v>40</v>
      </c>
      <c r="E1257" s="7" t="n">
        <v>23</v>
      </c>
      <c r="F1257" s="7" t="n">
        <v>23</v>
      </c>
      <c r="G1257" s="7" t="s">
        <v>36</v>
      </c>
      <c r="H1257" s="7" t="s">
        <v>27</v>
      </c>
      <c r="I1257" s="7" t="n">
        <v>29</v>
      </c>
      <c r="J1257" s="7" t="s">
        <v>30</v>
      </c>
      <c r="K1257" s="7" t="n">
        <v>242.4</v>
      </c>
      <c r="L1257" s="7" t="s">
        <v>37</v>
      </c>
      <c r="M1257" s="7" t="s">
        <v>30</v>
      </c>
    </row>
    <row r="1258" customFormat="false" ht="15" hidden="false" customHeight="true" outlineLevel="0" collapsed="false">
      <c r="A1258" s="7" t="n">
        <v>1721</v>
      </c>
      <c r="B1258" s="7" t="n">
        <v>74</v>
      </c>
      <c r="C1258" s="7" t="s">
        <v>24</v>
      </c>
      <c r="D1258" s="7" t="s">
        <v>40</v>
      </c>
      <c r="E1258" s="7" t="n">
        <v>15</v>
      </c>
      <c r="F1258" s="7" t="n">
        <v>12</v>
      </c>
      <c r="G1258" s="7" t="s">
        <v>36</v>
      </c>
      <c r="H1258" s="7" t="s">
        <v>27</v>
      </c>
      <c r="I1258" s="7" t="n">
        <v>21.9</v>
      </c>
      <c r="J1258" s="7" t="s">
        <v>30</v>
      </c>
      <c r="K1258" s="7" t="n">
        <v>249.1</v>
      </c>
      <c r="L1258" s="7" t="s">
        <v>29</v>
      </c>
      <c r="M1258" s="7" t="s">
        <v>30</v>
      </c>
    </row>
    <row r="1259" customFormat="false" ht="15" hidden="false" customHeight="true" outlineLevel="0" collapsed="false">
      <c r="A1259" s="7" t="n">
        <v>1743</v>
      </c>
      <c r="B1259" s="7" t="n">
        <v>59</v>
      </c>
      <c r="C1259" s="7" t="s">
        <v>33</v>
      </c>
      <c r="D1259" s="7" t="s">
        <v>40</v>
      </c>
      <c r="E1259" s="7" t="n">
        <v>38</v>
      </c>
      <c r="F1259" s="7" t="n">
        <v>23</v>
      </c>
      <c r="G1259" s="7" t="s">
        <v>34</v>
      </c>
      <c r="H1259" s="7" t="s">
        <v>27</v>
      </c>
      <c r="I1259" s="7" t="n">
        <v>29.2</v>
      </c>
      <c r="J1259" s="7" t="s">
        <v>30</v>
      </c>
      <c r="K1259" s="7" t="n">
        <v>204.9</v>
      </c>
      <c r="L1259" s="7" t="s">
        <v>37</v>
      </c>
      <c r="M1259" s="7" t="s">
        <v>30</v>
      </c>
    </row>
    <row r="1260" customFormat="false" ht="15" hidden="false" customHeight="true" outlineLevel="0" collapsed="false">
      <c r="A1260" s="7" t="n">
        <v>1757</v>
      </c>
      <c r="B1260" s="7" t="n">
        <v>60</v>
      </c>
      <c r="C1260" s="7" t="s">
        <v>24</v>
      </c>
      <c r="D1260" s="7" t="s">
        <v>40</v>
      </c>
      <c r="E1260" s="7" t="n">
        <v>36</v>
      </c>
      <c r="F1260" s="7" t="n">
        <v>26</v>
      </c>
      <c r="G1260" s="7" t="s">
        <v>26</v>
      </c>
      <c r="H1260" s="7" t="s">
        <v>27</v>
      </c>
      <c r="I1260" s="7" t="n">
        <v>32.5</v>
      </c>
      <c r="J1260" s="7" t="s">
        <v>30</v>
      </c>
      <c r="K1260" s="7" t="n">
        <v>157.3</v>
      </c>
      <c r="L1260" s="7" t="s">
        <v>29</v>
      </c>
      <c r="M1260" s="7" t="s">
        <v>30</v>
      </c>
    </row>
    <row r="1261" customFormat="false" ht="15" hidden="false" customHeight="true" outlineLevel="0" collapsed="false">
      <c r="A1261" s="7" t="n">
        <v>1762</v>
      </c>
      <c r="B1261" s="7" t="n">
        <v>22</v>
      </c>
      <c r="C1261" s="7" t="s">
        <v>33</v>
      </c>
      <c r="D1261" s="7" t="s">
        <v>40</v>
      </c>
      <c r="E1261" s="7" t="n">
        <v>17</v>
      </c>
      <c r="F1261" s="7" t="n">
        <v>13</v>
      </c>
      <c r="G1261" s="7" t="s">
        <v>34</v>
      </c>
      <c r="H1261" s="7" t="s">
        <v>32</v>
      </c>
      <c r="I1261" s="7" t="n">
        <v>21.6</v>
      </c>
      <c r="J1261" s="7" t="s">
        <v>30</v>
      </c>
      <c r="K1261" s="7" t="n">
        <v>270.9</v>
      </c>
      <c r="L1261" s="7" t="s">
        <v>29</v>
      </c>
      <c r="M1261" s="7" t="s">
        <v>30</v>
      </c>
    </row>
    <row r="1262" customFormat="false" ht="15" hidden="false" customHeight="true" outlineLevel="0" collapsed="false">
      <c r="A1262" s="7" t="n">
        <v>1813</v>
      </c>
      <c r="B1262" s="7" t="n">
        <v>50</v>
      </c>
      <c r="C1262" s="7" t="s">
        <v>33</v>
      </c>
      <c r="D1262" s="7" t="s">
        <v>40</v>
      </c>
      <c r="E1262" s="7" t="n">
        <v>17</v>
      </c>
      <c r="F1262" s="7" t="n">
        <v>8</v>
      </c>
      <c r="G1262" s="7" t="s">
        <v>26</v>
      </c>
      <c r="H1262" s="7" t="s">
        <v>32</v>
      </c>
      <c r="I1262" s="7" t="n">
        <v>23.9</v>
      </c>
      <c r="J1262" s="7" t="s">
        <v>30</v>
      </c>
      <c r="K1262" s="7" t="n">
        <v>133.8</v>
      </c>
      <c r="L1262" s="7" t="s">
        <v>29</v>
      </c>
      <c r="M1262" s="7" t="s">
        <v>30</v>
      </c>
    </row>
    <row r="1263" customFormat="false" ht="15" hidden="false" customHeight="true" outlineLevel="0" collapsed="false">
      <c r="A1263" s="7" t="n">
        <v>1867</v>
      </c>
      <c r="B1263" s="7" t="n">
        <v>53</v>
      </c>
      <c r="C1263" s="7" t="s">
        <v>24</v>
      </c>
      <c r="D1263" s="7" t="s">
        <v>40</v>
      </c>
      <c r="E1263" s="7" t="n">
        <v>22</v>
      </c>
      <c r="F1263" s="7" t="n">
        <v>8</v>
      </c>
      <c r="G1263" s="7" t="s">
        <v>36</v>
      </c>
      <c r="H1263" s="7" t="s">
        <v>27</v>
      </c>
      <c r="I1263" s="7" t="n">
        <v>29.7</v>
      </c>
      <c r="J1263" s="7" t="s">
        <v>30</v>
      </c>
      <c r="K1263" s="7" t="n">
        <v>244.5</v>
      </c>
      <c r="L1263" s="7" t="s">
        <v>29</v>
      </c>
      <c r="M1263" s="7" t="s">
        <v>30</v>
      </c>
    </row>
    <row r="1264" customFormat="false" ht="15" hidden="false" customHeight="true" outlineLevel="0" collapsed="false">
      <c r="A1264" s="7" t="n">
        <v>1910</v>
      </c>
      <c r="B1264" s="7" t="n">
        <v>78</v>
      </c>
      <c r="C1264" s="7" t="s">
        <v>24</v>
      </c>
      <c r="D1264" s="7" t="s">
        <v>40</v>
      </c>
      <c r="E1264" s="7" t="n">
        <v>30</v>
      </c>
      <c r="F1264" s="7" t="n">
        <v>9</v>
      </c>
      <c r="G1264" s="7" t="s">
        <v>36</v>
      </c>
      <c r="H1264" s="7" t="s">
        <v>32</v>
      </c>
      <c r="I1264" s="7" t="n">
        <v>22.9</v>
      </c>
      <c r="J1264" s="7" t="s">
        <v>30</v>
      </c>
      <c r="K1264" s="7" t="n">
        <v>132.3</v>
      </c>
      <c r="L1264" s="7" t="s">
        <v>29</v>
      </c>
      <c r="M1264" s="7" t="s">
        <v>30</v>
      </c>
    </row>
    <row r="1265" customFormat="false" ht="15" hidden="false" customHeight="true" outlineLevel="0" collapsed="false">
      <c r="A1265" s="7" t="n">
        <v>1917</v>
      </c>
      <c r="B1265" s="7" t="n">
        <v>57</v>
      </c>
      <c r="C1265" s="7" t="s">
        <v>33</v>
      </c>
      <c r="D1265" s="7" t="s">
        <v>40</v>
      </c>
      <c r="E1265" s="7" t="n">
        <v>19</v>
      </c>
      <c r="F1265" s="7" t="n">
        <v>15</v>
      </c>
      <c r="G1265" s="7" t="s">
        <v>34</v>
      </c>
      <c r="H1265" s="7" t="s">
        <v>27</v>
      </c>
      <c r="I1265" s="7" t="n">
        <v>30.8</v>
      </c>
      <c r="J1265" s="7" t="s">
        <v>30</v>
      </c>
      <c r="K1265" s="7" t="n">
        <v>264.4</v>
      </c>
      <c r="L1265" s="7" t="s">
        <v>29</v>
      </c>
      <c r="M1265" s="7" t="s">
        <v>30</v>
      </c>
    </row>
    <row r="1266" customFormat="false" ht="15" hidden="false" customHeight="true" outlineLevel="0" collapsed="false">
      <c r="A1266" s="7" t="n">
        <v>1940</v>
      </c>
      <c r="B1266" s="7" t="n">
        <v>25</v>
      </c>
      <c r="C1266" s="7" t="s">
        <v>33</v>
      </c>
      <c r="D1266" s="7" t="s">
        <v>40</v>
      </c>
      <c r="E1266" s="7" t="n">
        <v>11</v>
      </c>
      <c r="F1266" s="7" t="n">
        <v>13</v>
      </c>
      <c r="G1266" s="7" t="s">
        <v>36</v>
      </c>
      <c r="H1266" s="7" t="s">
        <v>32</v>
      </c>
      <c r="I1266" s="7" t="n">
        <v>31.3</v>
      </c>
      <c r="J1266" s="7" t="s">
        <v>30</v>
      </c>
      <c r="K1266" s="7" t="n">
        <v>135.6</v>
      </c>
      <c r="L1266" s="7" t="s">
        <v>29</v>
      </c>
      <c r="M1266" s="7" t="s">
        <v>30</v>
      </c>
    </row>
    <row r="1267" customFormat="false" ht="15" hidden="false" customHeight="true" outlineLevel="0" collapsed="false">
      <c r="A1267" s="7" t="n">
        <v>1996</v>
      </c>
      <c r="B1267" s="7" t="n">
        <v>62</v>
      </c>
      <c r="C1267" s="7" t="s">
        <v>24</v>
      </c>
      <c r="D1267" s="7" t="s">
        <v>40</v>
      </c>
      <c r="E1267" s="7" t="n">
        <v>16</v>
      </c>
      <c r="F1267" s="7" t="n">
        <v>29</v>
      </c>
      <c r="G1267" s="7" t="s">
        <v>35</v>
      </c>
      <c r="H1267" s="7" t="s">
        <v>27</v>
      </c>
      <c r="I1267" s="7" t="n">
        <v>30.1</v>
      </c>
      <c r="J1267" s="7" t="s">
        <v>30</v>
      </c>
      <c r="K1267" s="7" t="n">
        <v>244.1</v>
      </c>
      <c r="L1267" s="7" t="s">
        <v>29</v>
      </c>
      <c r="M1267" s="7" t="s">
        <v>30</v>
      </c>
    </row>
    <row r="1268" customFormat="false" ht="15" hidden="false" customHeight="true" outlineLevel="0" collapsed="false">
      <c r="A1268" s="7" t="n">
        <v>2013</v>
      </c>
      <c r="B1268" s="7" t="n">
        <v>22</v>
      </c>
      <c r="C1268" s="7" t="s">
        <v>33</v>
      </c>
      <c r="D1268" s="7" t="s">
        <v>40</v>
      </c>
      <c r="E1268" s="7" t="n">
        <v>28</v>
      </c>
      <c r="F1268" s="7" t="n">
        <v>26</v>
      </c>
      <c r="G1268" s="7" t="s">
        <v>31</v>
      </c>
      <c r="H1268" s="7" t="s">
        <v>27</v>
      </c>
      <c r="I1268" s="7" t="n">
        <v>34.4</v>
      </c>
      <c r="J1268" s="7" t="s">
        <v>30</v>
      </c>
      <c r="K1268" s="7" t="n">
        <v>171.2</v>
      </c>
      <c r="L1268" s="7" t="s">
        <v>29</v>
      </c>
      <c r="M1268" s="7" t="s">
        <v>30</v>
      </c>
    </row>
    <row r="1269" customFormat="false" ht="15" hidden="false" customHeight="true" outlineLevel="0" collapsed="false">
      <c r="A1269" s="7" t="n">
        <v>2019</v>
      </c>
      <c r="B1269" s="7" t="n">
        <v>37</v>
      </c>
      <c r="C1269" s="7" t="s">
        <v>24</v>
      </c>
      <c r="D1269" s="7" t="s">
        <v>40</v>
      </c>
      <c r="E1269" s="7" t="n">
        <v>9</v>
      </c>
      <c r="F1269" s="7" t="n">
        <v>11</v>
      </c>
      <c r="G1269" s="7" t="s">
        <v>26</v>
      </c>
      <c r="H1269" s="7" t="s">
        <v>27</v>
      </c>
      <c r="I1269" s="7" t="n">
        <v>22.9</v>
      </c>
      <c r="J1269" s="7" t="s">
        <v>30</v>
      </c>
      <c r="K1269" s="7" t="n">
        <v>160.1</v>
      </c>
      <c r="L1269" s="7" t="s">
        <v>29</v>
      </c>
      <c r="M1269" s="7" t="s">
        <v>30</v>
      </c>
    </row>
    <row r="1270" customFormat="false" ht="15" hidden="false" customHeight="true" outlineLevel="0" collapsed="false">
      <c r="A1270" s="7" t="n">
        <v>2046</v>
      </c>
      <c r="B1270" s="7" t="n">
        <v>19</v>
      </c>
      <c r="C1270" s="7" t="s">
        <v>24</v>
      </c>
      <c r="D1270" s="7" t="s">
        <v>40</v>
      </c>
      <c r="E1270" s="7" t="n">
        <v>8</v>
      </c>
      <c r="F1270" s="7" t="n">
        <v>7</v>
      </c>
      <c r="G1270" s="7" t="s">
        <v>35</v>
      </c>
      <c r="H1270" s="7" t="s">
        <v>27</v>
      </c>
      <c r="I1270" s="7" t="n">
        <v>32.6</v>
      </c>
      <c r="J1270" s="7" t="s">
        <v>30</v>
      </c>
      <c r="K1270" s="7" t="n">
        <v>217.9</v>
      </c>
      <c r="L1270" s="7" t="s">
        <v>29</v>
      </c>
      <c r="M1270" s="7" t="s">
        <v>30</v>
      </c>
    </row>
    <row r="1271" customFormat="false" ht="15" hidden="false" customHeight="true" outlineLevel="0" collapsed="false">
      <c r="A1271" s="7" t="n">
        <v>2122</v>
      </c>
      <c r="B1271" s="7" t="n">
        <v>58</v>
      </c>
      <c r="C1271" s="7" t="s">
        <v>24</v>
      </c>
      <c r="D1271" s="7" t="s">
        <v>40</v>
      </c>
      <c r="E1271" s="7" t="n">
        <v>14</v>
      </c>
      <c r="F1271" s="7" t="n">
        <v>28</v>
      </c>
      <c r="G1271" s="7" t="s">
        <v>34</v>
      </c>
      <c r="H1271" s="7" t="s">
        <v>27</v>
      </c>
      <c r="I1271" s="7" t="n">
        <v>20.2</v>
      </c>
      <c r="J1271" s="7" t="s">
        <v>30</v>
      </c>
      <c r="K1271" s="7" t="n">
        <v>236.6</v>
      </c>
      <c r="L1271" s="7" t="s">
        <v>29</v>
      </c>
      <c r="M1271" s="7" t="s">
        <v>30</v>
      </c>
    </row>
    <row r="1272" customFormat="false" ht="15" hidden="false" customHeight="true" outlineLevel="0" collapsed="false">
      <c r="A1272" s="7" t="n">
        <v>2166</v>
      </c>
      <c r="B1272" s="7" t="n">
        <v>77</v>
      </c>
      <c r="C1272" s="7" t="s">
        <v>24</v>
      </c>
      <c r="D1272" s="7" t="s">
        <v>40</v>
      </c>
      <c r="E1272" s="7" t="n">
        <v>34</v>
      </c>
      <c r="F1272" s="7" t="n">
        <v>20</v>
      </c>
      <c r="G1272" s="7" t="s">
        <v>31</v>
      </c>
      <c r="H1272" s="7" t="s">
        <v>27</v>
      </c>
      <c r="I1272" s="7" t="n">
        <v>39.3</v>
      </c>
      <c r="J1272" s="7" t="s">
        <v>30</v>
      </c>
      <c r="K1272" s="7" t="n">
        <v>203.9</v>
      </c>
      <c r="L1272" s="7" t="s">
        <v>29</v>
      </c>
      <c r="M1272" s="7" t="s">
        <v>30</v>
      </c>
    </row>
    <row r="1273" customFormat="false" ht="15" hidden="false" customHeight="true" outlineLevel="0" collapsed="false">
      <c r="A1273" s="7" t="n">
        <v>2209</v>
      </c>
      <c r="B1273" s="7" t="n">
        <v>47</v>
      </c>
      <c r="C1273" s="7" t="s">
        <v>33</v>
      </c>
      <c r="D1273" s="7" t="s">
        <v>40</v>
      </c>
      <c r="E1273" s="7" t="n">
        <v>27</v>
      </c>
      <c r="F1273" s="7" t="n">
        <v>29</v>
      </c>
      <c r="G1273" s="7" t="s">
        <v>35</v>
      </c>
      <c r="H1273" s="7" t="s">
        <v>27</v>
      </c>
      <c r="I1273" s="7" t="n">
        <v>33.3</v>
      </c>
      <c r="J1273" s="7" t="s">
        <v>30</v>
      </c>
      <c r="K1273" s="7" t="n">
        <v>186.9</v>
      </c>
      <c r="L1273" s="7" t="s">
        <v>29</v>
      </c>
      <c r="M1273" s="7" t="s">
        <v>30</v>
      </c>
    </row>
    <row r="1274" customFormat="false" ht="15" hidden="false" customHeight="true" outlineLevel="0" collapsed="false">
      <c r="A1274" s="7" t="n">
        <v>2288</v>
      </c>
      <c r="B1274" s="7" t="n">
        <v>47</v>
      </c>
      <c r="C1274" s="7" t="s">
        <v>24</v>
      </c>
      <c r="D1274" s="7" t="s">
        <v>40</v>
      </c>
      <c r="E1274" s="7" t="n">
        <v>21</v>
      </c>
      <c r="F1274" s="7" t="n">
        <v>18</v>
      </c>
      <c r="G1274" s="7" t="s">
        <v>35</v>
      </c>
      <c r="H1274" s="7" t="s">
        <v>27</v>
      </c>
      <c r="I1274" s="7" t="n">
        <v>29.1</v>
      </c>
      <c r="J1274" s="7" t="s">
        <v>30</v>
      </c>
      <c r="K1274" s="7" t="n">
        <v>279</v>
      </c>
      <c r="L1274" s="7" t="s">
        <v>29</v>
      </c>
      <c r="M1274" s="7" t="s">
        <v>30</v>
      </c>
    </row>
    <row r="1275" customFormat="false" ht="15" hidden="false" customHeight="true" outlineLevel="0" collapsed="false">
      <c r="A1275" s="7" t="n">
        <v>2298</v>
      </c>
      <c r="B1275" s="7" t="n">
        <v>68</v>
      </c>
      <c r="C1275" s="7" t="s">
        <v>24</v>
      </c>
      <c r="D1275" s="7" t="s">
        <v>40</v>
      </c>
      <c r="E1275" s="7" t="n">
        <v>10</v>
      </c>
      <c r="F1275" s="7" t="n">
        <v>17</v>
      </c>
      <c r="G1275" s="7" t="s">
        <v>35</v>
      </c>
      <c r="H1275" s="7" t="s">
        <v>32</v>
      </c>
      <c r="I1275" s="7" t="n">
        <v>23.3</v>
      </c>
      <c r="J1275" s="7" t="s">
        <v>30</v>
      </c>
      <c r="K1275" s="7" t="n">
        <v>192.2</v>
      </c>
      <c r="L1275" s="7" t="s">
        <v>29</v>
      </c>
      <c r="M1275" s="7" t="s">
        <v>30</v>
      </c>
    </row>
    <row r="1276" customFormat="false" ht="15" hidden="false" customHeight="true" outlineLevel="0" collapsed="false">
      <c r="A1276" s="7" t="n">
        <v>2316</v>
      </c>
      <c r="B1276" s="7" t="n">
        <v>71</v>
      </c>
      <c r="C1276" s="7" t="s">
        <v>24</v>
      </c>
      <c r="D1276" s="7" t="s">
        <v>40</v>
      </c>
      <c r="E1276" s="7" t="n">
        <v>6</v>
      </c>
      <c r="F1276" s="7" t="n">
        <v>17</v>
      </c>
      <c r="G1276" s="7" t="s">
        <v>35</v>
      </c>
      <c r="H1276" s="7" t="s">
        <v>27</v>
      </c>
      <c r="I1276" s="7" t="n">
        <v>39.4</v>
      </c>
      <c r="J1276" s="7" t="s">
        <v>30</v>
      </c>
      <c r="K1276" s="7" t="n">
        <v>232.8</v>
      </c>
      <c r="L1276" s="7" t="s">
        <v>29</v>
      </c>
      <c r="M1276" s="7" t="s">
        <v>30</v>
      </c>
    </row>
    <row r="1277" customFormat="false" ht="15" hidden="false" customHeight="true" outlineLevel="0" collapsed="false">
      <c r="A1277" s="7" t="n">
        <v>2325</v>
      </c>
      <c r="B1277" s="7" t="n">
        <v>75</v>
      </c>
      <c r="C1277" s="7" t="s">
        <v>33</v>
      </c>
      <c r="D1277" s="7" t="s">
        <v>40</v>
      </c>
      <c r="E1277" s="7" t="n">
        <v>27</v>
      </c>
      <c r="F1277" s="7" t="n">
        <v>14</v>
      </c>
      <c r="G1277" s="7" t="s">
        <v>35</v>
      </c>
      <c r="H1277" s="7" t="s">
        <v>32</v>
      </c>
      <c r="I1277" s="7" t="n">
        <v>24.3</v>
      </c>
      <c r="J1277" s="7" t="s">
        <v>30</v>
      </c>
      <c r="K1277" s="7" t="n">
        <v>146.8</v>
      </c>
      <c r="L1277" s="7" t="s">
        <v>29</v>
      </c>
      <c r="M1277" s="7" t="s">
        <v>30</v>
      </c>
    </row>
    <row r="1278" customFormat="false" ht="15" hidden="false" customHeight="true" outlineLevel="0" collapsed="false">
      <c r="A1278" s="7" t="n">
        <v>2380</v>
      </c>
      <c r="B1278" s="7" t="n">
        <v>36</v>
      </c>
      <c r="C1278" s="7" t="s">
        <v>24</v>
      </c>
      <c r="D1278" s="7" t="s">
        <v>40</v>
      </c>
      <c r="E1278" s="7" t="n">
        <v>16</v>
      </c>
      <c r="F1278" s="7" t="n">
        <v>13</v>
      </c>
      <c r="G1278" s="7" t="s">
        <v>26</v>
      </c>
      <c r="H1278" s="7" t="s">
        <v>27</v>
      </c>
      <c r="I1278" s="7" t="n">
        <v>18.7</v>
      </c>
      <c r="J1278" s="7" t="s">
        <v>30</v>
      </c>
      <c r="K1278" s="7" t="n">
        <v>258.3</v>
      </c>
      <c r="L1278" s="7" t="s">
        <v>29</v>
      </c>
      <c r="M1278" s="7" t="s">
        <v>30</v>
      </c>
    </row>
    <row r="1279" customFormat="false" ht="15" hidden="false" customHeight="true" outlineLevel="0" collapsed="false">
      <c r="A1279" s="7" t="n">
        <v>2403</v>
      </c>
      <c r="B1279" s="7" t="n">
        <v>20</v>
      </c>
      <c r="C1279" s="7" t="s">
        <v>33</v>
      </c>
      <c r="D1279" s="7" t="s">
        <v>40</v>
      </c>
      <c r="E1279" s="7" t="n">
        <v>25</v>
      </c>
      <c r="F1279" s="7" t="n">
        <v>26</v>
      </c>
      <c r="G1279" s="7" t="s">
        <v>36</v>
      </c>
      <c r="H1279" s="7" t="s">
        <v>27</v>
      </c>
      <c r="I1279" s="7" t="n">
        <v>26.6</v>
      </c>
      <c r="J1279" s="7" t="s">
        <v>30</v>
      </c>
      <c r="K1279" s="7" t="n">
        <v>212.2</v>
      </c>
      <c r="L1279" s="7" t="s">
        <v>29</v>
      </c>
      <c r="M1279" s="7" t="s">
        <v>30</v>
      </c>
    </row>
    <row r="1280" customFormat="false" ht="15" hidden="false" customHeight="true" outlineLevel="0" collapsed="false">
      <c r="A1280" s="7" t="n">
        <v>2422</v>
      </c>
      <c r="B1280" s="7" t="n">
        <v>47</v>
      </c>
      <c r="C1280" s="7" t="s">
        <v>24</v>
      </c>
      <c r="D1280" s="7" t="s">
        <v>40</v>
      </c>
      <c r="E1280" s="7" t="n">
        <v>31</v>
      </c>
      <c r="F1280" s="7" t="n">
        <v>24</v>
      </c>
      <c r="G1280" s="7" t="s">
        <v>34</v>
      </c>
      <c r="H1280" s="7" t="s">
        <v>32</v>
      </c>
      <c r="I1280" s="7" t="n">
        <v>24.2</v>
      </c>
      <c r="J1280" s="7" t="s">
        <v>30</v>
      </c>
      <c r="K1280" s="7" t="n">
        <v>156</v>
      </c>
      <c r="L1280" s="7" t="s">
        <v>29</v>
      </c>
      <c r="M1280" s="7" t="s">
        <v>30</v>
      </c>
    </row>
    <row r="1281" customFormat="false" ht="15" hidden="false" customHeight="true" outlineLevel="0" collapsed="false">
      <c r="A1281" s="7" t="n">
        <v>22</v>
      </c>
      <c r="B1281" s="7" t="n">
        <v>58</v>
      </c>
      <c r="C1281" s="7" t="s">
        <v>24</v>
      </c>
      <c r="D1281" s="7" t="s">
        <v>41</v>
      </c>
      <c r="E1281" s="7" t="n">
        <v>3</v>
      </c>
      <c r="F1281" s="7" t="n">
        <v>13</v>
      </c>
      <c r="G1281" s="7" t="s">
        <v>34</v>
      </c>
      <c r="H1281" s="7" t="s">
        <v>27</v>
      </c>
      <c r="I1281" s="7" t="n">
        <v>29.3</v>
      </c>
      <c r="J1281" s="7" t="s">
        <v>30</v>
      </c>
      <c r="K1281" s="7" t="n">
        <v>186</v>
      </c>
      <c r="L1281" s="7" t="s">
        <v>29</v>
      </c>
      <c r="M1281" s="7" t="s">
        <v>38</v>
      </c>
    </row>
    <row r="1282" customFormat="false" ht="15" hidden="false" customHeight="true" outlineLevel="0" collapsed="false">
      <c r="A1282" s="7" t="n">
        <v>37</v>
      </c>
      <c r="B1282" s="7" t="n">
        <v>29</v>
      </c>
      <c r="C1282" s="7" t="s">
        <v>33</v>
      </c>
      <c r="D1282" s="7" t="s">
        <v>41</v>
      </c>
      <c r="E1282" s="7" t="n">
        <v>19</v>
      </c>
      <c r="F1282" s="7" t="n">
        <v>11</v>
      </c>
      <c r="G1282" s="7" t="s">
        <v>34</v>
      </c>
      <c r="H1282" s="7" t="s">
        <v>32</v>
      </c>
      <c r="I1282" s="7" t="n">
        <v>39.6</v>
      </c>
      <c r="J1282" s="7" t="s">
        <v>30</v>
      </c>
      <c r="K1282" s="7" t="n">
        <v>132.5</v>
      </c>
      <c r="L1282" s="7" t="s">
        <v>37</v>
      </c>
      <c r="M1282" s="7" t="s">
        <v>30</v>
      </c>
    </row>
    <row r="1283" customFormat="false" ht="15" hidden="false" customHeight="true" outlineLevel="0" collapsed="false">
      <c r="A1283" s="7" t="n">
        <v>41</v>
      </c>
      <c r="B1283" s="7" t="n">
        <v>36</v>
      </c>
      <c r="C1283" s="7" t="s">
        <v>33</v>
      </c>
      <c r="D1283" s="7" t="s">
        <v>41</v>
      </c>
      <c r="E1283" s="7" t="n">
        <v>13</v>
      </c>
      <c r="F1283" s="7" t="n">
        <v>11</v>
      </c>
      <c r="G1283" s="7" t="s">
        <v>31</v>
      </c>
      <c r="H1283" s="7" t="s">
        <v>27</v>
      </c>
      <c r="I1283" s="7" t="n">
        <v>39.6</v>
      </c>
      <c r="J1283" s="7" t="s">
        <v>30</v>
      </c>
      <c r="K1283" s="7" t="n">
        <v>177.5</v>
      </c>
      <c r="L1283" s="7" t="s">
        <v>29</v>
      </c>
      <c r="M1283" s="7" t="s">
        <v>39</v>
      </c>
    </row>
    <row r="1284" customFormat="false" ht="15" hidden="false" customHeight="true" outlineLevel="0" collapsed="false">
      <c r="A1284" s="7" t="n">
        <v>43</v>
      </c>
      <c r="B1284" s="7" t="n">
        <v>22</v>
      </c>
      <c r="C1284" s="7" t="s">
        <v>33</v>
      </c>
      <c r="D1284" s="7" t="s">
        <v>41</v>
      </c>
      <c r="E1284" s="7" t="n">
        <v>7</v>
      </c>
      <c r="F1284" s="7" t="n">
        <v>14</v>
      </c>
      <c r="G1284" s="7" t="s">
        <v>26</v>
      </c>
      <c r="H1284" s="7" t="s">
        <v>27</v>
      </c>
      <c r="I1284" s="7" t="n">
        <v>19.9</v>
      </c>
      <c r="J1284" s="7" t="s">
        <v>30</v>
      </c>
      <c r="K1284" s="7" t="n">
        <v>257.1</v>
      </c>
      <c r="L1284" s="7" t="s">
        <v>29</v>
      </c>
      <c r="M1284" s="7" t="s">
        <v>30</v>
      </c>
    </row>
    <row r="1285" customFormat="false" ht="15" hidden="false" customHeight="true" outlineLevel="0" collapsed="false">
      <c r="A1285" s="7" t="n">
        <v>60</v>
      </c>
      <c r="B1285" s="7" t="n">
        <v>68</v>
      </c>
      <c r="C1285" s="7" t="s">
        <v>33</v>
      </c>
      <c r="D1285" s="7" t="s">
        <v>41</v>
      </c>
      <c r="E1285" s="7" t="n">
        <v>18</v>
      </c>
      <c r="F1285" s="7" t="n">
        <v>13</v>
      </c>
      <c r="G1285" s="7" t="s">
        <v>26</v>
      </c>
      <c r="H1285" s="7" t="s">
        <v>27</v>
      </c>
      <c r="I1285" s="7" t="n">
        <v>24</v>
      </c>
      <c r="J1285" s="7" t="s">
        <v>30</v>
      </c>
      <c r="K1285" s="7" t="n">
        <v>136</v>
      </c>
      <c r="L1285" s="7" t="s">
        <v>37</v>
      </c>
      <c r="M1285" s="7" t="s">
        <v>30</v>
      </c>
    </row>
    <row r="1286" customFormat="false" ht="15" hidden="false" customHeight="true" outlineLevel="0" collapsed="false">
      <c r="A1286" s="7" t="n">
        <v>71</v>
      </c>
      <c r="B1286" s="7" t="n">
        <v>19</v>
      </c>
      <c r="C1286" s="7" t="s">
        <v>33</v>
      </c>
      <c r="D1286" s="7" t="s">
        <v>41</v>
      </c>
      <c r="E1286" s="7" t="n">
        <v>10</v>
      </c>
      <c r="F1286" s="7" t="n">
        <v>12</v>
      </c>
      <c r="G1286" s="7" t="s">
        <v>36</v>
      </c>
      <c r="H1286" s="7" t="s">
        <v>27</v>
      </c>
      <c r="I1286" s="7" t="n">
        <v>20.5</v>
      </c>
      <c r="J1286" s="7" t="s">
        <v>30</v>
      </c>
      <c r="K1286" s="7" t="n">
        <v>141</v>
      </c>
      <c r="L1286" s="7" t="s">
        <v>29</v>
      </c>
      <c r="M1286" s="7" t="s">
        <v>38</v>
      </c>
    </row>
    <row r="1287" customFormat="false" ht="15" hidden="false" customHeight="true" outlineLevel="0" collapsed="false">
      <c r="A1287" s="7" t="n">
        <v>75</v>
      </c>
      <c r="B1287" s="7" t="n">
        <v>83</v>
      </c>
      <c r="C1287" s="7" t="s">
        <v>24</v>
      </c>
      <c r="D1287" s="7" t="s">
        <v>41</v>
      </c>
      <c r="E1287" s="7" t="n">
        <v>17</v>
      </c>
      <c r="F1287" s="7" t="n">
        <v>1</v>
      </c>
      <c r="G1287" s="7" t="s">
        <v>26</v>
      </c>
      <c r="H1287" s="7" t="s">
        <v>32</v>
      </c>
      <c r="I1287" s="7" t="n">
        <v>32.6</v>
      </c>
      <c r="J1287" s="7" t="s">
        <v>30</v>
      </c>
      <c r="K1287" s="7" t="n">
        <v>289.2</v>
      </c>
      <c r="L1287" s="7" t="s">
        <v>29</v>
      </c>
      <c r="M1287" s="7" t="s">
        <v>30</v>
      </c>
    </row>
    <row r="1288" customFormat="false" ht="15" hidden="false" customHeight="true" outlineLevel="0" collapsed="false">
      <c r="A1288" s="7" t="n">
        <v>100</v>
      </c>
      <c r="B1288" s="7" t="n">
        <v>29</v>
      </c>
      <c r="C1288" s="7" t="s">
        <v>33</v>
      </c>
      <c r="D1288" s="7" t="s">
        <v>41</v>
      </c>
      <c r="E1288" s="7" t="n">
        <v>6</v>
      </c>
      <c r="F1288" s="7" t="n">
        <v>2</v>
      </c>
      <c r="G1288" s="7" t="s">
        <v>26</v>
      </c>
      <c r="H1288" s="7" t="s">
        <v>27</v>
      </c>
      <c r="I1288" s="7" t="n">
        <v>39.9</v>
      </c>
      <c r="J1288" s="7" t="s">
        <v>30</v>
      </c>
      <c r="K1288" s="7" t="n">
        <v>291</v>
      </c>
      <c r="L1288" s="7" t="s">
        <v>29</v>
      </c>
      <c r="M1288" s="7" t="s">
        <v>30</v>
      </c>
    </row>
    <row r="1289" customFormat="false" ht="15" hidden="false" customHeight="true" outlineLevel="0" collapsed="false">
      <c r="A1289" s="7" t="n">
        <v>113</v>
      </c>
      <c r="B1289" s="7" t="n">
        <v>55</v>
      </c>
      <c r="C1289" s="7" t="s">
        <v>24</v>
      </c>
      <c r="D1289" s="7" t="s">
        <v>41</v>
      </c>
      <c r="E1289" s="7" t="n">
        <v>2</v>
      </c>
      <c r="F1289" s="7" t="n">
        <v>8</v>
      </c>
      <c r="G1289" s="7" t="s">
        <v>35</v>
      </c>
      <c r="H1289" s="7" t="s">
        <v>32</v>
      </c>
      <c r="I1289" s="7" t="n">
        <v>29.4</v>
      </c>
      <c r="J1289" s="7" t="s">
        <v>30</v>
      </c>
      <c r="K1289" s="7" t="n">
        <v>159.6</v>
      </c>
      <c r="L1289" s="7" t="s">
        <v>29</v>
      </c>
      <c r="M1289" s="7" t="s">
        <v>30</v>
      </c>
    </row>
    <row r="1290" customFormat="false" ht="15" hidden="false" customHeight="true" outlineLevel="0" collapsed="false">
      <c r="A1290" s="7" t="n">
        <v>129</v>
      </c>
      <c r="B1290" s="7" t="n">
        <v>57</v>
      </c>
      <c r="C1290" s="7" t="s">
        <v>24</v>
      </c>
      <c r="D1290" s="7" t="s">
        <v>41</v>
      </c>
      <c r="E1290" s="7" t="n">
        <v>1</v>
      </c>
      <c r="F1290" s="7" t="n">
        <v>10</v>
      </c>
      <c r="G1290" s="7" t="s">
        <v>36</v>
      </c>
      <c r="H1290" s="7" t="s">
        <v>27</v>
      </c>
      <c r="I1290" s="7" t="n">
        <v>29.9</v>
      </c>
      <c r="J1290" s="7" t="s">
        <v>30</v>
      </c>
      <c r="K1290" s="7" t="n">
        <v>183.1</v>
      </c>
      <c r="L1290" s="7" t="s">
        <v>37</v>
      </c>
      <c r="M1290" s="7" t="s">
        <v>30</v>
      </c>
    </row>
    <row r="1291" customFormat="false" ht="15" hidden="false" customHeight="true" outlineLevel="0" collapsed="false">
      <c r="A1291" s="7" t="n">
        <v>172</v>
      </c>
      <c r="B1291" s="7" t="n">
        <v>19</v>
      </c>
      <c r="C1291" s="7" t="s">
        <v>24</v>
      </c>
      <c r="D1291" s="7" t="s">
        <v>41</v>
      </c>
      <c r="E1291" s="7" t="n">
        <v>11</v>
      </c>
      <c r="F1291" s="7" t="n">
        <v>14</v>
      </c>
      <c r="G1291" s="7" t="s">
        <v>35</v>
      </c>
      <c r="H1291" s="7" t="s">
        <v>27</v>
      </c>
      <c r="I1291" s="7" t="n">
        <v>31.1</v>
      </c>
      <c r="J1291" s="7" t="s">
        <v>30</v>
      </c>
      <c r="K1291" s="7" t="n">
        <v>158.1</v>
      </c>
      <c r="L1291" s="7" t="s">
        <v>29</v>
      </c>
      <c r="M1291" s="7" t="s">
        <v>38</v>
      </c>
    </row>
    <row r="1292" customFormat="false" ht="15" hidden="false" customHeight="true" outlineLevel="0" collapsed="false">
      <c r="A1292" s="7" t="n">
        <v>173</v>
      </c>
      <c r="B1292" s="7" t="n">
        <v>26</v>
      </c>
      <c r="C1292" s="7" t="s">
        <v>33</v>
      </c>
      <c r="D1292" s="7" t="s">
        <v>41</v>
      </c>
      <c r="E1292" s="7" t="n">
        <v>15</v>
      </c>
      <c r="F1292" s="7" t="n">
        <v>9</v>
      </c>
      <c r="G1292" s="7" t="s">
        <v>26</v>
      </c>
      <c r="H1292" s="7" t="s">
        <v>27</v>
      </c>
      <c r="I1292" s="7" t="n">
        <v>24.6</v>
      </c>
      <c r="J1292" s="7" t="s">
        <v>30</v>
      </c>
      <c r="K1292" s="7" t="n">
        <v>244.6</v>
      </c>
      <c r="L1292" s="7" t="s">
        <v>37</v>
      </c>
      <c r="M1292" s="7" t="s">
        <v>38</v>
      </c>
    </row>
    <row r="1293" customFormat="false" ht="15" hidden="false" customHeight="true" outlineLevel="0" collapsed="false">
      <c r="A1293" s="7" t="n">
        <v>176</v>
      </c>
      <c r="B1293" s="7" t="n">
        <v>82</v>
      </c>
      <c r="C1293" s="7" t="s">
        <v>33</v>
      </c>
      <c r="D1293" s="7" t="s">
        <v>41</v>
      </c>
      <c r="E1293" s="7" t="n">
        <v>7</v>
      </c>
      <c r="F1293" s="7" t="n">
        <v>5</v>
      </c>
      <c r="G1293" s="7" t="s">
        <v>26</v>
      </c>
      <c r="H1293" s="7" t="s">
        <v>32</v>
      </c>
      <c r="I1293" s="7" t="n">
        <v>32.7</v>
      </c>
      <c r="J1293" s="7" t="s">
        <v>30</v>
      </c>
      <c r="K1293" s="7" t="n">
        <v>131.6</v>
      </c>
      <c r="L1293" s="7" t="s">
        <v>37</v>
      </c>
      <c r="M1293" s="7" t="s">
        <v>30</v>
      </c>
    </row>
    <row r="1294" customFormat="false" ht="15" hidden="false" customHeight="true" outlineLevel="0" collapsed="false">
      <c r="A1294" s="7" t="n">
        <v>200</v>
      </c>
      <c r="B1294" s="7" t="n">
        <v>21</v>
      </c>
      <c r="C1294" s="7" t="s">
        <v>24</v>
      </c>
      <c r="D1294" s="7" t="s">
        <v>41</v>
      </c>
      <c r="E1294" s="7" t="n">
        <v>6</v>
      </c>
      <c r="F1294" s="7" t="n">
        <v>10</v>
      </c>
      <c r="G1294" s="7" t="s">
        <v>36</v>
      </c>
      <c r="H1294" s="7" t="s">
        <v>32</v>
      </c>
      <c r="I1294" s="7" t="n">
        <v>36.5</v>
      </c>
      <c r="J1294" s="7" t="s">
        <v>30</v>
      </c>
      <c r="K1294" s="7" t="n">
        <v>130.3</v>
      </c>
      <c r="L1294" s="7" t="s">
        <v>37</v>
      </c>
      <c r="M1294" s="7" t="s">
        <v>30</v>
      </c>
    </row>
    <row r="1295" customFormat="false" ht="15" hidden="false" customHeight="true" outlineLevel="0" collapsed="false">
      <c r="A1295" s="7" t="n">
        <v>203</v>
      </c>
      <c r="B1295" s="7" t="n">
        <v>50</v>
      </c>
      <c r="C1295" s="7" t="s">
        <v>33</v>
      </c>
      <c r="D1295" s="7" t="s">
        <v>41</v>
      </c>
      <c r="E1295" s="7" t="n">
        <v>4</v>
      </c>
      <c r="F1295" s="7" t="n">
        <v>2</v>
      </c>
      <c r="G1295" s="7" t="s">
        <v>36</v>
      </c>
      <c r="H1295" s="7" t="s">
        <v>32</v>
      </c>
      <c r="I1295" s="7" t="n">
        <v>30.7</v>
      </c>
      <c r="J1295" s="7" t="s">
        <v>30</v>
      </c>
      <c r="K1295" s="7" t="n">
        <v>278.8</v>
      </c>
      <c r="L1295" s="7" t="s">
        <v>29</v>
      </c>
      <c r="M1295" s="7" t="s">
        <v>38</v>
      </c>
    </row>
    <row r="1296" customFormat="false" ht="15" hidden="false" customHeight="true" outlineLevel="0" collapsed="false">
      <c r="A1296" s="7" t="n">
        <v>227</v>
      </c>
      <c r="B1296" s="7" t="n">
        <v>84</v>
      </c>
      <c r="C1296" s="7" t="s">
        <v>24</v>
      </c>
      <c r="D1296" s="7" t="s">
        <v>41</v>
      </c>
      <c r="E1296" s="7" t="n">
        <v>16</v>
      </c>
      <c r="F1296" s="7" t="n">
        <v>4</v>
      </c>
      <c r="G1296" s="7" t="s">
        <v>34</v>
      </c>
      <c r="H1296" s="7" t="s">
        <v>32</v>
      </c>
      <c r="I1296" s="7" t="n">
        <v>30.1</v>
      </c>
      <c r="J1296" s="7" t="s">
        <v>30</v>
      </c>
      <c r="K1296" s="7" t="n">
        <v>276.3</v>
      </c>
      <c r="L1296" s="7" t="s">
        <v>37</v>
      </c>
      <c r="M1296" s="7" t="s">
        <v>39</v>
      </c>
    </row>
    <row r="1297" customFormat="false" ht="15" hidden="false" customHeight="true" outlineLevel="0" collapsed="false">
      <c r="A1297" s="7" t="n">
        <v>236</v>
      </c>
      <c r="B1297" s="7" t="n">
        <v>83</v>
      </c>
      <c r="C1297" s="7" t="s">
        <v>24</v>
      </c>
      <c r="D1297" s="7" t="s">
        <v>41</v>
      </c>
      <c r="E1297" s="7" t="n">
        <v>18</v>
      </c>
      <c r="F1297" s="7" t="n">
        <v>2</v>
      </c>
      <c r="G1297" s="7" t="s">
        <v>34</v>
      </c>
      <c r="H1297" s="7" t="s">
        <v>27</v>
      </c>
      <c r="I1297" s="7" t="n">
        <v>26.2</v>
      </c>
      <c r="J1297" s="7" t="s">
        <v>30</v>
      </c>
      <c r="K1297" s="7" t="n">
        <v>195.4</v>
      </c>
      <c r="L1297" s="7" t="s">
        <v>29</v>
      </c>
      <c r="M1297" s="7" t="s">
        <v>30</v>
      </c>
    </row>
    <row r="1298" customFormat="false" ht="15" hidden="false" customHeight="true" outlineLevel="0" collapsed="false">
      <c r="A1298" s="7" t="n">
        <v>270</v>
      </c>
      <c r="B1298" s="7" t="n">
        <v>38</v>
      </c>
      <c r="C1298" s="7" t="s">
        <v>24</v>
      </c>
      <c r="D1298" s="7" t="s">
        <v>41</v>
      </c>
      <c r="E1298" s="7" t="n">
        <v>1</v>
      </c>
      <c r="F1298" s="7" t="n">
        <v>4</v>
      </c>
      <c r="G1298" s="7" t="s">
        <v>35</v>
      </c>
      <c r="H1298" s="7" t="s">
        <v>27</v>
      </c>
      <c r="I1298" s="7" t="n">
        <v>18.5</v>
      </c>
      <c r="J1298" s="7" t="s">
        <v>30</v>
      </c>
      <c r="K1298" s="7" t="n">
        <v>212.9</v>
      </c>
      <c r="L1298" s="7" t="s">
        <v>37</v>
      </c>
      <c r="M1298" s="7" t="s">
        <v>38</v>
      </c>
    </row>
    <row r="1299" customFormat="false" ht="15" hidden="false" customHeight="true" outlineLevel="0" collapsed="false">
      <c r="A1299" s="7" t="n">
        <v>276</v>
      </c>
      <c r="B1299" s="7" t="n">
        <v>22</v>
      </c>
      <c r="C1299" s="7" t="s">
        <v>24</v>
      </c>
      <c r="D1299" s="7" t="s">
        <v>41</v>
      </c>
      <c r="E1299" s="7" t="n">
        <v>8</v>
      </c>
      <c r="F1299" s="7" t="n">
        <v>9</v>
      </c>
      <c r="G1299" s="7" t="s">
        <v>31</v>
      </c>
      <c r="H1299" s="7" t="s">
        <v>27</v>
      </c>
      <c r="I1299" s="7" t="n">
        <v>41.1</v>
      </c>
      <c r="J1299" s="7" t="s">
        <v>30</v>
      </c>
      <c r="K1299" s="7" t="n">
        <v>185.8</v>
      </c>
      <c r="L1299" s="7" t="s">
        <v>37</v>
      </c>
      <c r="M1299" s="7" t="s">
        <v>30</v>
      </c>
    </row>
    <row r="1300" customFormat="false" ht="15" hidden="false" customHeight="true" outlineLevel="0" collapsed="false">
      <c r="A1300" s="7" t="n">
        <v>324</v>
      </c>
      <c r="B1300" s="7" t="n">
        <v>49</v>
      </c>
      <c r="C1300" s="7" t="s">
        <v>24</v>
      </c>
      <c r="D1300" s="7" t="s">
        <v>41</v>
      </c>
      <c r="E1300" s="7" t="n">
        <v>1</v>
      </c>
      <c r="F1300" s="7" t="n">
        <v>14</v>
      </c>
      <c r="G1300" s="7" t="s">
        <v>35</v>
      </c>
      <c r="H1300" s="7" t="s">
        <v>27</v>
      </c>
      <c r="I1300" s="7" t="n">
        <v>25.9</v>
      </c>
      <c r="J1300" s="7" t="s">
        <v>30</v>
      </c>
      <c r="K1300" s="7" t="n">
        <v>160</v>
      </c>
      <c r="L1300" s="7" t="s">
        <v>29</v>
      </c>
      <c r="M1300" s="7" t="s">
        <v>38</v>
      </c>
    </row>
    <row r="1301" customFormat="false" ht="15" hidden="false" customHeight="true" outlineLevel="0" collapsed="false">
      <c r="A1301" s="7" t="n">
        <v>332</v>
      </c>
      <c r="B1301" s="7" t="n">
        <v>81</v>
      </c>
      <c r="C1301" s="7" t="s">
        <v>33</v>
      </c>
      <c r="D1301" s="7" t="s">
        <v>41</v>
      </c>
      <c r="E1301" s="7" t="n">
        <v>15</v>
      </c>
      <c r="F1301" s="7" t="n">
        <v>4</v>
      </c>
      <c r="G1301" s="7" t="s">
        <v>35</v>
      </c>
      <c r="H1301" s="7" t="s">
        <v>27</v>
      </c>
      <c r="I1301" s="7" t="n">
        <v>28.2</v>
      </c>
      <c r="J1301" s="7" t="s">
        <v>30</v>
      </c>
      <c r="K1301" s="7" t="n">
        <v>251.3</v>
      </c>
      <c r="L1301" s="7" t="s">
        <v>29</v>
      </c>
      <c r="M1301" s="7" t="s">
        <v>38</v>
      </c>
    </row>
    <row r="1302" customFormat="false" ht="15" hidden="false" customHeight="true" outlineLevel="0" collapsed="false">
      <c r="A1302" s="7" t="n">
        <v>347</v>
      </c>
      <c r="B1302" s="7" t="n">
        <v>39</v>
      </c>
      <c r="C1302" s="7" t="s">
        <v>33</v>
      </c>
      <c r="D1302" s="7" t="s">
        <v>41</v>
      </c>
      <c r="E1302" s="7" t="n">
        <v>9</v>
      </c>
      <c r="F1302" s="7" t="n">
        <v>6</v>
      </c>
      <c r="G1302" s="7" t="s">
        <v>34</v>
      </c>
      <c r="H1302" s="7" t="s">
        <v>27</v>
      </c>
      <c r="I1302" s="7" t="n">
        <v>32</v>
      </c>
      <c r="J1302" s="7" t="s">
        <v>30</v>
      </c>
      <c r="K1302" s="7" t="n">
        <v>246.9</v>
      </c>
      <c r="L1302" s="7" t="s">
        <v>29</v>
      </c>
      <c r="M1302" s="7" t="s">
        <v>38</v>
      </c>
    </row>
    <row r="1303" customFormat="false" ht="15" hidden="false" customHeight="true" outlineLevel="0" collapsed="false">
      <c r="A1303" s="7" t="n">
        <v>365</v>
      </c>
      <c r="B1303" s="7" t="n">
        <v>30</v>
      </c>
      <c r="C1303" s="7" t="s">
        <v>33</v>
      </c>
      <c r="D1303" s="7" t="s">
        <v>41</v>
      </c>
      <c r="E1303" s="7" t="n">
        <v>15</v>
      </c>
      <c r="F1303" s="7" t="n">
        <v>11</v>
      </c>
      <c r="G1303" s="7" t="s">
        <v>26</v>
      </c>
      <c r="H1303" s="7" t="s">
        <v>27</v>
      </c>
      <c r="I1303" s="7" t="n">
        <v>36</v>
      </c>
      <c r="J1303" s="7" t="s">
        <v>30</v>
      </c>
      <c r="K1303" s="7" t="n">
        <v>207.7</v>
      </c>
      <c r="L1303" s="7" t="s">
        <v>29</v>
      </c>
      <c r="M1303" s="7" t="s">
        <v>38</v>
      </c>
    </row>
    <row r="1304" customFormat="false" ht="15" hidden="false" customHeight="true" outlineLevel="0" collapsed="false">
      <c r="A1304" s="7" t="n">
        <v>388</v>
      </c>
      <c r="B1304" s="7" t="n">
        <v>85</v>
      </c>
      <c r="C1304" s="7" t="s">
        <v>24</v>
      </c>
      <c r="D1304" s="7" t="s">
        <v>41</v>
      </c>
      <c r="E1304" s="7" t="n">
        <v>16</v>
      </c>
      <c r="F1304" s="7" t="n">
        <v>14</v>
      </c>
      <c r="G1304" s="7" t="s">
        <v>35</v>
      </c>
      <c r="H1304" s="7" t="s">
        <v>27</v>
      </c>
      <c r="I1304" s="7" t="n">
        <v>39.7</v>
      </c>
      <c r="J1304" s="7" t="s">
        <v>30</v>
      </c>
      <c r="K1304" s="7" t="n">
        <v>159.6</v>
      </c>
      <c r="L1304" s="7" t="s">
        <v>29</v>
      </c>
      <c r="M1304" s="7" t="s">
        <v>38</v>
      </c>
    </row>
    <row r="1305" customFormat="false" ht="15" hidden="false" customHeight="true" outlineLevel="0" collapsed="false">
      <c r="A1305" s="7" t="n">
        <v>401</v>
      </c>
      <c r="B1305" s="7" t="n">
        <v>38</v>
      </c>
      <c r="C1305" s="7" t="s">
        <v>24</v>
      </c>
      <c r="D1305" s="7" t="s">
        <v>41</v>
      </c>
      <c r="E1305" s="7" t="n">
        <v>13</v>
      </c>
      <c r="F1305" s="7" t="n">
        <v>10</v>
      </c>
      <c r="G1305" s="7" t="s">
        <v>26</v>
      </c>
      <c r="H1305" s="7" t="s">
        <v>32</v>
      </c>
      <c r="I1305" s="7" t="n">
        <v>20.8</v>
      </c>
      <c r="J1305" s="7" t="s">
        <v>30</v>
      </c>
      <c r="K1305" s="7" t="n">
        <v>168.3</v>
      </c>
      <c r="L1305" s="7" t="s">
        <v>29</v>
      </c>
      <c r="M1305" s="7" t="s">
        <v>30</v>
      </c>
    </row>
    <row r="1306" customFormat="false" ht="15" hidden="false" customHeight="true" outlineLevel="0" collapsed="false">
      <c r="A1306" s="7" t="n">
        <v>422</v>
      </c>
      <c r="B1306" s="7" t="n">
        <v>68</v>
      </c>
      <c r="C1306" s="7" t="s">
        <v>24</v>
      </c>
      <c r="D1306" s="7" t="s">
        <v>41</v>
      </c>
      <c r="E1306" s="7" t="n">
        <v>19</v>
      </c>
      <c r="F1306" s="7" t="n">
        <v>7</v>
      </c>
      <c r="G1306" s="7" t="s">
        <v>35</v>
      </c>
      <c r="H1306" s="7" t="s">
        <v>27</v>
      </c>
      <c r="I1306" s="7" t="n">
        <v>37.5</v>
      </c>
      <c r="J1306" s="7" t="s">
        <v>30</v>
      </c>
      <c r="K1306" s="7" t="n">
        <v>209.7</v>
      </c>
      <c r="L1306" s="7" t="s">
        <v>29</v>
      </c>
      <c r="M1306" s="7" t="s">
        <v>30</v>
      </c>
    </row>
    <row r="1307" customFormat="false" ht="15" hidden="false" customHeight="true" outlineLevel="0" collapsed="false">
      <c r="A1307" s="7" t="n">
        <v>497</v>
      </c>
      <c r="B1307" s="7" t="n">
        <v>60</v>
      </c>
      <c r="C1307" s="7" t="s">
        <v>24</v>
      </c>
      <c r="D1307" s="7" t="s">
        <v>41</v>
      </c>
      <c r="E1307" s="7" t="n">
        <v>16</v>
      </c>
      <c r="F1307" s="7" t="n">
        <v>7</v>
      </c>
      <c r="G1307" s="7" t="s">
        <v>36</v>
      </c>
      <c r="H1307" s="7" t="s">
        <v>27</v>
      </c>
      <c r="I1307" s="7" t="n">
        <v>29.1</v>
      </c>
      <c r="J1307" s="7" t="s">
        <v>30</v>
      </c>
      <c r="K1307" s="7" t="n">
        <v>188.5</v>
      </c>
      <c r="L1307" s="7" t="s">
        <v>37</v>
      </c>
      <c r="M1307" s="7" t="s">
        <v>38</v>
      </c>
    </row>
    <row r="1308" customFormat="false" ht="15" hidden="false" customHeight="true" outlineLevel="0" collapsed="false">
      <c r="A1308" s="7" t="n">
        <v>561</v>
      </c>
      <c r="B1308" s="7" t="n">
        <v>43</v>
      </c>
      <c r="C1308" s="7" t="s">
        <v>24</v>
      </c>
      <c r="D1308" s="7" t="s">
        <v>41</v>
      </c>
      <c r="E1308" s="7" t="n">
        <v>6</v>
      </c>
      <c r="F1308" s="7" t="n">
        <v>12</v>
      </c>
      <c r="G1308" s="7" t="s">
        <v>26</v>
      </c>
      <c r="H1308" s="7" t="s">
        <v>27</v>
      </c>
      <c r="I1308" s="7" t="n">
        <v>33.4</v>
      </c>
      <c r="J1308" s="7" t="s">
        <v>30</v>
      </c>
      <c r="K1308" s="7" t="n">
        <v>227.6</v>
      </c>
      <c r="L1308" s="7" t="s">
        <v>29</v>
      </c>
      <c r="M1308" s="7" t="s">
        <v>39</v>
      </c>
    </row>
    <row r="1309" customFormat="false" ht="15" hidden="false" customHeight="true" outlineLevel="0" collapsed="false">
      <c r="A1309" s="7" t="n">
        <v>566</v>
      </c>
      <c r="B1309" s="7" t="n">
        <v>22</v>
      </c>
      <c r="C1309" s="7" t="s">
        <v>24</v>
      </c>
      <c r="D1309" s="7" t="s">
        <v>41</v>
      </c>
      <c r="E1309" s="7" t="n">
        <v>8</v>
      </c>
      <c r="F1309" s="7" t="n">
        <v>7</v>
      </c>
      <c r="G1309" s="7" t="s">
        <v>36</v>
      </c>
      <c r="H1309" s="7" t="s">
        <v>27</v>
      </c>
      <c r="I1309" s="7" t="n">
        <v>20.2</v>
      </c>
      <c r="J1309" s="7" t="s">
        <v>30</v>
      </c>
      <c r="K1309" s="7" t="n">
        <v>241.7</v>
      </c>
      <c r="L1309" s="7" t="s">
        <v>29</v>
      </c>
      <c r="M1309" s="7" t="s">
        <v>39</v>
      </c>
    </row>
    <row r="1310" customFormat="false" ht="15" hidden="false" customHeight="true" outlineLevel="0" collapsed="false">
      <c r="A1310" s="7" t="n">
        <v>592</v>
      </c>
      <c r="B1310" s="7" t="n">
        <v>39</v>
      </c>
      <c r="C1310" s="7" t="s">
        <v>33</v>
      </c>
      <c r="D1310" s="7" t="s">
        <v>41</v>
      </c>
      <c r="E1310" s="7" t="n">
        <v>3</v>
      </c>
      <c r="F1310" s="7" t="n">
        <v>14</v>
      </c>
      <c r="G1310" s="7" t="s">
        <v>36</v>
      </c>
      <c r="H1310" s="7" t="s">
        <v>32</v>
      </c>
      <c r="I1310" s="7" t="n">
        <v>28.5</v>
      </c>
      <c r="J1310" s="7" t="s">
        <v>30</v>
      </c>
      <c r="K1310" s="7" t="n">
        <v>174.4</v>
      </c>
      <c r="L1310" s="7" t="s">
        <v>37</v>
      </c>
      <c r="M1310" s="7" t="s">
        <v>30</v>
      </c>
    </row>
    <row r="1311" customFormat="false" ht="15" hidden="false" customHeight="true" outlineLevel="0" collapsed="false">
      <c r="A1311" s="7" t="n">
        <v>616</v>
      </c>
      <c r="B1311" s="7" t="n">
        <v>76</v>
      </c>
      <c r="C1311" s="7" t="s">
        <v>24</v>
      </c>
      <c r="D1311" s="7" t="s">
        <v>41</v>
      </c>
      <c r="E1311" s="7" t="n">
        <v>6</v>
      </c>
      <c r="F1311" s="7" t="n">
        <v>7</v>
      </c>
      <c r="G1311" s="7" t="s">
        <v>35</v>
      </c>
      <c r="H1311" s="7" t="s">
        <v>27</v>
      </c>
      <c r="I1311" s="7" t="n">
        <v>26</v>
      </c>
      <c r="J1311" s="7" t="s">
        <v>30</v>
      </c>
      <c r="K1311" s="7" t="n">
        <v>277.7</v>
      </c>
      <c r="L1311" s="7" t="s">
        <v>29</v>
      </c>
      <c r="M1311" s="7" t="s">
        <v>30</v>
      </c>
    </row>
    <row r="1312" customFormat="false" ht="15" hidden="false" customHeight="true" outlineLevel="0" collapsed="false">
      <c r="A1312" s="7" t="n">
        <v>617</v>
      </c>
      <c r="B1312" s="7" t="n">
        <v>26</v>
      </c>
      <c r="C1312" s="7" t="s">
        <v>33</v>
      </c>
      <c r="D1312" s="7" t="s">
        <v>41</v>
      </c>
      <c r="E1312" s="7" t="n">
        <v>10</v>
      </c>
      <c r="F1312" s="7" t="n">
        <v>3</v>
      </c>
      <c r="G1312" s="7" t="s">
        <v>35</v>
      </c>
      <c r="H1312" s="7" t="s">
        <v>27</v>
      </c>
      <c r="I1312" s="7" t="n">
        <v>30.5</v>
      </c>
      <c r="J1312" s="7" t="s">
        <v>30</v>
      </c>
      <c r="K1312" s="7" t="n">
        <v>131.3</v>
      </c>
      <c r="L1312" s="7" t="s">
        <v>37</v>
      </c>
      <c r="M1312" s="7" t="s">
        <v>30</v>
      </c>
    </row>
    <row r="1313" customFormat="false" ht="15" hidden="false" customHeight="true" outlineLevel="0" collapsed="false">
      <c r="A1313" s="7" t="n">
        <v>640</v>
      </c>
      <c r="B1313" s="7" t="n">
        <v>42</v>
      </c>
      <c r="C1313" s="7" t="s">
        <v>33</v>
      </c>
      <c r="D1313" s="7" t="s">
        <v>41</v>
      </c>
      <c r="E1313" s="7" t="n">
        <v>8</v>
      </c>
      <c r="F1313" s="7" t="n">
        <v>14</v>
      </c>
      <c r="G1313" s="7" t="s">
        <v>26</v>
      </c>
      <c r="H1313" s="7" t="s">
        <v>27</v>
      </c>
      <c r="I1313" s="7" t="n">
        <v>40.7</v>
      </c>
      <c r="J1313" s="7" t="s">
        <v>30</v>
      </c>
      <c r="K1313" s="7" t="n">
        <v>139.1</v>
      </c>
      <c r="L1313" s="7" t="s">
        <v>37</v>
      </c>
      <c r="M1313" s="7" t="s">
        <v>38</v>
      </c>
    </row>
    <row r="1314" customFormat="false" ht="15" hidden="false" customHeight="true" outlineLevel="0" collapsed="false">
      <c r="A1314" s="7" t="n">
        <v>666</v>
      </c>
      <c r="B1314" s="7" t="n">
        <v>77</v>
      </c>
      <c r="C1314" s="7" t="s">
        <v>24</v>
      </c>
      <c r="D1314" s="7" t="s">
        <v>41</v>
      </c>
      <c r="E1314" s="7" t="n">
        <v>9</v>
      </c>
      <c r="F1314" s="7" t="n">
        <v>10</v>
      </c>
      <c r="G1314" s="7" t="s">
        <v>35</v>
      </c>
      <c r="H1314" s="7" t="s">
        <v>27</v>
      </c>
      <c r="I1314" s="7" t="n">
        <v>34.4</v>
      </c>
      <c r="J1314" s="7" t="s">
        <v>30</v>
      </c>
      <c r="K1314" s="7" t="n">
        <v>209.6</v>
      </c>
      <c r="L1314" s="7" t="s">
        <v>37</v>
      </c>
      <c r="M1314" s="7" t="s">
        <v>38</v>
      </c>
    </row>
    <row r="1315" customFormat="false" ht="15" hidden="false" customHeight="true" outlineLevel="0" collapsed="false">
      <c r="A1315" s="7" t="n">
        <v>687</v>
      </c>
      <c r="B1315" s="7" t="n">
        <v>37</v>
      </c>
      <c r="C1315" s="7" t="s">
        <v>33</v>
      </c>
      <c r="D1315" s="7" t="s">
        <v>41</v>
      </c>
      <c r="E1315" s="7" t="n">
        <v>11</v>
      </c>
      <c r="F1315" s="7" t="n">
        <v>4</v>
      </c>
      <c r="G1315" s="7" t="s">
        <v>36</v>
      </c>
      <c r="H1315" s="7" t="s">
        <v>27</v>
      </c>
      <c r="I1315" s="7" t="n">
        <v>20</v>
      </c>
      <c r="J1315" s="7" t="s">
        <v>30</v>
      </c>
      <c r="K1315" s="7" t="n">
        <v>283.7</v>
      </c>
      <c r="L1315" s="7" t="s">
        <v>37</v>
      </c>
      <c r="M1315" s="7" t="s">
        <v>30</v>
      </c>
    </row>
    <row r="1316" customFormat="false" ht="15" hidden="false" customHeight="true" outlineLevel="0" collapsed="false">
      <c r="A1316" s="7" t="n">
        <v>701</v>
      </c>
      <c r="B1316" s="7" t="n">
        <v>63</v>
      </c>
      <c r="C1316" s="7" t="s">
        <v>33</v>
      </c>
      <c r="D1316" s="7" t="s">
        <v>41</v>
      </c>
      <c r="E1316" s="7" t="n">
        <v>8</v>
      </c>
      <c r="F1316" s="7" t="n">
        <v>9</v>
      </c>
      <c r="G1316" s="7" t="s">
        <v>36</v>
      </c>
      <c r="H1316" s="7" t="s">
        <v>27</v>
      </c>
      <c r="I1316" s="7" t="n">
        <v>38.9</v>
      </c>
      <c r="J1316" s="7" t="s">
        <v>30</v>
      </c>
      <c r="K1316" s="7" t="n">
        <v>264.9</v>
      </c>
      <c r="L1316" s="7" t="s">
        <v>29</v>
      </c>
      <c r="M1316" s="7" t="s">
        <v>39</v>
      </c>
    </row>
    <row r="1317" customFormat="false" ht="15" hidden="false" customHeight="true" outlineLevel="0" collapsed="false">
      <c r="A1317" s="7" t="n">
        <v>741</v>
      </c>
      <c r="B1317" s="7" t="n">
        <v>60</v>
      </c>
      <c r="C1317" s="7" t="s">
        <v>24</v>
      </c>
      <c r="D1317" s="7" t="s">
        <v>41</v>
      </c>
      <c r="E1317" s="7" t="n">
        <v>12</v>
      </c>
      <c r="F1317" s="7" t="n">
        <v>8</v>
      </c>
      <c r="G1317" s="7" t="s">
        <v>36</v>
      </c>
      <c r="H1317" s="7" t="s">
        <v>27</v>
      </c>
      <c r="I1317" s="7" t="n">
        <v>23.6</v>
      </c>
      <c r="J1317" s="7" t="s">
        <v>30</v>
      </c>
      <c r="K1317" s="7" t="n">
        <v>185.3</v>
      </c>
      <c r="L1317" s="7" t="s">
        <v>37</v>
      </c>
      <c r="M1317" s="7" t="s">
        <v>38</v>
      </c>
    </row>
    <row r="1318" customFormat="false" ht="15" hidden="false" customHeight="true" outlineLevel="0" collapsed="false">
      <c r="A1318" s="7" t="n">
        <v>742</v>
      </c>
      <c r="B1318" s="7" t="n">
        <v>78</v>
      </c>
      <c r="C1318" s="7" t="s">
        <v>33</v>
      </c>
      <c r="D1318" s="7" t="s">
        <v>41</v>
      </c>
      <c r="E1318" s="7" t="n">
        <v>8</v>
      </c>
      <c r="F1318" s="7" t="n">
        <v>6</v>
      </c>
      <c r="G1318" s="7" t="s">
        <v>36</v>
      </c>
      <c r="H1318" s="7" t="s">
        <v>32</v>
      </c>
      <c r="I1318" s="7" t="n">
        <v>25.1</v>
      </c>
      <c r="J1318" s="7" t="s">
        <v>30</v>
      </c>
      <c r="K1318" s="7" t="n">
        <v>295.7</v>
      </c>
      <c r="L1318" s="7" t="s">
        <v>37</v>
      </c>
      <c r="M1318" s="7" t="s">
        <v>30</v>
      </c>
    </row>
    <row r="1319" customFormat="false" ht="15" hidden="false" customHeight="true" outlineLevel="0" collapsed="false">
      <c r="A1319" s="7" t="n">
        <v>743</v>
      </c>
      <c r="B1319" s="7" t="n">
        <v>64</v>
      </c>
      <c r="C1319" s="7" t="s">
        <v>24</v>
      </c>
      <c r="D1319" s="7" t="s">
        <v>41</v>
      </c>
      <c r="E1319" s="7" t="n">
        <v>16</v>
      </c>
      <c r="F1319" s="7" t="n">
        <v>14</v>
      </c>
      <c r="G1319" s="7" t="s">
        <v>31</v>
      </c>
      <c r="H1319" s="7" t="s">
        <v>32</v>
      </c>
      <c r="I1319" s="7" t="n">
        <v>37.3</v>
      </c>
      <c r="J1319" s="7" t="s">
        <v>30</v>
      </c>
      <c r="K1319" s="7" t="n">
        <v>123.3</v>
      </c>
      <c r="L1319" s="7" t="s">
        <v>29</v>
      </c>
      <c r="M1319" s="7" t="s">
        <v>30</v>
      </c>
    </row>
    <row r="1320" customFormat="false" ht="15" hidden="false" customHeight="true" outlineLevel="0" collapsed="false">
      <c r="A1320" s="7" t="n">
        <v>769</v>
      </c>
      <c r="B1320" s="7" t="n">
        <v>60</v>
      </c>
      <c r="C1320" s="7" t="s">
        <v>33</v>
      </c>
      <c r="D1320" s="7" t="s">
        <v>41</v>
      </c>
      <c r="E1320" s="7" t="n">
        <v>18</v>
      </c>
      <c r="F1320" s="7" t="n">
        <v>5</v>
      </c>
      <c r="G1320" s="7" t="s">
        <v>35</v>
      </c>
      <c r="H1320" s="7" t="s">
        <v>32</v>
      </c>
      <c r="I1320" s="7" t="n">
        <v>21.7</v>
      </c>
      <c r="J1320" s="7" t="s">
        <v>30</v>
      </c>
      <c r="K1320" s="7" t="n">
        <v>249.8</v>
      </c>
      <c r="L1320" s="7" t="s">
        <v>37</v>
      </c>
      <c r="M1320" s="7" t="s">
        <v>38</v>
      </c>
    </row>
    <row r="1321" customFormat="false" ht="15" hidden="false" customHeight="true" outlineLevel="0" collapsed="false">
      <c r="A1321" s="7" t="n">
        <v>817</v>
      </c>
      <c r="B1321" s="7" t="n">
        <v>85</v>
      </c>
      <c r="C1321" s="7" t="s">
        <v>33</v>
      </c>
      <c r="D1321" s="7" t="s">
        <v>41</v>
      </c>
      <c r="E1321" s="7" t="n">
        <v>7</v>
      </c>
      <c r="F1321" s="7" t="n">
        <v>9</v>
      </c>
      <c r="G1321" s="7" t="s">
        <v>26</v>
      </c>
      <c r="H1321" s="7" t="s">
        <v>27</v>
      </c>
      <c r="I1321" s="7" t="n">
        <v>38</v>
      </c>
      <c r="J1321" s="7" t="s">
        <v>30</v>
      </c>
      <c r="K1321" s="7" t="n">
        <v>213.6</v>
      </c>
      <c r="L1321" s="7" t="s">
        <v>29</v>
      </c>
      <c r="M1321" s="7" t="s">
        <v>38</v>
      </c>
    </row>
    <row r="1322" customFormat="false" ht="15" hidden="false" customHeight="true" outlineLevel="0" collapsed="false">
      <c r="A1322" s="7" t="n">
        <v>842</v>
      </c>
      <c r="B1322" s="7" t="n">
        <v>47</v>
      </c>
      <c r="C1322" s="7" t="s">
        <v>24</v>
      </c>
      <c r="D1322" s="7" t="s">
        <v>41</v>
      </c>
      <c r="E1322" s="7" t="n">
        <v>15</v>
      </c>
      <c r="F1322" s="7" t="n">
        <v>2</v>
      </c>
      <c r="G1322" s="7" t="s">
        <v>36</v>
      </c>
      <c r="H1322" s="7" t="s">
        <v>27</v>
      </c>
      <c r="I1322" s="7" t="n">
        <v>29.5</v>
      </c>
      <c r="J1322" s="7" t="s">
        <v>30</v>
      </c>
      <c r="K1322" s="7" t="n">
        <v>181.3</v>
      </c>
      <c r="L1322" s="7" t="s">
        <v>29</v>
      </c>
      <c r="M1322" s="7" t="s">
        <v>38</v>
      </c>
    </row>
    <row r="1323" customFormat="false" ht="15" hidden="false" customHeight="true" outlineLevel="0" collapsed="false">
      <c r="A1323" s="7" t="n">
        <v>848</v>
      </c>
      <c r="B1323" s="7" t="n">
        <v>44</v>
      </c>
      <c r="C1323" s="7" t="s">
        <v>33</v>
      </c>
      <c r="D1323" s="7" t="s">
        <v>41</v>
      </c>
      <c r="E1323" s="7" t="n">
        <v>15</v>
      </c>
      <c r="F1323" s="7" t="n">
        <v>14</v>
      </c>
      <c r="G1323" s="7" t="s">
        <v>26</v>
      </c>
      <c r="H1323" s="7" t="s">
        <v>32</v>
      </c>
      <c r="I1323" s="7" t="n">
        <v>27.4</v>
      </c>
      <c r="J1323" s="7" t="s">
        <v>30</v>
      </c>
      <c r="K1323" s="7" t="n">
        <v>244</v>
      </c>
      <c r="L1323" s="7" t="s">
        <v>29</v>
      </c>
      <c r="M1323" s="7" t="s">
        <v>39</v>
      </c>
    </row>
    <row r="1324" customFormat="false" ht="15" hidden="false" customHeight="true" outlineLevel="0" collapsed="false">
      <c r="A1324" s="7" t="n">
        <v>913</v>
      </c>
      <c r="B1324" s="7" t="n">
        <v>71</v>
      </c>
      <c r="C1324" s="7" t="s">
        <v>24</v>
      </c>
      <c r="D1324" s="7" t="s">
        <v>41</v>
      </c>
      <c r="E1324" s="7" t="n">
        <v>18</v>
      </c>
      <c r="F1324" s="7" t="n">
        <v>5</v>
      </c>
      <c r="G1324" s="7" t="s">
        <v>26</v>
      </c>
      <c r="H1324" s="7" t="s">
        <v>32</v>
      </c>
      <c r="I1324" s="7" t="n">
        <v>24.2</v>
      </c>
      <c r="J1324" s="7" t="s">
        <v>30</v>
      </c>
      <c r="K1324" s="7" t="n">
        <v>288.6</v>
      </c>
      <c r="L1324" s="7" t="s">
        <v>29</v>
      </c>
      <c r="M1324" s="7" t="s">
        <v>38</v>
      </c>
    </row>
    <row r="1325" customFormat="false" ht="15" hidden="false" customHeight="true" outlineLevel="0" collapsed="false">
      <c r="A1325" s="7" t="n">
        <v>932</v>
      </c>
      <c r="B1325" s="7" t="n">
        <v>73</v>
      </c>
      <c r="C1325" s="7" t="s">
        <v>33</v>
      </c>
      <c r="D1325" s="7" t="s">
        <v>41</v>
      </c>
      <c r="E1325" s="7" t="n">
        <v>16</v>
      </c>
      <c r="F1325" s="7" t="n">
        <v>7</v>
      </c>
      <c r="G1325" s="7" t="s">
        <v>31</v>
      </c>
      <c r="H1325" s="7" t="s">
        <v>27</v>
      </c>
      <c r="I1325" s="7" t="n">
        <v>30.5</v>
      </c>
      <c r="J1325" s="7" t="s">
        <v>30</v>
      </c>
      <c r="K1325" s="7" t="n">
        <v>134.4</v>
      </c>
      <c r="L1325" s="7" t="s">
        <v>29</v>
      </c>
      <c r="M1325" s="7" t="s">
        <v>39</v>
      </c>
    </row>
    <row r="1326" customFormat="false" ht="15" hidden="false" customHeight="true" outlineLevel="0" collapsed="false">
      <c r="A1326" s="7" t="n">
        <v>934</v>
      </c>
      <c r="B1326" s="7" t="n">
        <v>74</v>
      </c>
      <c r="C1326" s="7" t="s">
        <v>33</v>
      </c>
      <c r="D1326" s="7" t="s">
        <v>41</v>
      </c>
      <c r="E1326" s="7" t="n">
        <v>15</v>
      </c>
      <c r="F1326" s="7" t="n">
        <v>6</v>
      </c>
      <c r="G1326" s="7" t="s">
        <v>26</v>
      </c>
      <c r="H1326" s="7" t="s">
        <v>27</v>
      </c>
      <c r="I1326" s="7" t="n">
        <v>30.5</v>
      </c>
      <c r="J1326" s="7" t="s">
        <v>30</v>
      </c>
      <c r="K1326" s="7" t="n">
        <v>124.7</v>
      </c>
      <c r="L1326" s="7" t="s">
        <v>29</v>
      </c>
      <c r="M1326" s="7" t="s">
        <v>30</v>
      </c>
    </row>
    <row r="1327" customFormat="false" ht="15" hidden="false" customHeight="true" outlineLevel="0" collapsed="false">
      <c r="A1327" s="7" t="n">
        <v>955</v>
      </c>
      <c r="B1327" s="7" t="n">
        <v>29</v>
      </c>
      <c r="C1327" s="7" t="s">
        <v>33</v>
      </c>
      <c r="D1327" s="7" t="s">
        <v>41</v>
      </c>
      <c r="E1327" s="7" t="n">
        <v>18</v>
      </c>
      <c r="F1327" s="7" t="n">
        <v>6</v>
      </c>
      <c r="G1327" s="7" t="s">
        <v>26</v>
      </c>
      <c r="H1327" s="7" t="s">
        <v>32</v>
      </c>
      <c r="I1327" s="7" t="n">
        <v>21.5</v>
      </c>
      <c r="J1327" s="7" t="s">
        <v>30</v>
      </c>
      <c r="K1327" s="7" t="n">
        <v>127.1</v>
      </c>
      <c r="L1327" s="7" t="s">
        <v>29</v>
      </c>
      <c r="M1327" s="7" t="s">
        <v>30</v>
      </c>
    </row>
    <row r="1328" customFormat="false" ht="15" hidden="false" customHeight="true" outlineLevel="0" collapsed="false">
      <c r="A1328" s="7" t="n">
        <v>975</v>
      </c>
      <c r="B1328" s="7" t="n">
        <v>53</v>
      </c>
      <c r="C1328" s="7" t="s">
        <v>33</v>
      </c>
      <c r="D1328" s="7" t="s">
        <v>41</v>
      </c>
      <c r="E1328" s="7" t="n">
        <v>8</v>
      </c>
      <c r="F1328" s="7" t="n">
        <v>4</v>
      </c>
      <c r="G1328" s="7" t="s">
        <v>35</v>
      </c>
      <c r="H1328" s="7" t="s">
        <v>27</v>
      </c>
      <c r="I1328" s="7" t="n">
        <v>22.2</v>
      </c>
      <c r="J1328" s="7" t="s">
        <v>30</v>
      </c>
      <c r="K1328" s="7" t="n">
        <v>211.1</v>
      </c>
      <c r="L1328" s="7" t="s">
        <v>29</v>
      </c>
      <c r="M1328" s="7" t="s">
        <v>39</v>
      </c>
    </row>
    <row r="1329" customFormat="false" ht="15" hidden="false" customHeight="true" outlineLevel="0" collapsed="false">
      <c r="A1329" s="7" t="n">
        <v>986</v>
      </c>
      <c r="B1329" s="7" t="n">
        <v>60</v>
      </c>
      <c r="C1329" s="7" t="s">
        <v>33</v>
      </c>
      <c r="D1329" s="7" t="s">
        <v>41</v>
      </c>
      <c r="E1329" s="7" t="n">
        <v>4</v>
      </c>
      <c r="F1329" s="7" t="n">
        <v>2</v>
      </c>
      <c r="G1329" s="7" t="s">
        <v>31</v>
      </c>
      <c r="H1329" s="7" t="s">
        <v>32</v>
      </c>
      <c r="I1329" s="7" t="n">
        <v>17.8</v>
      </c>
      <c r="J1329" s="7" t="s">
        <v>30</v>
      </c>
      <c r="K1329" s="7" t="n">
        <v>172.8</v>
      </c>
      <c r="L1329" s="7" t="s">
        <v>29</v>
      </c>
      <c r="M1329" s="7" t="s">
        <v>38</v>
      </c>
    </row>
    <row r="1330" customFormat="false" ht="15" hidden="false" customHeight="true" outlineLevel="0" collapsed="false">
      <c r="A1330" s="7" t="n">
        <v>1015</v>
      </c>
      <c r="B1330" s="7" t="n">
        <v>35</v>
      </c>
      <c r="C1330" s="7" t="s">
        <v>24</v>
      </c>
      <c r="D1330" s="7" t="s">
        <v>41</v>
      </c>
      <c r="E1330" s="7" t="n">
        <v>2</v>
      </c>
      <c r="F1330" s="7" t="n">
        <v>7</v>
      </c>
      <c r="G1330" s="7" t="s">
        <v>35</v>
      </c>
      <c r="H1330" s="7" t="s">
        <v>27</v>
      </c>
      <c r="I1330" s="7" t="n">
        <v>35.9</v>
      </c>
      <c r="J1330" s="7" t="s">
        <v>30</v>
      </c>
      <c r="K1330" s="7" t="n">
        <v>164.9</v>
      </c>
      <c r="L1330" s="7" t="s">
        <v>29</v>
      </c>
      <c r="M1330" s="7" t="s">
        <v>38</v>
      </c>
    </row>
    <row r="1331" customFormat="false" ht="15" hidden="false" customHeight="true" outlineLevel="0" collapsed="false">
      <c r="A1331" s="7" t="n">
        <v>1029</v>
      </c>
      <c r="B1331" s="7" t="n">
        <v>30</v>
      </c>
      <c r="C1331" s="7" t="s">
        <v>33</v>
      </c>
      <c r="D1331" s="7" t="s">
        <v>41</v>
      </c>
      <c r="E1331" s="7" t="n">
        <v>14</v>
      </c>
      <c r="F1331" s="7" t="n">
        <v>11</v>
      </c>
      <c r="G1331" s="7" t="s">
        <v>34</v>
      </c>
      <c r="H1331" s="7" t="s">
        <v>32</v>
      </c>
      <c r="I1331" s="7" t="n">
        <v>40.2</v>
      </c>
      <c r="J1331" s="7" t="s">
        <v>30</v>
      </c>
      <c r="K1331" s="7" t="n">
        <v>291.8</v>
      </c>
      <c r="L1331" s="7" t="s">
        <v>29</v>
      </c>
      <c r="M1331" s="7" t="s">
        <v>30</v>
      </c>
    </row>
    <row r="1332" customFormat="false" ht="15" hidden="false" customHeight="true" outlineLevel="0" collapsed="false">
      <c r="A1332" s="7" t="n">
        <v>1038</v>
      </c>
      <c r="B1332" s="7" t="n">
        <v>55</v>
      </c>
      <c r="C1332" s="7" t="s">
        <v>24</v>
      </c>
      <c r="D1332" s="7" t="s">
        <v>41</v>
      </c>
      <c r="E1332" s="7" t="n">
        <v>8</v>
      </c>
      <c r="F1332" s="7" t="n">
        <v>6</v>
      </c>
      <c r="G1332" s="7" t="s">
        <v>35</v>
      </c>
      <c r="H1332" s="7" t="s">
        <v>32</v>
      </c>
      <c r="I1332" s="7" t="n">
        <v>38.7</v>
      </c>
      <c r="J1332" s="7" t="s">
        <v>30</v>
      </c>
      <c r="K1332" s="7" t="n">
        <v>188.4</v>
      </c>
      <c r="L1332" s="7" t="s">
        <v>29</v>
      </c>
      <c r="M1332" s="7" t="s">
        <v>30</v>
      </c>
    </row>
    <row r="1333" customFormat="false" ht="15" hidden="false" customHeight="true" outlineLevel="0" collapsed="false">
      <c r="A1333" s="7" t="n">
        <v>1039</v>
      </c>
      <c r="B1333" s="7" t="n">
        <v>58</v>
      </c>
      <c r="C1333" s="7" t="s">
        <v>33</v>
      </c>
      <c r="D1333" s="7" t="s">
        <v>41</v>
      </c>
      <c r="E1333" s="7" t="n">
        <v>1</v>
      </c>
      <c r="F1333" s="7" t="n">
        <v>6</v>
      </c>
      <c r="G1333" s="7" t="s">
        <v>31</v>
      </c>
      <c r="H1333" s="7" t="s">
        <v>32</v>
      </c>
      <c r="I1333" s="7" t="n">
        <v>29.3</v>
      </c>
      <c r="J1333" s="7" t="s">
        <v>30</v>
      </c>
      <c r="K1333" s="7" t="n">
        <v>212.4</v>
      </c>
      <c r="L1333" s="7" t="s">
        <v>29</v>
      </c>
      <c r="M1333" s="7" t="s">
        <v>38</v>
      </c>
    </row>
    <row r="1334" customFormat="false" ht="15" hidden="false" customHeight="true" outlineLevel="0" collapsed="false">
      <c r="A1334" s="7" t="n">
        <v>1051</v>
      </c>
      <c r="B1334" s="7" t="n">
        <v>39</v>
      </c>
      <c r="C1334" s="7" t="s">
        <v>24</v>
      </c>
      <c r="D1334" s="7" t="s">
        <v>41</v>
      </c>
      <c r="E1334" s="7" t="n">
        <v>2</v>
      </c>
      <c r="F1334" s="7" t="n">
        <v>13</v>
      </c>
      <c r="G1334" s="7" t="s">
        <v>35</v>
      </c>
      <c r="H1334" s="7" t="s">
        <v>32</v>
      </c>
      <c r="I1334" s="7" t="n">
        <v>22.4</v>
      </c>
      <c r="J1334" s="7" t="s">
        <v>30</v>
      </c>
      <c r="K1334" s="7" t="n">
        <v>215.7</v>
      </c>
      <c r="L1334" s="7" t="s">
        <v>37</v>
      </c>
      <c r="M1334" s="7" t="s">
        <v>38</v>
      </c>
    </row>
    <row r="1335" customFormat="false" ht="15" hidden="false" customHeight="true" outlineLevel="0" collapsed="false">
      <c r="A1335" s="7" t="n">
        <v>1068</v>
      </c>
      <c r="B1335" s="7" t="n">
        <v>24</v>
      </c>
      <c r="C1335" s="7" t="s">
        <v>24</v>
      </c>
      <c r="D1335" s="7" t="s">
        <v>41</v>
      </c>
      <c r="E1335" s="7" t="n">
        <v>7</v>
      </c>
      <c r="F1335" s="7" t="n">
        <v>8</v>
      </c>
      <c r="G1335" s="7" t="s">
        <v>34</v>
      </c>
      <c r="H1335" s="7" t="s">
        <v>27</v>
      </c>
      <c r="I1335" s="7" t="n">
        <v>25.8</v>
      </c>
      <c r="J1335" s="7" t="s">
        <v>30</v>
      </c>
      <c r="K1335" s="7" t="n">
        <v>286.4</v>
      </c>
      <c r="L1335" s="7" t="s">
        <v>37</v>
      </c>
      <c r="M1335" s="7" t="s">
        <v>30</v>
      </c>
    </row>
    <row r="1336" customFormat="false" ht="15" hidden="false" customHeight="true" outlineLevel="0" collapsed="false">
      <c r="A1336" s="7" t="n">
        <v>1083</v>
      </c>
      <c r="B1336" s="7" t="n">
        <v>62</v>
      </c>
      <c r="C1336" s="7" t="s">
        <v>33</v>
      </c>
      <c r="D1336" s="7" t="s">
        <v>41</v>
      </c>
      <c r="E1336" s="7" t="n">
        <v>9</v>
      </c>
      <c r="F1336" s="7" t="n">
        <v>11</v>
      </c>
      <c r="G1336" s="7" t="s">
        <v>26</v>
      </c>
      <c r="H1336" s="7" t="s">
        <v>32</v>
      </c>
      <c r="I1336" s="7" t="n">
        <v>22</v>
      </c>
      <c r="J1336" s="7" t="s">
        <v>30</v>
      </c>
      <c r="K1336" s="7" t="n">
        <v>293.1</v>
      </c>
      <c r="L1336" s="7" t="s">
        <v>29</v>
      </c>
      <c r="M1336" s="7" t="s">
        <v>38</v>
      </c>
    </row>
    <row r="1337" customFormat="false" ht="15" hidden="false" customHeight="true" outlineLevel="0" collapsed="false">
      <c r="A1337" s="7" t="n">
        <v>1118</v>
      </c>
      <c r="B1337" s="7" t="n">
        <v>28</v>
      </c>
      <c r="C1337" s="7" t="s">
        <v>24</v>
      </c>
      <c r="D1337" s="7" t="s">
        <v>41</v>
      </c>
      <c r="E1337" s="7" t="n">
        <v>10</v>
      </c>
      <c r="F1337" s="7" t="n">
        <v>10</v>
      </c>
      <c r="G1337" s="7" t="s">
        <v>26</v>
      </c>
      <c r="H1337" s="7" t="s">
        <v>27</v>
      </c>
      <c r="I1337" s="7" t="n">
        <v>25.1</v>
      </c>
      <c r="J1337" s="7" t="s">
        <v>30</v>
      </c>
      <c r="K1337" s="7" t="n">
        <v>234.1</v>
      </c>
      <c r="L1337" s="7" t="s">
        <v>29</v>
      </c>
      <c r="M1337" s="7" t="s">
        <v>30</v>
      </c>
    </row>
    <row r="1338" customFormat="false" ht="15" hidden="false" customHeight="true" outlineLevel="0" collapsed="false">
      <c r="A1338" s="7" t="n">
        <v>1128</v>
      </c>
      <c r="B1338" s="7" t="n">
        <v>79</v>
      </c>
      <c r="C1338" s="7" t="s">
        <v>24</v>
      </c>
      <c r="D1338" s="7" t="s">
        <v>41</v>
      </c>
      <c r="E1338" s="7" t="n">
        <v>3</v>
      </c>
      <c r="F1338" s="7" t="n">
        <v>7</v>
      </c>
      <c r="G1338" s="7" t="s">
        <v>36</v>
      </c>
      <c r="H1338" s="7" t="s">
        <v>27</v>
      </c>
      <c r="I1338" s="7" t="n">
        <v>41.1</v>
      </c>
      <c r="J1338" s="7" t="s">
        <v>30</v>
      </c>
      <c r="K1338" s="7" t="n">
        <v>278.3</v>
      </c>
      <c r="L1338" s="7" t="s">
        <v>37</v>
      </c>
      <c r="M1338" s="7" t="s">
        <v>39</v>
      </c>
    </row>
    <row r="1339" customFormat="false" ht="15" hidden="false" customHeight="true" outlineLevel="0" collapsed="false">
      <c r="A1339" s="7" t="n">
        <v>1130</v>
      </c>
      <c r="B1339" s="7" t="n">
        <v>58</v>
      </c>
      <c r="C1339" s="7" t="s">
        <v>24</v>
      </c>
      <c r="D1339" s="7" t="s">
        <v>41</v>
      </c>
      <c r="E1339" s="7" t="n">
        <v>17</v>
      </c>
      <c r="F1339" s="7" t="n">
        <v>7</v>
      </c>
      <c r="G1339" s="7" t="s">
        <v>34</v>
      </c>
      <c r="H1339" s="7" t="s">
        <v>27</v>
      </c>
      <c r="I1339" s="7" t="n">
        <v>19.9</v>
      </c>
      <c r="J1339" s="7" t="s">
        <v>30</v>
      </c>
      <c r="K1339" s="7" t="n">
        <v>250.4</v>
      </c>
      <c r="L1339" s="7" t="s">
        <v>29</v>
      </c>
      <c r="M1339" s="7" t="s">
        <v>30</v>
      </c>
    </row>
    <row r="1340" customFormat="false" ht="15" hidden="false" customHeight="true" outlineLevel="0" collapsed="false">
      <c r="A1340" s="7" t="n">
        <v>1163</v>
      </c>
      <c r="B1340" s="7" t="n">
        <v>33</v>
      </c>
      <c r="C1340" s="7" t="s">
        <v>24</v>
      </c>
      <c r="D1340" s="7" t="s">
        <v>41</v>
      </c>
      <c r="E1340" s="7" t="n">
        <v>4</v>
      </c>
      <c r="F1340" s="7" t="n">
        <v>12</v>
      </c>
      <c r="G1340" s="7" t="s">
        <v>36</v>
      </c>
      <c r="H1340" s="7" t="s">
        <v>27</v>
      </c>
      <c r="I1340" s="7" t="n">
        <v>18.9</v>
      </c>
      <c r="J1340" s="7" t="s">
        <v>30</v>
      </c>
      <c r="K1340" s="7" t="n">
        <v>245.9</v>
      </c>
      <c r="L1340" s="7" t="s">
        <v>37</v>
      </c>
      <c r="M1340" s="7" t="s">
        <v>39</v>
      </c>
    </row>
    <row r="1341" customFormat="false" ht="15" hidden="false" customHeight="true" outlineLevel="0" collapsed="false">
      <c r="A1341" s="7" t="n">
        <v>1167</v>
      </c>
      <c r="B1341" s="7" t="n">
        <v>18</v>
      </c>
      <c r="C1341" s="7" t="s">
        <v>33</v>
      </c>
      <c r="D1341" s="7" t="s">
        <v>41</v>
      </c>
      <c r="E1341" s="7" t="n">
        <v>14</v>
      </c>
      <c r="F1341" s="7" t="n">
        <v>1</v>
      </c>
      <c r="G1341" s="7" t="s">
        <v>34</v>
      </c>
      <c r="H1341" s="7" t="s">
        <v>27</v>
      </c>
      <c r="I1341" s="7" t="n">
        <v>27.4</v>
      </c>
      <c r="J1341" s="7" t="s">
        <v>30</v>
      </c>
      <c r="K1341" s="7" t="n">
        <v>140.9</v>
      </c>
      <c r="L1341" s="7" t="s">
        <v>29</v>
      </c>
      <c r="M1341" s="7" t="s">
        <v>30</v>
      </c>
    </row>
    <row r="1342" customFormat="false" ht="15" hidden="false" customHeight="true" outlineLevel="0" collapsed="false">
      <c r="A1342" s="7" t="n">
        <v>1172</v>
      </c>
      <c r="B1342" s="7" t="n">
        <v>43</v>
      </c>
      <c r="C1342" s="7" t="s">
        <v>24</v>
      </c>
      <c r="D1342" s="7" t="s">
        <v>41</v>
      </c>
      <c r="E1342" s="7" t="n">
        <v>5</v>
      </c>
      <c r="F1342" s="7" t="n">
        <v>4</v>
      </c>
      <c r="G1342" s="7" t="s">
        <v>26</v>
      </c>
      <c r="H1342" s="7" t="s">
        <v>32</v>
      </c>
      <c r="I1342" s="7" t="n">
        <v>18.5</v>
      </c>
      <c r="J1342" s="7" t="s">
        <v>30</v>
      </c>
      <c r="K1342" s="7" t="n">
        <v>295.3</v>
      </c>
      <c r="L1342" s="7" t="s">
        <v>37</v>
      </c>
      <c r="M1342" s="7" t="s">
        <v>38</v>
      </c>
    </row>
    <row r="1343" customFormat="false" ht="15" hidden="false" customHeight="true" outlineLevel="0" collapsed="false">
      <c r="A1343" s="7" t="n">
        <v>1205</v>
      </c>
      <c r="B1343" s="7" t="n">
        <v>63</v>
      </c>
      <c r="C1343" s="7" t="s">
        <v>33</v>
      </c>
      <c r="D1343" s="7" t="s">
        <v>41</v>
      </c>
      <c r="E1343" s="7" t="n">
        <v>10</v>
      </c>
      <c r="F1343" s="7" t="n">
        <v>4</v>
      </c>
      <c r="G1343" s="7" t="s">
        <v>35</v>
      </c>
      <c r="H1343" s="7" t="s">
        <v>27</v>
      </c>
      <c r="I1343" s="7" t="n">
        <v>22.7</v>
      </c>
      <c r="J1343" s="7" t="s">
        <v>30</v>
      </c>
      <c r="K1343" s="7" t="n">
        <v>223.5</v>
      </c>
      <c r="L1343" s="7" t="s">
        <v>37</v>
      </c>
      <c r="M1343" s="7" t="s">
        <v>30</v>
      </c>
    </row>
    <row r="1344" customFormat="false" ht="15" hidden="false" customHeight="true" outlineLevel="0" collapsed="false">
      <c r="A1344" s="7" t="n">
        <v>1208</v>
      </c>
      <c r="B1344" s="7" t="n">
        <v>67</v>
      </c>
      <c r="C1344" s="7" t="s">
        <v>24</v>
      </c>
      <c r="D1344" s="7" t="s">
        <v>41</v>
      </c>
      <c r="E1344" s="7" t="n">
        <v>7</v>
      </c>
      <c r="F1344" s="7" t="n">
        <v>1</v>
      </c>
      <c r="G1344" s="7" t="s">
        <v>36</v>
      </c>
      <c r="H1344" s="7" t="s">
        <v>32</v>
      </c>
      <c r="I1344" s="7" t="n">
        <v>18.3</v>
      </c>
      <c r="J1344" s="7" t="s">
        <v>30</v>
      </c>
      <c r="K1344" s="7" t="n">
        <v>199.3</v>
      </c>
      <c r="L1344" s="7" t="s">
        <v>37</v>
      </c>
      <c r="M1344" s="7" t="s">
        <v>38</v>
      </c>
    </row>
    <row r="1345" customFormat="false" ht="15" hidden="false" customHeight="true" outlineLevel="0" collapsed="false">
      <c r="A1345" s="7" t="n">
        <v>1230</v>
      </c>
      <c r="B1345" s="7" t="n">
        <v>44</v>
      </c>
      <c r="C1345" s="7" t="s">
        <v>24</v>
      </c>
      <c r="D1345" s="7" t="s">
        <v>41</v>
      </c>
      <c r="E1345" s="7" t="n">
        <v>12</v>
      </c>
      <c r="F1345" s="7" t="n">
        <v>2</v>
      </c>
      <c r="G1345" s="7" t="s">
        <v>34</v>
      </c>
      <c r="H1345" s="7" t="s">
        <v>27</v>
      </c>
      <c r="I1345" s="7" t="n">
        <v>33.7</v>
      </c>
      <c r="J1345" s="7" t="s">
        <v>30</v>
      </c>
      <c r="K1345" s="7" t="n">
        <v>267.6</v>
      </c>
      <c r="L1345" s="7" t="s">
        <v>29</v>
      </c>
      <c r="M1345" s="7" t="s">
        <v>39</v>
      </c>
    </row>
    <row r="1346" customFormat="false" ht="15" hidden="false" customHeight="true" outlineLevel="0" collapsed="false">
      <c r="A1346" s="7" t="n">
        <v>1234</v>
      </c>
      <c r="B1346" s="7" t="n">
        <v>82</v>
      </c>
      <c r="C1346" s="7" t="s">
        <v>33</v>
      </c>
      <c r="D1346" s="7" t="s">
        <v>41</v>
      </c>
      <c r="E1346" s="7" t="n">
        <v>5</v>
      </c>
      <c r="F1346" s="7" t="n">
        <v>7</v>
      </c>
      <c r="G1346" s="7" t="s">
        <v>35</v>
      </c>
      <c r="H1346" s="7" t="s">
        <v>27</v>
      </c>
      <c r="I1346" s="7" t="n">
        <v>33.3</v>
      </c>
      <c r="J1346" s="7" t="s">
        <v>30</v>
      </c>
      <c r="K1346" s="7" t="n">
        <v>121</v>
      </c>
      <c r="L1346" s="7" t="s">
        <v>37</v>
      </c>
      <c r="M1346" s="7" t="s">
        <v>39</v>
      </c>
    </row>
    <row r="1347" customFormat="false" ht="15" hidden="false" customHeight="true" outlineLevel="0" collapsed="false">
      <c r="A1347" s="7" t="n">
        <v>1261</v>
      </c>
      <c r="B1347" s="7" t="n">
        <v>37</v>
      </c>
      <c r="C1347" s="7" t="s">
        <v>24</v>
      </c>
      <c r="D1347" s="7" t="s">
        <v>41</v>
      </c>
      <c r="E1347" s="7" t="n">
        <v>17</v>
      </c>
      <c r="F1347" s="7" t="n">
        <v>1</v>
      </c>
      <c r="G1347" s="7" t="s">
        <v>31</v>
      </c>
      <c r="H1347" s="7" t="s">
        <v>27</v>
      </c>
      <c r="I1347" s="7" t="n">
        <v>21.4</v>
      </c>
      <c r="J1347" s="7" t="s">
        <v>30</v>
      </c>
      <c r="K1347" s="7" t="n">
        <v>252.9</v>
      </c>
      <c r="L1347" s="7" t="s">
        <v>29</v>
      </c>
      <c r="M1347" s="7" t="s">
        <v>39</v>
      </c>
    </row>
    <row r="1348" customFormat="false" ht="15" hidden="false" customHeight="true" outlineLevel="0" collapsed="false">
      <c r="A1348" s="7" t="n">
        <v>1267</v>
      </c>
      <c r="B1348" s="7" t="n">
        <v>60</v>
      </c>
      <c r="C1348" s="7" t="s">
        <v>33</v>
      </c>
      <c r="D1348" s="7" t="s">
        <v>41</v>
      </c>
      <c r="E1348" s="7" t="n">
        <v>6</v>
      </c>
      <c r="F1348" s="7" t="n">
        <v>13</v>
      </c>
      <c r="G1348" s="7" t="s">
        <v>26</v>
      </c>
      <c r="H1348" s="7" t="s">
        <v>27</v>
      </c>
      <c r="I1348" s="7" t="n">
        <v>19.6</v>
      </c>
      <c r="J1348" s="7" t="s">
        <v>30</v>
      </c>
      <c r="K1348" s="7" t="n">
        <v>137</v>
      </c>
      <c r="L1348" s="7" t="s">
        <v>29</v>
      </c>
      <c r="M1348" s="7" t="s">
        <v>30</v>
      </c>
    </row>
    <row r="1349" customFormat="false" ht="15" hidden="false" customHeight="true" outlineLevel="0" collapsed="false">
      <c r="A1349" s="7" t="n">
        <v>1289</v>
      </c>
      <c r="B1349" s="7" t="n">
        <v>34</v>
      </c>
      <c r="C1349" s="7" t="s">
        <v>24</v>
      </c>
      <c r="D1349" s="7" t="s">
        <v>41</v>
      </c>
      <c r="E1349" s="7" t="n">
        <v>9</v>
      </c>
      <c r="F1349" s="7" t="n">
        <v>2</v>
      </c>
      <c r="G1349" s="7" t="s">
        <v>36</v>
      </c>
      <c r="H1349" s="7" t="s">
        <v>27</v>
      </c>
      <c r="I1349" s="7" t="n">
        <v>35.8</v>
      </c>
      <c r="J1349" s="7" t="s">
        <v>30</v>
      </c>
      <c r="K1349" s="7" t="n">
        <v>138</v>
      </c>
      <c r="L1349" s="7" t="s">
        <v>29</v>
      </c>
      <c r="M1349" s="7" t="s">
        <v>30</v>
      </c>
    </row>
    <row r="1350" customFormat="false" ht="15" hidden="false" customHeight="true" outlineLevel="0" collapsed="false">
      <c r="A1350" s="7" t="n">
        <v>1317</v>
      </c>
      <c r="B1350" s="7" t="n">
        <v>73</v>
      </c>
      <c r="C1350" s="7" t="s">
        <v>24</v>
      </c>
      <c r="D1350" s="7" t="s">
        <v>41</v>
      </c>
      <c r="E1350" s="7" t="n">
        <v>16</v>
      </c>
      <c r="F1350" s="7" t="n">
        <v>6</v>
      </c>
      <c r="G1350" s="7" t="s">
        <v>35</v>
      </c>
      <c r="H1350" s="7" t="s">
        <v>27</v>
      </c>
      <c r="I1350" s="7" t="n">
        <v>25</v>
      </c>
      <c r="J1350" s="7" t="s">
        <v>30</v>
      </c>
      <c r="K1350" s="7" t="n">
        <v>191.2</v>
      </c>
      <c r="L1350" s="7" t="s">
        <v>37</v>
      </c>
      <c r="M1350" s="7" t="s">
        <v>38</v>
      </c>
    </row>
    <row r="1351" customFormat="false" ht="15" hidden="false" customHeight="true" outlineLevel="0" collapsed="false">
      <c r="A1351" s="7" t="n">
        <v>1352</v>
      </c>
      <c r="B1351" s="7" t="n">
        <v>44</v>
      </c>
      <c r="C1351" s="7" t="s">
        <v>24</v>
      </c>
      <c r="D1351" s="7" t="s">
        <v>41</v>
      </c>
      <c r="E1351" s="7" t="n">
        <v>2</v>
      </c>
      <c r="F1351" s="7" t="n">
        <v>2</v>
      </c>
      <c r="G1351" s="7" t="s">
        <v>31</v>
      </c>
      <c r="H1351" s="7" t="s">
        <v>27</v>
      </c>
      <c r="I1351" s="7" t="n">
        <v>38.4</v>
      </c>
      <c r="J1351" s="7" t="s">
        <v>30</v>
      </c>
      <c r="K1351" s="7" t="n">
        <v>149.1</v>
      </c>
      <c r="L1351" s="7" t="s">
        <v>37</v>
      </c>
      <c r="M1351" s="7" t="s">
        <v>38</v>
      </c>
    </row>
    <row r="1352" customFormat="false" ht="15" hidden="false" customHeight="true" outlineLevel="0" collapsed="false">
      <c r="A1352" s="7" t="n">
        <v>1359</v>
      </c>
      <c r="B1352" s="7" t="n">
        <v>57</v>
      </c>
      <c r="C1352" s="7" t="s">
        <v>33</v>
      </c>
      <c r="D1352" s="7" t="s">
        <v>41</v>
      </c>
      <c r="E1352" s="7" t="n">
        <v>12</v>
      </c>
      <c r="F1352" s="7" t="n">
        <v>11</v>
      </c>
      <c r="G1352" s="7" t="s">
        <v>36</v>
      </c>
      <c r="H1352" s="7" t="s">
        <v>32</v>
      </c>
      <c r="I1352" s="7" t="n">
        <v>33.8</v>
      </c>
      <c r="J1352" s="7" t="s">
        <v>30</v>
      </c>
      <c r="K1352" s="7" t="n">
        <v>144</v>
      </c>
      <c r="L1352" s="7" t="s">
        <v>37</v>
      </c>
      <c r="M1352" s="7" t="s">
        <v>38</v>
      </c>
    </row>
    <row r="1353" customFormat="false" ht="15" hidden="false" customHeight="true" outlineLevel="0" collapsed="false">
      <c r="A1353" s="7" t="n">
        <v>1390</v>
      </c>
      <c r="B1353" s="7" t="n">
        <v>71</v>
      </c>
      <c r="C1353" s="7" t="s">
        <v>24</v>
      </c>
      <c r="D1353" s="7" t="s">
        <v>41</v>
      </c>
      <c r="E1353" s="7" t="n">
        <v>8</v>
      </c>
      <c r="F1353" s="7" t="n">
        <v>5</v>
      </c>
      <c r="G1353" s="7" t="s">
        <v>31</v>
      </c>
      <c r="H1353" s="7" t="s">
        <v>27</v>
      </c>
      <c r="I1353" s="7" t="n">
        <v>18</v>
      </c>
      <c r="J1353" s="7" t="s">
        <v>30</v>
      </c>
      <c r="K1353" s="7" t="n">
        <v>199.2</v>
      </c>
      <c r="L1353" s="7" t="s">
        <v>37</v>
      </c>
      <c r="M1353" s="7" t="s">
        <v>38</v>
      </c>
    </row>
    <row r="1354" customFormat="false" ht="15" hidden="false" customHeight="true" outlineLevel="0" collapsed="false">
      <c r="A1354" s="7" t="n">
        <v>1404</v>
      </c>
      <c r="B1354" s="7" t="n">
        <v>84</v>
      </c>
      <c r="C1354" s="7" t="s">
        <v>24</v>
      </c>
      <c r="D1354" s="7" t="s">
        <v>41</v>
      </c>
      <c r="E1354" s="7" t="n">
        <v>17</v>
      </c>
      <c r="F1354" s="7" t="n">
        <v>14</v>
      </c>
      <c r="G1354" s="7" t="s">
        <v>34</v>
      </c>
      <c r="H1354" s="7" t="s">
        <v>27</v>
      </c>
      <c r="I1354" s="7" t="n">
        <v>29.2</v>
      </c>
      <c r="J1354" s="7" t="s">
        <v>30</v>
      </c>
      <c r="K1354" s="7" t="n">
        <v>154.3</v>
      </c>
      <c r="L1354" s="7" t="s">
        <v>29</v>
      </c>
      <c r="M1354" s="7" t="s">
        <v>30</v>
      </c>
    </row>
    <row r="1355" customFormat="false" ht="15" hidden="false" customHeight="true" outlineLevel="0" collapsed="false">
      <c r="A1355" s="7" t="n">
        <v>1405</v>
      </c>
      <c r="B1355" s="7" t="n">
        <v>63</v>
      </c>
      <c r="C1355" s="7" t="s">
        <v>24</v>
      </c>
      <c r="D1355" s="7" t="s">
        <v>41</v>
      </c>
      <c r="E1355" s="7" t="n">
        <v>5</v>
      </c>
      <c r="F1355" s="7" t="n">
        <v>11</v>
      </c>
      <c r="G1355" s="7" t="s">
        <v>36</v>
      </c>
      <c r="H1355" s="7" t="s">
        <v>27</v>
      </c>
      <c r="I1355" s="7" t="n">
        <v>17.6</v>
      </c>
      <c r="J1355" s="7" t="s">
        <v>30</v>
      </c>
      <c r="K1355" s="7" t="n">
        <v>232.8</v>
      </c>
      <c r="L1355" s="7" t="s">
        <v>37</v>
      </c>
      <c r="M1355" s="7" t="s">
        <v>30</v>
      </c>
    </row>
    <row r="1356" customFormat="false" ht="15" hidden="false" customHeight="true" outlineLevel="0" collapsed="false">
      <c r="A1356" s="7" t="n">
        <v>1424</v>
      </c>
      <c r="B1356" s="7" t="n">
        <v>51</v>
      </c>
      <c r="C1356" s="7" t="s">
        <v>24</v>
      </c>
      <c r="D1356" s="7" t="s">
        <v>41</v>
      </c>
      <c r="E1356" s="7" t="n">
        <v>19</v>
      </c>
      <c r="F1356" s="7" t="n">
        <v>3</v>
      </c>
      <c r="G1356" s="7" t="s">
        <v>34</v>
      </c>
      <c r="H1356" s="7" t="s">
        <v>27</v>
      </c>
      <c r="I1356" s="7" t="n">
        <v>19.4</v>
      </c>
      <c r="J1356" s="7" t="s">
        <v>30</v>
      </c>
      <c r="K1356" s="7" t="n">
        <v>246.9</v>
      </c>
      <c r="L1356" s="7" t="s">
        <v>37</v>
      </c>
      <c r="M1356" s="7" t="s">
        <v>39</v>
      </c>
    </row>
    <row r="1357" customFormat="false" ht="15" hidden="false" customHeight="true" outlineLevel="0" collapsed="false">
      <c r="A1357" s="7" t="n">
        <v>1434</v>
      </c>
      <c r="B1357" s="7" t="n">
        <v>34</v>
      </c>
      <c r="C1357" s="7" t="s">
        <v>24</v>
      </c>
      <c r="D1357" s="7" t="s">
        <v>41</v>
      </c>
      <c r="E1357" s="7" t="n">
        <v>19</v>
      </c>
      <c r="F1357" s="7" t="n">
        <v>14</v>
      </c>
      <c r="G1357" s="7" t="s">
        <v>26</v>
      </c>
      <c r="H1357" s="7" t="s">
        <v>27</v>
      </c>
      <c r="I1357" s="7" t="n">
        <v>24.4</v>
      </c>
      <c r="J1357" s="7" t="s">
        <v>30</v>
      </c>
      <c r="K1357" s="7" t="n">
        <v>144.9</v>
      </c>
      <c r="L1357" s="7" t="s">
        <v>37</v>
      </c>
      <c r="M1357" s="7" t="s">
        <v>30</v>
      </c>
    </row>
    <row r="1358" customFormat="false" ht="15" hidden="false" customHeight="true" outlineLevel="0" collapsed="false">
      <c r="A1358" s="7" t="n">
        <v>1461</v>
      </c>
      <c r="B1358" s="7" t="n">
        <v>76</v>
      </c>
      <c r="C1358" s="7" t="s">
        <v>33</v>
      </c>
      <c r="D1358" s="7" t="s">
        <v>41</v>
      </c>
      <c r="E1358" s="7" t="n">
        <v>8</v>
      </c>
      <c r="F1358" s="7" t="n">
        <v>4</v>
      </c>
      <c r="G1358" s="7" t="s">
        <v>34</v>
      </c>
      <c r="H1358" s="7" t="s">
        <v>27</v>
      </c>
      <c r="I1358" s="7" t="n">
        <v>41.8</v>
      </c>
      <c r="J1358" s="7" t="s">
        <v>30</v>
      </c>
      <c r="K1358" s="7" t="n">
        <v>165.6</v>
      </c>
      <c r="L1358" s="7" t="s">
        <v>37</v>
      </c>
      <c r="M1358" s="7" t="s">
        <v>30</v>
      </c>
    </row>
    <row r="1359" customFormat="false" ht="15" hidden="false" customHeight="true" outlineLevel="0" collapsed="false">
      <c r="A1359" s="7" t="n">
        <v>1482</v>
      </c>
      <c r="B1359" s="7" t="n">
        <v>54</v>
      </c>
      <c r="C1359" s="7" t="s">
        <v>24</v>
      </c>
      <c r="D1359" s="7" t="s">
        <v>41</v>
      </c>
      <c r="E1359" s="7" t="n">
        <v>10</v>
      </c>
      <c r="F1359" s="7" t="n">
        <v>7</v>
      </c>
      <c r="G1359" s="7" t="s">
        <v>26</v>
      </c>
      <c r="H1359" s="7" t="s">
        <v>27</v>
      </c>
      <c r="I1359" s="7" t="n">
        <v>33.9</v>
      </c>
      <c r="J1359" s="7" t="s">
        <v>30</v>
      </c>
      <c r="K1359" s="7" t="n">
        <v>142.9</v>
      </c>
      <c r="L1359" s="7" t="s">
        <v>37</v>
      </c>
      <c r="M1359" s="7" t="s">
        <v>39</v>
      </c>
    </row>
    <row r="1360" customFormat="false" ht="15" hidden="false" customHeight="true" outlineLevel="0" collapsed="false">
      <c r="A1360" s="7" t="n">
        <v>1514</v>
      </c>
      <c r="B1360" s="7" t="n">
        <v>50</v>
      </c>
      <c r="C1360" s="7" t="s">
        <v>24</v>
      </c>
      <c r="D1360" s="7" t="s">
        <v>41</v>
      </c>
      <c r="E1360" s="7" t="n">
        <v>3</v>
      </c>
      <c r="F1360" s="7" t="n">
        <v>7</v>
      </c>
      <c r="G1360" s="7" t="s">
        <v>34</v>
      </c>
      <c r="H1360" s="7" t="s">
        <v>32</v>
      </c>
      <c r="I1360" s="7" t="n">
        <v>39.8</v>
      </c>
      <c r="J1360" s="7" t="s">
        <v>30</v>
      </c>
      <c r="K1360" s="7" t="n">
        <v>258.7</v>
      </c>
      <c r="L1360" s="7" t="s">
        <v>37</v>
      </c>
      <c r="M1360" s="7" t="s">
        <v>30</v>
      </c>
    </row>
    <row r="1361" customFormat="false" ht="15" hidden="false" customHeight="true" outlineLevel="0" collapsed="false">
      <c r="A1361" s="7" t="n">
        <v>1545</v>
      </c>
      <c r="B1361" s="7" t="n">
        <v>89</v>
      </c>
      <c r="C1361" s="7" t="s">
        <v>33</v>
      </c>
      <c r="D1361" s="7" t="s">
        <v>41</v>
      </c>
      <c r="E1361" s="7" t="n">
        <v>9</v>
      </c>
      <c r="F1361" s="7" t="n">
        <v>5</v>
      </c>
      <c r="G1361" s="7" t="s">
        <v>35</v>
      </c>
      <c r="H1361" s="7" t="s">
        <v>27</v>
      </c>
      <c r="I1361" s="7" t="n">
        <v>34.5</v>
      </c>
      <c r="J1361" s="7" t="s">
        <v>30</v>
      </c>
      <c r="K1361" s="7" t="n">
        <v>275.2</v>
      </c>
      <c r="L1361" s="7" t="s">
        <v>37</v>
      </c>
      <c r="M1361" s="7" t="s">
        <v>38</v>
      </c>
    </row>
    <row r="1362" customFormat="false" ht="15" hidden="false" customHeight="true" outlineLevel="0" collapsed="false">
      <c r="A1362" s="7" t="n">
        <v>1569</v>
      </c>
      <c r="B1362" s="7" t="n">
        <v>56</v>
      </c>
      <c r="C1362" s="7" t="s">
        <v>33</v>
      </c>
      <c r="D1362" s="7" t="s">
        <v>41</v>
      </c>
      <c r="E1362" s="7" t="n">
        <v>5</v>
      </c>
      <c r="F1362" s="7" t="n">
        <v>8</v>
      </c>
      <c r="G1362" s="7" t="s">
        <v>34</v>
      </c>
      <c r="H1362" s="7" t="s">
        <v>27</v>
      </c>
      <c r="I1362" s="7" t="n">
        <v>38.6</v>
      </c>
      <c r="J1362" s="7" t="s">
        <v>30</v>
      </c>
      <c r="K1362" s="7" t="n">
        <v>156.2</v>
      </c>
      <c r="L1362" s="7" t="s">
        <v>29</v>
      </c>
      <c r="M1362" s="7" t="s">
        <v>30</v>
      </c>
    </row>
    <row r="1363" customFormat="false" ht="15" hidden="false" customHeight="true" outlineLevel="0" collapsed="false">
      <c r="A1363" s="7" t="n">
        <v>1571</v>
      </c>
      <c r="B1363" s="7" t="n">
        <v>35</v>
      </c>
      <c r="C1363" s="7" t="s">
        <v>33</v>
      </c>
      <c r="D1363" s="7" t="s">
        <v>41</v>
      </c>
      <c r="E1363" s="7" t="n">
        <v>16</v>
      </c>
      <c r="F1363" s="7" t="n">
        <v>8</v>
      </c>
      <c r="G1363" s="7" t="s">
        <v>34</v>
      </c>
      <c r="H1363" s="7" t="s">
        <v>27</v>
      </c>
      <c r="I1363" s="7" t="n">
        <v>34.4</v>
      </c>
      <c r="J1363" s="7" t="s">
        <v>30</v>
      </c>
      <c r="K1363" s="7" t="n">
        <v>289</v>
      </c>
      <c r="L1363" s="7" t="s">
        <v>29</v>
      </c>
      <c r="M1363" s="7" t="s">
        <v>39</v>
      </c>
    </row>
    <row r="1364" customFormat="false" ht="15" hidden="false" customHeight="true" outlineLevel="0" collapsed="false">
      <c r="A1364" s="7" t="n">
        <v>1573</v>
      </c>
      <c r="B1364" s="7" t="n">
        <v>37</v>
      </c>
      <c r="C1364" s="7" t="s">
        <v>24</v>
      </c>
      <c r="D1364" s="7" t="s">
        <v>41</v>
      </c>
      <c r="E1364" s="7" t="n">
        <v>17</v>
      </c>
      <c r="F1364" s="7" t="n">
        <v>2</v>
      </c>
      <c r="G1364" s="7" t="s">
        <v>36</v>
      </c>
      <c r="H1364" s="7" t="s">
        <v>32</v>
      </c>
      <c r="I1364" s="7" t="n">
        <v>27</v>
      </c>
      <c r="J1364" s="7" t="s">
        <v>30</v>
      </c>
      <c r="K1364" s="7" t="n">
        <v>258.2</v>
      </c>
      <c r="L1364" s="7" t="s">
        <v>37</v>
      </c>
      <c r="M1364" s="7" t="s">
        <v>39</v>
      </c>
    </row>
    <row r="1365" customFormat="false" ht="15" hidden="false" customHeight="true" outlineLevel="0" collapsed="false">
      <c r="A1365" s="7" t="n">
        <v>1657</v>
      </c>
      <c r="B1365" s="7" t="n">
        <v>22</v>
      </c>
      <c r="C1365" s="7" t="s">
        <v>24</v>
      </c>
      <c r="D1365" s="7" t="s">
        <v>41</v>
      </c>
      <c r="E1365" s="7" t="n">
        <v>10</v>
      </c>
      <c r="F1365" s="7" t="n">
        <v>9</v>
      </c>
      <c r="G1365" s="7" t="s">
        <v>34</v>
      </c>
      <c r="H1365" s="7" t="s">
        <v>27</v>
      </c>
      <c r="I1365" s="7" t="n">
        <v>19.9</v>
      </c>
      <c r="J1365" s="7" t="s">
        <v>30</v>
      </c>
      <c r="K1365" s="7" t="n">
        <v>244.9</v>
      </c>
      <c r="L1365" s="7" t="s">
        <v>29</v>
      </c>
      <c r="M1365" s="7" t="s">
        <v>38</v>
      </c>
    </row>
    <row r="1366" customFormat="false" ht="15" hidden="false" customHeight="true" outlineLevel="0" collapsed="false">
      <c r="A1366" s="7" t="n">
        <v>1672</v>
      </c>
      <c r="B1366" s="7" t="n">
        <v>81</v>
      </c>
      <c r="C1366" s="7" t="s">
        <v>33</v>
      </c>
      <c r="D1366" s="7" t="s">
        <v>41</v>
      </c>
      <c r="E1366" s="7" t="n">
        <v>2</v>
      </c>
      <c r="F1366" s="7" t="n">
        <v>6</v>
      </c>
      <c r="G1366" s="7" t="s">
        <v>26</v>
      </c>
      <c r="H1366" s="7" t="s">
        <v>32</v>
      </c>
      <c r="I1366" s="7" t="n">
        <v>18.4</v>
      </c>
      <c r="J1366" s="7" t="s">
        <v>30</v>
      </c>
      <c r="K1366" s="7" t="n">
        <v>223.8</v>
      </c>
      <c r="L1366" s="7" t="s">
        <v>29</v>
      </c>
      <c r="M1366" s="7" t="s">
        <v>30</v>
      </c>
    </row>
    <row r="1367" customFormat="false" ht="15" hidden="false" customHeight="true" outlineLevel="0" collapsed="false">
      <c r="A1367" s="7" t="n">
        <v>1747</v>
      </c>
      <c r="B1367" s="7" t="n">
        <v>81</v>
      </c>
      <c r="C1367" s="7" t="s">
        <v>24</v>
      </c>
      <c r="D1367" s="7" t="s">
        <v>41</v>
      </c>
      <c r="E1367" s="7" t="n">
        <v>16</v>
      </c>
      <c r="F1367" s="7" t="n">
        <v>2</v>
      </c>
      <c r="G1367" s="7" t="s">
        <v>31</v>
      </c>
      <c r="H1367" s="7" t="s">
        <v>27</v>
      </c>
      <c r="I1367" s="7" t="n">
        <v>27.5</v>
      </c>
      <c r="J1367" s="7" t="s">
        <v>30</v>
      </c>
      <c r="K1367" s="7" t="n">
        <v>121.2</v>
      </c>
      <c r="L1367" s="7" t="s">
        <v>29</v>
      </c>
      <c r="M1367" s="7" t="s">
        <v>30</v>
      </c>
    </row>
    <row r="1368" customFormat="false" ht="15" hidden="false" customHeight="true" outlineLevel="0" collapsed="false">
      <c r="A1368" s="7" t="n">
        <v>1807</v>
      </c>
      <c r="B1368" s="7" t="n">
        <v>53</v>
      </c>
      <c r="C1368" s="7" t="s">
        <v>24</v>
      </c>
      <c r="D1368" s="7" t="s">
        <v>41</v>
      </c>
      <c r="E1368" s="7" t="n">
        <v>14</v>
      </c>
      <c r="F1368" s="7" t="n">
        <v>12</v>
      </c>
      <c r="G1368" s="7" t="s">
        <v>34</v>
      </c>
      <c r="H1368" s="7" t="s">
        <v>27</v>
      </c>
      <c r="I1368" s="7" t="n">
        <v>31.8</v>
      </c>
      <c r="J1368" s="7" t="s">
        <v>30</v>
      </c>
      <c r="K1368" s="7" t="n">
        <v>206.9</v>
      </c>
      <c r="L1368" s="7" t="s">
        <v>29</v>
      </c>
      <c r="M1368" s="7" t="s">
        <v>30</v>
      </c>
    </row>
    <row r="1369" customFormat="false" ht="15" hidden="false" customHeight="true" outlineLevel="0" collapsed="false">
      <c r="A1369" s="7" t="n">
        <v>1821</v>
      </c>
      <c r="B1369" s="7" t="n">
        <v>33</v>
      </c>
      <c r="C1369" s="7" t="s">
        <v>33</v>
      </c>
      <c r="D1369" s="7" t="s">
        <v>41</v>
      </c>
      <c r="E1369" s="7" t="n">
        <v>6</v>
      </c>
      <c r="F1369" s="7" t="n">
        <v>10</v>
      </c>
      <c r="G1369" s="7" t="s">
        <v>35</v>
      </c>
      <c r="H1369" s="7" t="s">
        <v>27</v>
      </c>
      <c r="I1369" s="7" t="n">
        <v>38.9</v>
      </c>
      <c r="J1369" s="7" t="s">
        <v>30</v>
      </c>
      <c r="K1369" s="7" t="n">
        <v>126.8</v>
      </c>
      <c r="L1369" s="7" t="s">
        <v>37</v>
      </c>
      <c r="M1369" s="7" t="s">
        <v>30</v>
      </c>
    </row>
    <row r="1370" customFormat="false" ht="15" hidden="false" customHeight="true" outlineLevel="0" collapsed="false">
      <c r="A1370" s="7" t="n">
        <v>1827</v>
      </c>
      <c r="B1370" s="7" t="n">
        <v>20</v>
      </c>
      <c r="C1370" s="7" t="s">
        <v>24</v>
      </c>
      <c r="D1370" s="7" t="s">
        <v>41</v>
      </c>
      <c r="E1370" s="7" t="n">
        <v>1</v>
      </c>
      <c r="F1370" s="7" t="n">
        <v>4</v>
      </c>
      <c r="G1370" s="7" t="s">
        <v>26</v>
      </c>
      <c r="H1370" s="7" t="s">
        <v>27</v>
      </c>
      <c r="I1370" s="7" t="n">
        <v>21.2</v>
      </c>
      <c r="J1370" s="7" t="s">
        <v>30</v>
      </c>
      <c r="K1370" s="7" t="n">
        <v>176.7</v>
      </c>
      <c r="L1370" s="7" t="s">
        <v>29</v>
      </c>
      <c r="M1370" s="7" t="s">
        <v>30</v>
      </c>
    </row>
    <row r="1371" customFormat="false" ht="15" hidden="false" customHeight="true" outlineLevel="0" collapsed="false">
      <c r="A1371" s="7" t="n">
        <v>1890</v>
      </c>
      <c r="B1371" s="7" t="n">
        <v>63</v>
      </c>
      <c r="C1371" s="7" t="s">
        <v>33</v>
      </c>
      <c r="D1371" s="7" t="s">
        <v>41</v>
      </c>
      <c r="E1371" s="7" t="n">
        <v>11</v>
      </c>
      <c r="F1371" s="7" t="n">
        <v>7</v>
      </c>
      <c r="G1371" s="7" t="s">
        <v>36</v>
      </c>
      <c r="H1371" s="7" t="s">
        <v>27</v>
      </c>
      <c r="I1371" s="7" t="n">
        <v>36.3</v>
      </c>
      <c r="J1371" s="7" t="s">
        <v>30</v>
      </c>
      <c r="K1371" s="7" t="n">
        <v>165.7</v>
      </c>
      <c r="L1371" s="7" t="s">
        <v>37</v>
      </c>
      <c r="M1371" s="7" t="s">
        <v>30</v>
      </c>
    </row>
    <row r="1372" customFormat="false" ht="15" hidden="false" customHeight="true" outlineLevel="0" collapsed="false">
      <c r="A1372" s="7" t="n">
        <v>1893</v>
      </c>
      <c r="B1372" s="7" t="n">
        <v>28</v>
      </c>
      <c r="C1372" s="7" t="s">
        <v>24</v>
      </c>
      <c r="D1372" s="7" t="s">
        <v>41</v>
      </c>
      <c r="E1372" s="7" t="n">
        <v>1</v>
      </c>
      <c r="F1372" s="7" t="n">
        <v>6</v>
      </c>
      <c r="G1372" s="7" t="s">
        <v>26</v>
      </c>
      <c r="H1372" s="7" t="s">
        <v>27</v>
      </c>
      <c r="I1372" s="7" t="n">
        <v>31.1</v>
      </c>
      <c r="J1372" s="7" t="s">
        <v>30</v>
      </c>
      <c r="K1372" s="7" t="n">
        <v>198.5</v>
      </c>
      <c r="L1372" s="7" t="s">
        <v>37</v>
      </c>
      <c r="M1372" s="7" t="s">
        <v>30</v>
      </c>
    </row>
    <row r="1373" customFormat="false" ht="15" hidden="false" customHeight="true" outlineLevel="0" collapsed="false">
      <c r="A1373" s="7" t="n">
        <v>1933</v>
      </c>
      <c r="B1373" s="7" t="n">
        <v>84</v>
      </c>
      <c r="C1373" s="7" t="s">
        <v>33</v>
      </c>
      <c r="D1373" s="7" t="s">
        <v>41</v>
      </c>
      <c r="E1373" s="7" t="n">
        <v>14</v>
      </c>
      <c r="F1373" s="7" t="n">
        <v>4</v>
      </c>
      <c r="G1373" s="7" t="s">
        <v>26</v>
      </c>
      <c r="H1373" s="7" t="s">
        <v>27</v>
      </c>
      <c r="I1373" s="7" t="n">
        <v>40.6</v>
      </c>
      <c r="J1373" s="7" t="s">
        <v>30</v>
      </c>
      <c r="K1373" s="7" t="n">
        <v>218.3</v>
      </c>
      <c r="L1373" s="7" t="s">
        <v>37</v>
      </c>
      <c r="M1373" s="7" t="s">
        <v>30</v>
      </c>
    </row>
    <row r="1374" customFormat="false" ht="15" hidden="false" customHeight="true" outlineLevel="0" collapsed="false">
      <c r="A1374" s="7" t="n">
        <v>1955</v>
      </c>
      <c r="B1374" s="7" t="n">
        <v>27</v>
      </c>
      <c r="C1374" s="7" t="s">
        <v>24</v>
      </c>
      <c r="D1374" s="7" t="s">
        <v>41</v>
      </c>
      <c r="E1374" s="7" t="n">
        <v>7</v>
      </c>
      <c r="F1374" s="7" t="n">
        <v>3</v>
      </c>
      <c r="G1374" s="7" t="s">
        <v>31</v>
      </c>
      <c r="H1374" s="7" t="s">
        <v>27</v>
      </c>
      <c r="I1374" s="7" t="n">
        <v>19.6</v>
      </c>
      <c r="J1374" s="7" t="s">
        <v>30</v>
      </c>
      <c r="K1374" s="7" t="n">
        <v>299.8</v>
      </c>
      <c r="L1374" s="7" t="s">
        <v>37</v>
      </c>
      <c r="M1374" s="7" t="s">
        <v>38</v>
      </c>
    </row>
    <row r="1375" customFormat="false" ht="15" hidden="false" customHeight="true" outlineLevel="0" collapsed="false">
      <c r="A1375" s="7" t="n">
        <v>1957</v>
      </c>
      <c r="B1375" s="7" t="n">
        <v>83</v>
      </c>
      <c r="C1375" s="7" t="s">
        <v>33</v>
      </c>
      <c r="D1375" s="7" t="s">
        <v>41</v>
      </c>
      <c r="E1375" s="7" t="n">
        <v>19</v>
      </c>
      <c r="F1375" s="7" t="n">
        <v>11</v>
      </c>
      <c r="G1375" s="7" t="s">
        <v>34</v>
      </c>
      <c r="H1375" s="7" t="s">
        <v>27</v>
      </c>
      <c r="I1375" s="7" t="n">
        <v>20.7</v>
      </c>
      <c r="J1375" s="7" t="s">
        <v>30</v>
      </c>
      <c r="K1375" s="7" t="n">
        <v>179.1</v>
      </c>
      <c r="L1375" s="7" t="s">
        <v>29</v>
      </c>
      <c r="M1375" s="7" t="s">
        <v>30</v>
      </c>
    </row>
    <row r="1376" customFormat="false" ht="15" hidden="false" customHeight="true" outlineLevel="0" collapsed="false">
      <c r="A1376" s="7" t="n">
        <v>1989</v>
      </c>
      <c r="B1376" s="7" t="n">
        <v>34</v>
      </c>
      <c r="C1376" s="7" t="s">
        <v>24</v>
      </c>
      <c r="D1376" s="7" t="s">
        <v>41</v>
      </c>
      <c r="E1376" s="7" t="n">
        <v>18</v>
      </c>
      <c r="F1376" s="7" t="n">
        <v>3</v>
      </c>
      <c r="G1376" s="7" t="s">
        <v>36</v>
      </c>
      <c r="H1376" s="7" t="s">
        <v>27</v>
      </c>
      <c r="I1376" s="7" t="n">
        <v>38.3</v>
      </c>
      <c r="J1376" s="7" t="s">
        <v>30</v>
      </c>
      <c r="K1376" s="7" t="n">
        <v>122.7</v>
      </c>
      <c r="L1376" s="7" t="s">
        <v>29</v>
      </c>
      <c r="M1376" s="7" t="s">
        <v>30</v>
      </c>
    </row>
    <row r="1377" customFormat="false" ht="15" hidden="false" customHeight="true" outlineLevel="0" collapsed="false">
      <c r="A1377" s="7" t="n">
        <v>2027</v>
      </c>
      <c r="B1377" s="7" t="n">
        <v>23</v>
      </c>
      <c r="C1377" s="7" t="s">
        <v>33</v>
      </c>
      <c r="D1377" s="7" t="s">
        <v>41</v>
      </c>
      <c r="E1377" s="7" t="n">
        <v>18</v>
      </c>
      <c r="F1377" s="7" t="n">
        <v>10</v>
      </c>
      <c r="G1377" s="7" t="s">
        <v>35</v>
      </c>
      <c r="H1377" s="7" t="s">
        <v>32</v>
      </c>
      <c r="I1377" s="7" t="n">
        <v>18.6</v>
      </c>
      <c r="J1377" s="7" t="s">
        <v>30</v>
      </c>
      <c r="K1377" s="7" t="n">
        <v>227.4</v>
      </c>
      <c r="L1377" s="7" t="s">
        <v>29</v>
      </c>
      <c r="M1377" s="7" t="s">
        <v>30</v>
      </c>
    </row>
    <row r="1378" customFormat="false" ht="15" hidden="false" customHeight="true" outlineLevel="0" collapsed="false">
      <c r="A1378" s="7" t="n">
        <v>2055</v>
      </c>
      <c r="B1378" s="7" t="n">
        <v>18</v>
      </c>
      <c r="C1378" s="7" t="s">
        <v>33</v>
      </c>
      <c r="D1378" s="7" t="s">
        <v>41</v>
      </c>
      <c r="E1378" s="7" t="n">
        <v>19</v>
      </c>
      <c r="F1378" s="7" t="n">
        <v>6</v>
      </c>
      <c r="G1378" s="7" t="s">
        <v>36</v>
      </c>
      <c r="H1378" s="7" t="s">
        <v>32</v>
      </c>
      <c r="I1378" s="7" t="n">
        <v>17.9</v>
      </c>
      <c r="J1378" s="7" t="s">
        <v>30</v>
      </c>
      <c r="K1378" s="7" t="n">
        <v>251</v>
      </c>
      <c r="L1378" s="7" t="s">
        <v>29</v>
      </c>
      <c r="M1378" s="7" t="s">
        <v>30</v>
      </c>
    </row>
    <row r="1379" customFormat="false" ht="15" hidden="false" customHeight="true" outlineLevel="0" collapsed="false">
      <c r="A1379" s="7" t="n">
        <v>2071</v>
      </c>
      <c r="B1379" s="7" t="n">
        <v>19</v>
      </c>
      <c r="C1379" s="7" t="s">
        <v>33</v>
      </c>
      <c r="D1379" s="7" t="s">
        <v>41</v>
      </c>
      <c r="E1379" s="7" t="n">
        <v>7</v>
      </c>
      <c r="F1379" s="7" t="n">
        <v>1</v>
      </c>
      <c r="G1379" s="7" t="s">
        <v>26</v>
      </c>
      <c r="H1379" s="7" t="s">
        <v>27</v>
      </c>
      <c r="I1379" s="7" t="n">
        <v>41.1</v>
      </c>
      <c r="J1379" s="7" t="s">
        <v>30</v>
      </c>
      <c r="K1379" s="7" t="n">
        <v>126.1</v>
      </c>
      <c r="L1379" s="7" t="s">
        <v>29</v>
      </c>
      <c r="M1379" s="7" t="s">
        <v>38</v>
      </c>
    </row>
    <row r="1380" customFormat="false" ht="15" hidden="false" customHeight="true" outlineLevel="0" collapsed="false">
      <c r="A1380" s="7" t="n">
        <v>2080</v>
      </c>
      <c r="B1380" s="7" t="n">
        <v>42</v>
      </c>
      <c r="C1380" s="7" t="s">
        <v>24</v>
      </c>
      <c r="D1380" s="7" t="s">
        <v>41</v>
      </c>
      <c r="E1380" s="7" t="n">
        <v>16</v>
      </c>
      <c r="F1380" s="7" t="n">
        <v>9</v>
      </c>
      <c r="G1380" s="7" t="s">
        <v>35</v>
      </c>
      <c r="H1380" s="7" t="s">
        <v>27</v>
      </c>
      <c r="I1380" s="7" t="n">
        <v>26.4</v>
      </c>
      <c r="J1380" s="7" t="s">
        <v>30</v>
      </c>
      <c r="K1380" s="7" t="n">
        <v>247.4</v>
      </c>
      <c r="L1380" s="7" t="s">
        <v>29</v>
      </c>
      <c r="M1380" s="7" t="s">
        <v>30</v>
      </c>
    </row>
    <row r="1381" customFormat="false" ht="15" hidden="false" customHeight="true" outlineLevel="0" collapsed="false">
      <c r="A1381" s="7" t="n">
        <v>2081</v>
      </c>
      <c r="B1381" s="7" t="n">
        <v>65</v>
      </c>
      <c r="C1381" s="7" t="s">
        <v>33</v>
      </c>
      <c r="D1381" s="7" t="s">
        <v>41</v>
      </c>
      <c r="E1381" s="7" t="n">
        <v>4</v>
      </c>
      <c r="F1381" s="7" t="n">
        <v>1</v>
      </c>
      <c r="G1381" s="7" t="s">
        <v>35</v>
      </c>
      <c r="H1381" s="7" t="s">
        <v>27</v>
      </c>
      <c r="I1381" s="7" t="n">
        <v>31</v>
      </c>
      <c r="J1381" s="7" t="s">
        <v>30</v>
      </c>
      <c r="K1381" s="7" t="n">
        <v>185.8</v>
      </c>
      <c r="L1381" s="7" t="s">
        <v>37</v>
      </c>
      <c r="M1381" s="7" t="s">
        <v>38</v>
      </c>
    </row>
    <row r="1382" customFormat="false" ht="15" hidden="false" customHeight="true" outlineLevel="0" collapsed="false">
      <c r="A1382" s="7" t="n">
        <v>2086</v>
      </c>
      <c r="B1382" s="7" t="n">
        <v>73</v>
      </c>
      <c r="C1382" s="7" t="s">
        <v>24</v>
      </c>
      <c r="D1382" s="7" t="s">
        <v>41</v>
      </c>
      <c r="E1382" s="7" t="n">
        <v>18</v>
      </c>
      <c r="F1382" s="7" t="n">
        <v>12</v>
      </c>
      <c r="G1382" s="7" t="s">
        <v>31</v>
      </c>
      <c r="H1382" s="7" t="s">
        <v>27</v>
      </c>
      <c r="I1382" s="7" t="n">
        <v>33.9</v>
      </c>
      <c r="J1382" s="7" t="s">
        <v>30</v>
      </c>
      <c r="K1382" s="7" t="n">
        <v>205.4</v>
      </c>
      <c r="L1382" s="7" t="s">
        <v>29</v>
      </c>
      <c r="M1382" s="7" t="s">
        <v>30</v>
      </c>
    </row>
    <row r="1383" customFormat="false" ht="15" hidden="false" customHeight="true" outlineLevel="0" collapsed="false">
      <c r="A1383" s="7" t="n">
        <v>2113</v>
      </c>
      <c r="B1383" s="7" t="n">
        <v>32</v>
      </c>
      <c r="C1383" s="7" t="s">
        <v>33</v>
      </c>
      <c r="D1383" s="7" t="s">
        <v>41</v>
      </c>
      <c r="E1383" s="7" t="n">
        <v>4</v>
      </c>
      <c r="F1383" s="7" t="n">
        <v>7</v>
      </c>
      <c r="G1383" s="7" t="s">
        <v>36</v>
      </c>
      <c r="H1383" s="7" t="s">
        <v>27</v>
      </c>
      <c r="I1383" s="7" t="n">
        <v>21.1</v>
      </c>
      <c r="J1383" s="7" t="s">
        <v>30</v>
      </c>
      <c r="K1383" s="7" t="n">
        <v>261</v>
      </c>
      <c r="L1383" s="7" t="s">
        <v>37</v>
      </c>
      <c r="M1383" s="7" t="s">
        <v>30</v>
      </c>
    </row>
    <row r="1384" customFormat="false" ht="15" hidden="false" customHeight="true" outlineLevel="0" collapsed="false">
      <c r="A1384" s="7" t="n">
        <v>2150</v>
      </c>
      <c r="B1384" s="7" t="n">
        <v>32</v>
      </c>
      <c r="C1384" s="7" t="s">
        <v>33</v>
      </c>
      <c r="D1384" s="7" t="s">
        <v>41</v>
      </c>
      <c r="E1384" s="7" t="n">
        <v>6</v>
      </c>
      <c r="F1384" s="7" t="n">
        <v>13</v>
      </c>
      <c r="G1384" s="7" t="s">
        <v>36</v>
      </c>
      <c r="H1384" s="7" t="s">
        <v>27</v>
      </c>
      <c r="I1384" s="7" t="n">
        <v>19.4</v>
      </c>
      <c r="J1384" s="7" t="s">
        <v>30</v>
      </c>
      <c r="K1384" s="7" t="n">
        <v>279</v>
      </c>
      <c r="L1384" s="7" t="s">
        <v>37</v>
      </c>
      <c r="M1384" s="7" t="s">
        <v>30</v>
      </c>
    </row>
    <row r="1385" customFormat="false" ht="15" hidden="false" customHeight="true" outlineLevel="0" collapsed="false">
      <c r="A1385" s="7" t="n">
        <v>2174</v>
      </c>
      <c r="B1385" s="7" t="n">
        <v>58</v>
      </c>
      <c r="C1385" s="7" t="s">
        <v>33</v>
      </c>
      <c r="D1385" s="7" t="s">
        <v>41</v>
      </c>
      <c r="E1385" s="7" t="n">
        <v>9</v>
      </c>
      <c r="F1385" s="7" t="n">
        <v>6</v>
      </c>
      <c r="G1385" s="7" t="s">
        <v>26</v>
      </c>
      <c r="H1385" s="7" t="s">
        <v>27</v>
      </c>
      <c r="I1385" s="7" t="n">
        <v>26.2</v>
      </c>
      <c r="J1385" s="7" t="s">
        <v>30</v>
      </c>
      <c r="K1385" s="7" t="n">
        <v>271.1</v>
      </c>
      <c r="L1385" s="7" t="s">
        <v>29</v>
      </c>
      <c r="M1385" s="7" t="s">
        <v>30</v>
      </c>
    </row>
    <row r="1386" customFormat="false" ht="15" hidden="false" customHeight="true" outlineLevel="0" collapsed="false">
      <c r="A1386" s="7" t="n">
        <v>2179</v>
      </c>
      <c r="B1386" s="7" t="n">
        <v>54</v>
      </c>
      <c r="C1386" s="7" t="s">
        <v>33</v>
      </c>
      <c r="D1386" s="7" t="s">
        <v>41</v>
      </c>
      <c r="E1386" s="7" t="n">
        <v>19</v>
      </c>
      <c r="F1386" s="7" t="n">
        <v>11</v>
      </c>
      <c r="G1386" s="7" t="s">
        <v>26</v>
      </c>
      <c r="H1386" s="7" t="s">
        <v>27</v>
      </c>
      <c r="I1386" s="7" t="n">
        <v>39.2</v>
      </c>
      <c r="J1386" s="7" t="s">
        <v>30</v>
      </c>
      <c r="K1386" s="7" t="n">
        <v>138.7</v>
      </c>
      <c r="L1386" s="7" t="s">
        <v>37</v>
      </c>
      <c r="M1386" s="7" t="s">
        <v>30</v>
      </c>
    </row>
    <row r="1387" customFormat="false" ht="15" hidden="false" customHeight="true" outlineLevel="0" collapsed="false">
      <c r="A1387" s="7" t="n">
        <v>2183</v>
      </c>
      <c r="B1387" s="7" t="n">
        <v>77</v>
      </c>
      <c r="C1387" s="7" t="s">
        <v>24</v>
      </c>
      <c r="D1387" s="7" t="s">
        <v>41</v>
      </c>
      <c r="E1387" s="7" t="n">
        <v>19</v>
      </c>
      <c r="F1387" s="7" t="n">
        <v>9</v>
      </c>
      <c r="G1387" s="7" t="s">
        <v>26</v>
      </c>
      <c r="H1387" s="7" t="s">
        <v>32</v>
      </c>
      <c r="I1387" s="7" t="n">
        <v>36.5</v>
      </c>
      <c r="J1387" s="7" t="s">
        <v>30</v>
      </c>
      <c r="K1387" s="7" t="n">
        <v>170.1</v>
      </c>
      <c r="L1387" s="7" t="s">
        <v>37</v>
      </c>
      <c r="M1387" s="7" t="s">
        <v>39</v>
      </c>
    </row>
    <row r="1388" customFormat="false" ht="15" hidden="false" customHeight="true" outlineLevel="0" collapsed="false">
      <c r="A1388" s="7" t="n">
        <v>2216</v>
      </c>
      <c r="B1388" s="7" t="n">
        <v>30</v>
      </c>
      <c r="C1388" s="7" t="s">
        <v>33</v>
      </c>
      <c r="D1388" s="7" t="s">
        <v>41</v>
      </c>
      <c r="E1388" s="7" t="n">
        <v>17</v>
      </c>
      <c r="F1388" s="7" t="n">
        <v>10</v>
      </c>
      <c r="G1388" s="7" t="s">
        <v>36</v>
      </c>
      <c r="H1388" s="7" t="s">
        <v>27</v>
      </c>
      <c r="I1388" s="7" t="n">
        <v>25.5</v>
      </c>
      <c r="J1388" s="7" t="s">
        <v>30</v>
      </c>
      <c r="K1388" s="7" t="n">
        <v>275.8</v>
      </c>
      <c r="L1388" s="7" t="s">
        <v>37</v>
      </c>
      <c r="M1388" s="7" t="s">
        <v>39</v>
      </c>
    </row>
    <row r="1389" customFormat="false" ht="15" hidden="false" customHeight="true" outlineLevel="0" collapsed="false">
      <c r="A1389" s="7" t="n">
        <v>2246</v>
      </c>
      <c r="B1389" s="7" t="n">
        <v>57</v>
      </c>
      <c r="C1389" s="7" t="s">
        <v>24</v>
      </c>
      <c r="D1389" s="7" t="s">
        <v>41</v>
      </c>
      <c r="E1389" s="7" t="n">
        <v>6</v>
      </c>
      <c r="F1389" s="7" t="n">
        <v>5</v>
      </c>
      <c r="G1389" s="7" t="s">
        <v>26</v>
      </c>
      <c r="H1389" s="7" t="s">
        <v>32</v>
      </c>
      <c r="I1389" s="7" t="n">
        <v>24.6</v>
      </c>
      <c r="J1389" s="7" t="s">
        <v>30</v>
      </c>
      <c r="K1389" s="7" t="n">
        <v>225.5</v>
      </c>
      <c r="L1389" s="7" t="s">
        <v>37</v>
      </c>
      <c r="M1389" s="7" t="s">
        <v>39</v>
      </c>
    </row>
    <row r="1390" customFormat="false" ht="15" hidden="false" customHeight="true" outlineLevel="0" collapsed="false">
      <c r="A1390" s="7" t="n">
        <v>2281</v>
      </c>
      <c r="B1390" s="7" t="n">
        <v>46</v>
      </c>
      <c r="C1390" s="7" t="s">
        <v>24</v>
      </c>
      <c r="D1390" s="7" t="s">
        <v>41</v>
      </c>
      <c r="E1390" s="7" t="n">
        <v>11</v>
      </c>
      <c r="F1390" s="7" t="n">
        <v>5</v>
      </c>
      <c r="G1390" s="7" t="s">
        <v>26</v>
      </c>
      <c r="H1390" s="7" t="s">
        <v>27</v>
      </c>
      <c r="I1390" s="7" t="n">
        <v>39.7</v>
      </c>
      <c r="J1390" s="7" t="s">
        <v>30</v>
      </c>
      <c r="K1390" s="7" t="n">
        <v>244.2</v>
      </c>
      <c r="L1390" s="7" t="s">
        <v>29</v>
      </c>
      <c r="M1390" s="7" t="s">
        <v>38</v>
      </c>
    </row>
    <row r="1391" customFormat="false" ht="15" hidden="false" customHeight="true" outlineLevel="0" collapsed="false">
      <c r="A1391" s="7" t="n">
        <v>2306</v>
      </c>
      <c r="B1391" s="7" t="n">
        <v>62</v>
      </c>
      <c r="C1391" s="7" t="s">
        <v>24</v>
      </c>
      <c r="D1391" s="7" t="s">
        <v>41</v>
      </c>
      <c r="E1391" s="7" t="n">
        <v>8</v>
      </c>
      <c r="F1391" s="7" t="n">
        <v>10</v>
      </c>
      <c r="G1391" s="7" t="s">
        <v>26</v>
      </c>
      <c r="H1391" s="7" t="s">
        <v>27</v>
      </c>
      <c r="I1391" s="7" t="n">
        <v>30.7</v>
      </c>
      <c r="J1391" s="7" t="s">
        <v>30</v>
      </c>
      <c r="K1391" s="7" t="n">
        <v>278.6</v>
      </c>
      <c r="L1391" s="7" t="s">
        <v>37</v>
      </c>
      <c r="M1391" s="7" t="s">
        <v>38</v>
      </c>
    </row>
    <row r="1392" customFormat="false" ht="15" hidden="false" customHeight="true" outlineLevel="0" collapsed="false">
      <c r="A1392" s="7" t="n">
        <v>2318</v>
      </c>
      <c r="B1392" s="7" t="n">
        <v>84</v>
      </c>
      <c r="C1392" s="7" t="s">
        <v>33</v>
      </c>
      <c r="D1392" s="7" t="s">
        <v>41</v>
      </c>
      <c r="E1392" s="7" t="n">
        <v>1</v>
      </c>
      <c r="F1392" s="7" t="n">
        <v>1</v>
      </c>
      <c r="G1392" s="7" t="s">
        <v>35</v>
      </c>
      <c r="H1392" s="7" t="s">
        <v>27</v>
      </c>
      <c r="I1392" s="7" t="n">
        <v>35.4</v>
      </c>
      <c r="J1392" s="7" t="s">
        <v>30</v>
      </c>
      <c r="K1392" s="7" t="n">
        <v>168.9</v>
      </c>
      <c r="L1392" s="7" t="s">
        <v>37</v>
      </c>
      <c r="M1392" s="7" t="s">
        <v>30</v>
      </c>
    </row>
    <row r="1393" customFormat="false" ht="15" hidden="false" customHeight="true" outlineLevel="0" collapsed="false">
      <c r="A1393" s="7" t="n">
        <v>2321</v>
      </c>
      <c r="B1393" s="7" t="n">
        <v>31</v>
      </c>
      <c r="C1393" s="7" t="s">
        <v>33</v>
      </c>
      <c r="D1393" s="7" t="s">
        <v>41</v>
      </c>
      <c r="E1393" s="7" t="n">
        <v>8</v>
      </c>
      <c r="F1393" s="7" t="n">
        <v>8</v>
      </c>
      <c r="G1393" s="7" t="s">
        <v>36</v>
      </c>
      <c r="H1393" s="7" t="s">
        <v>27</v>
      </c>
      <c r="I1393" s="7" t="n">
        <v>37</v>
      </c>
      <c r="J1393" s="7" t="s">
        <v>30</v>
      </c>
      <c r="K1393" s="7" t="n">
        <v>298.9</v>
      </c>
      <c r="L1393" s="7" t="s">
        <v>29</v>
      </c>
      <c r="M1393" s="7" t="s">
        <v>39</v>
      </c>
    </row>
    <row r="1394" customFormat="false" ht="15" hidden="false" customHeight="true" outlineLevel="0" collapsed="false">
      <c r="A1394" s="7" t="n">
        <v>2358</v>
      </c>
      <c r="B1394" s="7" t="n">
        <v>88</v>
      </c>
      <c r="C1394" s="7" t="s">
        <v>33</v>
      </c>
      <c r="D1394" s="7" t="s">
        <v>41</v>
      </c>
      <c r="E1394" s="7" t="n">
        <v>6</v>
      </c>
      <c r="F1394" s="7" t="n">
        <v>1</v>
      </c>
      <c r="G1394" s="7" t="s">
        <v>26</v>
      </c>
      <c r="H1394" s="7" t="s">
        <v>27</v>
      </c>
      <c r="I1394" s="7" t="n">
        <v>27.4</v>
      </c>
      <c r="J1394" s="7" t="s">
        <v>30</v>
      </c>
      <c r="K1394" s="7" t="n">
        <v>174.6</v>
      </c>
      <c r="L1394" s="7" t="s">
        <v>37</v>
      </c>
      <c r="M1394" s="7" t="s">
        <v>38</v>
      </c>
    </row>
    <row r="1395" customFormat="false" ht="15" hidden="false" customHeight="true" outlineLevel="0" collapsed="false">
      <c r="A1395" s="7" t="n">
        <v>2387</v>
      </c>
      <c r="B1395" s="7" t="n">
        <v>80</v>
      </c>
      <c r="C1395" s="7" t="s">
        <v>33</v>
      </c>
      <c r="D1395" s="7" t="s">
        <v>41</v>
      </c>
      <c r="E1395" s="7" t="n">
        <v>1</v>
      </c>
      <c r="F1395" s="7" t="n">
        <v>13</v>
      </c>
      <c r="G1395" s="7" t="s">
        <v>31</v>
      </c>
      <c r="H1395" s="7" t="s">
        <v>27</v>
      </c>
      <c r="I1395" s="7" t="n">
        <v>38.7</v>
      </c>
      <c r="J1395" s="7" t="s">
        <v>30</v>
      </c>
      <c r="K1395" s="7" t="n">
        <v>279.1</v>
      </c>
      <c r="L1395" s="7" t="s">
        <v>29</v>
      </c>
      <c r="M1395" s="7" t="s">
        <v>30</v>
      </c>
    </row>
    <row r="1396" customFormat="false" ht="15" hidden="false" customHeight="true" outlineLevel="0" collapsed="false">
      <c r="A1396" s="7" t="n">
        <v>2453</v>
      </c>
      <c r="B1396" s="7" t="n">
        <v>45</v>
      </c>
      <c r="C1396" s="7" t="s">
        <v>24</v>
      </c>
      <c r="D1396" s="7" t="s">
        <v>41</v>
      </c>
      <c r="E1396" s="7" t="n">
        <v>14</v>
      </c>
      <c r="F1396" s="7" t="n">
        <v>10</v>
      </c>
      <c r="G1396" s="7" t="s">
        <v>31</v>
      </c>
      <c r="H1396" s="7" t="s">
        <v>27</v>
      </c>
      <c r="I1396" s="7" t="n">
        <v>25.9</v>
      </c>
      <c r="J1396" s="7" t="s">
        <v>30</v>
      </c>
      <c r="K1396" s="7" t="n">
        <v>205.2</v>
      </c>
      <c r="L1396" s="7" t="s">
        <v>29</v>
      </c>
      <c r="M1396" s="7" t="s">
        <v>38</v>
      </c>
    </row>
    <row r="1397" customFormat="false" ht="15" hidden="false" customHeight="true" outlineLevel="0" collapsed="false">
      <c r="A1397" s="7" t="n">
        <v>2459</v>
      </c>
      <c r="B1397" s="7" t="n">
        <v>65</v>
      </c>
      <c r="C1397" s="7" t="s">
        <v>24</v>
      </c>
      <c r="D1397" s="7" t="s">
        <v>41</v>
      </c>
      <c r="E1397" s="7" t="n">
        <v>8</v>
      </c>
      <c r="F1397" s="7" t="n">
        <v>5</v>
      </c>
      <c r="G1397" s="7" t="s">
        <v>31</v>
      </c>
      <c r="H1397" s="7" t="s">
        <v>32</v>
      </c>
      <c r="I1397" s="7" t="n">
        <v>29.4</v>
      </c>
      <c r="J1397" s="7" t="s">
        <v>30</v>
      </c>
      <c r="K1397" s="7" t="n">
        <v>222.6</v>
      </c>
      <c r="L1397" s="7" t="s">
        <v>29</v>
      </c>
      <c r="M1397" s="7" t="s">
        <v>38</v>
      </c>
    </row>
    <row r="1398" customFormat="false" ht="15" hidden="false" customHeight="true" outlineLevel="0" collapsed="false">
      <c r="A1398" s="7" t="n">
        <v>2468</v>
      </c>
      <c r="B1398" s="7" t="n">
        <v>82</v>
      </c>
      <c r="C1398" s="7" t="s">
        <v>33</v>
      </c>
      <c r="D1398" s="7" t="s">
        <v>41</v>
      </c>
      <c r="E1398" s="7" t="n">
        <v>15</v>
      </c>
      <c r="F1398" s="7" t="n">
        <v>3</v>
      </c>
      <c r="G1398" s="7" t="s">
        <v>26</v>
      </c>
      <c r="H1398" s="7" t="s">
        <v>27</v>
      </c>
      <c r="I1398" s="7" t="n">
        <v>34.1</v>
      </c>
      <c r="J1398" s="7" t="s">
        <v>30</v>
      </c>
      <c r="K1398" s="7" t="n">
        <v>240.2</v>
      </c>
      <c r="L1398" s="7" t="s">
        <v>29</v>
      </c>
      <c r="M1398" s="7" t="s">
        <v>38</v>
      </c>
    </row>
    <row r="1399" customFormat="false" ht="15" hidden="false" customHeight="true" outlineLevel="0" collapsed="false">
      <c r="A1399" s="7" t="n">
        <v>2470</v>
      </c>
      <c r="B1399" s="7" t="n">
        <v>72</v>
      </c>
      <c r="C1399" s="7" t="s">
        <v>33</v>
      </c>
      <c r="D1399" s="7" t="s">
        <v>41</v>
      </c>
      <c r="E1399" s="7" t="n">
        <v>6</v>
      </c>
      <c r="F1399" s="7" t="n">
        <v>1</v>
      </c>
      <c r="G1399" s="7" t="s">
        <v>34</v>
      </c>
      <c r="H1399" s="7" t="s">
        <v>27</v>
      </c>
      <c r="I1399" s="7" t="n">
        <v>26.6</v>
      </c>
      <c r="J1399" s="7" t="s">
        <v>30</v>
      </c>
      <c r="K1399" s="7" t="n">
        <v>188.9</v>
      </c>
      <c r="L1399" s="7" t="s">
        <v>29</v>
      </c>
      <c r="M1399" s="7" t="s">
        <v>38</v>
      </c>
    </row>
    <row r="1400" customFormat="false" ht="15" hidden="false" customHeight="true" outlineLevel="0" collapsed="false">
      <c r="A1400" s="7" t="n">
        <v>2488</v>
      </c>
      <c r="B1400" s="7" t="n">
        <v>33</v>
      </c>
      <c r="C1400" s="7" t="s">
        <v>24</v>
      </c>
      <c r="D1400" s="7" t="s">
        <v>41</v>
      </c>
      <c r="E1400" s="7" t="n">
        <v>12</v>
      </c>
      <c r="F1400" s="7" t="n">
        <v>8</v>
      </c>
      <c r="G1400" s="7" t="s">
        <v>35</v>
      </c>
      <c r="H1400" s="7" t="s">
        <v>27</v>
      </c>
      <c r="I1400" s="7" t="n">
        <v>31</v>
      </c>
      <c r="J1400" s="7" t="s">
        <v>30</v>
      </c>
      <c r="K1400" s="7" t="n">
        <v>126.2</v>
      </c>
      <c r="L1400" s="7" t="s">
        <v>29</v>
      </c>
      <c r="M1400" s="7" t="s">
        <v>38</v>
      </c>
    </row>
    <row r="1401" customFormat="false" ht="15" hidden="false" customHeight="true" outlineLevel="0" collapsed="false">
      <c r="A1401" s="7" t="n">
        <v>53</v>
      </c>
      <c r="B1401" s="7" t="n">
        <v>18</v>
      </c>
      <c r="C1401" s="7" t="s">
        <v>33</v>
      </c>
      <c r="D1401" s="7" t="s">
        <v>41</v>
      </c>
      <c r="E1401" s="7" t="n">
        <v>1</v>
      </c>
      <c r="F1401" s="7" t="n">
        <v>2</v>
      </c>
      <c r="G1401" s="7" t="s">
        <v>31</v>
      </c>
      <c r="H1401" s="7" t="s">
        <v>32</v>
      </c>
      <c r="I1401" s="7" t="n">
        <v>42</v>
      </c>
      <c r="J1401" s="7" t="s">
        <v>39</v>
      </c>
      <c r="K1401" s="7" t="n">
        <v>220</v>
      </c>
      <c r="L1401" s="7" t="s">
        <v>29</v>
      </c>
      <c r="M1401" s="7" t="s">
        <v>39</v>
      </c>
    </row>
    <row r="1402" customFormat="false" ht="15" hidden="false" customHeight="true" outlineLevel="0" collapsed="false">
      <c r="A1402" s="7" t="n">
        <v>225</v>
      </c>
      <c r="B1402" s="7" t="n">
        <v>76</v>
      </c>
      <c r="C1402" s="7" t="s">
        <v>24</v>
      </c>
      <c r="D1402" s="7" t="s">
        <v>41</v>
      </c>
      <c r="E1402" s="7" t="n">
        <v>3</v>
      </c>
      <c r="F1402" s="7" t="n">
        <v>9</v>
      </c>
      <c r="G1402" s="7" t="s">
        <v>34</v>
      </c>
      <c r="H1402" s="7" t="s">
        <v>27</v>
      </c>
      <c r="I1402" s="7" t="n">
        <v>39.6</v>
      </c>
      <c r="J1402" s="7" t="s">
        <v>39</v>
      </c>
      <c r="K1402" s="7" t="n">
        <v>240.2</v>
      </c>
      <c r="L1402" s="7" t="s">
        <v>29</v>
      </c>
      <c r="M1402" s="7" t="s">
        <v>39</v>
      </c>
    </row>
    <row r="1403" customFormat="false" ht="15" hidden="false" customHeight="true" outlineLevel="0" collapsed="false">
      <c r="A1403" s="7" t="n">
        <v>299</v>
      </c>
      <c r="B1403" s="7" t="n">
        <v>32</v>
      </c>
      <c r="C1403" s="7" t="s">
        <v>24</v>
      </c>
      <c r="D1403" s="7" t="s">
        <v>41</v>
      </c>
      <c r="E1403" s="7" t="n">
        <v>3</v>
      </c>
      <c r="F1403" s="7" t="n">
        <v>10</v>
      </c>
      <c r="G1403" s="7" t="s">
        <v>31</v>
      </c>
      <c r="H1403" s="7" t="s">
        <v>27</v>
      </c>
      <c r="I1403" s="7" t="n">
        <v>17.6</v>
      </c>
      <c r="J1403" s="7" t="s">
        <v>39</v>
      </c>
      <c r="K1403" s="7" t="n">
        <v>122.1</v>
      </c>
      <c r="L1403" s="7" t="s">
        <v>29</v>
      </c>
      <c r="M1403" s="7" t="s">
        <v>39</v>
      </c>
    </row>
    <row r="1404" customFormat="false" ht="15" hidden="false" customHeight="true" outlineLevel="0" collapsed="false">
      <c r="A1404" s="7" t="n">
        <v>305</v>
      </c>
      <c r="B1404" s="7" t="n">
        <v>31</v>
      </c>
      <c r="C1404" s="7" t="s">
        <v>33</v>
      </c>
      <c r="D1404" s="7" t="s">
        <v>41</v>
      </c>
      <c r="E1404" s="7" t="n">
        <v>7</v>
      </c>
      <c r="F1404" s="7" t="n">
        <v>7</v>
      </c>
      <c r="G1404" s="7" t="s">
        <v>35</v>
      </c>
      <c r="H1404" s="7" t="s">
        <v>32</v>
      </c>
      <c r="I1404" s="7" t="n">
        <v>32</v>
      </c>
      <c r="J1404" s="7" t="s">
        <v>39</v>
      </c>
      <c r="K1404" s="7" t="n">
        <v>178.5</v>
      </c>
      <c r="L1404" s="7" t="s">
        <v>29</v>
      </c>
      <c r="M1404" s="7" t="s">
        <v>39</v>
      </c>
    </row>
    <row r="1405" customFormat="false" ht="15" hidden="false" customHeight="true" outlineLevel="0" collapsed="false">
      <c r="A1405" s="7" t="n">
        <v>312</v>
      </c>
      <c r="B1405" s="7" t="n">
        <v>34</v>
      </c>
      <c r="C1405" s="7" t="s">
        <v>24</v>
      </c>
      <c r="D1405" s="7" t="s">
        <v>41</v>
      </c>
      <c r="E1405" s="7" t="n">
        <v>6</v>
      </c>
      <c r="F1405" s="7" t="n">
        <v>6</v>
      </c>
      <c r="G1405" s="7" t="s">
        <v>36</v>
      </c>
      <c r="H1405" s="7" t="s">
        <v>32</v>
      </c>
      <c r="I1405" s="7" t="n">
        <v>25.2</v>
      </c>
      <c r="J1405" s="7" t="s">
        <v>39</v>
      </c>
      <c r="K1405" s="7" t="n">
        <v>135.2</v>
      </c>
      <c r="L1405" s="7" t="s">
        <v>29</v>
      </c>
      <c r="M1405" s="7" t="s">
        <v>39</v>
      </c>
    </row>
    <row r="1406" customFormat="false" ht="15" hidden="false" customHeight="true" outlineLevel="0" collapsed="false">
      <c r="A1406" s="7" t="n">
        <v>341</v>
      </c>
      <c r="B1406" s="7" t="n">
        <v>35</v>
      </c>
      <c r="C1406" s="7" t="s">
        <v>24</v>
      </c>
      <c r="D1406" s="7" t="s">
        <v>40</v>
      </c>
      <c r="E1406" s="7" t="n">
        <v>33</v>
      </c>
      <c r="F1406" s="7" t="n">
        <v>11</v>
      </c>
      <c r="G1406" s="7" t="s">
        <v>35</v>
      </c>
      <c r="H1406" s="7" t="s">
        <v>32</v>
      </c>
      <c r="I1406" s="7" t="n">
        <v>34.7</v>
      </c>
      <c r="J1406" s="7" t="s">
        <v>39</v>
      </c>
      <c r="K1406" s="7" t="n">
        <v>268.8</v>
      </c>
      <c r="L1406" s="7" t="s">
        <v>29</v>
      </c>
      <c r="M1406" s="7" t="s">
        <v>39</v>
      </c>
    </row>
    <row r="1407" customFormat="false" ht="15" hidden="false" customHeight="true" outlineLevel="0" collapsed="false">
      <c r="A1407" s="7" t="n">
        <v>406</v>
      </c>
      <c r="B1407" s="7" t="n">
        <v>28</v>
      </c>
      <c r="C1407" s="7" t="s">
        <v>33</v>
      </c>
      <c r="D1407" s="7" t="s">
        <v>40</v>
      </c>
      <c r="E1407" s="7" t="n">
        <v>28</v>
      </c>
      <c r="F1407" s="7" t="n">
        <v>5</v>
      </c>
      <c r="G1407" s="7" t="s">
        <v>26</v>
      </c>
      <c r="H1407" s="7" t="s">
        <v>32</v>
      </c>
      <c r="I1407" s="7" t="n">
        <v>17.4</v>
      </c>
      <c r="J1407" s="7" t="s">
        <v>39</v>
      </c>
      <c r="K1407" s="7" t="n">
        <v>127.2</v>
      </c>
      <c r="L1407" s="7" t="s">
        <v>29</v>
      </c>
      <c r="M1407" s="7" t="s">
        <v>39</v>
      </c>
    </row>
    <row r="1408" customFormat="false" ht="15" hidden="false" customHeight="true" outlineLevel="0" collapsed="false">
      <c r="A1408" s="7" t="n">
        <v>462</v>
      </c>
      <c r="B1408" s="7" t="n">
        <v>68</v>
      </c>
      <c r="C1408" s="7" t="s">
        <v>24</v>
      </c>
      <c r="D1408" s="7" t="s">
        <v>40</v>
      </c>
      <c r="E1408" s="7" t="n">
        <v>20</v>
      </c>
      <c r="F1408" s="7" t="n">
        <v>19</v>
      </c>
      <c r="G1408" s="7" t="s">
        <v>36</v>
      </c>
      <c r="H1408" s="7" t="s">
        <v>27</v>
      </c>
      <c r="I1408" s="7" t="n">
        <v>37.2</v>
      </c>
      <c r="J1408" s="7" t="s">
        <v>39</v>
      </c>
      <c r="K1408" s="7" t="n">
        <v>174.4</v>
      </c>
      <c r="L1408" s="7" t="s">
        <v>29</v>
      </c>
      <c r="M1408" s="7" t="s">
        <v>39</v>
      </c>
    </row>
    <row r="1409" customFormat="false" ht="15" hidden="false" customHeight="true" outlineLevel="0" collapsed="false">
      <c r="A1409" s="7" t="n">
        <v>532</v>
      </c>
      <c r="B1409" s="7" t="n">
        <v>66</v>
      </c>
      <c r="C1409" s="7" t="s">
        <v>24</v>
      </c>
      <c r="D1409" s="7" t="s">
        <v>40</v>
      </c>
      <c r="E1409" s="7" t="n">
        <v>33</v>
      </c>
      <c r="F1409" s="7" t="n">
        <v>15</v>
      </c>
      <c r="G1409" s="7" t="s">
        <v>36</v>
      </c>
      <c r="H1409" s="7" t="s">
        <v>27</v>
      </c>
      <c r="I1409" s="7" t="n">
        <v>29.7</v>
      </c>
      <c r="J1409" s="7" t="s">
        <v>39</v>
      </c>
      <c r="K1409" s="7" t="n">
        <v>261.3</v>
      </c>
      <c r="L1409" s="7" t="s">
        <v>29</v>
      </c>
      <c r="M1409" s="7" t="s">
        <v>39</v>
      </c>
    </row>
    <row r="1410" customFormat="false" ht="15" hidden="false" customHeight="true" outlineLevel="0" collapsed="false">
      <c r="A1410" s="7" t="n">
        <v>564</v>
      </c>
      <c r="B1410" s="7" t="n">
        <v>32</v>
      </c>
      <c r="C1410" s="7" t="s">
        <v>24</v>
      </c>
      <c r="D1410" s="7" t="s">
        <v>41</v>
      </c>
      <c r="E1410" s="7" t="n">
        <v>16</v>
      </c>
      <c r="F1410" s="7" t="n">
        <v>9</v>
      </c>
      <c r="G1410" s="7" t="s">
        <v>36</v>
      </c>
      <c r="H1410" s="7" t="s">
        <v>32</v>
      </c>
      <c r="I1410" s="7" t="n">
        <v>35.2</v>
      </c>
      <c r="J1410" s="7" t="s">
        <v>39</v>
      </c>
      <c r="K1410" s="7" t="n">
        <v>154.1</v>
      </c>
      <c r="L1410" s="7" t="s">
        <v>29</v>
      </c>
      <c r="M1410" s="7" t="s">
        <v>39</v>
      </c>
    </row>
    <row r="1411" customFormat="false" ht="15" hidden="false" customHeight="true" outlineLevel="0" collapsed="false">
      <c r="A1411" s="7" t="n">
        <v>567</v>
      </c>
      <c r="B1411" s="7" t="n">
        <v>75</v>
      </c>
      <c r="C1411" s="7" t="s">
        <v>24</v>
      </c>
      <c r="D1411" s="7" t="s">
        <v>41</v>
      </c>
      <c r="E1411" s="7" t="n">
        <v>3</v>
      </c>
      <c r="F1411" s="7" t="n">
        <v>6</v>
      </c>
      <c r="G1411" s="7" t="s">
        <v>26</v>
      </c>
      <c r="H1411" s="7" t="s">
        <v>32</v>
      </c>
      <c r="I1411" s="7" t="n">
        <v>34.6</v>
      </c>
      <c r="J1411" s="7" t="s">
        <v>39</v>
      </c>
      <c r="K1411" s="7" t="n">
        <v>130.1</v>
      </c>
      <c r="L1411" s="7" t="s">
        <v>29</v>
      </c>
      <c r="M1411" s="7" t="s">
        <v>39</v>
      </c>
    </row>
    <row r="1412" customFormat="false" ht="15" hidden="false" customHeight="true" outlineLevel="0" collapsed="false">
      <c r="A1412" s="7" t="n">
        <v>577</v>
      </c>
      <c r="B1412" s="7" t="n">
        <v>29</v>
      </c>
      <c r="C1412" s="7" t="s">
        <v>33</v>
      </c>
      <c r="D1412" s="7" t="s">
        <v>40</v>
      </c>
      <c r="E1412" s="7" t="n">
        <v>20</v>
      </c>
      <c r="F1412" s="7" t="n">
        <v>8</v>
      </c>
      <c r="G1412" s="7" t="s">
        <v>31</v>
      </c>
      <c r="H1412" s="7" t="s">
        <v>27</v>
      </c>
      <c r="I1412" s="7" t="n">
        <v>36.1</v>
      </c>
      <c r="J1412" s="7" t="s">
        <v>39</v>
      </c>
      <c r="K1412" s="7" t="n">
        <v>289.3</v>
      </c>
      <c r="L1412" s="7" t="s">
        <v>37</v>
      </c>
      <c r="M1412" s="7" t="s">
        <v>39</v>
      </c>
    </row>
    <row r="1413" customFormat="false" ht="15" hidden="false" customHeight="true" outlineLevel="0" collapsed="false">
      <c r="A1413" s="7" t="n">
        <v>647</v>
      </c>
      <c r="B1413" s="7" t="n">
        <v>50</v>
      </c>
      <c r="C1413" s="7" t="s">
        <v>33</v>
      </c>
      <c r="D1413" s="7" t="s">
        <v>41</v>
      </c>
      <c r="E1413" s="7" t="n">
        <v>18</v>
      </c>
      <c r="F1413" s="7" t="n">
        <v>2</v>
      </c>
      <c r="G1413" s="7" t="s">
        <v>35</v>
      </c>
      <c r="H1413" s="7" t="s">
        <v>27</v>
      </c>
      <c r="I1413" s="7" t="n">
        <v>38</v>
      </c>
      <c r="J1413" s="7" t="s">
        <v>39</v>
      </c>
      <c r="K1413" s="7" t="n">
        <v>197.5</v>
      </c>
      <c r="L1413" s="7" t="s">
        <v>29</v>
      </c>
      <c r="M1413" s="7" t="s">
        <v>39</v>
      </c>
    </row>
    <row r="1414" customFormat="false" ht="15" hidden="false" customHeight="true" outlineLevel="0" collapsed="false">
      <c r="A1414" s="7" t="n">
        <v>753</v>
      </c>
      <c r="B1414" s="7" t="n">
        <v>80</v>
      </c>
      <c r="C1414" s="7" t="s">
        <v>24</v>
      </c>
      <c r="D1414" s="7" t="s">
        <v>41</v>
      </c>
      <c r="E1414" s="7" t="n">
        <v>7</v>
      </c>
      <c r="F1414" s="7" t="n">
        <v>8</v>
      </c>
      <c r="G1414" s="7" t="s">
        <v>26</v>
      </c>
      <c r="H1414" s="7" t="s">
        <v>27</v>
      </c>
      <c r="I1414" s="7" t="n">
        <v>31.2</v>
      </c>
      <c r="J1414" s="7" t="s">
        <v>39</v>
      </c>
      <c r="K1414" s="7" t="n">
        <v>134.1</v>
      </c>
      <c r="L1414" s="7" t="s">
        <v>37</v>
      </c>
      <c r="M1414" s="7" t="s">
        <v>39</v>
      </c>
    </row>
    <row r="1415" customFormat="false" ht="15" hidden="false" customHeight="true" outlineLevel="0" collapsed="false">
      <c r="A1415" s="7" t="n">
        <v>782</v>
      </c>
      <c r="B1415" s="7" t="n">
        <v>83</v>
      </c>
      <c r="C1415" s="7" t="s">
        <v>24</v>
      </c>
      <c r="D1415" s="7" t="s">
        <v>40</v>
      </c>
      <c r="E1415" s="7" t="n">
        <v>17</v>
      </c>
      <c r="F1415" s="7" t="n">
        <v>14</v>
      </c>
      <c r="G1415" s="7" t="s">
        <v>31</v>
      </c>
      <c r="H1415" s="7" t="s">
        <v>32</v>
      </c>
      <c r="I1415" s="7" t="n">
        <v>17.3</v>
      </c>
      <c r="J1415" s="7" t="s">
        <v>39</v>
      </c>
      <c r="K1415" s="7" t="n">
        <v>208.1</v>
      </c>
      <c r="L1415" s="7" t="s">
        <v>29</v>
      </c>
      <c r="M1415" s="7" t="s">
        <v>39</v>
      </c>
    </row>
    <row r="1416" customFormat="false" ht="15" hidden="false" customHeight="true" outlineLevel="0" collapsed="false">
      <c r="A1416" s="7" t="n">
        <v>803</v>
      </c>
      <c r="B1416" s="7" t="n">
        <v>78</v>
      </c>
      <c r="C1416" s="7" t="s">
        <v>24</v>
      </c>
      <c r="D1416" s="7" t="s">
        <v>40</v>
      </c>
      <c r="E1416" s="7" t="n">
        <v>33</v>
      </c>
      <c r="F1416" s="7" t="n">
        <v>7</v>
      </c>
      <c r="G1416" s="7" t="s">
        <v>26</v>
      </c>
      <c r="H1416" s="7" t="s">
        <v>27</v>
      </c>
      <c r="I1416" s="7" t="n">
        <v>34.2</v>
      </c>
      <c r="J1416" s="7" t="s">
        <v>39</v>
      </c>
      <c r="K1416" s="7" t="n">
        <v>229.5</v>
      </c>
      <c r="L1416" s="7" t="s">
        <v>29</v>
      </c>
      <c r="M1416" s="7" t="s">
        <v>39</v>
      </c>
    </row>
    <row r="1417" customFormat="false" ht="15" hidden="false" customHeight="true" outlineLevel="0" collapsed="false">
      <c r="A1417" s="7" t="n">
        <v>816</v>
      </c>
      <c r="B1417" s="7" t="n">
        <v>39</v>
      </c>
      <c r="C1417" s="7" t="s">
        <v>24</v>
      </c>
      <c r="D1417" s="7" t="s">
        <v>40</v>
      </c>
      <c r="E1417" s="7" t="n">
        <v>21</v>
      </c>
      <c r="F1417" s="7" t="n">
        <v>18</v>
      </c>
      <c r="G1417" s="7" t="s">
        <v>35</v>
      </c>
      <c r="H1417" s="7" t="s">
        <v>32</v>
      </c>
      <c r="I1417" s="7" t="n">
        <v>24.8</v>
      </c>
      <c r="J1417" s="7" t="s">
        <v>39</v>
      </c>
      <c r="K1417" s="7" t="n">
        <v>227.1</v>
      </c>
      <c r="L1417" s="7" t="s">
        <v>29</v>
      </c>
      <c r="M1417" s="7" t="s">
        <v>39</v>
      </c>
    </row>
    <row r="1418" customFormat="false" ht="15" hidden="false" customHeight="true" outlineLevel="0" collapsed="false">
      <c r="A1418" s="7" t="n">
        <v>853</v>
      </c>
      <c r="B1418" s="7" t="n">
        <v>53</v>
      </c>
      <c r="C1418" s="7" t="s">
        <v>24</v>
      </c>
      <c r="D1418" s="7" t="s">
        <v>41</v>
      </c>
      <c r="E1418" s="7" t="n">
        <v>14</v>
      </c>
      <c r="F1418" s="7" t="n">
        <v>10</v>
      </c>
      <c r="G1418" s="7" t="s">
        <v>26</v>
      </c>
      <c r="H1418" s="7" t="s">
        <v>27</v>
      </c>
      <c r="I1418" s="7" t="n">
        <v>28.7</v>
      </c>
      <c r="J1418" s="7" t="s">
        <v>39</v>
      </c>
      <c r="K1418" s="7" t="n">
        <v>153.4</v>
      </c>
      <c r="L1418" s="7" t="s">
        <v>29</v>
      </c>
      <c r="M1418" s="7" t="s">
        <v>39</v>
      </c>
    </row>
    <row r="1419" customFormat="false" ht="15" hidden="false" customHeight="true" outlineLevel="0" collapsed="false">
      <c r="A1419" s="7" t="n">
        <v>883</v>
      </c>
      <c r="B1419" s="7" t="n">
        <v>83</v>
      </c>
      <c r="C1419" s="7" t="s">
        <v>24</v>
      </c>
      <c r="D1419" s="7" t="s">
        <v>41</v>
      </c>
      <c r="E1419" s="7" t="n">
        <v>16</v>
      </c>
      <c r="F1419" s="7" t="n">
        <v>8</v>
      </c>
      <c r="G1419" s="7" t="s">
        <v>36</v>
      </c>
      <c r="H1419" s="7" t="s">
        <v>27</v>
      </c>
      <c r="I1419" s="7" t="n">
        <v>28.9</v>
      </c>
      <c r="J1419" s="7" t="s">
        <v>39</v>
      </c>
      <c r="K1419" s="7" t="n">
        <v>166.5</v>
      </c>
      <c r="L1419" s="7" t="s">
        <v>29</v>
      </c>
      <c r="M1419" s="7" t="s">
        <v>39</v>
      </c>
    </row>
    <row r="1420" customFormat="false" ht="15" hidden="false" customHeight="true" outlineLevel="0" collapsed="false">
      <c r="A1420" s="7" t="n">
        <v>994</v>
      </c>
      <c r="B1420" s="7" t="n">
        <v>56</v>
      </c>
      <c r="C1420" s="7" t="s">
        <v>33</v>
      </c>
      <c r="D1420" s="7" t="s">
        <v>40</v>
      </c>
      <c r="E1420" s="7" t="n">
        <v>17</v>
      </c>
      <c r="F1420" s="7" t="n">
        <v>24</v>
      </c>
      <c r="G1420" s="7" t="s">
        <v>26</v>
      </c>
      <c r="H1420" s="7" t="s">
        <v>27</v>
      </c>
      <c r="I1420" s="7" t="n">
        <v>41.8</v>
      </c>
      <c r="J1420" s="7" t="s">
        <v>39</v>
      </c>
      <c r="K1420" s="7" t="n">
        <v>254.7</v>
      </c>
      <c r="L1420" s="7" t="s">
        <v>29</v>
      </c>
      <c r="M1420" s="7" t="s">
        <v>39</v>
      </c>
    </row>
    <row r="1421" customFormat="false" ht="15" hidden="false" customHeight="true" outlineLevel="0" collapsed="false">
      <c r="A1421" s="7" t="n">
        <v>1125</v>
      </c>
      <c r="B1421" s="7" t="n">
        <v>55</v>
      </c>
      <c r="C1421" s="7" t="s">
        <v>33</v>
      </c>
      <c r="D1421" s="7" t="s">
        <v>41</v>
      </c>
      <c r="E1421" s="7" t="n">
        <v>9</v>
      </c>
      <c r="F1421" s="7" t="n">
        <v>12</v>
      </c>
      <c r="G1421" s="7" t="s">
        <v>26</v>
      </c>
      <c r="H1421" s="7" t="s">
        <v>27</v>
      </c>
      <c r="I1421" s="7" t="n">
        <v>26</v>
      </c>
      <c r="J1421" s="7" t="s">
        <v>39</v>
      </c>
      <c r="K1421" s="7" t="n">
        <v>219.7</v>
      </c>
      <c r="L1421" s="7" t="s">
        <v>29</v>
      </c>
      <c r="M1421" s="7" t="s">
        <v>39</v>
      </c>
    </row>
    <row r="1422" customFormat="false" ht="15" hidden="false" customHeight="true" outlineLevel="0" collapsed="false">
      <c r="A1422" s="7" t="n">
        <v>1173</v>
      </c>
      <c r="B1422" s="7" t="n">
        <v>28</v>
      </c>
      <c r="C1422" s="7" t="s">
        <v>24</v>
      </c>
      <c r="D1422" s="7" t="s">
        <v>41</v>
      </c>
      <c r="E1422" s="7" t="n">
        <v>1</v>
      </c>
      <c r="F1422" s="7" t="n">
        <v>6</v>
      </c>
      <c r="G1422" s="7" t="s">
        <v>31</v>
      </c>
      <c r="H1422" s="7" t="s">
        <v>27</v>
      </c>
      <c r="I1422" s="7" t="n">
        <v>34.5</v>
      </c>
      <c r="J1422" s="7" t="s">
        <v>39</v>
      </c>
      <c r="K1422" s="7" t="n">
        <v>264.9</v>
      </c>
      <c r="L1422" s="7" t="s">
        <v>37</v>
      </c>
      <c r="M1422" s="7" t="s">
        <v>39</v>
      </c>
    </row>
    <row r="1423" customFormat="false" ht="15" hidden="false" customHeight="true" outlineLevel="0" collapsed="false">
      <c r="A1423" s="7" t="n">
        <v>1238</v>
      </c>
      <c r="B1423" s="7" t="n">
        <v>83</v>
      </c>
      <c r="C1423" s="7" t="s">
        <v>24</v>
      </c>
      <c r="D1423" s="7" t="s">
        <v>41</v>
      </c>
      <c r="E1423" s="7" t="n">
        <v>15</v>
      </c>
      <c r="F1423" s="7" t="n">
        <v>6</v>
      </c>
      <c r="G1423" s="7" t="s">
        <v>34</v>
      </c>
      <c r="H1423" s="7" t="s">
        <v>27</v>
      </c>
      <c r="I1423" s="7" t="n">
        <v>37.6</v>
      </c>
      <c r="J1423" s="7" t="s">
        <v>39</v>
      </c>
      <c r="K1423" s="7" t="n">
        <v>242.7</v>
      </c>
      <c r="L1423" s="7" t="s">
        <v>29</v>
      </c>
      <c r="M1423" s="7" t="s">
        <v>39</v>
      </c>
    </row>
    <row r="1424" customFormat="false" ht="15" hidden="false" customHeight="true" outlineLevel="0" collapsed="false">
      <c r="A1424" s="7" t="n">
        <v>1259</v>
      </c>
      <c r="B1424" s="7" t="n">
        <v>71</v>
      </c>
      <c r="C1424" s="7" t="s">
        <v>33</v>
      </c>
      <c r="D1424" s="7" t="s">
        <v>40</v>
      </c>
      <c r="E1424" s="7" t="n">
        <v>32</v>
      </c>
      <c r="F1424" s="7" t="n">
        <v>24</v>
      </c>
      <c r="G1424" s="7" t="s">
        <v>35</v>
      </c>
      <c r="H1424" s="7" t="s">
        <v>27</v>
      </c>
      <c r="I1424" s="7" t="n">
        <v>22.2</v>
      </c>
      <c r="J1424" s="7" t="s">
        <v>39</v>
      </c>
      <c r="K1424" s="7" t="n">
        <v>290.6</v>
      </c>
      <c r="L1424" s="7" t="s">
        <v>29</v>
      </c>
      <c r="M1424" s="7" t="s">
        <v>39</v>
      </c>
    </row>
    <row r="1425" customFormat="false" ht="15" hidden="false" customHeight="true" outlineLevel="0" collapsed="false">
      <c r="A1425" s="7" t="n">
        <v>1283</v>
      </c>
      <c r="B1425" s="7" t="n">
        <v>61</v>
      </c>
      <c r="C1425" s="7" t="s">
        <v>33</v>
      </c>
      <c r="D1425" s="7" t="s">
        <v>41</v>
      </c>
      <c r="E1425" s="7" t="n">
        <v>17</v>
      </c>
      <c r="F1425" s="7" t="n">
        <v>14</v>
      </c>
      <c r="G1425" s="7" t="s">
        <v>31</v>
      </c>
      <c r="H1425" s="7" t="s">
        <v>27</v>
      </c>
      <c r="I1425" s="7" t="n">
        <v>20.7</v>
      </c>
      <c r="J1425" s="7" t="s">
        <v>39</v>
      </c>
      <c r="K1425" s="7" t="n">
        <v>228.1</v>
      </c>
      <c r="L1425" s="7" t="s">
        <v>37</v>
      </c>
      <c r="M1425" s="7" t="s">
        <v>39</v>
      </c>
    </row>
    <row r="1426" customFormat="false" ht="15" hidden="false" customHeight="true" outlineLevel="0" collapsed="false">
      <c r="A1426" s="7" t="n">
        <v>1446</v>
      </c>
      <c r="B1426" s="7" t="n">
        <v>80</v>
      </c>
      <c r="C1426" s="7" t="s">
        <v>24</v>
      </c>
      <c r="D1426" s="7" t="s">
        <v>40</v>
      </c>
      <c r="E1426" s="7" t="n">
        <v>17</v>
      </c>
      <c r="F1426" s="7" t="n">
        <v>8</v>
      </c>
      <c r="G1426" s="7" t="s">
        <v>36</v>
      </c>
      <c r="H1426" s="7" t="s">
        <v>27</v>
      </c>
      <c r="I1426" s="7" t="n">
        <v>27</v>
      </c>
      <c r="J1426" s="7" t="s">
        <v>39</v>
      </c>
      <c r="K1426" s="7" t="n">
        <v>209.4</v>
      </c>
      <c r="L1426" s="7" t="s">
        <v>29</v>
      </c>
      <c r="M1426" s="7" t="s">
        <v>39</v>
      </c>
    </row>
    <row r="1427" customFormat="false" ht="15" hidden="false" customHeight="true" outlineLevel="0" collapsed="false">
      <c r="A1427" s="7" t="n">
        <v>1450</v>
      </c>
      <c r="B1427" s="7" t="n">
        <v>40</v>
      </c>
      <c r="C1427" s="7" t="s">
        <v>33</v>
      </c>
      <c r="D1427" s="7" t="s">
        <v>41</v>
      </c>
      <c r="E1427" s="7" t="n">
        <v>18</v>
      </c>
      <c r="F1427" s="7" t="n">
        <v>4</v>
      </c>
      <c r="G1427" s="7" t="s">
        <v>26</v>
      </c>
      <c r="H1427" s="7" t="s">
        <v>27</v>
      </c>
      <c r="I1427" s="7" t="n">
        <v>18</v>
      </c>
      <c r="J1427" s="7" t="s">
        <v>39</v>
      </c>
      <c r="K1427" s="7" t="n">
        <v>157.8</v>
      </c>
      <c r="L1427" s="7" t="s">
        <v>29</v>
      </c>
      <c r="M1427" s="7" t="s">
        <v>39</v>
      </c>
    </row>
    <row r="1428" customFormat="false" ht="15" hidden="false" customHeight="true" outlineLevel="0" collapsed="false">
      <c r="A1428" s="7" t="n">
        <v>1458</v>
      </c>
      <c r="B1428" s="7" t="n">
        <v>73</v>
      </c>
      <c r="C1428" s="7" t="s">
        <v>24</v>
      </c>
      <c r="D1428" s="7" t="s">
        <v>41</v>
      </c>
      <c r="E1428" s="7" t="n">
        <v>9</v>
      </c>
      <c r="F1428" s="7" t="n">
        <v>14</v>
      </c>
      <c r="G1428" s="7" t="s">
        <v>36</v>
      </c>
      <c r="H1428" s="7" t="s">
        <v>32</v>
      </c>
      <c r="I1428" s="7" t="n">
        <v>39.2</v>
      </c>
      <c r="J1428" s="7" t="s">
        <v>39</v>
      </c>
      <c r="K1428" s="7" t="n">
        <v>194.1</v>
      </c>
      <c r="L1428" s="7" t="s">
        <v>37</v>
      </c>
      <c r="M1428" s="7" t="s">
        <v>39</v>
      </c>
    </row>
    <row r="1429" customFormat="false" ht="15" hidden="false" customHeight="true" outlineLevel="0" collapsed="false">
      <c r="A1429" s="7" t="n">
        <v>1472</v>
      </c>
      <c r="B1429" s="7" t="n">
        <v>43</v>
      </c>
      <c r="C1429" s="7" t="s">
        <v>24</v>
      </c>
      <c r="D1429" s="7" t="s">
        <v>41</v>
      </c>
      <c r="E1429" s="7" t="n">
        <v>17</v>
      </c>
      <c r="F1429" s="7" t="n">
        <v>11</v>
      </c>
      <c r="G1429" s="7" t="s">
        <v>35</v>
      </c>
      <c r="H1429" s="7" t="s">
        <v>32</v>
      </c>
      <c r="I1429" s="7" t="n">
        <v>32.9</v>
      </c>
      <c r="J1429" s="7" t="s">
        <v>39</v>
      </c>
      <c r="K1429" s="7" t="n">
        <v>215.9</v>
      </c>
      <c r="L1429" s="7" t="s">
        <v>29</v>
      </c>
      <c r="M1429" s="7" t="s">
        <v>39</v>
      </c>
    </row>
    <row r="1430" customFormat="false" ht="15" hidden="false" customHeight="true" outlineLevel="0" collapsed="false">
      <c r="A1430" s="7" t="n">
        <v>1544</v>
      </c>
      <c r="B1430" s="7" t="n">
        <v>29</v>
      </c>
      <c r="C1430" s="7" t="s">
        <v>24</v>
      </c>
      <c r="D1430" s="7" t="s">
        <v>41</v>
      </c>
      <c r="E1430" s="7" t="n">
        <v>13</v>
      </c>
      <c r="F1430" s="7" t="n">
        <v>7</v>
      </c>
      <c r="G1430" s="7" t="s">
        <v>35</v>
      </c>
      <c r="H1430" s="7" t="s">
        <v>27</v>
      </c>
      <c r="I1430" s="7" t="n">
        <v>18.7</v>
      </c>
      <c r="J1430" s="7" t="s">
        <v>39</v>
      </c>
      <c r="K1430" s="7" t="n">
        <v>171.4</v>
      </c>
      <c r="L1430" s="7" t="s">
        <v>29</v>
      </c>
      <c r="M1430" s="7" t="s">
        <v>39</v>
      </c>
    </row>
    <row r="1431" customFormat="false" ht="15" hidden="false" customHeight="true" outlineLevel="0" collapsed="false">
      <c r="A1431" s="7" t="n">
        <v>1666</v>
      </c>
      <c r="B1431" s="7" t="n">
        <v>80</v>
      </c>
      <c r="C1431" s="7" t="s">
        <v>24</v>
      </c>
      <c r="D1431" s="7" t="s">
        <v>41</v>
      </c>
      <c r="E1431" s="7" t="n">
        <v>3</v>
      </c>
      <c r="F1431" s="7" t="n">
        <v>13</v>
      </c>
      <c r="G1431" s="7" t="s">
        <v>31</v>
      </c>
      <c r="H1431" s="7" t="s">
        <v>32</v>
      </c>
      <c r="I1431" s="7" t="n">
        <v>20.6</v>
      </c>
      <c r="J1431" s="7" t="s">
        <v>39</v>
      </c>
      <c r="K1431" s="7" t="n">
        <v>274.8</v>
      </c>
      <c r="L1431" s="7" t="s">
        <v>29</v>
      </c>
      <c r="M1431" s="7" t="s">
        <v>39</v>
      </c>
    </row>
    <row r="1432" customFormat="false" ht="15" hidden="false" customHeight="true" outlineLevel="0" collapsed="false">
      <c r="A1432" s="7" t="n">
        <v>1691</v>
      </c>
      <c r="B1432" s="7" t="n">
        <v>86</v>
      </c>
      <c r="C1432" s="7" t="s">
        <v>24</v>
      </c>
      <c r="D1432" s="7" t="s">
        <v>40</v>
      </c>
      <c r="E1432" s="7" t="n">
        <v>7</v>
      </c>
      <c r="F1432" s="7" t="n">
        <v>20</v>
      </c>
      <c r="G1432" s="7" t="s">
        <v>36</v>
      </c>
      <c r="H1432" s="7" t="s">
        <v>32</v>
      </c>
      <c r="I1432" s="7" t="n">
        <v>38.8</v>
      </c>
      <c r="J1432" s="7" t="s">
        <v>39</v>
      </c>
      <c r="K1432" s="7" t="n">
        <v>181.4</v>
      </c>
      <c r="L1432" s="7" t="s">
        <v>29</v>
      </c>
      <c r="M1432" s="7" t="s">
        <v>39</v>
      </c>
    </row>
    <row r="1433" customFormat="false" ht="15" hidden="false" customHeight="true" outlineLevel="0" collapsed="false">
      <c r="A1433" s="7" t="n">
        <v>1777</v>
      </c>
      <c r="B1433" s="7" t="n">
        <v>69</v>
      </c>
      <c r="C1433" s="7" t="s">
        <v>24</v>
      </c>
      <c r="D1433" s="7" t="s">
        <v>41</v>
      </c>
      <c r="E1433" s="7" t="n">
        <v>4</v>
      </c>
      <c r="F1433" s="7" t="n">
        <v>4</v>
      </c>
      <c r="G1433" s="7" t="s">
        <v>34</v>
      </c>
      <c r="H1433" s="7" t="s">
        <v>27</v>
      </c>
      <c r="I1433" s="7" t="n">
        <v>33.7</v>
      </c>
      <c r="J1433" s="7" t="s">
        <v>39</v>
      </c>
      <c r="K1433" s="7" t="n">
        <v>183.8</v>
      </c>
      <c r="L1433" s="7" t="s">
        <v>37</v>
      </c>
      <c r="M1433" s="7" t="s">
        <v>39</v>
      </c>
    </row>
    <row r="1434" customFormat="false" ht="15" hidden="false" customHeight="true" outlineLevel="0" collapsed="false">
      <c r="A1434" s="7" t="n">
        <v>1808</v>
      </c>
      <c r="B1434" s="7" t="n">
        <v>75</v>
      </c>
      <c r="C1434" s="7" t="s">
        <v>24</v>
      </c>
      <c r="D1434" s="7" t="s">
        <v>41</v>
      </c>
      <c r="E1434" s="7" t="n">
        <v>1</v>
      </c>
      <c r="F1434" s="7" t="n">
        <v>8</v>
      </c>
      <c r="G1434" s="7" t="s">
        <v>31</v>
      </c>
      <c r="H1434" s="7" t="s">
        <v>32</v>
      </c>
      <c r="I1434" s="7" t="n">
        <v>41.8</v>
      </c>
      <c r="J1434" s="7" t="s">
        <v>39</v>
      </c>
      <c r="K1434" s="7" t="n">
        <v>135.3</v>
      </c>
      <c r="L1434" s="7" t="s">
        <v>29</v>
      </c>
      <c r="M1434" s="7" t="s">
        <v>39</v>
      </c>
    </row>
    <row r="1435" customFormat="false" ht="15" hidden="false" customHeight="true" outlineLevel="0" collapsed="false">
      <c r="A1435" s="7" t="n">
        <v>1870</v>
      </c>
      <c r="B1435" s="7" t="n">
        <v>23</v>
      </c>
      <c r="C1435" s="7" t="s">
        <v>33</v>
      </c>
      <c r="D1435" s="7" t="s">
        <v>40</v>
      </c>
      <c r="E1435" s="7" t="n">
        <v>16</v>
      </c>
      <c r="F1435" s="7" t="n">
        <v>15</v>
      </c>
      <c r="G1435" s="7" t="s">
        <v>26</v>
      </c>
      <c r="H1435" s="7" t="s">
        <v>32</v>
      </c>
      <c r="I1435" s="7" t="n">
        <v>28</v>
      </c>
      <c r="J1435" s="7" t="s">
        <v>39</v>
      </c>
      <c r="K1435" s="7" t="n">
        <v>253</v>
      </c>
      <c r="L1435" s="7" t="s">
        <v>29</v>
      </c>
      <c r="M1435" s="7" t="s">
        <v>39</v>
      </c>
    </row>
    <row r="1436" customFormat="false" ht="15" hidden="false" customHeight="true" outlineLevel="0" collapsed="false">
      <c r="A1436" s="7" t="n">
        <v>1877</v>
      </c>
      <c r="B1436" s="7" t="n">
        <v>87</v>
      </c>
      <c r="C1436" s="7" t="s">
        <v>33</v>
      </c>
      <c r="D1436" s="7" t="s">
        <v>40</v>
      </c>
      <c r="E1436" s="7" t="n">
        <v>7</v>
      </c>
      <c r="F1436" s="7" t="n">
        <v>9</v>
      </c>
      <c r="G1436" s="7" t="s">
        <v>34</v>
      </c>
      <c r="H1436" s="7" t="s">
        <v>27</v>
      </c>
      <c r="I1436" s="7" t="n">
        <v>18.5</v>
      </c>
      <c r="J1436" s="7" t="s">
        <v>39</v>
      </c>
      <c r="K1436" s="7" t="n">
        <v>230.3</v>
      </c>
      <c r="L1436" s="7" t="s">
        <v>37</v>
      </c>
      <c r="M1436" s="7" t="s">
        <v>39</v>
      </c>
    </row>
    <row r="1437" customFormat="false" ht="15" hidden="false" customHeight="true" outlineLevel="0" collapsed="false">
      <c r="A1437" s="7" t="n">
        <v>1895</v>
      </c>
      <c r="B1437" s="7" t="n">
        <v>61</v>
      </c>
      <c r="C1437" s="7" t="s">
        <v>24</v>
      </c>
      <c r="D1437" s="7" t="s">
        <v>40</v>
      </c>
      <c r="E1437" s="7" t="n">
        <v>20</v>
      </c>
      <c r="F1437" s="7" t="n">
        <v>20</v>
      </c>
      <c r="G1437" s="7" t="s">
        <v>35</v>
      </c>
      <c r="H1437" s="7" t="s">
        <v>32</v>
      </c>
      <c r="I1437" s="7" t="n">
        <v>39.5</v>
      </c>
      <c r="J1437" s="7" t="s">
        <v>39</v>
      </c>
      <c r="K1437" s="7" t="n">
        <v>272.4</v>
      </c>
      <c r="L1437" s="7" t="s">
        <v>29</v>
      </c>
      <c r="M1437" s="7" t="s">
        <v>39</v>
      </c>
    </row>
    <row r="1438" customFormat="false" ht="15" hidden="false" customHeight="true" outlineLevel="0" collapsed="false">
      <c r="A1438" s="7" t="n">
        <v>2031</v>
      </c>
      <c r="B1438" s="7" t="n">
        <v>81</v>
      </c>
      <c r="C1438" s="7" t="s">
        <v>33</v>
      </c>
      <c r="D1438" s="7" t="s">
        <v>41</v>
      </c>
      <c r="E1438" s="7" t="n">
        <v>12</v>
      </c>
      <c r="F1438" s="7" t="n">
        <v>14</v>
      </c>
      <c r="G1438" s="7" t="s">
        <v>26</v>
      </c>
      <c r="H1438" s="7" t="s">
        <v>32</v>
      </c>
      <c r="I1438" s="7" t="n">
        <v>37.4</v>
      </c>
      <c r="J1438" s="7" t="s">
        <v>39</v>
      </c>
      <c r="K1438" s="7" t="n">
        <v>231.8</v>
      </c>
      <c r="L1438" s="7" t="s">
        <v>29</v>
      </c>
      <c r="M1438" s="7" t="s">
        <v>39</v>
      </c>
    </row>
    <row r="1439" customFormat="false" ht="15" hidden="false" customHeight="true" outlineLevel="0" collapsed="false">
      <c r="A1439" s="7" t="n">
        <v>2075</v>
      </c>
      <c r="B1439" s="7" t="n">
        <v>42</v>
      </c>
      <c r="C1439" s="7" t="s">
        <v>33</v>
      </c>
      <c r="D1439" s="7" t="s">
        <v>40</v>
      </c>
      <c r="E1439" s="7" t="n">
        <v>10</v>
      </c>
      <c r="F1439" s="7" t="n">
        <v>27</v>
      </c>
      <c r="G1439" s="7" t="s">
        <v>26</v>
      </c>
      <c r="H1439" s="7" t="s">
        <v>27</v>
      </c>
      <c r="I1439" s="7" t="n">
        <v>38.2</v>
      </c>
      <c r="J1439" s="7" t="s">
        <v>39</v>
      </c>
      <c r="K1439" s="7" t="n">
        <v>123.6</v>
      </c>
      <c r="L1439" s="7" t="s">
        <v>29</v>
      </c>
      <c r="M1439" s="7" t="s">
        <v>39</v>
      </c>
    </row>
    <row r="1440" customFormat="false" ht="15" hidden="false" customHeight="true" outlineLevel="0" collapsed="false">
      <c r="A1440" s="7" t="n">
        <v>2093</v>
      </c>
      <c r="B1440" s="7" t="n">
        <v>71</v>
      </c>
      <c r="C1440" s="7" t="s">
        <v>24</v>
      </c>
      <c r="D1440" s="7" t="s">
        <v>41</v>
      </c>
      <c r="E1440" s="7" t="n">
        <v>3</v>
      </c>
      <c r="F1440" s="7" t="n">
        <v>2</v>
      </c>
      <c r="G1440" s="7" t="s">
        <v>35</v>
      </c>
      <c r="H1440" s="7" t="s">
        <v>27</v>
      </c>
      <c r="I1440" s="7" t="n">
        <v>17.6</v>
      </c>
      <c r="J1440" s="7" t="s">
        <v>39</v>
      </c>
      <c r="K1440" s="7" t="n">
        <v>292.7</v>
      </c>
      <c r="L1440" s="7" t="s">
        <v>29</v>
      </c>
      <c r="M1440" s="7" t="s">
        <v>39</v>
      </c>
    </row>
    <row r="1441" customFormat="false" ht="15" hidden="false" customHeight="true" outlineLevel="0" collapsed="false">
      <c r="A1441" s="7" t="n">
        <v>2096</v>
      </c>
      <c r="B1441" s="7" t="n">
        <v>55</v>
      </c>
      <c r="C1441" s="7" t="s">
        <v>24</v>
      </c>
      <c r="D1441" s="7" t="s">
        <v>40</v>
      </c>
      <c r="E1441" s="7" t="n">
        <v>35</v>
      </c>
      <c r="F1441" s="7" t="n">
        <v>5</v>
      </c>
      <c r="G1441" s="7" t="s">
        <v>36</v>
      </c>
      <c r="H1441" s="7" t="s">
        <v>32</v>
      </c>
      <c r="I1441" s="7" t="n">
        <v>28.4</v>
      </c>
      <c r="J1441" s="7" t="s">
        <v>39</v>
      </c>
      <c r="K1441" s="7" t="n">
        <v>147.7</v>
      </c>
      <c r="L1441" s="7" t="s">
        <v>37</v>
      </c>
      <c r="M1441" s="7" t="s">
        <v>39</v>
      </c>
    </row>
    <row r="1442" customFormat="false" ht="15" hidden="false" customHeight="true" outlineLevel="0" collapsed="false">
      <c r="A1442" s="7" t="n">
        <v>2158</v>
      </c>
      <c r="B1442" s="7" t="n">
        <v>66</v>
      </c>
      <c r="C1442" s="7" t="s">
        <v>24</v>
      </c>
      <c r="D1442" s="7" t="s">
        <v>41</v>
      </c>
      <c r="E1442" s="7" t="n">
        <v>10</v>
      </c>
      <c r="F1442" s="7" t="n">
        <v>6</v>
      </c>
      <c r="G1442" s="7" t="s">
        <v>31</v>
      </c>
      <c r="H1442" s="7" t="s">
        <v>32</v>
      </c>
      <c r="I1442" s="7" t="n">
        <v>38.3</v>
      </c>
      <c r="J1442" s="7" t="s">
        <v>39</v>
      </c>
      <c r="K1442" s="7" t="n">
        <v>295.7</v>
      </c>
      <c r="L1442" s="7" t="s">
        <v>29</v>
      </c>
      <c r="M1442" s="7" t="s">
        <v>39</v>
      </c>
    </row>
    <row r="1443" customFormat="false" ht="15" hidden="false" customHeight="true" outlineLevel="0" collapsed="false">
      <c r="A1443" s="7" t="n">
        <v>2210</v>
      </c>
      <c r="B1443" s="7" t="n">
        <v>67</v>
      </c>
      <c r="C1443" s="7" t="s">
        <v>33</v>
      </c>
      <c r="D1443" s="7" t="s">
        <v>40</v>
      </c>
      <c r="E1443" s="7" t="n">
        <v>38</v>
      </c>
      <c r="F1443" s="7" t="n">
        <v>7</v>
      </c>
      <c r="G1443" s="7" t="s">
        <v>36</v>
      </c>
      <c r="H1443" s="7" t="s">
        <v>27</v>
      </c>
      <c r="I1443" s="7" t="n">
        <v>41.1</v>
      </c>
      <c r="J1443" s="7" t="s">
        <v>39</v>
      </c>
      <c r="K1443" s="7" t="n">
        <v>270.7</v>
      </c>
      <c r="L1443" s="7" t="s">
        <v>37</v>
      </c>
      <c r="M1443" s="7" t="s">
        <v>39</v>
      </c>
    </row>
    <row r="1444" customFormat="false" ht="15" hidden="false" customHeight="true" outlineLevel="0" collapsed="false">
      <c r="A1444" s="7" t="n">
        <v>2236</v>
      </c>
      <c r="B1444" s="7" t="n">
        <v>58</v>
      </c>
      <c r="C1444" s="7" t="s">
        <v>33</v>
      </c>
      <c r="D1444" s="7" t="s">
        <v>41</v>
      </c>
      <c r="E1444" s="7" t="n">
        <v>11</v>
      </c>
      <c r="F1444" s="7" t="n">
        <v>7</v>
      </c>
      <c r="G1444" s="7" t="s">
        <v>26</v>
      </c>
      <c r="H1444" s="7" t="s">
        <v>27</v>
      </c>
      <c r="I1444" s="7" t="n">
        <v>18</v>
      </c>
      <c r="J1444" s="7" t="s">
        <v>39</v>
      </c>
      <c r="K1444" s="7" t="n">
        <v>208.1</v>
      </c>
      <c r="L1444" s="7" t="s">
        <v>29</v>
      </c>
      <c r="M1444" s="7" t="s">
        <v>39</v>
      </c>
    </row>
    <row r="1445" customFormat="false" ht="15" hidden="false" customHeight="true" outlineLevel="0" collapsed="false">
      <c r="A1445" s="7" t="n">
        <v>2262</v>
      </c>
      <c r="B1445" s="7" t="n">
        <v>28</v>
      </c>
      <c r="C1445" s="7" t="s">
        <v>24</v>
      </c>
      <c r="D1445" s="7" t="s">
        <v>41</v>
      </c>
      <c r="E1445" s="7" t="n">
        <v>5</v>
      </c>
      <c r="F1445" s="7" t="n">
        <v>5</v>
      </c>
      <c r="G1445" s="7" t="s">
        <v>35</v>
      </c>
      <c r="H1445" s="7" t="s">
        <v>32</v>
      </c>
      <c r="I1445" s="7" t="n">
        <v>29.5</v>
      </c>
      <c r="J1445" s="7" t="s">
        <v>39</v>
      </c>
      <c r="K1445" s="7" t="n">
        <v>131</v>
      </c>
      <c r="L1445" s="7" t="s">
        <v>29</v>
      </c>
      <c r="M1445" s="7" t="s">
        <v>39</v>
      </c>
    </row>
    <row r="1446" customFormat="false" ht="15" hidden="false" customHeight="true" outlineLevel="0" collapsed="false">
      <c r="A1446" s="7" t="n">
        <v>2359</v>
      </c>
      <c r="B1446" s="7" t="n">
        <v>53</v>
      </c>
      <c r="C1446" s="7" t="s">
        <v>24</v>
      </c>
      <c r="D1446" s="7" t="s">
        <v>41</v>
      </c>
      <c r="E1446" s="7" t="n">
        <v>17</v>
      </c>
      <c r="F1446" s="7" t="n">
        <v>5</v>
      </c>
      <c r="G1446" s="7" t="s">
        <v>34</v>
      </c>
      <c r="H1446" s="7" t="s">
        <v>27</v>
      </c>
      <c r="I1446" s="7" t="n">
        <v>23.9</v>
      </c>
      <c r="J1446" s="7" t="s">
        <v>39</v>
      </c>
      <c r="K1446" s="7" t="n">
        <v>146.1</v>
      </c>
      <c r="L1446" s="7" t="s">
        <v>29</v>
      </c>
      <c r="M1446" s="7" t="s">
        <v>39</v>
      </c>
    </row>
    <row r="1447" customFormat="false" ht="15" hidden="false" customHeight="true" outlineLevel="0" collapsed="false">
      <c r="A1447" s="7" t="n">
        <v>2431</v>
      </c>
      <c r="B1447" s="7" t="n">
        <v>75</v>
      </c>
      <c r="C1447" s="7" t="s">
        <v>33</v>
      </c>
      <c r="D1447" s="7" t="s">
        <v>40</v>
      </c>
      <c r="E1447" s="7" t="n">
        <v>32</v>
      </c>
      <c r="F1447" s="7" t="n">
        <v>16</v>
      </c>
      <c r="G1447" s="7" t="s">
        <v>36</v>
      </c>
      <c r="H1447" s="7" t="s">
        <v>32</v>
      </c>
      <c r="I1447" s="7" t="n">
        <v>23.6</v>
      </c>
      <c r="J1447" s="7" t="s">
        <v>39</v>
      </c>
      <c r="K1447" s="7" t="n">
        <v>246.2</v>
      </c>
      <c r="L1447" s="7" t="s">
        <v>29</v>
      </c>
      <c r="M1447" s="7" t="s">
        <v>39</v>
      </c>
    </row>
    <row r="1448" customFormat="false" ht="15" hidden="false" customHeight="true" outlineLevel="0" collapsed="false">
      <c r="A1448" s="7" t="n">
        <v>2435</v>
      </c>
      <c r="B1448" s="7" t="n">
        <v>63</v>
      </c>
      <c r="C1448" s="7" t="s">
        <v>24</v>
      </c>
      <c r="D1448" s="7" t="s">
        <v>40</v>
      </c>
      <c r="E1448" s="7" t="n">
        <v>25</v>
      </c>
      <c r="F1448" s="7" t="n">
        <v>20</v>
      </c>
      <c r="G1448" s="7" t="s">
        <v>35</v>
      </c>
      <c r="H1448" s="7" t="s">
        <v>27</v>
      </c>
      <c r="I1448" s="7" t="n">
        <v>18.7</v>
      </c>
      <c r="J1448" s="7" t="s">
        <v>39</v>
      </c>
      <c r="K1448" s="7" t="n">
        <v>148.3</v>
      </c>
      <c r="L1448" s="7" t="s">
        <v>37</v>
      </c>
      <c r="M1448" s="7" t="s">
        <v>39</v>
      </c>
    </row>
    <row r="1449" customFormat="false" ht="15" hidden="false" customHeight="true" outlineLevel="0" collapsed="false">
      <c r="A1449" s="7" t="n">
        <v>2455</v>
      </c>
      <c r="B1449" s="7" t="n">
        <v>61</v>
      </c>
      <c r="C1449" s="7" t="s">
        <v>33</v>
      </c>
      <c r="D1449" s="7" t="s">
        <v>40</v>
      </c>
      <c r="E1449" s="7" t="n">
        <v>28</v>
      </c>
      <c r="F1449" s="7" t="n">
        <v>15</v>
      </c>
      <c r="G1449" s="7" t="s">
        <v>34</v>
      </c>
      <c r="H1449" s="7" t="s">
        <v>27</v>
      </c>
      <c r="I1449" s="7" t="n">
        <v>27.6</v>
      </c>
      <c r="J1449" s="7" t="s">
        <v>39</v>
      </c>
      <c r="K1449" s="7" t="n">
        <v>206.3</v>
      </c>
      <c r="L1449" s="7" t="s">
        <v>29</v>
      </c>
      <c r="M1449" s="7" t="s">
        <v>39</v>
      </c>
    </row>
    <row r="1450" customFormat="false" ht="15" hidden="false" customHeight="true" outlineLevel="0" collapsed="false">
      <c r="A1450" s="7" t="n">
        <v>2478</v>
      </c>
      <c r="B1450" s="7" t="n">
        <v>59</v>
      </c>
      <c r="C1450" s="7" t="s">
        <v>24</v>
      </c>
      <c r="D1450" s="7" t="s">
        <v>41</v>
      </c>
      <c r="E1450" s="7" t="n">
        <v>11</v>
      </c>
      <c r="F1450" s="7" t="n">
        <v>11</v>
      </c>
      <c r="G1450" s="7" t="s">
        <v>26</v>
      </c>
      <c r="H1450" s="7" t="s">
        <v>32</v>
      </c>
      <c r="I1450" s="7" t="n">
        <v>27.4</v>
      </c>
      <c r="J1450" s="7" t="s">
        <v>39</v>
      </c>
      <c r="K1450" s="7" t="n">
        <v>297</v>
      </c>
      <c r="L1450" s="7" t="s">
        <v>29</v>
      </c>
      <c r="M1450" s="7" t="s">
        <v>39</v>
      </c>
    </row>
    <row r="1451" customFormat="false" ht="15" hidden="false" customHeight="true" outlineLevel="0" collapsed="false">
      <c r="A1451" s="7" t="n">
        <v>36</v>
      </c>
      <c r="B1451" s="7" t="n">
        <v>33</v>
      </c>
      <c r="C1451" s="7" t="s">
        <v>24</v>
      </c>
      <c r="D1451" s="7" t="s">
        <v>41</v>
      </c>
      <c r="E1451" s="7" t="n">
        <v>13</v>
      </c>
      <c r="F1451" s="7" t="n">
        <v>4</v>
      </c>
      <c r="G1451" s="7" t="s">
        <v>36</v>
      </c>
      <c r="H1451" s="7" t="s">
        <v>27</v>
      </c>
      <c r="I1451" s="7" t="n">
        <v>31.6</v>
      </c>
      <c r="J1451" s="7" t="s">
        <v>39</v>
      </c>
      <c r="K1451" s="7" t="n">
        <v>223.6</v>
      </c>
      <c r="L1451" s="7" t="s">
        <v>29</v>
      </c>
      <c r="M1451" s="7" t="s">
        <v>38</v>
      </c>
    </row>
    <row r="1452" customFormat="false" ht="15" hidden="false" customHeight="true" outlineLevel="0" collapsed="false">
      <c r="A1452" s="7" t="n">
        <v>58</v>
      </c>
      <c r="B1452" s="7" t="n">
        <v>34</v>
      </c>
      <c r="C1452" s="7" t="s">
        <v>24</v>
      </c>
      <c r="D1452" s="7" t="s">
        <v>40</v>
      </c>
      <c r="E1452" s="7" t="n">
        <v>14</v>
      </c>
      <c r="F1452" s="7" t="n">
        <v>28</v>
      </c>
      <c r="G1452" s="7" t="s">
        <v>34</v>
      </c>
      <c r="H1452" s="7" t="s">
        <v>27</v>
      </c>
      <c r="I1452" s="7" t="n">
        <v>28.5</v>
      </c>
      <c r="J1452" s="7" t="s">
        <v>39</v>
      </c>
      <c r="K1452" s="7" t="n">
        <v>208.7</v>
      </c>
      <c r="L1452" s="7" t="s">
        <v>29</v>
      </c>
      <c r="M1452" s="7" t="s">
        <v>38</v>
      </c>
    </row>
    <row r="1453" customFormat="false" ht="15" hidden="false" customHeight="true" outlineLevel="0" collapsed="false">
      <c r="A1453" s="7" t="n">
        <v>69</v>
      </c>
      <c r="B1453" s="7" t="n">
        <v>25</v>
      </c>
      <c r="C1453" s="7" t="s">
        <v>24</v>
      </c>
      <c r="D1453" s="7" t="s">
        <v>40</v>
      </c>
      <c r="E1453" s="7" t="n">
        <v>6</v>
      </c>
      <c r="F1453" s="7" t="n">
        <v>19</v>
      </c>
      <c r="G1453" s="7" t="s">
        <v>35</v>
      </c>
      <c r="H1453" s="7" t="s">
        <v>32</v>
      </c>
      <c r="I1453" s="7" t="n">
        <v>22.1</v>
      </c>
      <c r="J1453" s="7" t="s">
        <v>39</v>
      </c>
      <c r="K1453" s="7" t="n">
        <v>248</v>
      </c>
      <c r="L1453" s="7" t="s">
        <v>37</v>
      </c>
      <c r="M1453" s="7" t="s">
        <v>38</v>
      </c>
    </row>
    <row r="1454" customFormat="false" ht="15" hidden="false" customHeight="true" outlineLevel="0" collapsed="false">
      <c r="A1454" s="7" t="n">
        <v>139</v>
      </c>
      <c r="B1454" s="7" t="n">
        <v>87</v>
      </c>
      <c r="C1454" s="7" t="s">
        <v>33</v>
      </c>
      <c r="D1454" s="7" t="s">
        <v>41</v>
      </c>
      <c r="E1454" s="7" t="n">
        <v>2</v>
      </c>
      <c r="F1454" s="7" t="n">
        <v>7</v>
      </c>
      <c r="G1454" s="7" t="s">
        <v>35</v>
      </c>
      <c r="H1454" s="7" t="s">
        <v>27</v>
      </c>
      <c r="I1454" s="7" t="n">
        <v>27</v>
      </c>
      <c r="J1454" s="7" t="s">
        <v>39</v>
      </c>
      <c r="K1454" s="7" t="n">
        <v>121.6</v>
      </c>
      <c r="L1454" s="7" t="s">
        <v>29</v>
      </c>
      <c r="M1454" s="7" t="s">
        <v>38</v>
      </c>
    </row>
    <row r="1455" customFormat="false" ht="15" hidden="false" customHeight="true" outlineLevel="0" collapsed="false">
      <c r="A1455" s="7" t="n">
        <v>164</v>
      </c>
      <c r="B1455" s="7" t="n">
        <v>72</v>
      </c>
      <c r="C1455" s="7" t="s">
        <v>24</v>
      </c>
      <c r="D1455" s="7" t="s">
        <v>40</v>
      </c>
      <c r="E1455" s="7" t="n">
        <v>17</v>
      </c>
      <c r="F1455" s="7" t="n">
        <v>19</v>
      </c>
      <c r="G1455" s="7" t="s">
        <v>36</v>
      </c>
      <c r="H1455" s="7" t="s">
        <v>27</v>
      </c>
      <c r="I1455" s="7" t="n">
        <v>28.3</v>
      </c>
      <c r="J1455" s="7" t="s">
        <v>39</v>
      </c>
      <c r="K1455" s="7" t="n">
        <v>182.6</v>
      </c>
      <c r="L1455" s="7" t="s">
        <v>29</v>
      </c>
      <c r="M1455" s="7" t="s">
        <v>38</v>
      </c>
    </row>
    <row r="1456" customFormat="false" ht="15" hidden="false" customHeight="true" outlineLevel="0" collapsed="false">
      <c r="A1456" s="7" t="n">
        <v>178</v>
      </c>
      <c r="B1456" s="7" t="n">
        <v>69</v>
      </c>
      <c r="C1456" s="7" t="s">
        <v>33</v>
      </c>
      <c r="D1456" s="7" t="s">
        <v>41</v>
      </c>
      <c r="E1456" s="7" t="n">
        <v>9</v>
      </c>
      <c r="F1456" s="7" t="n">
        <v>13</v>
      </c>
      <c r="G1456" s="7" t="s">
        <v>36</v>
      </c>
      <c r="H1456" s="7" t="s">
        <v>32</v>
      </c>
      <c r="I1456" s="7" t="n">
        <v>39.3</v>
      </c>
      <c r="J1456" s="7" t="s">
        <v>39</v>
      </c>
      <c r="K1456" s="7" t="n">
        <v>261.6</v>
      </c>
      <c r="L1456" s="7" t="s">
        <v>29</v>
      </c>
      <c r="M1456" s="7" t="s">
        <v>38</v>
      </c>
    </row>
    <row r="1457" customFormat="false" ht="15" hidden="false" customHeight="true" outlineLevel="0" collapsed="false">
      <c r="A1457" s="7" t="n">
        <v>182</v>
      </c>
      <c r="B1457" s="7" t="n">
        <v>25</v>
      </c>
      <c r="C1457" s="7" t="s">
        <v>24</v>
      </c>
      <c r="D1457" s="7" t="s">
        <v>40</v>
      </c>
      <c r="E1457" s="7" t="n">
        <v>9</v>
      </c>
      <c r="F1457" s="7" t="n">
        <v>9</v>
      </c>
      <c r="G1457" s="7" t="s">
        <v>36</v>
      </c>
      <c r="H1457" s="7" t="s">
        <v>27</v>
      </c>
      <c r="I1457" s="7" t="n">
        <v>19.1</v>
      </c>
      <c r="J1457" s="7" t="s">
        <v>39</v>
      </c>
      <c r="K1457" s="7" t="n">
        <v>173.2</v>
      </c>
      <c r="L1457" s="7" t="s">
        <v>29</v>
      </c>
      <c r="M1457" s="7" t="s">
        <v>38</v>
      </c>
    </row>
    <row r="1458" customFormat="false" ht="15" hidden="false" customHeight="true" outlineLevel="0" collapsed="false">
      <c r="A1458" s="7" t="n">
        <v>242</v>
      </c>
      <c r="B1458" s="7" t="n">
        <v>73</v>
      </c>
      <c r="C1458" s="7" t="s">
        <v>24</v>
      </c>
      <c r="D1458" s="7" t="s">
        <v>41</v>
      </c>
      <c r="E1458" s="7" t="n">
        <v>7</v>
      </c>
      <c r="F1458" s="7" t="n">
        <v>2</v>
      </c>
      <c r="G1458" s="7" t="s">
        <v>26</v>
      </c>
      <c r="H1458" s="7" t="s">
        <v>27</v>
      </c>
      <c r="I1458" s="7" t="n">
        <v>18.1</v>
      </c>
      <c r="J1458" s="7" t="s">
        <v>39</v>
      </c>
      <c r="K1458" s="7" t="n">
        <v>290.4</v>
      </c>
      <c r="L1458" s="7" t="s">
        <v>29</v>
      </c>
      <c r="M1458" s="7" t="s">
        <v>38</v>
      </c>
    </row>
    <row r="1459" customFormat="false" ht="15" hidden="false" customHeight="true" outlineLevel="0" collapsed="false">
      <c r="A1459" s="7" t="n">
        <v>252</v>
      </c>
      <c r="B1459" s="7" t="n">
        <v>81</v>
      </c>
      <c r="C1459" s="7" t="s">
        <v>33</v>
      </c>
      <c r="D1459" s="7" t="s">
        <v>41</v>
      </c>
      <c r="E1459" s="7" t="n">
        <v>15</v>
      </c>
      <c r="F1459" s="7" t="n">
        <v>11</v>
      </c>
      <c r="G1459" s="7" t="s">
        <v>35</v>
      </c>
      <c r="H1459" s="7" t="s">
        <v>27</v>
      </c>
      <c r="I1459" s="7" t="n">
        <v>38.6</v>
      </c>
      <c r="J1459" s="7" t="s">
        <v>39</v>
      </c>
      <c r="K1459" s="7" t="n">
        <v>193.4</v>
      </c>
      <c r="L1459" s="7" t="s">
        <v>29</v>
      </c>
      <c r="M1459" s="7" t="s">
        <v>38</v>
      </c>
    </row>
    <row r="1460" customFormat="false" ht="15" hidden="false" customHeight="true" outlineLevel="0" collapsed="false">
      <c r="A1460" s="7" t="n">
        <v>266</v>
      </c>
      <c r="B1460" s="7" t="n">
        <v>72</v>
      </c>
      <c r="C1460" s="7" t="s">
        <v>24</v>
      </c>
      <c r="D1460" s="7" t="s">
        <v>40</v>
      </c>
      <c r="E1460" s="7" t="n">
        <v>29</v>
      </c>
      <c r="F1460" s="7" t="n">
        <v>28</v>
      </c>
      <c r="G1460" s="7" t="s">
        <v>26</v>
      </c>
      <c r="H1460" s="7" t="s">
        <v>32</v>
      </c>
      <c r="I1460" s="7" t="n">
        <v>33.7</v>
      </c>
      <c r="J1460" s="7" t="s">
        <v>39</v>
      </c>
      <c r="K1460" s="7" t="n">
        <v>257</v>
      </c>
      <c r="L1460" s="7" t="s">
        <v>29</v>
      </c>
      <c r="M1460" s="7" t="s">
        <v>38</v>
      </c>
    </row>
    <row r="1461" customFormat="false" ht="15" hidden="false" customHeight="true" outlineLevel="0" collapsed="false">
      <c r="A1461" s="7" t="n">
        <v>289</v>
      </c>
      <c r="B1461" s="7" t="n">
        <v>43</v>
      </c>
      <c r="C1461" s="7" t="s">
        <v>33</v>
      </c>
      <c r="D1461" s="7" t="s">
        <v>41</v>
      </c>
      <c r="E1461" s="7" t="n">
        <v>3</v>
      </c>
      <c r="F1461" s="7" t="n">
        <v>12</v>
      </c>
      <c r="G1461" s="7" t="s">
        <v>35</v>
      </c>
      <c r="H1461" s="7" t="s">
        <v>27</v>
      </c>
      <c r="I1461" s="7" t="n">
        <v>27.8</v>
      </c>
      <c r="J1461" s="7" t="s">
        <v>39</v>
      </c>
      <c r="K1461" s="7" t="n">
        <v>272.3</v>
      </c>
      <c r="L1461" s="7" t="s">
        <v>29</v>
      </c>
      <c r="M1461" s="7" t="s">
        <v>38</v>
      </c>
    </row>
    <row r="1462" customFormat="false" ht="15" hidden="false" customHeight="true" outlineLevel="0" collapsed="false">
      <c r="A1462" s="7" t="n">
        <v>301</v>
      </c>
      <c r="B1462" s="7" t="n">
        <v>81</v>
      </c>
      <c r="C1462" s="7" t="s">
        <v>24</v>
      </c>
      <c r="D1462" s="7" t="s">
        <v>41</v>
      </c>
      <c r="E1462" s="7" t="n">
        <v>8</v>
      </c>
      <c r="F1462" s="7" t="n">
        <v>13</v>
      </c>
      <c r="G1462" s="7" t="s">
        <v>35</v>
      </c>
      <c r="H1462" s="7" t="s">
        <v>32</v>
      </c>
      <c r="I1462" s="7" t="n">
        <v>22.7</v>
      </c>
      <c r="J1462" s="7" t="s">
        <v>39</v>
      </c>
      <c r="K1462" s="7" t="n">
        <v>265.6</v>
      </c>
      <c r="L1462" s="7" t="s">
        <v>29</v>
      </c>
      <c r="M1462" s="7" t="s">
        <v>38</v>
      </c>
    </row>
    <row r="1463" customFormat="false" ht="15" hidden="false" customHeight="true" outlineLevel="0" collapsed="false">
      <c r="A1463" s="7" t="n">
        <v>310</v>
      </c>
      <c r="B1463" s="7" t="n">
        <v>43</v>
      </c>
      <c r="C1463" s="7" t="s">
        <v>33</v>
      </c>
      <c r="D1463" s="7" t="s">
        <v>40</v>
      </c>
      <c r="E1463" s="7" t="n">
        <v>5</v>
      </c>
      <c r="F1463" s="7" t="n">
        <v>23</v>
      </c>
      <c r="G1463" s="7" t="s">
        <v>36</v>
      </c>
      <c r="H1463" s="7" t="s">
        <v>27</v>
      </c>
      <c r="I1463" s="7" t="n">
        <v>22.3</v>
      </c>
      <c r="J1463" s="7" t="s">
        <v>39</v>
      </c>
      <c r="K1463" s="7" t="n">
        <v>121.2</v>
      </c>
      <c r="L1463" s="7" t="s">
        <v>29</v>
      </c>
      <c r="M1463" s="7" t="s">
        <v>38</v>
      </c>
    </row>
    <row r="1464" customFormat="false" ht="15" hidden="false" customHeight="true" outlineLevel="0" collapsed="false">
      <c r="A1464" s="7" t="n">
        <v>316</v>
      </c>
      <c r="B1464" s="7" t="n">
        <v>23</v>
      </c>
      <c r="C1464" s="7" t="s">
        <v>33</v>
      </c>
      <c r="D1464" s="7" t="s">
        <v>40</v>
      </c>
      <c r="E1464" s="7" t="n">
        <v>12</v>
      </c>
      <c r="F1464" s="7" t="n">
        <v>23</v>
      </c>
      <c r="G1464" s="7" t="s">
        <v>34</v>
      </c>
      <c r="H1464" s="7" t="s">
        <v>27</v>
      </c>
      <c r="I1464" s="7" t="n">
        <v>38.6</v>
      </c>
      <c r="J1464" s="7" t="s">
        <v>39</v>
      </c>
      <c r="K1464" s="7" t="n">
        <v>274.8</v>
      </c>
      <c r="L1464" s="7" t="s">
        <v>37</v>
      </c>
      <c r="M1464" s="7" t="s">
        <v>38</v>
      </c>
    </row>
    <row r="1465" customFormat="false" ht="15" hidden="false" customHeight="true" outlineLevel="0" collapsed="false">
      <c r="A1465" s="7" t="n">
        <v>348</v>
      </c>
      <c r="B1465" s="7" t="n">
        <v>37</v>
      </c>
      <c r="C1465" s="7" t="s">
        <v>24</v>
      </c>
      <c r="D1465" s="7" t="s">
        <v>40</v>
      </c>
      <c r="E1465" s="7" t="n">
        <v>18</v>
      </c>
      <c r="F1465" s="7" t="n">
        <v>22</v>
      </c>
      <c r="G1465" s="7" t="s">
        <v>34</v>
      </c>
      <c r="H1465" s="7" t="s">
        <v>27</v>
      </c>
      <c r="I1465" s="7" t="n">
        <v>34.5</v>
      </c>
      <c r="J1465" s="7" t="s">
        <v>39</v>
      </c>
      <c r="K1465" s="7" t="n">
        <v>264.5</v>
      </c>
      <c r="L1465" s="7" t="s">
        <v>29</v>
      </c>
      <c r="M1465" s="7" t="s">
        <v>38</v>
      </c>
    </row>
    <row r="1466" customFormat="false" ht="15" hidden="false" customHeight="true" outlineLevel="0" collapsed="false">
      <c r="A1466" s="7" t="n">
        <v>362</v>
      </c>
      <c r="B1466" s="7" t="n">
        <v>55</v>
      </c>
      <c r="C1466" s="7" t="s">
        <v>24</v>
      </c>
      <c r="D1466" s="7" t="s">
        <v>41</v>
      </c>
      <c r="E1466" s="7" t="n">
        <v>2</v>
      </c>
      <c r="F1466" s="7" t="n">
        <v>6</v>
      </c>
      <c r="G1466" s="7" t="s">
        <v>34</v>
      </c>
      <c r="H1466" s="7" t="s">
        <v>32</v>
      </c>
      <c r="I1466" s="7" t="n">
        <v>23.3</v>
      </c>
      <c r="J1466" s="7" t="s">
        <v>39</v>
      </c>
      <c r="K1466" s="7" t="n">
        <v>280.9</v>
      </c>
      <c r="L1466" s="7" t="s">
        <v>29</v>
      </c>
      <c r="M1466" s="7" t="s">
        <v>38</v>
      </c>
    </row>
    <row r="1467" customFormat="false" ht="15" hidden="false" customHeight="true" outlineLevel="0" collapsed="false">
      <c r="A1467" s="7" t="n">
        <v>378</v>
      </c>
      <c r="B1467" s="7" t="n">
        <v>40</v>
      </c>
      <c r="C1467" s="7" t="s">
        <v>24</v>
      </c>
      <c r="D1467" s="7" t="s">
        <v>41</v>
      </c>
      <c r="E1467" s="7" t="n">
        <v>18</v>
      </c>
      <c r="F1467" s="7" t="n">
        <v>5</v>
      </c>
      <c r="G1467" s="7" t="s">
        <v>35</v>
      </c>
      <c r="H1467" s="7" t="s">
        <v>27</v>
      </c>
      <c r="I1467" s="7" t="n">
        <v>31</v>
      </c>
      <c r="J1467" s="7" t="s">
        <v>39</v>
      </c>
      <c r="K1467" s="7" t="n">
        <v>134.9</v>
      </c>
      <c r="L1467" s="7" t="s">
        <v>37</v>
      </c>
      <c r="M1467" s="7" t="s">
        <v>38</v>
      </c>
    </row>
    <row r="1468" customFormat="false" ht="15" hidden="false" customHeight="true" outlineLevel="0" collapsed="false">
      <c r="A1468" s="7" t="n">
        <v>400</v>
      </c>
      <c r="B1468" s="7" t="n">
        <v>47</v>
      </c>
      <c r="C1468" s="7" t="s">
        <v>33</v>
      </c>
      <c r="D1468" s="7" t="s">
        <v>41</v>
      </c>
      <c r="E1468" s="7" t="n">
        <v>15</v>
      </c>
      <c r="F1468" s="7" t="n">
        <v>12</v>
      </c>
      <c r="G1468" s="7" t="s">
        <v>36</v>
      </c>
      <c r="H1468" s="7" t="s">
        <v>32</v>
      </c>
      <c r="I1468" s="7" t="n">
        <v>38.8</v>
      </c>
      <c r="J1468" s="7" t="s">
        <v>39</v>
      </c>
      <c r="K1468" s="7" t="n">
        <v>251</v>
      </c>
      <c r="L1468" s="7" t="s">
        <v>29</v>
      </c>
      <c r="M1468" s="7" t="s">
        <v>38</v>
      </c>
    </row>
    <row r="1469" customFormat="false" ht="15" hidden="false" customHeight="true" outlineLevel="0" collapsed="false">
      <c r="A1469" s="7" t="n">
        <v>404</v>
      </c>
      <c r="B1469" s="7" t="n">
        <v>61</v>
      </c>
      <c r="C1469" s="7" t="s">
        <v>24</v>
      </c>
      <c r="D1469" s="7" t="s">
        <v>40</v>
      </c>
      <c r="E1469" s="7" t="n">
        <v>26</v>
      </c>
      <c r="F1469" s="7" t="n">
        <v>8</v>
      </c>
      <c r="G1469" s="7" t="s">
        <v>26</v>
      </c>
      <c r="H1469" s="7" t="s">
        <v>32</v>
      </c>
      <c r="I1469" s="7" t="n">
        <v>20.9</v>
      </c>
      <c r="J1469" s="7" t="s">
        <v>39</v>
      </c>
      <c r="K1469" s="7" t="n">
        <v>295.9</v>
      </c>
      <c r="L1469" s="7" t="s">
        <v>29</v>
      </c>
      <c r="M1469" s="7" t="s">
        <v>38</v>
      </c>
    </row>
    <row r="1470" customFormat="false" ht="15" hidden="false" customHeight="true" outlineLevel="0" collapsed="false">
      <c r="A1470" s="7" t="n">
        <v>412</v>
      </c>
      <c r="B1470" s="7" t="n">
        <v>38</v>
      </c>
      <c r="C1470" s="7" t="s">
        <v>24</v>
      </c>
      <c r="D1470" s="7" t="s">
        <v>41</v>
      </c>
      <c r="E1470" s="7" t="n">
        <v>7</v>
      </c>
      <c r="F1470" s="7" t="n">
        <v>8</v>
      </c>
      <c r="G1470" s="7" t="s">
        <v>26</v>
      </c>
      <c r="H1470" s="7" t="s">
        <v>27</v>
      </c>
      <c r="I1470" s="7" t="n">
        <v>25.5</v>
      </c>
      <c r="J1470" s="7" t="s">
        <v>39</v>
      </c>
      <c r="K1470" s="7" t="n">
        <v>193.2</v>
      </c>
      <c r="L1470" s="7" t="s">
        <v>37</v>
      </c>
      <c r="M1470" s="7" t="s">
        <v>38</v>
      </c>
    </row>
    <row r="1471" customFormat="false" ht="15" hidden="false" customHeight="true" outlineLevel="0" collapsed="false">
      <c r="A1471" s="7" t="n">
        <v>435</v>
      </c>
      <c r="B1471" s="7" t="n">
        <v>85</v>
      </c>
      <c r="C1471" s="7" t="s">
        <v>33</v>
      </c>
      <c r="D1471" s="7" t="s">
        <v>40</v>
      </c>
      <c r="E1471" s="7" t="n">
        <v>8</v>
      </c>
      <c r="F1471" s="7" t="n">
        <v>22</v>
      </c>
      <c r="G1471" s="7" t="s">
        <v>36</v>
      </c>
      <c r="H1471" s="7" t="s">
        <v>32</v>
      </c>
      <c r="I1471" s="7" t="n">
        <v>30.9</v>
      </c>
      <c r="J1471" s="7" t="s">
        <v>39</v>
      </c>
      <c r="K1471" s="7" t="n">
        <v>233.7</v>
      </c>
      <c r="L1471" s="7" t="s">
        <v>29</v>
      </c>
      <c r="M1471" s="7" t="s">
        <v>38</v>
      </c>
    </row>
    <row r="1472" customFormat="false" ht="15" hidden="false" customHeight="true" outlineLevel="0" collapsed="false">
      <c r="A1472" s="7" t="n">
        <v>473</v>
      </c>
      <c r="B1472" s="7" t="n">
        <v>46</v>
      </c>
      <c r="C1472" s="7" t="s">
        <v>24</v>
      </c>
      <c r="D1472" s="7" t="s">
        <v>41</v>
      </c>
      <c r="E1472" s="7" t="n">
        <v>2</v>
      </c>
      <c r="F1472" s="7" t="n">
        <v>7</v>
      </c>
      <c r="G1472" s="7" t="s">
        <v>35</v>
      </c>
      <c r="H1472" s="7" t="s">
        <v>27</v>
      </c>
      <c r="I1472" s="7" t="n">
        <v>35.1</v>
      </c>
      <c r="J1472" s="7" t="s">
        <v>39</v>
      </c>
      <c r="K1472" s="7" t="n">
        <v>197.5</v>
      </c>
      <c r="L1472" s="7" t="s">
        <v>37</v>
      </c>
      <c r="M1472" s="7" t="s">
        <v>38</v>
      </c>
    </row>
    <row r="1473" customFormat="false" ht="15" hidden="false" customHeight="true" outlineLevel="0" collapsed="false">
      <c r="A1473" s="7" t="n">
        <v>549</v>
      </c>
      <c r="B1473" s="7" t="n">
        <v>77</v>
      </c>
      <c r="C1473" s="7" t="s">
        <v>24</v>
      </c>
      <c r="D1473" s="7" t="s">
        <v>40</v>
      </c>
      <c r="E1473" s="7" t="n">
        <v>7</v>
      </c>
      <c r="F1473" s="7" t="n">
        <v>7</v>
      </c>
      <c r="G1473" s="7" t="s">
        <v>31</v>
      </c>
      <c r="H1473" s="7" t="s">
        <v>32</v>
      </c>
      <c r="I1473" s="7" t="n">
        <v>34.3</v>
      </c>
      <c r="J1473" s="7" t="s">
        <v>39</v>
      </c>
      <c r="K1473" s="7" t="n">
        <v>160.5</v>
      </c>
      <c r="L1473" s="7" t="s">
        <v>29</v>
      </c>
      <c r="M1473" s="7" t="s">
        <v>38</v>
      </c>
    </row>
    <row r="1474" customFormat="false" ht="15" hidden="false" customHeight="true" outlineLevel="0" collapsed="false">
      <c r="A1474" s="7" t="n">
        <v>580</v>
      </c>
      <c r="B1474" s="7" t="n">
        <v>74</v>
      </c>
      <c r="C1474" s="7" t="s">
        <v>24</v>
      </c>
      <c r="D1474" s="7" t="s">
        <v>41</v>
      </c>
      <c r="E1474" s="7" t="n">
        <v>16</v>
      </c>
      <c r="F1474" s="7" t="n">
        <v>9</v>
      </c>
      <c r="G1474" s="7" t="s">
        <v>26</v>
      </c>
      <c r="H1474" s="7" t="s">
        <v>27</v>
      </c>
      <c r="I1474" s="7" t="n">
        <v>33.6</v>
      </c>
      <c r="J1474" s="7" t="s">
        <v>39</v>
      </c>
      <c r="K1474" s="7" t="n">
        <v>284.8</v>
      </c>
      <c r="L1474" s="7" t="s">
        <v>29</v>
      </c>
      <c r="M1474" s="7" t="s">
        <v>38</v>
      </c>
    </row>
    <row r="1475" customFormat="false" ht="15" hidden="false" customHeight="true" outlineLevel="0" collapsed="false">
      <c r="A1475" s="7" t="n">
        <v>593</v>
      </c>
      <c r="B1475" s="7" t="n">
        <v>75</v>
      </c>
      <c r="C1475" s="7" t="s">
        <v>24</v>
      </c>
      <c r="D1475" s="7" t="s">
        <v>40</v>
      </c>
      <c r="E1475" s="7" t="n">
        <v>38</v>
      </c>
      <c r="F1475" s="7" t="n">
        <v>23</v>
      </c>
      <c r="G1475" s="7" t="s">
        <v>35</v>
      </c>
      <c r="H1475" s="7" t="s">
        <v>27</v>
      </c>
      <c r="I1475" s="7" t="n">
        <v>19.1</v>
      </c>
      <c r="J1475" s="7" t="s">
        <v>39</v>
      </c>
      <c r="K1475" s="7" t="n">
        <v>240</v>
      </c>
      <c r="L1475" s="7" t="s">
        <v>37</v>
      </c>
      <c r="M1475" s="7" t="s">
        <v>38</v>
      </c>
    </row>
    <row r="1476" customFormat="false" ht="15" hidden="false" customHeight="true" outlineLevel="0" collapsed="false">
      <c r="A1476" s="7" t="n">
        <v>626</v>
      </c>
      <c r="B1476" s="7" t="n">
        <v>37</v>
      </c>
      <c r="C1476" s="7" t="s">
        <v>33</v>
      </c>
      <c r="D1476" s="7" t="s">
        <v>41</v>
      </c>
      <c r="E1476" s="7" t="n">
        <v>5</v>
      </c>
      <c r="F1476" s="7" t="n">
        <v>3</v>
      </c>
      <c r="G1476" s="7" t="s">
        <v>31</v>
      </c>
      <c r="H1476" s="7" t="s">
        <v>32</v>
      </c>
      <c r="I1476" s="7" t="n">
        <v>38.7</v>
      </c>
      <c r="J1476" s="7" t="s">
        <v>39</v>
      </c>
      <c r="K1476" s="7" t="n">
        <v>285.6</v>
      </c>
      <c r="L1476" s="7" t="s">
        <v>37</v>
      </c>
      <c r="M1476" s="7" t="s">
        <v>38</v>
      </c>
    </row>
    <row r="1477" customFormat="false" ht="15" hidden="false" customHeight="true" outlineLevel="0" collapsed="false">
      <c r="A1477" s="7" t="n">
        <v>641</v>
      </c>
      <c r="B1477" s="7" t="n">
        <v>88</v>
      </c>
      <c r="C1477" s="7" t="s">
        <v>24</v>
      </c>
      <c r="D1477" s="7" t="s">
        <v>41</v>
      </c>
      <c r="E1477" s="7" t="n">
        <v>15</v>
      </c>
      <c r="F1477" s="7" t="n">
        <v>7</v>
      </c>
      <c r="G1477" s="7" t="s">
        <v>35</v>
      </c>
      <c r="H1477" s="7" t="s">
        <v>32</v>
      </c>
      <c r="I1477" s="7" t="n">
        <v>23.7</v>
      </c>
      <c r="J1477" s="7" t="s">
        <v>39</v>
      </c>
      <c r="K1477" s="7" t="n">
        <v>196.8</v>
      </c>
      <c r="L1477" s="7" t="s">
        <v>29</v>
      </c>
      <c r="M1477" s="7" t="s">
        <v>38</v>
      </c>
    </row>
    <row r="1478" customFormat="false" ht="15" hidden="false" customHeight="true" outlineLevel="0" collapsed="false">
      <c r="A1478" s="7" t="n">
        <v>677</v>
      </c>
      <c r="B1478" s="7" t="n">
        <v>27</v>
      </c>
      <c r="C1478" s="7" t="s">
        <v>33</v>
      </c>
      <c r="D1478" s="7" t="s">
        <v>40</v>
      </c>
      <c r="E1478" s="7" t="n">
        <v>13</v>
      </c>
      <c r="F1478" s="7" t="n">
        <v>7</v>
      </c>
      <c r="G1478" s="7" t="s">
        <v>36</v>
      </c>
      <c r="H1478" s="7" t="s">
        <v>32</v>
      </c>
      <c r="I1478" s="7" t="n">
        <v>18.9</v>
      </c>
      <c r="J1478" s="7" t="s">
        <v>39</v>
      </c>
      <c r="K1478" s="7" t="n">
        <v>193.4</v>
      </c>
      <c r="L1478" s="7" t="s">
        <v>37</v>
      </c>
      <c r="M1478" s="7" t="s">
        <v>38</v>
      </c>
    </row>
    <row r="1479" customFormat="false" ht="15" hidden="false" customHeight="true" outlineLevel="0" collapsed="false">
      <c r="A1479" s="7" t="n">
        <v>685</v>
      </c>
      <c r="B1479" s="7" t="n">
        <v>51</v>
      </c>
      <c r="C1479" s="7" t="s">
        <v>33</v>
      </c>
      <c r="D1479" s="7" t="s">
        <v>41</v>
      </c>
      <c r="E1479" s="7" t="n">
        <v>12</v>
      </c>
      <c r="F1479" s="7" t="n">
        <v>10</v>
      </c>
      <c r="G1479" s="7" t="s">
        <v>36</v>
      </c>
      <c r="H1479" s="7" t="s">
        <v>32</v>
      </c>
      <c r="I1479" s="7" t="n">
        <v>22.4</v>
      </c>
      <c r="J1479" s="7" t="s">
        <v>39</v>
      </c>
      <c r="K1479" s="7" t="n">
        <v>155.5</v>
      </c>
      <c r="L1479" s="7" t="s">
        <v>37</v>
      </c>
      <c r="M1479" s="7" t="s">
        <v>38</v>
      </c>
    </row>
    <row r="1480" customFormat="false" ht="15" hidden="false" customHeight="true" outlineLevel="0" collapsed="false">
      <c r="A1480" s="7" t="n">
        <v>717</v>
      </c>
      <c r="B1480" s="7" t="n">
        <v>26</v>
      </c>
      <c r="C1480" s="7" t="s">
        <v>33</v>
      </c>
      <c r="D1480" s="7" t="s">
        <v>40</v>
      </c>
      <c r="E1480" s="7" t="n">
        <v>13</v>
      </c>
      <c r="F1480" s="7" t="n">
        <v>11</v>
      </c>
      <c r="G1480" s="7" t="s">
        <v>36</v>
      </c>
      <c r="H1480" s="7" t="s">
        <v>32</v>
      </c>
      <c r="I1480" s="7" t="n">
        <v>20.3</v>
      </c>
      <c r="J1480" s="7" t="s">
        <v>39</v>
      </c>
      <c r="K1480" s="7" t="n">
        <v>167.7</v>
      </c>
      <c r="L1480" s="7" t="s">
        <v>29</v>
      </c>
      <c r="M1480" s="7" t="s">
        <v>38</v>
      </c>
    </row>
    <row r="1481" customFormat="false" ht="15" hidden="false" customHeight="true" outlineLevel="0" collapsed="false">
      <c r="A1481" s="7" t="n">
        <v>718</v>
      </c>
      <c r="B1481" s="7" t="n">
        <v>49</v>
      </c>
      <c r="C1481" s="7" t="s">
        <v>24</v>
      </c>
      <c r="D1481" s="7" t="s">
        <v>40</v>
      </c>
      <c r="E1481" s="7" t="n">
        <v>10</v>
      </c>
      <c r="F1481" s="7" t="n">
        <v>17</v>
      </c>
      <c r="G1481" s="7" t="s">
        <v>35</v>
      </c>
      <c r="H1481" s="7" t="s">
        <v>27</v>
      </c>
      <c r="I1481" s="7" t="n">
        <v>41.1</v>
      </c>
      <c r="J1481" s="7" t="s">
        <v>39</v>
      </c>
      <c r="K1481" s="7" t="n">
        <v>168.7</v>
      </c>
      <c r="L1481" s="7" t="s">
        <v>29</v>
      </c>
      <c r="M1481" s="7" t="s">
        <v>38</v>
      </c>
    </row>
    <row r="1482" customFormat="false" ht="15" hidden="false" customHeight="true" outlineLevel="0" collapsed="false">
      <c r="A1482" s="7" t="n">
        <v>721</v>
      </c>
      <c r="B1482" s="7" t="n">
        <v>46</v>
      </c>
      <c r="C1482" s="7" t="s">
        <v>33</v>
      </c>
      <c r="D1482" s="7" t="s">
        <v>41</v>
      </c>
      <c r="E1482" s="7" t="n">
        <v>4</v>
      </c>
      <c r="F1482" s="7" t="n">
        <v>10</v>
      </c>
      <c r="G1482" s="7" t="s">
        <v>31</v>
      </c>
      <c r="H1482" s="7" t="s">
        <v>27</v>
      </c>
      <c r="I1482" s="7" t="n">
        <v>36.5</v>
      </c>
      <c r="J1482" s="7" t="s">
        <v>39</v>
      </c>
      <c r="K1482" s="7" t="n">
        <v>161.1</v>
      </c>
      <c r="L1482" s="7" t="s">
        <v>29</v>
      </c>
      <c r="M1482" s="7" t="s">
        <v>38</v>
      </c>
    </row>
    <row r="1483" customFormat="false" ht="15" hidden="false" customHeight="true" outlineLevel="0" collapsed="false">
      <c r="A1483" s="7" t="n">
        <v>724</v>
      </c>
      <c r="B1483" s="7" t="n">
        <v>48</v>
      </c>
      <c r="C1483" s="7" t="s">
        <v>24</v>
      </c>
      <c r="D1483" s="7" t="s">
        <v>41</v>
      </c>
      <c r="E1483" s="7" t="n">
        <v>7</v>
      </c>
      <c r="F1483" s="7" t="n">
        <v>3</v>
      </c>
      <c r="G1483" s="7" t="s">
        <v>36</v>
      </c>
      <c r="H1483" s="7" t="s">
        <v>32</v>
      </c>
      <c r="I1483" s="7" t="n">
        <v>39.6</v>
      </c>
      <c r="J1483" s="7" t="s">
        <v>39</v>
      </c>
      <c r="K1483" s="7" t="n">
        <v>132.8</v>
      </c>
      <c r="L1483" s="7" t="s">
        <v>29</v>
      </c>
      <c r="M1483" s="7" t="s">
        <v>38</v>
      </c>
    </row>
    <row r="1484" customFormat="false" ht="15" hidden="false" customHeight="true" outlineLevel="0" collapsed="false">
      <c r="A1484" s="7" t="n">
        <v>756</v>
      </c>
      <c r="B1484" s="7" t="n">
        <v>20</v>
      </c>
      <c r="C1484" s="7" t="s">
        <v>24</v>
      </c>
      <c r="D1484" s="7" t="s">
        <v>41</v>
      </c>
      <c r="E1484" s="7" t="n">
        <v>1</v>
      </c>
      <c r="F1484" s="7" t="n">
        <v>10</v>
      </c>
      <c r="G1484" s="7" t="s">
        <v>35</v>
      </c>
      <c r="H1484" s="7" t="s">
        <v>32</v>
      </c>
      <c r="I1484" s="7" t="n">
        <v>33.4</v>
      </c>
      <c r="J1484" s="7" t="s">
        <v>39</v>
      </c>
      <c r="K1484" s="7" t="n">
        <v>287.6</v>
      </c>
      <c r="L1484" s="7" t="s">
        <v>29</v>
      </c>
      <c r="M1484" s="7" t="s">
        <v>38</v>
      </c>
    </row>
    <row r="1485" customFormat="false" ht="15" hidden="false" customHeight="true" outlineLevel="0" collapsed="false">
      <c r="A1485" s="7" t="n">
        <v>759</v>
      </c>
      <c r="B1485" s="7" t="n">
        <v>20</v>
      </c>
      <c r="C1485" s="7" t="s">
        <v>33</v>
      </c>
      <c r="D1485" s="7" t="s">
        <v>41</v>
      </c>
      <c r="E1485" s="7" t="n">
        <v>6</v>
      </c>
      <c r="F1485" s="7" t="n">
        <v>4</v>
      </c>
      <c r="G1485" s="7" t="s">
        <v>35</v>
      </c>
      <c r="H1485" s="7" t="s">
        <v>27</v>
      </c>
      <c r="I1485" s="7" t="n">
        <v>29.5</v>
      </c>
      <c r="J1485" s="7" t="s">
        <v>39</v>
      </c>
      <c r="K1485" s="7" t="n">
        <v>215.5</v>
      </c>
      <c r="L1485" s="7" t="s">
        <v>37</v>
      </c>
      <c r="M1485" s="7" t="s">
        <v>38</v>
      </c>
    </row>
    <row r="1486" customFormat="false" ht="15" hidden="false" customHeight="true" outlineLevel="0" collapsed="false">
      <c r="A1486" s="7" t="n">
        <v>764</v>
      </c>
      <c r="B1486" s="7" t="n">
        <v>57</v>
      </c>
      <c r="C1486" s="7" t="s">
        <v>33</v>
      </c>
      <c r="D1486" s="7" t="s">
        <v>40</v>
      </c>
      <c r="E1486" s="7" t="n">
        <v>9</v>
      </c>
      <c r="F1486" s="7" t="n">
        <v>27</v>
      </c>
      <c r="G1486" s="7" t="s">
        <v>36</v>
      </c>
      <c r="H1486" s="7" t="s">
        <v>32</v>
      </c>
      <c r="I1486" s="7" t="n">
        <v>24.8</v>
      </c>
      <c r="J1486" s="7" t="s">
        <v>39</v>
      </c>
      <c r="K1486" s="7" t="n">
        <v>271.3</v>
      </c>
      <c r="L1486" s="7" t="s">
        <v>29</v>
      </c>
      <c r="M1486" s="7" t="s">
        <v>38</v>
      </c>
    </row>
    <row r="1487" customFormat="false" ht="15" hidden="false" customHeight="true" outlineLevel="0" collapsed="false">
      <c r="A1487" s="7" t="n">
        <v>798</v>
      </c>
      <c r="B1487" s="7" t="n">
        <v>27</v>
      </c>
      <c r="C1487" s="7" t="s">
        <v>24</v>
      </c>
      <c r="D1487" s="7" t="s">
        <v>40</v>
      </c>
      <c r="E1487" s="7" t="n">
        <v>28</v>
      </c>
      <c r="F1487" s="7" t="n">
        <v>27</v>
      </c>
      <c r="G1487" s="7" t="s">
        <v>34</v>
      </c>
      <c r="H1487" s="7" t="s">
        <v>27</v>
      </c>
      <c r="I1487" s="7" t="n">
        <v>20.6</v>
      </c>
      <c r="J1487" s="7" t="s">
        <v>39</v>
      </c>
      <c r="K1487" s="7" t="n">
        <v>294.4</v>
      </c>
      <c r="L1487" s="7" t="s">
        <v>29</v>
      </c>
      <c r="M1487" s="7" t="s">
        <v>38</v>
      </c>
    </row>
    <row r="1488" customFormat="false" ht="15" hidden="false" customHeight="true" outlineLevel="0" collapsed="false">
      <c r="A1488" s="7" t="n">
        <v>799</v>
      </c>
      <c r="B1488" s="7" t="n">
        <v>36</v>
      </c>
      <c r="C1488" s="7" t="s">
        <v>33</v>
      </c>
      <c r="D1488" s="7" t="s">
        <v>41</v>
      </c>
      <c r="E1488" s="7" t="n">
        <v>2</v>
      </c>
      <c r="F1488" s="7" t="n">
        <v>4</v>
      </c>
      <c r="G1488" s="7" t="s">
        <v>36</v>
      </c>
      <c r="H1488" s="7" t="s">
        <v>27</v>
      </c>
      <c r="I1488" s="7" t="n">
        <v>18.4</v>
      </c>
      <c r="J1488" s="7" t="s">
        <v>39</v>
      </c>
      <c r="K1488" s="7" t="n">
        <v>215.4</v>
      </c>
      <c r="L1488" s="7" t="s">
        <v>29</v>
      </c>
      <c r="M1488" s="7" t="s">
        <v>38</v>
      </c>
    </row>
    <row r="1489" customFormat="false" ht="15" hidden="false" customHeight="true" outlineLevel="0" collapsed="false">
      <c r="A1489" s="7" t="n">
        <v>804</v>
      </c>
      <c r="B1489" s="7" t="n">
        <v>42</v>
      </c>
      <c r="C1489" s="7" t="s">
        <v>24</v>
      </c>
      <c r="D1489" s="7" t="s">
        <v>41</v>
      </c>
      <c r="E1489" s="7" t="n">
        <v>19</v>
      </c>
      <c r="F1489" s="7" t="n">
        <v>4</v>
      </c>
      <c r="G1489" s="7" t="s">
        <v>36</v>
      </c>
      <c r="H1489" s="7" t="s">
        <v>32</v>
      </c>
      <c r="I1489" s="7" t="n">
        <v>19.4</v>
      </c>
      <c r="J1489" s="7" t="s">
        <v>39</v>
      </c>
      <c r="K1489" s="7" t="n">
        <v>222.3</v>
      </c>
      <c r="L1489" s="7" t="s">
        <v>29</v>
      </c>
      <c r="M1489" s="7" t="s">
        <v>38</v>
      </c>
    </row>
    <row r="1490" customFormat="false" ht="15" hidden="false" customHeight="true" outlineLevel="0" collapsed="false">
      <c r="A1490" s="7" t="n">
        <v>833</v>
      </c>
      <c r="B1490" s="7" t="n">
        <v>28</v>
      </c>
      <c r="C1490" s="7" t="s">
        <v>33</v>
      </c>
      <c r="D1490" s="7" t="s">
        <v>40</v>
      </c>
      <c r="E1490" s="7" t="n">
        <v>10</v>
      </c>
      <c r="F1490" s="7" t="n">
        <v>22</v>
      </c>
      <c r="G1490" s="7" t="s">
        <v>31</v>
      </c>
      <c r="H1490" s="7" t="s">
        <v>32</v>
      </c>
      <c r="I1490" s="7" t="n">
        <v>33.8</v>
      </c>
      <c r="J1490" s="7" t="s">
        <v>39</v>
      </c>
      <c r="K1490" s="7" t="n">
        <v>200.5</v>
      </c>
      <c r="L1490" s="7" t="s">
        <v>29</v>
      </c>
      <c r="M1490" s="7" t="s">
        <v>38</v>
      </c>
    </row>
    <row r="1491" customFormat="false" ht="15" hidden="false" customHeight="true" outlineLevel="0" collapsed="false">
      <c r="A1491" s="7" t="n">
        <v>839</v>
      </c>
      <c r="B1491" s="7" t="n">
        <v>62</v>
      </c>
      <c r="C1491" s="7" t="s">
        <v>33</v>
      </c>
      <c r="D1491" s="7" t="s">
        <v>41</v>
      </c>
      <c r="E1491" s="7" t="n">
        <v>16</v>
      </c>
      <c r="F1491" s="7" t="n">
        <v>12</v>
      </c>
      <c r="G1491" s="7" t="s">
        <v>36</v>
      </c>
      <c r="H1491" s="7" t="s">
        <v>32</v>
      </c>
      <c r="I1491" s="7" t="n">
        <v>35.8</v>
      </c>
      <c r="J1491" s="7" t="s">
        <v>39</v>
      </c>
      <c r="K1491" s="7" t="n">
        <v>125.9</v>
      </c>
      <c r="L1491" s="7" t="s">
        <v>29</v>
      </c>
      <c r="M1491" s="7" t="s">
        <v>38</v>
      </c>
    </row>
    <row r="1492" customFormat="false" ht="15" hidden="false" customHeight="true" outlineLevel="0" collapsed="false">
      <c r="A1492" s="7" t="n">
        <v>850</v>
      </c>
      <c r="B1492" s="7" t="n">
        <v>62</v>
      </c>
      <c r="C1492" s="7" t="s">
        <v>33</v>
      </c>
      <c r="D1492" s="7" t="s">
        <v>40</v>
      </c>
      <c r="E1492" s="7" t="n">
        <v>12</v>
      </c>
      <c r="F1492" s="7" t="n">
        <v>27</v>
      </c>
      <c r="G1492" s="7" t="s">
        <v>34</v>
      </c>
      <c r="H1492" s="7" t="s">
        <v>27</v>
      </c>
      <c r="I1492" s="7" t="n">
        <v>33</v>
      </c>
      <c r="J1492" s="7" t="s">
        <v>39</v>
      </c>
      <c r="K1492" s="7" t="n">
        <v>138.2</v>
      </c>
      <c r="L1492" s="7" t="s">
        <v>29</v>
      </c>
      <c r="M1492" s="7" t="s">
        <v>38</v>
      </c>
    </row>
    <row r="1493" customFormat="false" ht="15" hidden="false" customHeight="true" outlineLevel="0" collapsed="false">
      <c r="A1493" s="7" t="n">
        <v>875</v>
      </c>
      <c r="B1493" s="7" t="n">
        <v>36</v>
      </c>
      <c r="C1493" s="7" t="s">
        <v>24</v>
      </c>
      <c r="D1493" s="7" t="s">
        <v>40</v>
      </c>
      <c r="E1493" s="7" t="n">
        <v>39</v>
      </c>
      <c r="F1493" s="7" t="n">
        <v>14</v>
      </c>
      <c r="G1493" s="7" t="s">
        <v>34</v>
      </c>
      <c r="H1493" s="7" t="s">
        <v>27</v>
      </c>
      <c r="I1493" s="7" t="n">
        <v>23.5</v>
      </c>
      <c r="J1493" s="7" t="s">
        <v>39</v>
      </c>
      <c r="K1493" s="7" t="n">
        <v>268.3</v>
      </c>
      <c r="L1493" s="7" t="s">
        <v>29</v>
      </c>
      <c r="M1493" s="7" t="s">
        <v>38</v>
      </c>
    </row>
    <row r="1494" customFormat="false" ht="15" hidden="false" customHeight="true" outlineLevel="0" collapsed="false">
      <c r="A1494" s="7" t="n">
        <v>915</v>
      </c>
      <c r="B1494" s="7" t="n">
        <v>82</v>
      </c>
      <c r="C1494" s="7" t="s">
        <v>33</v>
      </c>
      <c r="D1494" s="7" t="s">
        <v>40</v>
      </c>
      <c r="E1494" s="7" t="n">
        <v>7</v>
      </c>
      <c r="F1494" s="7" t="n">
        <v>20</v>
      </c>
      <c r="G1494" s="7" t="s">
        <v>31</v>
      </c>
      <c r="H1494" s="7" t="s">
        <v>32</v>
      </c>
      <c r="I1494" s="7" t="n">
        <v>40.4</v>
      </c>
      <c r="J1494" s="7" t="s">
        <v>39</v>
      </c>
      <c r="K1494" s="7" t="n">
        <v>280</v>
      </c>
      <c r="L1494" s="7" t="s">
        <v>29</v>
      </c>
      <c r="M1494" s="7" t="s">
        <v>38</v>
      </c>
    </row>
    <row r="1495" customFormat="false" ht="15" hidden="false" customHeight="true" outlineLevel="0" collapsed="false">
      <c r="A1495" s="7" t="n">
        <v>918</v>
      </c>
      <c r="B1495" s="7" t="n">
        <v>20</v>
      </c>
      <c r="C1495" s="7" t="s">
        <v>24</v>
      </c>
      <c r="D1495" s="7" t="s">
        <v>40</v>
      </c>
      <c r="E1495" s="7" t="n">
        <v>25</v>
      </c>
      <c r="F1495" s="7" t="n">
        <v>28</v>
      </c>
      <c r="G1495" s="7" t="s">
        <v>34</v>
      </c>
      <c r="H1495" s="7" t="s">
        <v>27</v>
      </c>
      <c r="I1495" s="7" t="n">
        <v>37.9</v>
      </c>
      <c r="J1495" s="7" t="s">
        <v>39</v>
      </c>
      <c r="K1495" s="7" t="n">
        <v>153.4</v>
      </c>
      <c r="L1495" s="7" t="s">
        <v>29</v>
      </c>
      <c r="M1495" s="7" t="s">
        <v>38</v>
      </c>
    </row>
    <row r="1496" customFormat="false" ht="15" hidden="false" customHeight="true" outlineLevel="0" collapsed="false">
      <c r="A1496" s="7" t="n">
        <v>979</v>
      </c>
      <c r="B1496" s="7" t="n">
        <v>89</v>
      </c>
      <c r="C1496" s="7" t="s">
        <v>24</v>
      </c>
      <c r="D1496" s="7" t="s">
        <v>40</v>
      </c>
      <c r="E1496" s="7" t="n">
        <v>13</v>
      </c>
      <c r="F1496" s="7" t="n">
        <v>7</v>
      </c>
      <c r="G1496" s="7" t="s">
        <v>31</v>
      </c>
      <c r="H1496" s="7" t="s">
        <v>27</v>
      </c>
      <c r="I1496" s="7" t="n">
        <v>29.9</v>
      </c>
      <c r="J1496" s="7" t="s">
        <v>39</v>
      </c>
      <c r="K1496" s="7" t="n">
        <v>238.7</v>
      </c>
      <c r="L1496" s="7" t="s">
        <v>29</v>
      </c>
      <c r="M1496" s="7" t="s">
        <v>38</v>
      </c>
    </row>
    <row r="1497" customFormat="false" ht="15" hidden="false" customHeight="true" outlineLevel="0" collapsed="false">
      <c r="A1497" s="7" t="n">
        <v>990</v>
      </c>
      <c r="B1497" s="7" t="n">
        <v>88</v>
      </c>
      <c r="C1497" s="7" t="s">
        <v>33</v>
      </c>
      <c r="D1497" s="7" t="s">
        <v>41</v>
      </c>
      <c r="E1497" s="7" t="n">
        <v>18</v>
      </c>
      <c r="F1497" s="7" t="n">
        <v>12</v>
      </c>
      <c r="G1497" s="7" t="s">
        <v>36</v>
      </c>
      <c r="H1497" s="7" t="s">
        <v>27</v>
      </c>
      <c r="I1497" s="7" t="n">
        <v>31.3</v>
      </c>
      <c r="J1497" s="7" t="s">
        <v>39</v>
      </c>
      <c r="K1497" s="7" t="n">
        <v>206.6</v>
      </c>
      <c r="L1497" s="7" t="s">
        <v>37</v>
      </c>
      <c r="M1497" s="7" t="s">
        <v>38</v>
      </c>
    </row>
    <row r="1498" customFormat="false" ht="15" hidden="false" customHeight="true" outlineLevel="0" collapsed="false">
      <c r="A1498" s="7" t="n">
        <v>997</v>
      </c>
      <c r="B1498" s="7" t="n">
        <v>74</v>
      </c>
      <c r="C1498" s="7" t="s">
        <v>24</v>
      </c>
      <c r="D1498" s="7" t="s">
        <v>41</v>
      </c>
      <c r="E1498" s="7" t="n">
        <v>17</v>
      </c>
      <c r="F1498" s="7" t="n">
        <v>8</v>
      </c>
      <c r="G1498" s="7" t="s">
        <v>35</v>
      </c>
      <c r="H1498" s="7" t="s">
        <v>27</v>
      </c>
      <c r="I1498" s="7" t="n">
        <v>28.1</v>
      </c>
      <c r="J1498" s="7" t="s">
        <v>39</v>
      </c>
      <c r="K1498" s="7" t="n">
        <v>270.3</v>
      </c>
      <c r="L1498" s="7" t="s">
        <v>29</v>
      </c>
      <c r="M1498" s="7" t="s">
        <v>38</v>
      </c>
    </row>
    <row r="1499" customFormat="false" ht="15" hidden="false" customHeight="true" outlineLevel="0" collapsed="false">
      <c r="A1499" s="7" t="n">
        <v>1009</v>
      </c>
      <c r="B1499" s="7" t="n">
        <v>41</v>
      </c>
      <c r="C1499" s="7" t="s">
        <v>24</v>
      </c>
      <c r="D1499" s="7" t="s">
        <v>41</v>
      </c>
      <c r="E1499" s="7" t="n">
        <v>5</v>
      </c>
      <c r="F1499" s="7" t="n">
        <v>4</v>
      </c>
      <c r="G1499" s="7" t="s">
        <v>36</v>
      </c>
      <c r="H1499" s="7" t="s">
        <v>27</v>
      </c>
      <c r="I1499" s="7" t="n">
        <v>21.7</v>
      </c>
      <c r="J1499" s="7" t="s">
        <v>39</v>
      </c>
      <c r="K1499" s="7" t="n">
        <v>284.7</v>
      </c>
      <c r="L1499" s="7" t="s">
        <v>29</v>
      </c>
      <c r="M1499" s="7" t="s">
        <v>38</v>
      </c>
    </row>
    <row r="1500" customFormat="false" ht="15" hidden="false" customHeight="true" outlineLevel="0" collapsed="false">
      <c r="A1500" s="7" t="n">
        <v>1022</v>
      </c>
      <c r="B1500" s="7" t="n">
        <v>30</v>
      </c>
      <c r="C1500" s="7" t="s">
        <v>24</v>
      </c>
      <c r="D1500" s="7" t="s">
        <v>40</v>
      </c>
      <c r="E1500" s="7" t="n">
        <v>35</v>
      </c>
      <c r="F1500" s="7" t="n">
        <v>29</v>
      </c>
      <c r="G1500" s="7" t="s">
        <v>26</v>
      </c>
      <c r="H1500" s="7" t="s">
        <v>27</v>
      </c>
      <c r="I1500" s="7" t="n">
        <v>17.5</v>
      </c>
      <c r="J1500" s="7" t="s">
        <v>39</v>
      </c>
      <c r="K1500" s="7" t="n">
        <v>160.8</v>
      </c>
      <c r="L1500" s="7" t="s">
        <v>29</v>
      </c>
      <c r="M1500" s="7" t="s">
        <v>38</v>
      </c>
    </row>
    <row r="1501" customFormat="false" ht="15" hidden="false" customHeight="true" outlineLevel="0" collapsed="false">
      <c r="A1501" s="7" t="n">
        <v>1048</v>
      </c>
      <c r="B1501" s="7" t="n">
        <v>50</v>
      </c>
      <c r="C1501" s="7" t="s">
        <v>24</v>
      </c>
      <c r="D1501" s="7" t="s">
        <v>41</v>
      </c>
      <c r="E1501" s="7" t="n">
        <v>15</v>
      </c>
      <c r="F1501" s="7" t="n">
        <v>8</v>
      </c>
      <c r="G1501" s="7" t="s">
        <v>35</v>
      </c>
      <c r="H1501" s="7" t="s">
        <v>27</v>
      </c>
      <c r="I1501" s="7" t="n">
        <v>31.3</v>
      </c>
      <c r="J1501" s="7" t="s">
        <v>39</v>
      </c>
      <c r="K1501" s="7" t="n">
        <v>265.1</v>
      </c>
      <c r="L1501" s="7" t="s">
        <v>37</v>
      </c>
      <c r="M1501" s="7" t="s">
        <v>38</v>
      </c>
    </row>
    <row r="1502" customFormat="false" ht="15" hidden="false" customHeight="true" outlineLevel="0" collapsed="false">
      <c r="A1502" s="7" t="n">
        <v>1052</v>
      </c>
      <c r="B1502" s="7" t="n">
        <v>72</v>
      </c>
      <c r="C1502" s="7" t="s">
        <v>33</v>
      </c>
      <c r="D1502" s="7" t="s">
        <v>40</v>
      </c>
      <c r="E1502" s="7" t="n">
        <v>20</v>
      </c>
      <c r="F1502" s="7" t="n">
        <v>28</v>
      </c>
      <c r="G1502" s="7" t="s">
        <v>36</v>
      </c>
      <c r="H1502" s="7" t="s">
        <v>27</v>
      </c>
      <c r="I1502" s="7" t="n">
        <v>34.5</v>
      </c>
      <c r="J1502" s="7" t="s">
        <v>39</v>
      </c>
      <c r="K1502" s="7" t="n">
        <v>179.4</v>
      </c>
      <c r="L1502" s="7" t="s">
        <v>29</v>
      </c>
      <c r="M1502" s="7" t="s">
        <v>38</v>
      </c>
    </row>
    <row r="1503" customFormat="false" ht="15" hidden="false" customHeight="true" outlineLevel="0" collapsed="false">
      <c r="A1503" s="7" t="n">
        <v>1090</v>
      </c>
      <c r="B1503" s="7" t="n">
        <v>50</v>
      </c>
      <c r="C1503" s="7" t="s">
        <v>33</v>
      </c>
      <c r="D1503" s="7" t="s">
        <v>40</v>
      </c>
      <c r="E1503" s="7" t="n">
        <v>28</v>
      </c>
      <c r="F1503" s="7" t="n">
        <v>20</v>
      </c>
      <c r="G1503" s="7" t="s">
        <v>34</v>
      </c>
      <c r="H1503" s="7" t="s">
        <v>27</v>
      </c>
      <c r="I1503" s="7" t="n">
        <v>20.3</v>
      </c>
      <c r="J1503" s="7" t="s">
        <v>39</v>
      </c>
      <c r="K1503" s="7" t="n">
        <v>264.1</v>
      </c>
      <c r="L1503" s="7" t="s">
        <v>29</v>
      </c>
      <c r="M1503" s="7" t="s">
        <v>38</v>
      </c>
    </row>
    <row r="1504" customFormat="false" ht="15" hidden="false" customHeight="true" outlineLevel="0" collapsed="false">
      <c r="A1504" s="7" t="n">
        <v>1091</v>
      </c>
      <c r="B1504" s="7" t="n">
        <v>21</v>
      </c>
      <c r="C1504" s="7" t="s">
        <v>33</v>
      </c>
      <c r="D1504" s="7" t="s">
        <v>40</v>
      </c>
      <c r="E1504" s="7" t="n">
        <v>8</v>
      </c>
      <c r="F1504" s="7" t="n">
        <v>10</v>
      </c>
      <c r="G1504" s="7" t="s">
        <v>34</v>
      </c>
      <c r="H1504" s="7" t="s">
        <v>27</v>
      </c>
      <c r="I1504" s="7" t="n">
        <v>27.4</v>
      </c>
      <c r="J1504" s="7" t="s">
        <v>39</v>
      </c>
      <c r="K1504" s="7" t="n">
        <v>161.4</v>
      </c>
      <c r="L1504" s="7" t="s">
        <v>37</v>
      </c>
      <c r="M1504" s="7" t="s">
        <v>38</v>
      </c>
    </row>
    <row r="1505" customFormat="false" ht="15" hidden="false" customHeight="true" outlineLevel="0" collapsed="false">
      <c r="A1505" s="7" t="n">
        <v>1110</v>
      </c>
      <c r="B1505" s="7" t="n">
        <v>25</v>
      </c>
      <c r="C1505" s="7" t="s">
        <v>33</v>
      </c>
      <c r="D1505" s="7" t="s">
        <v>41</v>
      </c>
      <c r="E1505" s="7" t="n">
        <v>19</v>
      </c>
      <c r="F1505" s="7" t="n">
        <v>8</v>
      </c>
      <c r="G1505" s="7" t="s">
        <v>35</v>
      </c>
      <c r="H1505" s="7" t="s">
        <v>32</v>
      </c>
      <c r="I1505" s="7" t="n">
        <v>23.8</v>
      </c>
      <c r="J1505" s="7" t="s">
        <v>39</v>
      </c>
      <c r="K1505" s="7" t="n">
        <v>258</v>
      </c>
      <c r="L1505" s="7" t="s">
        <v>29</v>
      </c>
      <c r="M1505" s="7" t="s">
        <v>38</v>
      </c>
    </row>
    <row r="1506" customFormat="false" ht="15" hidden="false" customHeight="true" outlineLevel="0" collapsed="false">
      <c r="A1506" s="7" t="n">
        <v>1114</v>
      </c>
      <c r="B1506" s="7" t="n">
        <v>19</v>
      </c>
      <c r="C1506" s="7" t="s">
        <v>24</v>
      </c>
      <c r="D1506" s="7" t="s">
        <v>40</v>
      </c>
      <c r="E1506" s="7" t="n">
        <v>24</v>
      </c>
      <c r="F1506" s="7" t="n">
        <v>25</v>
      </c>
      <c r="G1506" s="7" t="s">
        <v>36</v>
      </c>
      <c r="H1506" s="7" t="s">
        <v>32</v>
      </c>
      <c r="I1506" s="7" t="n">
        <v>41.6</v>
      </c>
      <c r="J1506" s="7" t="s">
        <v>39</v>
      </c>
      <c r="K1506" s="7" t="n">
        <v>289.6</v>
      </c>
      <c r="L1506" s="7" t="s">
        <v>37</v>
      </c>
      <c r="M1506" s="7" t="s">
        <v>38</v>
      </c>
    </row>
    <row r="1507" customFormat="false" ht="15" hidden="false" customHeight="true" outlineLevel="0" collapsed="false">
      <c r="A1507" s="7" t="n">
        <v>1175</v>
      </c>
      <c r="B1507" s="7" t="n">
        <v>82</v>
      </c>
      <c r="C1507" s="7" t="s">
        <v>33</v>
      </c>
      <c r="D1507" s="7" t="s">
        <v>40</v>
      </c>
      <c r="E1507" s="7" t="n">
        <v>36</v>
      </c>
      <c r="F1507" s="7" t="n">
        <v>8</v>
      </c>
      <c r="G1507" s="7" t="s">
        <v>34</v>
      </c>
      <c r="H1507" s="7" t="s">
        <v>27</v>
      </c>
      <c r="I1507" s="7" t="n">
        <v>37.3</v>
      </c>
      <c r="J1507" s="7" t="s">
        <v>39</v>
      </c>
      <c r="K1507" s="7" t="n">
        <v>283.7</v>
      </c>
      <c r="L1507" s="7" t="s">
        <v>29</v>
      </c>
      <c r="M1507" s="7" t="s">
        <v>38</v>
      </c>
    </row>
    <row r="1508" customFormat="false" ht="15" hidden="false" customHeight="true" outlineLevel="0" collapsed="false">
      <c r="A1508" s="7" t="n">
        <v>1184</v>
      </c>
      <c r="B1508" s="7" t="n">
        <v>32</v>
      </c>
      <c r="C1508" s="7" t="s">
        <v>33</v>
      </c>
      <c r="D1508" s="7" t="s">
        <v>41</v>
      </c>
      <c r="E1508" s="7" t="n">
        <v>16</v>
      </c>
      <c r="F1508" s="7" t="n">
        <v>8</v>
      </c>
      <c r="G1508" s="7" t="s">
        <v>34</v>
      </c>
      <c r="H1508" s="7" t="s">
        <v>32</v>
      </c>
      <c r="I1508" s="7" t="n">
        <v>24.2</v>
      </c>
      <c r="J1508" s="7" t="s">
        <v>39</v>
      </c>
      <c r="K1508" s="7" t="n">
        <v>278.5</v>
      </c>
      <c r="L1508" s="7" t="s">
        <v>29</v>
      </c>
      <c r="M1508" s="7" t="s">
        <v>38</v>
      </c>
    </row>
    <row r="1509" customFormat="false" ht="15" hidden="false" customHeight="true" outlineLevel="0" collapsed="false">
      <c r="A1509" s="7" t="n">
        <v>1213</v>
      </c>
      <c r="B1509" s="7" t="n">
        <v>85</v>
      </c>
      <c r="C1509" s="7" t="s">
        <v>33</v>
      </c>
      <c r="D1509" s="7" t="s">
        <v>41</v>
      </c>
      <c r="E1509" s="7" t="n">
        <v>2</v>
      </c>
      <c r="F1509" s="7" t="n">
        <v>6</v>
      </c>
      <c r="G1509" s="7" t="s">
        <v>36</v>
      </c>
      <c r="H1509" s="7" t="s">
        <v>27</v>
      </c>
      <c r="I1509" s="7" t="n">
        <v>39</v>
      </c>
      <c r="J1509" s="7" t="s">
        <v>39</v>
      </c>
      <c r="K1509" s="7" t="n">
        <v>161.4</v>
      </c>
      <c r="L1509" s="7" t="s">
        <v>37</v>
      </c>
      <c r="M1509" s="7" t="s">
        <v>38</v>
      </c>
    </row>
    <row r="1510" customFormat="false" ht="15" hidden="false" customHeight="true" outlineLevel="0" collapsed="false">
      <c r="A1510" s="7" t="n">
        <v>1219</v>
      </c>
      <c r="B1510" s="7" t="n">
        <v>39</v>
      </c>
      <c r="C1510" s="7" t="s">
        <v>33</v>
      </c>
      <c r="D1510" s="7" t="s">
        <v>41</v>
      </c>
      <c r="E1510" s="7" t="n">
        <v>6</v>
      </c>
      <c r="F1510" s="7" t="n">
        <v>1</v>
      </c>
      <c r="G1510" s="7" t="s">
        <v>26</v>
      </c>
      <c r="H1510" s="7" t="s">
        <v>27</v>
      </c>
      <c r="I1510" s="7" t="n">
        <v>28.2</v>
      </c>
      <c r="J1510" s="7" t="s">
        <v>39</v>
      </c>
      <c r="K1510" s="7" t="n">
        <v>149.1</v>
      </c>
      <c r="L1510" s="7" t="s">
        <v>37</v>
      </c>
      <c r="M1510" s="7" t="s">
        <v>38</v>
      </c>
    </row>
    <row r="1511" customFormat="false" ht="15" hidden="false" customHeight="true" outlineLevel="0" collapsed="false">
      <c r="A1511" s="7" t="n">
        <v>1227</v>
      </c>
      <c r="B1511" s="7" t="n">
        <v>80</v>
      </c>
      <c r="C1511" s="7" t="s">
        <v>33</v>
      </c>
      <c r="D1511" s="7" t="s">
        <v>40</v>
      </c>
      <c r="E1511" s="7" t="n">
        <v>35</v>
      </c>
      <c r="F1511" s="7" t="n">
        <v>24</v>
      </c>
      <c r="G1511" s="7" t="s">
        <v>34</v>
      </c>
      <c r="H1511" s="7" t="s">
        <v>32</v>
      </c>
      <c r="I1511" s="7" t="n">
        <v>32.4</v>
      </c>
      <c r="J1511" s="7" t="s">
        <v>39</v>
      </c>
      <c r="K1511" s="7" t="n">
        <v>236.4</v>
      </c>
      <c r="L1511" s="7" t="s">
        <v>37</v>
      </c>
      <c r="M1511" s="7" t="s">
        <v>38</v>
      </c>
    </row>
    <row r="1512" customFormat="false" ht="15" hidden="false" customHeight="true" outlineLevel="0" collapsed="false">
      <c r="A1512" s="7" t="n">
        <v>1266</v>
      </c>
      <c r="B1512" s="7" t="n">
        <v>29</v>
      </c>
      <c r="C1512" s="7" t="s">
        <v>33</v>
      </c>
      <c r="D1512" s="7" t="s">
        <v>40</v>
      </c>
      <c r="E1512" s="7" t="n">
        <v>22</v>
      </c>
      <c r="F1512" s="7" t="n">
        <v>7</v>
      </c>
      <c r="G1512" s="7" t="s">
        <v>34</v>
      </c>
      <c r="H1512" s="7" t="s">
        <v>27</v>
      </c>
      <c r="I1512" s="7" t="n">
        <v>30.5</v>
      </c>
      <c r="J1512" s="7" t="s">
        <v>39</v>
      </c>
      <c r="K1512" s="7" t="n">
        <v>167.9</v>
      </c>
      <c r="L1512" s="7" t="s">
        <v>29</v>
      </c>
      <c r="M1512" s="7" t="s">
        <v>38</v>
      </c>
    </row>
    <row r="1513" customFormat="false" ht="15" hidden="false" customHeight="true" outlineLevel="0" collapsed="false">
      <c r="A1513" s="7" t="n">
        <v>1286</v>
      </c>
      <c r="B1513" s="7" t="n">
        <v>80</v>
      </c>
      <c r="C1513" s="7" t="s">
        <v>24</v>
      </c>
      <c r="D1513" s="7" t="s">
        <v>41</v>
      </c>
      <c r="E1513" s="7" t="n">
        <v>17</v>
      </c>
      <c r="F1513" s="7" t="n">
        <v>3</v>
      </c>
      <c r="G1513" s="7" t="s">
        <v>35</v>
      </c>
      <c r="H1513" s="7" t="s">
        <v>27</v>
      </c>
      <c r="I1513" s="7" t="n">
        <v>33.3</v>
      </c>
      <c r="J1513" s="7" t="s">
        <v>39</v>
      </c>
      <c r="K1513" s="7" t="n">
        <v>287.7</v>
      </c>
      <c r="L1513" s="7" t="s">
        <v>29</v>
      </c>
      <c r="M1513" s="7" t="s">
        <v>38</v>
      </c>
    </row>
    <row r="1514" customFormat="false" ht="15" hidden="false" customHeight="true" outlineLevel="0" collapsed="false">
      <c r="A1514" s="7" t="n">
        <v>1315</v>
      </c>
      <c r="B1514" s="7" t="n">
        <v>88</v>
      </c>
      <c r="C1514" s="7" t="s">
        <v>24</v>
      </c>
      <c r="D1514" s="7" t="s">
        <v>40</v>
      </c>
      <c r="E1514" s="7" t="n">
        <v>5</v>
      </c>
      <c r="F1514" s="7" t="n">
        <v>10</v>
      </c>
      <c r="G1514" s="7" t="s">
        <v>35</v>
      </c>
      <c r="H1514" s="7" t="s">
        <v>27</v>
      </c>
      <c r="I1514" s="7" t="n">
        <v>35.2</v>
      </c>
      <c r="J1514" s="7" t="s">
        <v>39</v>
      </c>
      <c r="K1514" s="7" t="n">
        <v>229.9</v>
      </c>
      <c r="L1514" s="7" t="s">
        <v>29</v>
      </c>
      <c r="M1514" s="7" t="s">
        <v>38</v>
      </c>
    </row>
    <row r="1515" customFormat="false" ht="15" hidden="false" customHeight="true" outlineLevel="0" collapsed="false">
      <c r="A1515" s="7" t="n">
        <v>1371</v>
      </c>
      <c r="B1515" s="7" t="n">
        <v>79</v>
      </c>
      <c r="C1515" s="7" t="s">
        <v>33</v>
      </c>
      <c r="D1515" s="7" t="s">
        <v>40</v>
      </c>
      <c r="E1515" s="7" t="n">
        <v>5</v>
      </c>
      <c r="F1515" s="7" t="n">
        <v>21</v>
      </c>
      <c r="G1515" s="7" t="s">
        <v>36</v>
      </c>
      <c r="H1515" s="7" t="s">
        <v>27</v>
      </c>
      <c r="I1515" s="7" t="n">
        <v>29.4</v>
      </c>
      <c r="J1515" s="7" t="s">
        <v>39</v>
      </c>
      <c r="K1515" s="7" t="n">
        <v>181.3</v>
      </c>
      <c r="L1515" s="7" t="s">
        <v>29</v>
      </c>
      <c r="M1515" s="7" t="s">
        <v>38</v>
      </c>
    </row>
    <row r="1516" customFormat="false" ht="15" hidden="false" customHeight="true" outlineLevel="0" collapsed="false">
      <c r="A1516" s="7" t="n">
        <v>1396</v>
      </c>
      <c r="B1516" s="7" t="n">
        <v>30</v>
      </c>
      <c r="C1516" s="7" t="s">
        <v>24</v>
      </c>
      <c r="D1516" s="7" t="s">
        <v>41</v>
      </c>
      <c r="E1516" s="7" t="n">
        <v>18</v>
      </c>
      <c r="F1516" s="7" t="n">
        <v>14</v>
      </c>
      <c r="G1516" s="7" t="s">
        <v>36</v>
      </c>
      <c r="H1516" s="7" t="s">
        <v>27</v>
      </c>
      <c r="I1516" s="7" t="n">
        <v>39.5</v>
      </c>
      <c r="J1516" s="7" t="s">
        <v>39</v>
      </c>
      <c r="K1516" s="7" t="n">
        <v>255.6</v>
      </c>
      <c r="L1516" s="7" t="s">
        <v>29</v>
      </c>
      <c r="M1516" s="7" t="s">
        <v>38</v>
      </c>
    </row>
    <row r="1517" customFormat="false" ht="15" hidden="false" customHeight="true" outlineLevel="0" collapsed="false">
      <c r="A1517" s="7" t="n">
        <v>1399</v>
      </c>
      <c r="B1517" s="7" t="n">
        <v>78</v>
      </c>
      <c r="C1517" s="7" t="s">
        <v>33</v>
      </c>
      <c r="D1517" s="7" t="s">
        <v>40</v>
      </c>
      <c r="E1517" s="7" t="n">
        <v>30</v>
      </c>
      <c r="F1517" s="7" t="n">
        <v>14</v>
      </c>
      <c r="G1517" s="7" t="s">
        <v>36</v>
      </c>
      <c r="H1517" s="7" t="s">
        <v>27</v>
      </c>
      <c r="I1517" s="7" t="n">
        <v>19.6</v>
      </c>
      <c r="J1517" s="7" t="s">
        <v>39</v>
      </c>
      <c r="K1517" s="7" t="n">
        <v>219.1</v>
      </c>
      <c r="L1517" s="7" t="s">
        <v>29</v>
      </c>
      <c r="M1517" s="7" t="s">
        <v>38</v>
      </c>
    </row>
    <row r="1518" customFormat="false" ht="15" hidden="false" customHeight="true" outlineLevel="0" collapsed="false">
      <c r="A1518" s="7" t="n">
        <v>1432</v>
      </c>
      <c r="B1518" s="7" t="n">
        <v>60</v>
      </c>
      <c r="C1518" s="7" t="s">
        <v>24</v>
      </c>
      <c r="D1518" s="7" t="s">
        <v>41</v>
      </c>
      <c r="E1518" s="7" t="n">
        <v>16</v>
      </c>
      <c r="F1518" s="7" t="n">
        <v>8</v>
      </c>
      <c r="G1518" s="7" t="s">
        <v>36</v>
      </c>
      <c r="H1518" s="7" t="s">
        <v>32</v>
      </c>
      <c r="I1518" s="7" t="n">
        <v>34</v>
      </c>
      <c r="J1518" s="7" t="s">
        <v>39</v>
      </c>
      <c r="K1518" s="7" t="n">
        <v>221.5</v>
      </c>
      <c r="L1518" s="7" t="s">
        <v>29</v>
      </c>
      <c r="M1518" s="7" t="s">
        <v>38</v>
      </c>
    </row>
    <row r="1519" customFormat="false" ht="15" hidden="false" customHeight="true" outlineLevel="0" collapsed="false">
      <c r="A1519" s="7" t="n">
        <v>1438</v>
      </c>
      <c r="B1519" s="7" t="n">
        <v>64</v>
      </c>
      <c r="C1519" s="7" t="s">
        <v>33</v>
      </c>
      <c r="D1519" s="7" t="s">
        <v>41</v>
      </c>
      <c r="E1519" s="7" t="n">
        <v>10</v>
      </c>
      <c r="F1519" s="7" t="n">
        <v>6</v>
      </c>
      <c r="G1519" s="7" t="s">
        <v>35</v>
      </c>
      <c r="H1519" s="7" t="s">
        <v>32</v>
      </c>
      <c r="I1519" s="7" t="n">
        <v>36.2</v>
      </c>
      <c r="J1519" s="7" t="s">
        <v>39</v>
      </c>
      <c r="K1519" s="7" t="n">
        <v>260.3</v>
      </c>
      <c r="L1519" s="7" t="s">
        <v>29</v>
      </c>
      <c r="M1519" s="7" t="s">
        <v>38</v>
      </c>
    </row>
    <row r="1520" customFormat="false" ht="15" hidden="false" customHeight="true" outlineLevel="0" collapsed="false">
      <c r="A1520" s="7" t="n">
        <v>1470</v>
      </c>
      <c r="B1520" s="7" t="n">
        <v>40</v>
      </c>
      <c r="C1520" s="7" t="s">
        <v>33</v>
      </c>
      <c r="D1520" s="7" t="s">
        <v>41</v>
      </c>
      <c r="E1520" s="7" t="n">
        <v>14</v>
      </c>
      <c r="F1520" s="7" t="n">
        <v>7</v>
      </c>
      <c r="G1520" s="7" t="s">
        <v>31</v>
      </c>
      <c r="H1520" s="7" t="s">
        <v>32</v>
      </c>
      <c r="I1520" s="7" t="n">
        <v>36.7</v>
      </c>
      <c r="J1520" s="7" t="s">
        <v>39</v>
      </c>
      <c r="K1520" s="7" t="n">
        <v>148.4</v>
      </c>
      <c r="L1520" s="7" t="s">
        <v>29</v>
      </c>
      <c r="M1520" s="7" t="s">
        <v>38</v>
      </c>
    </row>
    <row r="1521" customFormat="false" ht="15" hidden="false" customHeight="true" outlineLevel="0" collapsed="false">
      <c r="A1521" s="7" t="n">
        <v>1501</v>
      </c>
      <c r="B1521" s="7" t="n">
        <v>71</v>
      </c>
      <c r="C1521" s="7" t="s">
        <v>24</v>
      </c>
      <c r="D1521" s="7" t="s">
        <v>41</v>
      </c>
      <c r="E1521" s="7" t="n">
        <v>6</v>
      </c>
      <c r="F1521" s="7" t="n">
        <v>3</v>
      </c>
      <c r="G1521" s="7" t="s">
        <v>31</v>
      </c>
      <c r="H1521" s="7" t="s">
        <v>32</v>
      </c>
      <c r="I1521" s="7" t="n">
        <v>21.9</v>
      </c>
      <c r="J1521" s="7" t="s">
        <v>39</v>
      </c>
      <c r="K1521" s="7" t="n">
        <v>199.5</v>
      </c>
      <c r="L1521" s="7" t="s">
        <v>29</v>
      </c>
      <c r="M1521" s="7" t="s">
        <v>38</v>
      </c>
    </row>
    <row r="1522" customFormat="false" ht="15" hidden="false" customHeight="true" outlineLevel="0" collapsed="false">
      <c r="A1522" s="7" t="n">
        <v>1524</v>
      </c>
      <c r="B1522" s="7" t="n">
        <v>52</v>
      </c>
      <c r="C1522" s="7" t="s">
        <v>33</v>
      </c>
      <c r="D1522" s="7" t="s">
        <v>40</v>
      </c>
      <c r="E1522" s="7" t="n">
        <v>20</v>
      </c>
      <c r="F1522" s="7" t="n">
        <v>23</v>
      </c>
      <c r="G1522" s="7" t="s">
        <v>26</v>
      </c>
      <c r="H1522" s="7" t="s">
        <v>27</v>
      </c>
      <c r="I1522" s="7" t="n">
        <v>42</v>
      </c>
      <c r="J1522" s="7" t="s">
        <v>39</v>
      </c>
      <c r="K1522" s="7" t="n">
        <v>293.1</v>
      </c>
      <c r="L1522" s="7" t="s">
        <v>29</v>
      </c>
      <c r="M1522" s="7" t="s">
        <v>38</v>
      </c>
    </row>
    <row r="1523" customFormat="false" ht="15" hidden="false" customHeight="true" outlineLevel="0" collapsed="false">
      <c r="A1523" s="7" t="n">
        <v>1525</v>
      </c>
      <c r="B1523" s="7" t="n">
        <v>50</v>
      </c>
      <c r="C1523" s="7" t="s">
        <v>33</v>
      </c>
      <c r="D1523" s="7" t="s">
        <v>40</v>
      </c>
      <c r="E1523" s="7" t="n">
        <v>38</v>
      </c>
      <c r="F1523" s="7" t="n">
        <v>10</v>
      </c>
      <c r="G1523" s="7" t="s">
        <v>26</v>
      </c>
      <c r="H1523" s="7" t="s">
        <v>32</v>
      </c>
      <c r="I1523" s="7" t="n">
        <v>23.5</v>
      </c>
      <c r="J1523" s="7" t="s">
        <v>39</v>
      </c>
      <c r="K1523" s="7" t="n">
        <v>168.9</v>
      </c>
      <c r="L1523" s="7" t="s">
        <v>37</v>
      </c>
      <c r="M1523" s="7" t="s">
        <v>38</v>
      </c>
    </row>
    <row r="1524" customFormat="false" ht="15" hidden="false" customHeight="true" outlineLevel="0" collapsed="false">
      <c r="A1524" s="7" t="n">
        <v>1548</v>
      </c>
      <c r="B1524" s="7" t="n">
        <v>72</v>
      </c>
      <c r="C1524" s="7" t="s">
        <v>33</v>
      </c>
      <c r="D1524" s="7" t="s">
        <v>40</v>
      </c>
      <c r="E1524" s="7" t="n">
        <v>17</v>
      </c>
      <c r="F1524" s="7" t="n">
        <v>20</v>
      </c>
      <c r="G1524" s="7" t="s">
        <v>36</v>
      </c>
      <c r="H1524" s="7" t="s">
        <v>27</v>
      </c>
      <c r="I1524" s="7" t="n">
        <v>39.7</v>
      </c>
      <c r="J1524" s="7" t="s">
        <v>39</v>
      </c>
      <c r="K1524" s="7" t="n">
        <v>221.4</v>
      </c>
      <c r="L1524" s="7" t="s">
        <v>37</v>
      </c>
      <c r="M1524" s="7" t="s">
        <v>38</v>
      </c>
    </row>
    <row r="1525" customFormat="false" ht="15" hidden="false" customHeight="true" outlineLevel="0" collapsed="false">
      <c r="A1525" s="7" t="n">
        <v>1614</v>
      </c>
      <c r="B1525" s="7" t="n">
        <v>42</v>
      </c>
      <c r="C1525" s="7" t="s">
        <v>24</v>
      </c>
      <c r="D1525" s="7" t="s">
        <v>41</v>
      </c>
      <c r="E1525" s="7" t="n">
        <v>13</v>
      </c>
      <c r="F1525" s="7" t="n">
        <v>5</v>
      </c>
      <c r="G1525" s="7" t="s">
        <v>31</v>
      </c>
      <c r="H1525" s="7" t="s">
        <v>32</v>
      </c>
      <c r="I1525" s="7" t="n">
        <v>17.4</v>
      </c>
      <c r="J1525" s="7" t="s">
        <v>39</v>
      </c>
      <c r="K1525" s="7" t="n">
        <v>160.8</v>
      </c>
      <c r="L1525" s="7" t="s">
        <v>29</v>
      </c>
      <c r="M1525" s="7" t="s">
        <v>38</v>
      </c>
    </row>
    <row r="1526" customFormat="false" ht="15" hidden="false" customHeight="true" outlineLevel="0" collapsed="false">
      <c r="A1526" s="7" t="n">
        <v>1647</v>
      </c>
      <c r="B1526" s="7" t="n">
        <v>77</v>
      </c>
      <c r="C1526" s="7" t="s">
        <v>24</v>
      </c>
      <c r="D1526" s="7" t="s">
        <v>41</v>
      </c>
      <c r="E1526" s="7" t="n">
        <v>13</v>
      </c>
      <c r="F1526" s="7" t="n">
        <v>12</v>
      </c>
      <c r="G1526" s="7" t="s">
        <v>31</v>
      </c>
      <c r="H1526" s="7" t="s">
        <v>32</v>
      </c>
      <c r="I1526" s="7" t="n">
        <v>27.2</v>
      </c>
      <c r="J1526" s="7" t="s">
        <v>39</v>
      </c>
      <c r="K1526" s="7" t="n">
        <v>148.5</v>
      </c>
      <c r="L1526" s="7" t="s">
        <v>37</v>
      </c>
      <c r="M1526" s="7" t="s">
        <v>38</v>
      </c>
    </row>
    <row r="1527" customFormat="false" ht="15" hidden="false" customHeight="true" outlineLevel="0" collapsed="false">
      <c r="A1527" s="7" t="n">
        <v>1662</v>
      </c>
      <c r="B1527" s="7" t="n">
        <v>73</v>
      </c>
      <c r="C1527" s="7" t="s">
        <v>33</v>
      </c>
      <c r="D1527" s="7" t="s">
        <v>41</v>
      </c>
      <c r="E1527" s="7" t="n">
        <v>3</v>
      </c>
      <c r="F1527" s="7" t="n">
        <v>4</v>
      </c>
      <c r="G1527" s="7" t="s">
        <v>26</v>
      </c>
      <c r="H1527" s="7" t="s">
        <v>27</v>
      </c>
      <c r="I1527" s="7" t="n">
        <v>33</v>
      </c>
      <c r="J1527" s="7" t="s">
        <v>39</v>
      </c>
      <c r="K1527" s="7" t="n">
        <v>192.5</v>
      </c>
      <c r="L1527" s="7" t="s">
        <v>29</v>
      </c>
      <c r="M1527" s="7" t="s">
        <v>38</v>
      </c>
    </row>
    <row r="1528" customFormat="false" ht="15" hidden="false" customHeight="true" outlineLevel="0" collapsed="false">
      <c r="A1528" s="7" t="n">
        <v>1671</v>
      </c>
      <c r="B1528" s="7" t="n">
        <v>37</v>
      </c>
      <c r="C1528" s="7" t="s">
        <v>33</v>
      </c>
      <c r="D1528" s="7" t="s">
        <v>40</v>
      </c>
      <c r="E1528" s="7" t="n">
        <v>15</v>
      </c>
      <c r="F1528" s="7" t="n">
        <v>15</v>
      </c>
      <c r="G1528" s="7" t="s">
        <v>34</v>
      </c>
      <c r="H1528" s="7" t="s">
        <v>32</v>
      </c>
      <c r="I1528" s="7" t="n">
        <v>24.9</v>
      </c>
      <c r="J1528" s="7" t="s">
        <v>39</v>
      </c>
      <c r="K1528" s="7" t="n">
        <v>151.6</v>
      </c>
      <c r="L1528" s="7" t="s">
        <v>29</v>
      </c>
      <c r="M1528" s="7" t="s">
        <v>38</v>
      </c>
    </row>
    <row r="1529" customFormat="false" ht="15" hidden="false" customHeight="true" outlineLevel="0" collapsed="false">
      <c r="A1529" s="7" t="n">
        <v>1683</v>
      </c>
      <c r="B1529" s="7" t="n">
        <v>20</v>
      </c>
      <c r="C1529" s="7" t="s">
        <v>33</v>
      </c>
      <c r="D1529" s="7" t="s">
        <v>41</v>
      </c>
      <c r="E1529" s="7" t="n">
        <v>16</v>
      </c>
      <c r="F1529" s="7" t="n">
        <v>1</v>
      </c>
      <c r="G1529" s="7" t="s">
        <v>36</v>
      </c>
      <c r="H1529" s="7" t="s">
        <v>32</v>
      </c>
      <c r="I1529" s="7" t="n">
        <v>29.9</v>
      </c>
      <c r="J1529" s="7" t="s">
        <v>39</v>
      </c>
      <c r="K1529" s="7" t="n">
        <v>256.3</v>
      </c>
      <c r="L1529" s="7" t="s">
        <v>29</v>
      </c>
      <c r="M1529" s="7" t="s">
        <v>38</v>
      </c>
    </row>
    <row r="1530" customFormat="false" ht="15" hidden="false" customHeight="true" outlineLevel="0" collapsed="false">
      <c r="A1530" s="7" t="n">
        <v>1755</v>
      </c>
      <c r="B1530" s="7" t="n">
        <v>51</v>
      </c>
      <c r="C1530" s="7" t="s">
        <v>33</v>
      </c>
      <c r="D1530" s="7" t="s">
        <v>41</v>
      </c>
      <c r="E1530" s="7" t="n">
        <v>12</v>
      </c>
      <c r="F1530" s="7" t="n">
        <v>14</v>
      </c>
      <c r="G1530" s="7" t="s">
        <v>31</v>
      </c>
      <c r="H1530" s="7" t="s">
        <v>27</v>
      </c>
      <c r="I1530" s="7" t="n">
        <v>35.1</v>
      </c>
      <c r="J1530" s="7" t="s">
        <v>39</v>
      </c>
      <c r="K1530" s="7" t="n">
        <v>279.1</v>
      </c>
      <c r="L1530" s="7" t="s">
        <v>29</v>
      </c>
      <c r="M1530" s="7" t="s">
        <v>38</v>
      </c>
    </row>
    <row r="1531" customFormat="false" ht="15" hidden="false" customHeight="true" outlineLevel="0" collapsed="false">
      <c r="A1531" s="7" t="n">
        <v>1758</v>
      </c>
      <c r="B1531" s="7" t="n">
        <v>59</v>
      </c>
      <c r="C1531" s="7" t="s">
        <v>33</v>
      </c>
      <c r="D1531" s="7" t="s">
        <v>41</v>
      </c>
      <c r="E1531" s="7" t="n">
        <v>6</v>
      </c>
      <c r="F1531" s="7" t="n">
        <v>2</v>
      </c>
      <c r="G1531" s="7" t="s">
        <v>31</v>
      </c>
      <c r="H1531" s="7" t="s">
        <v>32</v>
      </c>
      <c r="I1531" s="7" t="n">
        <v>18</v>
      </c>
      <c r="J1531" s="7" t="s">
        <v>39</v>
      </c>
      <c r="K1531" s="7" t="n">
        <v>217.4</v>
      </c>
      <c r="L1531" s="7" t="s">
        <v>29</v>
      </c>
      <c r="M1531" s="7" t="s">
        <v>38</v>
      </c>
    </row>
    <row r="1532" customFormat="false" ht="15" hidden="false" customHeight="true" outlineLevel="0" collapsed="false">
      <c r="A1532" s="7" t="n">
        <v>1759</v>
      </c>
      <c r="B1532" s="7" t="n">
        <v>85</v>
      </c>
      <c r="C1532" s="7" t="s">
        <v>24</v>
      </c>
      <c r="D1532" s="7" t="s">
        <v>40</v>
      </c>
      <c r="E1532" s="7" t="n">
        <v>18</v>
      </c>
      <c r="F1532" s="7" t="n">
        <v>28</v>
      </c>
      <c r="G1532" s="7" t="s">
        <v>31</v>
      </c>
      <c r="H1532" s="7" t="s">
        <v>32</v>
      </c>
      <c r="I1532" s="7" t="n">
        <v>36.6</v>
      </c>
      <c r="J1532" s="7" t="s">
        <v>39</v>
      </c>
      <c r="K1532" s="7" t="n">
        <v>286.9</v>
      </c>
      <c r="L1532" s="7" t="s">
        <v>29</v>
      </c>
      <c r="M1532" s="7" t="s">
        <v>38</v>
      </c>
    </row>
    <row r="1533" customFormat="false" ht="15" hidden="false" customHeight="true" outlineLevel="0" collapsed="false">
      <c r="A1533" s="7" t="n">
        <v>1792</v>
      </c>
      <c r="B1533" s="7" t="n">
        <v>28</v>
      </c>
      <c r="C1533" s="7" t="s">
        <v>24</v>
      </c>
      <c r="D1533" s="7" t="s">
        <v>41</v>
      </c>
      <c r="E1533" s="7" t="n">
        <v>6</v>
      </c>
      <c r="F1533" s="7" t="n">
        <v>12</v>
      </c>
      <c r="G1533" s="7" t="s">
        <v>34</v>
      </c>
      <c r="H1533" s="7" t="s">
        <v>27</v>
      </c>
      <c r="I1533" s="7" t="n">
        <v>34.4</v>
      </c>
      <c r="J1533" s="7" t="s">
        <v>39</v>
      </c>
      <c r="K1533" s="7" t="n">
        <v>232.6</v>
      </c>
      <c r="L1533" s="7" t="s">
        <v>37</v>
      </c>
      <c r="M1533" s="7" t="s">
        <v>38</v>
      </c>
    </row>
    <row r="1534" customFormat="false" ht="15" hidden="false" customHeight="true" outlineLevel="0" collapsed="false">
      <c r="A1534" s="7" t="n">
        <v>1795</v>
      </c>
      <c r="B1534" s="7" t="n">
        <v>57</v>
      </c>
      <c r="C1534" s="7" t="s">
        <v>33</v>
      </c>
      <c r="D1534" s="7" t="s">
        <v>40</v>
      </c>
      <c r="E1534" s="7" t="n">
        <v>10</v>
      </c>
      <c r="F1534" s="7" t="n">
        <v>24</v>
      </c>
      <c r="G1534" s="7" t="s">
        <v>36</v>
      </c>
      <c r="H1534" s="7" t="s">
        <v>32</v>
      </c>
      <c r="I1534" s="7" t="n">
        <v>23.7</v>
      </c>
      <c r="J1534" s="7" t="s">
        <v>39</v>
      </c>
      <c r="K1534" s="7" t="n">
        <v>129.9</v>
      </c>
      <c r="L1534" s="7" t="s">
        <v>29</v>
      </c>
      <c r="M1534" s="7" t="s">
        <v>38</v>
      </c>
    </row>
    <row r="1535" customFormat="false" ht="15" hidden="false" customHeight="true" outlineLevel="0" collapsed="false">
      <c r="A1535" s="7" t="n">
        <v>1796</v>
      </c>
      <c r="B1535" s="7" t="n">
        <v>48</v>
      </c>
      <c r="C1535" s="7" t="s">
        <v>33</v>
      </c>
      <c r="D1535" s="7" t="s">
        <v>41</v>
      </c>
      <c r="E1535" s="7" t="n">
        <v>19</v>
      </c>
      <c r="F1535" s="7" t="n">
        <v>9</v>
      </c>
      <c r="G1535" s="7" t="s">
        <v>36</v>
      </c>
      <c r="H1535" s="7" t="s">
        <v>27</v>
      </c>
      <c r="I1535" s="7" t="n">
        <v>26.9</v>
      </c>
      <c r="J1535" s="7" t="s">
        <v>39</v>
      </c>
      <c r="K1535" s="7" t="n">
        <v>255.9</v>
      </c>
      <c r="L1535" s="7" t="s">
        <v>29</v>
      </c>
      <c r="M1535" s="7" t="s">
        <v>38</v>
      </c>
    </row>
    <row r="1536" customFormat="false" ht="15" hidden="false" customHeight="true" outlineLevel="0" collapsed="false">
      <c r="A1536" s="7" t="n">
        <v>1837</v>
      </c>
      <c r="B1536" s="7" t="n">
        <v>55</v>
      </c>
      <c r="C1536" s="7" t="s">
        <v>24</v>
      </c>
      <c r="D1536" s="7" t="s">
        <v>41</v>
      </c>
      <c r="E1536" s="7" t="n">
        <v>12</v>
      </c>
      <c r="F1536" s="7" t="n">
        <v>3</v>
      </c>
      <c r="G1536" s="7" t="s">
        <v>34</v>
      </c>
      <c r="H1536" s="7" t="s">
        <v>27</v>
      </c>
      <c r="I1536" s="7" t="n">
        <v>41</v>
      </c>
      <c r="J1536" s="7" t="s">
        <v>39</v>
      </c>
      <c r="K1536" s="7" t="n">
        <v>157.5</v>
      </c>
      <c r="L1536" s="7" t="s">
        <v>29</v>
      </c>
      <c r="M1536" s="7" t="s">
        <v>38</v>
      </c>
    </row>
    <row r="1537" customFormat="false" ht="15" hidden="false" customHeight="true" outlineLevel="0" collapsed="false">
      <c r="A1537" s="7" t="n">
        <v>1861</v>
      </c>
      <c r="B1537" s="7" t="n">
        <v>35</v>
      </c>
      <c r="C1537" s="7" t="s">
        <v>33</v>
      </c>
      <c r="D1537" s="7" t="s">
        <v>41</v>
      </c>
      <c r="E1537" s="7" t="n">
        <v>13</v>
      </c>
      <c r="F1537" s="7" t="n">
        <v>9</v>
      </c>
      <c r="G1537" s="7" t="s">
        <v>35</v>
      </c>
      <c r="H1537" s="7" t="s">
        <v>32</v>
      </c>
      <c r="I1537" s="7" t="n">
        <v>19.8</v>
      </c>
      <c r="J1537" s="7" t="s">
        <v>39</v>
      </c>
      <c r="K1537" s="7" t="n">
        <v>257</v>
      </c>
      <c r="L1537" s="7" t="s">
        <v>37</v>
      </c>
      <c r="M1537" s="7" t="s">
        <v>38</v>
      </c>
    </row>
    <row r="1538" customFormat="false" ht="15" hidden="false" customHeight="true" outlineLevel="0" collapsed="false">
      <c r="A1538" s="7" t="n">
        <v>1864</v>
      </c>
      <c r="B1538" s="7" t="n">
        <v>46</v>
      </c>
      <c r="C1538" s="7" t="s">
        <v>24</v>
      </c>
      <c r="D1538" s="7" t="s">
        <v>41</v>
      </c>
      <c r="E1538" s="7" t="n">
        <v>11</v>
      </c>
      <c r="F1538" s="7" t="n">
        <v>2</v>
      </c>
      <c r="G1538" s="7" t="s">
        <v>26</v>
      </c>
      <c r="H1538" s="7" t="s">
        <v>32</v>
      </c>
      <c r="I1538" s="7" t="n">
        <v>19.3</v>
      </c>
      <c r="J1538" s="7" t="s">
        <v>39</v>
      </c>
      <c r="K1538" s="7" t="n">
        <v>217.8</v>
      </c>
      <c r="L1538" s="7" t="s">
        <v>29</v>
      </c>
      <c r="M1538" s="7" t="s">
        <v>38</v>
      </c>
    </row>
    <row r="1539" customFormat="false" ht="15" hidden="false" customHeight="true" outlineLevel="0" collapsed="false">
      <c r="A1539" s="7" t="n">
        <v>1901</v>
      </c>
      <c r="B1539" s="7" t="n">
        <v>46</v>
      </c>
      <c r="C1539" s="7" t="s">
        <v>33</v>
      </c>
      <c r="D1539" s="7" t="s">
        <v>40</v>
      </c>
      <c r="E1539" s="7" t="n">
        <v>38</v>
      </c>
      <c r="F1539" s="7" t="n">
        <v>20</v>
      </c>
      <c r="G1539" s="7" t="s">
        <v>26</v>
      </c>
      <c r="H1539" s="7" t="s">
        <v>32</v>
      </c>
      <c r="I1539" s="7" t="n">
        <v>33.2</v>
      </c>
      <c r="J1539" s="7" t="s">
        <v>39</v>
      </c>
      <c r="K1539" s="7" t="n">
        <v>190.3</v>
      </c>
      <c r="L1539" s="7" t="s">
        <v>29</v>
      </c>
      <c r="M1539" s="7" t="s">
        <v>38</v>
      </c>
    </row>
    <row r="1540" customFormat="false" ht="15" hidden="false" customHeight="true" outlineLevel="0" collapsed="false">
      <c r="A1540" s="7" t="n">
        <v>1912</v>
      </c>
      <c r="B1540" s="7" t="n">
        <v>51</v>
      </c>
      <c r="C1540" s="7" t="s">
        <v>33</v>
      </c>
      <c r="D1540" s="7" t="s">
        <v>41</v>
      </c>
      <c r="E1540" s="7" t="n">
        <v>11</v>
      </c>
      <c r="F1540" s="7" t="n">
        <v>6</v>
      </c>
      <c r="G1540" s="7" t="s">
        <v>31</v>
      </c>
      <c r="H1540" s="7" t="s">
        <v>27</v>
      </c>
      <c r="I1540" s="7" t="n">
        <v>41.9</v>
      </c>
      <c r="J1540" s="7" t="s">
        <v>39</v>
      </c>
      <c r="K1540" s="7" t="n">
        <v>193.6</v>
      </c>
      <c r="L1540" s="7" t="s">
        <v>29</v>
      </c>
      <c r="M1540" s="7" t="s">
        <v>38</v>
      </c>
    </row>
    <row r="1541" customFormat="false" ht="15" hidden="false" customHeight="true" outlineLevel="0" collapsed="false">
      <c r="A1541" s="7" t="n">
        <v>1950</v>
      </c>
      <c r="B1541" s="7" t="n">
        <v>18</v>
      </c>
      <c r="C1541" s="7" t="s">
        <v>24</v>
      </c>
      <c r="D1541" s="7" t="s">
        <v>40</v>
      </c>
      <c r="E1541" s="7" t="n">
        <v>29</v>
      </c>
      <c r="F1541" s="7" t="n">
        <v>20</v>
      </c>
      <c r="G1541" s="7" t="s">
        <v>31</v>
      </c>
      <c r="H1541" s="7" t="s">
        <v>27</v>
      </c>
      <c r="I1541" s="7" t="n">
        <v>23.1</v>
      </c>
      <c r="J1541" s="7" t="s">
        <v>39</v>
      </c>
      <c r="K1541" s="7" t="n">
        <v>284.6</v>
      </c>
      <c r="L1541" s="7" t="s">
        <v>29</v>
      </c>
      <c r="M1541" s="7" t="s">
        <v>38</v>
      </c>
    </row>
    <row r="1542" customFormat="false" ht="15" hidden="false" customHeight="true" outlineLevel="0" collapsed="false">
      <c r="A1542" s="7" t="n">
        <v>1980</v>
      </c>
      <c r="B1542" s="7" t="n">
        <v>86</v>
      </c>
      <c r="C1542" s="7" t="s">
        <v>33</v>
      </c>
      <c r="D1542" s="7" t="s">
        <v>41</v>
      </c>
      <c r="E1542" s="7" t="n">
        <v>3</v>
      </c>
      <c r="F1542" s="7" t="n">
        <v>13</v>
      </c>
      <c r="G1542" s="7" t="s">
        <v>35</v>
      </c>
      <c r="H1542" s="7" t="s">
        <v>32</v>
      </c>
      <c r="I1542" s="7" t="n">
        <v>25.6</v>
      </c>
      <c r="J1542" s="7" t="s">
        <v>39</v>
      </c>
      <c r="K1542" s="7" t="n">
        <v>132.9</v>
      </c>
      <c r="L1542" s="7" t="s">
        <v>29</v>
      </c>
      <c r="M1542" s="7" t="s">
        <v>38</v>
      </c>
    </row>
    <row r="1543" customFormat="false" ht="15" hidden="false" customHeight="true" outlineLevel="0" collapsed="false">
      <c r="A1543" s="7" t="n">
        <v>1993</v>
      </c>
      <c r="B1543" s="7" t="n">
        <v>21</v>
      </c>
      <c r="C1543" s="7" t="s">
        <v>33</v>
      </c>
      <c r="D1543" s="7" t="s">
        <v>40</v>
      </c>
      <c r="E1543" s="7" t="n">
        <v>33</v>
      </c>
      <c r="F1543" s="7" t="n">
        <v>12</v>
      </c>
      <c r="G1543" s="7" t="s">
        <v>26</v>
      </c>
      <c r="H1543" s="7" t="s">
        <v>32</v>
      </c>
      <c r="I1543" s="7" t="n">
        <v>23.7</v>
      </c>
      <c r="J1543" s="7" t="s">
        <v>39</v>
      </c>
      <c r="K1543" s="7" t="n">
        <v>163</v>
      </c>
      <c r="L1543" s="7" t="s">
        <v>29</v>
      </c>
      <c r="M1543" s="7" t="s">
        <v>38</v>
      </c>
    </row>
    <row r="1544" customFormat="false" ht="15" hidden="false" customHeight="true" outlineLevel="0" collapsed="false">
      <c r="A1544" s="7" t="n">
        <v>2040</v>
      </c>
      <c r="B1544" s="7" t="n">
        <v>39</v>
      </c>
      <c r="C1544" s="7" t="s">
        <v>24</v>
      </c>
      <c r="D1544" s="7" t="s">
        <v>40</v>
      </c>
      <c r="E1544" s="7" t="n">
        <v>7</v>
      </c>
      <c r="F1544" s="7" t="n">
        <v>23</v>
      </c>
      <c r="G1544" s="7" t="s">
        <v>31</v>
      </c>
      <c r="H1544" s="7" t="s">
        <v>27</v>
      </c>
      <c r="I1544" s="7" t="n">
        <v>39.1</v>
      </c>
      <c r="J1544" s="7" t="s">
        <v>39</v>
      </c>
      <c r="K1544" s="7" t="n">
        <v>135.6</v>
      </c>
      <c r="L1544" s="7" t="s">
        <v>37</v>
      </c>
      <c r="M1544" s="7" t="s">
        <v>38</v>
      </c>
    </row>
    <row r="1545" customFormat="false" ht="15" hidden="false" customHeight="true" outlineLevel="0" collapsed="false">
      <c r="A1545" s="7" t="n">
        <v>2049</v>
      </c>
      <c r="B1545" s="7" t="n">
        <v>40</v>
      </c>
      <c r="C1545" s="7" t="s">
        <v>24</v>
      </c>
      <c r="D1545" s="7" t="s">
        <v>40</v>
      </c>
      <c r="E1545" s="7" t="n">
        <v>12</v>
      </c>
      <c r="F1545" s="7" t="n">
        <v>9</v>
      </c>
      <c r="G1545" s="7" t="s">
        <v>31</v>
      </c>
      <c r="H1545" s="7" t="s">
        <v>32</v>
      </c>
      <c r="I1545" s="7" t="n">
        <v>29.1</v>
      </c>
      <c r="J1545" s="7" t="s">
        <v>39</v>
      </c>
      <c r="K1545" s="7" t="n">
        <v>177.2</v>
      </c>
      <c r="L1545" s="7" t="s">
        <v>29</v>
      </c>
      <c r="M1545" s="7" t="s">
        <v>38</v>
      </c>
    </row>
    <row r="1546" customFormat="false" ht="15" hidden="false" customHeight="true" outlineLevel="0" collapsed="false">
      <c r="A1546" s="7" t="n">
        <v>2127</v>
      </c>
      <c r="B1546" s="7" t="n">
        <v>46</v>
      </c>
      <c r="C1546" s="7" t="s">
        <v>33</v>
      </c>
      <c r="D1546" s="7" t="s">
        <v>41</v>
      </c>
      <c r="E1546" s="7" t="n">
        <v>13</v>
      </c>
      <c r="F1546" s="7" t="n">
        <v>5</v>
      </c>
      <c r="G1546" s="7" t="s">
        <v>36</v>
      </c>
      <c r="H1546" s="7" t="s">
        <v>27</v>
      </c>
      <c r="I1546" s="7" t="n">
        <v>23.7</v>
      </c>
      <c r="J1546" s="7" t="s">
        <v>39</v>
      </c>
      <c r="K1546" s="7" t="n">
        <v>121.8</v>
      </c>
      <c r="L1546" s="7" t="s">
        <v>37</v>
      </c>
      <c r="M1546" s="7" t="s">
        <v>38</v>
      </c>
    </row>
    <row r="1547" customFormat="false" ht="15" hidden="false" customHeight="true" outlineLevel="0" collapsed="false">
      <c r="A1547" s="7" t="n">
        <v>2130</v>
      </c>
      <c r="B1547" s="7" t="n">
        <v>22</v>
      </c>
      <c r="C1547" s="7" t="s">
        <v>24</v>
      </c>
      <c r="D1547" s="7" t="s">
        <v>40</v>
      </c>
      <c r="E1547" s="7" t="n">
        <v>8</v>
      </c>
      <c r="F1547" s="7" t="n">
        <v>18</v>
      </c>
      <c r="G1547" s="7" t="s">
        <v>34</v>
      </c>
      <c r="H1547" s="7" t="s">
        <v>27</v>
      </c>
      <c r="I1547" s="7" t="n">
        <v>38.9</v>
      </c>
      <c r="J1547" s="7" t="s">
        <v>39</v>
      </c>
      <c r="K1547" s="7" t="n">
        <v>229.9</v>
      </c>
      <c r="L1547" s="7" t="s">
        <v>29</v>
      </c>
      <c r="M1547" s="7" t="s">
        <v>38</v>
      </c>
    </row>
    <row r="1548" customFormat="false" ht="15" hidden="false" customHeight="true" outlineLevel="0" collapsed="false">
      <c r="A1548" s="7" t="n">
        <v>2149</v>
      </c>
      <c r="B1548" s="7" t="n">
        <v>48</v>
      </c>
      <c r="C1548" s="7" t="s">
        <v>24</v>
      </c>
      <c r="D1548" s="7" t="s">
        <v>40</v>
      </c>
      <c r="E1548" s="7" t="n">
        <v>30</v>
      </c>
      <c r="F1548" s="7" t="n">
        <v>25</v>
      </c>
      <c r="G1548" s="7" t="s">
        <v>26</v>
      </c>
      <c r="H1548" s="7" t="s">
        <v>32</v>
      </c>
      <c r="I1548" s="7" t="n">
        <v>17.1</v>
      </c>
      <c r="J1548" s="7" t="s">
        <v>39</v>
      </c>
      <c r="K1548" s="7" t="n">
        <v>167.2</v>
      </c>
      <c r="L1548" s="7" t="s">
        <v>29</v>
      </c>
      <c r="M1548" s="7" t="s">
        <v>38</v>
      </c>
    </row>
    <row r="1549" customFormat="false" ht="15" hidden="false" customHeight="true" outlineLevel="0" collapsed="false">
      <c r="A1549" s="7" t="n">
        <v>2186</v>
      </c>
      <c r="B1549" s="7" t="n">
        <v>44</v>
      </c>
      <c r="C1549" s="7" t="s">
        <v>24</v>
      </c>
      <c r="D1549" s="7" t="s">
        <v>41</v>
      </c>
      <c r="E1549" s="7" t="n">
        <v>3</v>
      </c>
      <c r="F1549" s="7" t="n">
        <v>13</v>
      </c>
      <c r="G1549" s="7" t="s">
        <v>26</v>
      </c>
      <c r="H1549" s="7" t="s">
        <v>32</v>
      </c>
      <c r="I1549" s="7" t="n">
        <v>36.8</v>
      </c>
      <c r="J1549" s="7" t="s">
        <v>39</v>
      </c>
      <c r="K1549" s="7" t="n">
        <v>146.8</v>
      </c>
      <c r="L1549" s="7" t="s">
        <v>29</v>
      </c>
      <c r="M1549" s="7" t="s">
        <v>38</v>
      </c>
    </row>
    <row r="1550" customFormat="false" ht="15" hidden="false" customHeight="true" outlineLevel="0" collapsed="false">
      <c r="A1550" s="7" t="n">
        <v>2199</v>
      </c>
      <c r="B1550" s="7" t="n">
        <v>77</v>
      </c>
      <c r="C1550" s="7" t="s">
        <v>33</v>
      </c>
      <c r="D1550" s="7" t="s">
        <v>41</v>
      </c>
      <c r="E1550" s="7" t="n">
        <v>2</v>
      </c>
      <c r="F1550" s="7" t="n">
        <v>5</v>
      </c>
      <c r="G1550" s="7" t="s">
        <v>35</v>
      </c>
      <c r="H1550" s="7" t="s">
        <v>32</v>
      </c>
      <c r="I1550" s="7" t="n">
        <v>31.2</v>
      </c>
      <c r="J1550" s="7" t="s">
        <v>39</v>
      </c>
      <c r="K1550" s="7" t="n">
        <v>296.5</v>
      </c>
      <c r="L1550" s="7" t="s">
        <v>29</v>
      </c>
      <c r="M1550" s="7" t="s">
        <v>38</v>
      </c>
    </row>
    <row r="1551" customFormat="false" ht="15" hidden="false" customHeight="true" outlineLevel="0" collapsed="false">
      <c r="A1551" s="7" t="n">
        <v>2201</v>
      </c>
      <c r="B1551" s="7" t="n">
        <v>79</v>
      </c>
      <c r="C1551" s="7" t="s">
        <v>33</v>
      </c>
      <c r="D1551" s="7" t="s">
        <v>40</v>
      </c>
      <c r="E1551" s="7" t="n">
        <v>39</v>
      </c>
      <c r="F1551" s="7" t="n">
        <v>18</v>
      </c>
      <c r="G1551" s="7" t="s">
        <v>35</v>
      </c>
      <c r="H1551" s="7" t="s">
        <v>27</v>
      </c>
      <c r="I1551" s="7" t="n">
        <v>36.9</v>
      </c>
      <c r="J1551" s="7" t="s">
        <v>39</v>
      </c>
      <c r="K1551" s="7" t="n">
        <v>130</v>
      </c>
      <c r="L1551" s="7" t="s">
        <v>29</v>
      </c>
      <c r="M1551" s="7" t="s">
        <v>38</v>
      </c>
    </row>
    <row r="1552" customFormat="false" ht="15" hidden="false" customHeight="true" outlineLevel="0" collapsed="false">
      <c r="A1552" s="7" t="n">
        <v>2220</v>
      </c>
      <c r="B1552" s="7" t="n">
        <v>22</v>
      </c>
      <c r="C1552" s="7" t="s">
        <v>33</v>
      </c>
      <c r="D1552" s="7" t="s">
        <v>41</v>
      </c>
      <c r="E1552" s="7" t="n">
        <v>5</v>
      </c>
      <c r="F1552" s="7" t="n">
        <v>4</v>
      </c>
      <c r="G1552" s="7" t="s">
        <v>31</v>
      </c>
      <c r="H1552" s="7" t="s">
        <v>32</v>
      </c>
      <c r="I1552" s="7" t="n">
        <v>39</v>
      </c>
      <c r="J1552" s="7" t="s">
        <v>39</v>
      </c>
      <c r="K1552" s="7" t="n">
        <v>130.6</v>
      </c>
      <c r="L1552" s="7" t="s">
        <v>29</v>
      </c>
      <c r="M1552" s="7" t="s">
        <v>38</v>
      </c>
    </row>
    <row r="1553" customFormat="false" ht="15" hidden="false" customHeight="true" outlineLevel="0" collapsed="false">
      <c r="A1553" s="7" t="n">
        <v>2221</v>
      </c>
      <c r="B1553" s="7" t="n">
        <v>34</v>
      </c>
      <c r="C1553" s="7" t="s">
        <v>24</v>
      </c>
      <c r="D1553" s="7" t="s">
        <v>40</v>
      </c>
      <c r="E1553" s="7" t="n">
        <v>17</v>
      </c>
      <c r="F1553" s="7" t="n">
        <v>24</v>
      </c>
      <c r="G1553" s="7" t="s">
        <v>31</v>
      </c>
      <c r="H1553" s="7" t="s">
        <v>27</v>
      </c>
      <c r="I1553" s="7" t="n">
        <v>25.8</v>
      </c>
      <c r="J1553" s="7" t="s">
        <v>39</v>
      </c>
      <c r="K1553" s="7" t="n">
        <v>275.4</v>
      </c>
      <c r="L1553" s="7" t="s">
        <v>29</v>
      </c>
      <c r="M1553" s="7" t="s">
        <v>38</v>
      </c>
    </row>
    <row r="1554" customFormat="false" ht="15" hidden="false" customHeight="true" outlineLevel="0" collapsed="false">
      <c r="A1554" s="7" t="n">
        <v>2223</v>
      </c>
      <c r="B1554" s="7" t="n">
        <v>27</v>
      </c>
      <c r="C1554" s="7" t="s">
        <v>33</v>
      </c>
      <c r="D1554" s="7" t="s">
        <v>40</v>
      </c>
      <c r="E1554" s="7" t="n">
        <v>5</v>
      </c>
      <c r="F1554" s="7" t="n">
        <v>20</v>
      </c>
      <c r="G1554" s="7" t="s">
        <v>36</v>
      </c>
      <c r="H1554" s="7" t="s">
        <v>32</v>
      </c>
      <c r="I1554" s="7" t="n">
        <v>34.7</v>
      </c>
      <c r="J1554" s="7" t="s">
        <v>39</v>
      </c>
      <c r="K1554" s="7" t="n">
        <v>135.3</v>
      </c>
      <c r="L1554" s="7" t="s">
        <v>29</v>
      </c>
      <c r="M1554" s="7" t="s">
        <v>38</v>
      </c>
    </row>
    <row r="1555" customFormat="false" ht="15" hidden="false" customHeight="true" outlineLevel="0" collapsed="false">
      <c r="A1555" s="7" t="n">
        <v>2226</v>
      </c>
      <c r="B1555" s="7" t="n">
        <v>62</v>
      </c>
      <c r="C1555" s="7" t="s">
        <v>24</v>
      </c>
      <c r="D1555" s="7" t="s">
        <v>40</v>
      </c>
      <c r="E1555" s="7" t="n">
        <v>22</v>
      </c>
      <c r="F1555" s="7" t="n">
        <v>17</v>
      </c>
      <c r="G1555" s="7" t="s">
        <v>26</v>
      </c>
      <c r="H1555" s="7" t="s">
        <v>27</v>
      </c>
      <c r="I1555" s="7" t="n">
        <v>24.4</v>
      </c>
      <c r="J1555" s="7" t="s">
        <v>39</v>
      </c>
      <c r="K1555" s="7" t="n">
        <v>242.5</v>
      </c>
      <c r="L1555" s="7" t="s">
        <v>29</v>
      </c>
      <c r="M1555" s="7" t="s">
        <v>38</v>
      </c>
    </row>
    <row r="1556" customFormat="false" ht="15" hidden="false" customHeight="true" outlineLevel="0" collapsed="false">
      <c r="A1556" s="7" t="n">
        <v>2237</v>
      </c>
      <c r="B1556" s="7" t="n">
        <v>70</v>
      </c>
      <c r="C1556" s="7" t="s">
        <v>33</v>
      </c>
      <c r="D1556" s="7" t="s">
        <v>40</v>
      </c>
      <c r="E1556" s="7" t="n">
        <v>23</v>
      </c>
      <c r="F1556" s="7" t="n">
        <v>17</v>
      </c>
      <c r="G1556" s="7" t="s">
        <v>31</v>
      </c>
      <c r="H1556" s="7" t="s">
        <v>27</v>
      </c>
      <c r="I1556" s="7" t="n">
        <v>21.4</v>
      </c>
      <c r="J1556" s="7" t="s">
        <v>39</v>
      </c>
      <c r="K1556" s="7" t="n">
        <v>158.4</v>
      </c>
      <c r="L1556" s="7" t="s">
        <v>37</v>
      </c>
      <c r="M1556" s="7" t="s">
        <v>38</v>
      </c>
    </row>
    <row r="1557" customFormat="false" ht="15" hidden="false" customHeight="true" outlineLevel="0" collapsed="false">
      <c r="A1557" s="7" t="n">
        <v>2259</v>
      </c>
      <c r="B1557" s="7" t="n">
        <v>35</v>
      </c>
      <c r="C1557" s="7" t="s">
        <v>24</v>
      </c>
      <c r="D1557" s="7" t="s">
        <v>41</v>
      </c>
      <c r="E1557" s="7" t="n">
        <v>1</v>
      </c>
      <c r="F1557" s="7" t="n">
        <v>10</v>
      </c>
      <c r="G1557" s="7" t="s">
        <v>36</v>
      </c>
      <c r="H1557" s="7" t="s">
        <v>27</v>
      </c>
      <c r="I1557" s="7" t="n">
        <v>31.5</v>
      </c>
      <c r="J1557" s="7" t="s">
        <v>39</v>
      </c>
      <c r="K1557" s="7" t="n">
        <v>170</v>
      </c>
      <c r="L1557" s="7" t="s">
        <v>29</v>
      </c>
      <c r="M1557" s="7" t="s">
        <v>38</v>
      </c>
    </row>
    <row r="1558" customFormat="false" ht="15" hidden="false" customHeight="true" outlineLevel="0" collapsed="false">
      <c r="A1558" s="7" t="n">
        <v>2287</v>
      </c>
      <c r="B1558" s="7" t="n">
        <v>59</v>
      </c>
      <c r="C1558" s="7" t="s">
        <v>33</v>
      </c>
      <c r="D1558" s="7" t="s">
        <v>41</v>
      </c>
      <c r="E1558" s="7" t="n">
        <v>2</v>
      </c>
      <c r="F1558" s="7" t="n">
        <v>13</v>
      </c>
      <c r="G1558" s="7" t="s">
        <v>34</v>
      </c>
      <c r="H1558" s="7" t="s">
        <v>32</v>
      </c>
      <c r="I1558" s="7" t="n">
        <v>35.1</v>
      </c>
      <c r="J1558" s="7" t="s">
        <v>39</v>
      </c>
      <c r="K1558" s="7" t="n">
        <v>244.8</v>
      </c>
      <c r="L1558" s="7" t="s">
        <v>29</v>
      </c>
      <c r="M1558" s="7" t="s">
        <v>38</v>
      </c>
    </row>
    <row r="1559" customFormat="false" ht="15" hidden="false" customHeight="true" outlineLevel="0" collapsed="false">
      <c r="A1559" s="7" t="n">
        <v>2299</v>
      </c>
      <c r="B1559" s="7" t="n">
        <v>49</v>
      </c>
      <c r="C1559" s="7" t="s">
        <v>24</v>
      </c>
      <c r="D1559" s="7" t="s">
        <v>41</v>
      </c>
      <c r="E1559" s="7" t="n">
        <v>5</v>
      </c>
      <c r="F1559" s="7" t="n">
        <v>10</v>
      </c>
      <c r="G1559" s="7" t="s">
        <v>31</v>
      </c>
      <c r="H1559" s="7" t="s">
        <v>27</v>
      </c>
      <c r="I1559" s="7" t="n">
        <v>38.1</v>
      </c>
      <c r="J1559" s="7" t="s">
        <v>39</v>
      </c>
      <c r="K1559" s="7" t="n">
        <v>256</v>
      </c>
      <c r="L1559" s="7" t="s">
        <v>37</v>
      </c>
      <c r="M1559" s="7" t="s">
        <v>38</v>
      </c>
    </row>
    <row r="1560" customFormat="false" ht="15" hidden="false" customHeight="true" outlineLevel="0" collapsed="false">
      <c r="A1560" s="7" t="n">
        <v>2328</v>
      </c>
      <c r="B1560" s="7" t="n">
        <v>68</v>
      </c>
      <c r="C1560" s="7" t="s">
        <v>24</v>
      </c>
      <c r="D1560" s="7" t="s">
        <v>40</v>
      </c>
      <c r="E1560" s="7" t="n">
        <v>18</v>
      </c>
      <c r="F1560" s="7" t="n">
        <v>7</v>
      </c>
      <c r="G1560" s="7" t="s">
        <v>31</v>
      </c>
      <c r="H1560" s="7" t="s">
        <v>32</v>
      </c>
      <c r="I1560" s="7" t="n">
        <v>27.5</v>
      </c>
      <c r="J1560" s="7" t="s">
        <v>39</v>
      </c>
      <c r="K1560" s="7" t="n">
        <v>166.2</v>
      </c>
      <c r="L1560" s="7" t="s">
        <v>29</v>
      </c>
      <c r="M1560" s="7" t="s">
        <v>38</v>
      </c>
    </row>
    <row r="1561" customFormat="false" ht="15" hidden="false" customHeight="true" outlineLevel="0" collapsed="false">
      <c r="A1561" s="7" t="n">
        <v>2424</v>
      </c>
      <c r="B1561" s="7" t="n">
        <v>72</v>
      </c>
      <c r="C1561" s="7" t="s">
        <v>24</v>
      </c>
      <c r="D1561" s="7" t="s">
        <v>40</v>
      </c>
      <c r="E1561" s="7" t="n">
        <v>24</v>
      </c>
      <c r="F1561" s="7" t="n">
        <v>20</v>
      </c>
      <c r="G1561" s="7" t="s">
        <v>35</v>
      </c>
      <c r="H1561" s="7" t="s">
        <v>27</v>
      </c>
      <c r="I1561" s="7" t="n">
        <v>30.2</v>
      </c>
      <c r="J1561" s="7" t="s">
        <v>39</v>
      </c>
      <c r="K1561" s="7" t="n">
        <v>184.6</v>
      </c>
      <c r="L1561" s="7" t="s">
        <v>29</v>
      </c>
      <c r="M1561" s="7" t="s">
        <v>38</v>
      </c>
    </row>
    <row r="1562" customFormat="false" ht="15" hidden="false" customHeight="true" outlineLevel="0" collapsed="false">
      <c r="A1562" s="7" t="n">
        <v>2432</v>
      </c>
      <c r="B1562" s="7" t="n">
        <v>26</v>
      </c>
      <c r="C1562" s="7" t="s">
        <v>33</v>
      </c>
      <c r="D1562" s="7" t="s">
        <v>41</v>
      </c>
      <c r="E1562" s="7" t="n">
        <v>18</v>
      </c>
      <c r="F1562" s="7" t="n">
        <v>14</v>
      </c>
      <c r="G1562" s="7" t="s">
        <v>31</v>
      </c>
      <c r="H1562" s="7" t="s">
        <v>27</v>
      </c>
      <c r="I1562" s="7" t="n">
        <v>36.7</v>
      </c>
      <c r="J1562" s="7" t="s">
        <v>39</v>
      </c>
      <c r="K1562" s="7" t="n">
        <v>246.5</v>
      </c>
      <c r="L1562" s="7" t="s">
        <v>37</v>
      </c>
      <c r="M1562" s="7" t="s">
        <v>38</v>
      </c>
    </row>
    <row r="1563" customFormat="false" ht="15" hidden="false" customHeight="true" outlineLevel="0" collapsed="false">
      <c r="A1563" s="7" t="n">
        <v>2436</v>
      </c>
      <c r="B1563" s="7" t="n">
        <v>79</v>
      </c>
      <c r="C1563" s="7" t="s">
        <v>33</v>
      </c>
      <c r="D1563" s="7" t="s">
        <v>40</v>
      </c>
      <c r="E1563" s="7" t="n">
        <v>7</v>
      </c>
      <c r="F1563" s="7" t="n">
        <v>14</v>
      </c>
      <c r="G1563" s="7" t="s">
        <v>26</v>
      </c>
      <c r="H1563" s="7" t="s">
        <v>27</v>
      </c>
      <c r="I1563" s="7" t="n">
        <v>35.9</v>
      </c>
      <c r="J1563" s="7" t="s">
        <v>39</v>
      </c>
      <c r="K1563" s="7" t="n">
        <v>245.2</v>
      </c>
      <c r="L1563" s="7" t="s">
        <v>37</v>
      </c>
      <c r="M1563" s="7" t="s">
        <v>38</v>
      </c>
    </row>
    <row r="1564" customFormat="false" ht="15" hidden="false" customHeight="true" outlineLevel="0" collapsed="false">
      <c r="A1564" s="7" t="n">
        <v>2449</v>
      </c>
      <c r="B1564" s="7" t="n">
        <v>89</v>
      </c>
      <c r="C1564" s="7" t="s">
        <v>24</v>
      </c>
      <c r="D1564" s="7" t="s">
        <v>40</v>
      </c>
      <c r="E1564" s="7" t="n">
        <v>27</v>
      </c>
      <c r="F1564" s="7" t="n">
        <v>9</v>
      </c>
      <c r="G1564" s="7" t="s">
        <v>34</v>
      </c>
      <c r="H1564" s="7" t="s">
        <v>27</v>
      </c>
      <c r="I1564" s="7" t="n">
        <v>32.9</v>
      </c>
      <c r="J1564" s="7" t="s">
        <v>39</v>
      </c>
      <c r="K1564" s="7" t="n">
        <v>183.6</v>
      </c>
      <c r="L1564" s="7" t="s">
        <v>37</v>
      </c>
      <c r="M1564" s="7" t="s">
        <v>38</v>
      </c>
    </row>
    <row r="1565" customFormat="false" ht="15" hidden="false" customHeight="true" outlineLevel="0" collapsed="false">
      <c r="A1565" s="7" t="n">
        <v>2466</v>
      </c>
      <c r="B1565" s="7" t="n">
        <v>31</v>
      </c>
      <c r="C1565" s="7" t="s">
        <v>24</v>
      </c>
      <c r="D1565" s="7" t="s">
        <v>41</v>
      </c>
      <c r="E1565" s="7" t="n">
        <v>6</v>
      </c>
      <c r="F1565" s="7" t="n">
        <v>10</v>
      </c>
      <c r="G1565" s="7" t="s">
        <v>34</v>
      </c>
      <c r="H1565" s="7" t="s">
        <v>27</v>
      </c>
      <c r="I1565" s="7" t="n">
        <v>38.1</v>
      </c>
      <c r="J1565" s="7" t="s">
        <v>39</v>
      </c>
      <c r="K1565" s="7" t="n">
        <v>204.8</v>
      </c>
      <c r="L1565" s="7" t="s">
        <v>29</v>
      </c>
      <c r="M1565" s="7" t="s">
        <v>38</v>
      </c>
    </row>
    <row r="1566" customFormat="false" ht="15" hidden="false" customHeight="true" outlineLevel="0" collapsed="false">
      <c r="A1566" s="7" t="n">
        <v>2467</v>
      </c>
      <c r="B1566" s="7" t="n">
        <v>33</v>
      </c>
      <c r="C1566" s="7" t="s">
        <v>24</v>
      </c>
      <c r="D1566" s="7" t="s">
        <v>40</v>
      </c>
      <c r="E1566" s="7" t="n">
        <v>35</v>
      </c>
      <c r="F1566" s="7" t="n">
        <v>22</v>
      </c>
      <c r="G1566" s="7" t="s">
        <v>35</v>
      </c>
      <c r="H1566" s="7" t="s">
        <v>32</v>
      </c>
      <c r="I1566" s="7" t="n">
        <v>26.3</v>
      </c>
      <c r="J1566" s="7" t="s">
        <v>39</v>
      </c>
      <c r="K1566" s="7" t="n">
        <v>263.5</v>
      </c>
      <c r="L1566" s="7" t="s">
        <v>29</v>
      </c>
      <c r="M1566" s="7" t="s">
        <v>38</v>
      </c>
    </row>
    <row r="1567" customFormat="false" ht="15" hidden="false" customHeight="true" outlineLevel="0" collapsed="false">
      <c r="A1567" s="7" t="n">
        <v>2476</v>
      </c>
      <c r="B1567" s="7" t="n">
        <v>89</v>
      </c>
      <c r="C1567" s="7" t="s">
        <v>24</v>
      </c>
      <c r="D1567" s="7" t="s">
        <v>41</v>
      </c>
      <c r="E1567" s="7" t="n">
        <v>19</v>
      </c>
      <c r="F1567" s="7" t="n">
        <v>5</v>
      </c>
      <c r="G1567" s="7" t="s">
        <v>35</v>
      </c>
      <c r="H1567" s="7" t="s">
        <v>32</v>
      </c>
      <c r="I1567" s="7" t="n">
        <v>33.8</v>
      </c>
      <c r="J1567" s="7" t="s">
        <v>39</v>
      </c>
      <c r="K1567" s="7" t="n">
        <v>272</v>
      </c>
      <c r="L1567" s="7" t="s">
        <v>37</v>
      </c>
      <c r="M1567" s="7" t="s">
        <v>38</v>
      </c>
    </row>
    <row r="1568" customFormat="false" ht="15" hidden="false" customHeight="true" outlineLevel="0" collapsed="false">
      <c r="A1568" s="7" t="n">
        <v>30</v>
      </c>
      <c r="B1568" s="7" t="n">
        <v>59</v>
      </c>
      <c r="C1568" s="7" t="s">
        <v>24</v>
      </c>
      <c r="D1568" s="7" t="s">
        <v>41</v>
      </c>
      <c r="E1568" s="7" t="n">
        <v>17</v>
      </c>
      <c r="F1568" s="7" t="n">
        <v>4</v>
      </c>
      <c r="G1568" s="7" t="s">
        <v>35</v>
      </c>
      <c r="H1568" s="7" t="s">
        <v>27</v>
      </c>
      <c r="I1568" s="7" t="n">
        <v>30.1</v>
      </c>
      <c r="J1568" s="7" t="s">
        <v>39</v>
      </c>
      <c r="K1568" s="7" t="n">
        <v>158.8</v>
      </c>
      <c r="L1568" s="7" t="s">
        <v>29</v>
      </c>
      <c r="M1568" s="7" t="s">
        <v>30</v>
      </c>
    </row>
    <row r="1569" customFormat="false" ht="15" hidden="false" customHeight="true" outlineLevel="0" collapsed="false">
      <c r="A1569" s="7" t="n">
        <v>42</v>
      </c>
      <c r="B1569" s="7" t="n">
        <v>86</v>
      </c>
      <c r="C1569" s="7" t="s">
        <v>33</v>
      </c>
      <c r="D1569" s="7" t="s">
        <v>41</v>
      </c>
      <c r="E1569" s="7" t="n">
        <v>15</v>
      </c>
      <c r="F1569" s="7" t="n">
        <v>5</v>
      </c>
      <c r="G1569" s="7" t="s">
        <v>31</v>
      </c>
      <c r="H1569" s="7" t="s">
        <v>27</v>
      </c>
      <c r="I1569" s="7" t="n">
        <v>33.8</v>
      </c>
      <c r="J1569" s="7" t="s">
        <v>39</v>
      </c>
      <c r="K1569" s="7" t="n">
        <v>262.5</v>
      </c>
      <c r="L1569" s="7" t="s">
        <v>29</v>
      </c>
      <c r="M1569" s="7" t="s">
        <v>30</v>
      </c>
    </row>
    <row r="1570" customFormat="false" ht="15" hidden="false" customHeight="true" outlineLevel="0" collapsed="false">
      <c r="A1570" s="7" t="n">
        <v>63</v>
      </c>
      <c r="B1570" s="7" t="n">
        <v>43</v>
      </c>
      <c r="C1570" s="7" t="s">
        <v>24</v>
      </c>
      <c r="D1570" s="7" t="s">
        <v>41</v>
      </c>
      <c r="E1570" s="7" t="n">
        <v>2</v>
      </c>
      <c r="F1570" s="7" t="n">
        <v>13</v>
      </c>
      <c r="G1570" s="7" t="s">
        <v>35</v>
      </c>
      <c r="H1570" s="7" t="s">
        <v>27</v>
      </c>
      <c r="I1570" s="7" t="n">
        <v>34.8</v>
      </c>
      <c r="J1570" s="7" t="s">
        <v>39</v>
      </c>
      <c r="K1570" s="7" t="n">
        <v>212.1</v>
      </c>
      <c r="L1570" s="7" t="s">
        <v>29</v>
      </c>
      <c r="M1570" s="7" t="s">
        <v>30</v>
      </c>
    </row>
    <row r="1571" customFormat="false" ht="15" hidden="false" customHeight="true" outlineLevel="0" collapsed="false">
      <c r="A1571" s="7" t="n">
        <v>109</v>
      </c>
      <c r="B1571" s="7" t="n">
        <v>42</v>
      </c>
      <c r="C1571" s="7" t="s">
        <v>33</v>
      </c>
      <c r="D1571" s="7" t="s">
        <v>41</v>
      </c>
      <c r="E1571" s="7" t="n">
        <v>13</v>
      </c>
      <c r="F1571" s="7" t="n">
        <v>2</v>
      </c>
      <c r="G1571" s="7" t="s">
        <v>31</v>
      </c>
      <c r="H1571" s="7" t="s">
        <v>27</v>
      </c>
      <c r="I1571" s="7" t="n">
        <v>27</v>
      </c>
      <c r="J1571" s="7" t="s">
        <v>39</v>
      </c>
      <c r="K1571" s="7" t="n">
        <v>161.5</v>
      </c>
      <c r="L1571" s="7" t="s">
        <v>29</v>
      </c>
      <c r="M1571" s="7" t="s">
        <v>30</v>
      </c>
    </row>
    <row r="1572" customFormat="false" ht="15" hidden="false" customHeight="true" outlineLevel="0" collapsed="false">
      <c r="A1572" s="7" t="n">
        <v>149</v>
      </c>
      <c r="B1572" s="7" t="n">
        <v>21</v>
      </c>
      <c r="C1572" s="7" t="s">
        <v>24</v>
      </c>
      <c r="D1572" s="7" t="s">
        <v>41</v>
      </c>
      <c r="E1572" s="7" t="n">
        <v>6</v>
      </c>
      <c r="F1572" s="7" t="n">
        <v>14</v>
      </c>
      <c r="G1572" s="7" t="s">
        <v>35</v>
      </c>
      <c r="H1572" s="7" t="s">
        <v>32</v>
      </c>
      <c r="I1572" s="7" t="n">
        <v>36.1</v>
      </c>
      <c r="J1572" s="7" t="s">
        <v>39</v>
      </c>
      <c r="K1572" s="7" t="n">
        <v>198.4</v>
      </c>
      <c r="L1572" s="7" t="s">
        <v>29</v>
      </c>
      <c r="M1572" s="7" t="s">
        <v>30</v>
      </c>
    </row>
    <row r="1573" customFormat="false" ht="15" hidden="false" customHeight="true" outlineLevel="0" collapsed="false">
      <c r="A1573" s="7" t="n">
        <v>168</v>
      </c>
      <c r="B1573" s="7" t="n">
        <v>47</v>
      </c>
      <c r="C1573" s="7" t="s">
        <v>24</v>
      </c>
      <c r="D1573" s="7" t="s">
        <v>41</v>
      </c>
      <c r="E1573" s="7" t="n">
        <v>13</v>
      </c>
      <c r="F1573" s="7" t="n">
        <v>3</v>
      </c>
      <c r="G1573" s="7" t="s">
        <v>36</v>
      </c>
      <c r="H1573" s="7" t="s">
        <v>32</v>
      </c>
      <c r="I1573" s="7" t="n">
        <v>37.1</v>
      </c>
      <c r="J1573" s="7" t="s">
        <v>39</v>
      </c>
      <c r="K1573" s="7" t="n">
        <v>174.8</v>
      </c>
      <c r="L1573" s="7" t="s">
        <v>37</v>
      </c>
      <c r="M1573" s="7" t="s">
        <v>30</v>
      </c>
    </row>
    <row r="1574" customFormat="false" ht="15" hidden="false" customHeight="true" outlineLevel="0" collapsed="false">
      <c r="A1574" s="7" t="n">
        <v>170</v>
      </c>
      <c r="B1574" s="7" t="n">
        <v>71</v>
      </c>
      <c r="C1574" s="7" t="s">
        <v>24</v>
      </c>
      <c r="D1574" s="7" t="s">
        <v>41</v>
      </c>
      <c r="E1574" s="7" t="n">
        <v>1</v>
      </c>
      <c r="F1574" s="7" t="n">
        <v>14</v>
      </c>
      <c r="G1574" s="7" t="s">
        <v>26</v>
      </c>
      <c r="H1574" s="7" t="s">
        <v>27</v>
      </c>
      <c r="I1574" s="7" t="n">
        <v>40.8</v>
      </c>
      <c r="J1574" s="7" t="s">
        <v>39</v>
      </c>
      <c r="K1574" s="7" t="n">
        <v>239.9</v>
      </c>
      <c r="L1574" s="7" t="s">
        <v>37</v>
      </c>
      <c r="M1574" s="7" t="s">
        <v>30</v>
      </c>
    </row>
    <row r="1575" customFormat="false" ht="15" hidden="false" customHeight="true" outlineLevel="0" collapsed="false">
      <c r="A1575" s="7" t="n">
        <v>199</v>
      </c>
      <c r="B1575" s="7" t="n">
        <v>36</v>
      </c>
      <c r="C1575" s="7" t="s">
        <v>24</v>
      </c>
      <c r="D1575" s="7" t="s">
        <v>41</v>
      </c>
      <c r="E1575" s="7" t="n">
        <v>13</v>
      </c>
      <c r="F1575" s="7" t="n">
        <v>3</v>
      </c>
      <c r="G1575" s="7" t="s">
        <v>35</v>
      </c>
      <c r="H1575" s="7" t="s">
        <v>27</v>
      </c>
      <c r="I1575" s="7" t="n">
        <v>38.8</v>
      </c>
      <c r="J1575" s="7" t="s">
        <v>39</v>
      </c>
      <c r="K1575" s="7" t="n">
        <v>153.5</v>
      </c>
      <c r="L1575" s="7" t="s">
        <v>29</v>
      </c>
      <c r="M1575" s="7" t="s">
        <v>30</v>
      </c>
    </row>
    <row r="1576" customFormat="false" ht="15" hidden="false" customHeight="true" outlineLevel="0" collapsed="false">
      <c r="A1576" s="7" t="n">
        <v>212</v>
      </c>
      <c r="B1576" s="7" t="n">
        <v>87</v>
      </c>
      <c r="C1576" s="7" t="s">
        <v>24</v>
      </c>
      <c r="D1576" s="7" t="s">
        <v>41</v>
      </c>
      <c r="E1576" s="7" t="n">
        <v>10</v>
      </c>
      <c r="F1576" s="7" t="n">
        <v>12</v>
      </c>
      <c r="G1576" s="7" t="s">
        <v>36</v>
      </c>
      <c r="H1576" s="7" t="s">
        <v>27</v>
      </c>
      <c r="I1576" s="7" t="n">
        <v>38.4</v>
      </c>
      <c r="J1576" s="7" t="s">
        <v>39</v>
      </c>
      <c r="K1576" s="7" t="n">
        <v>169.8</v>
      </c>
      <c r="L1576" s="7" t="s">
        <v>29</v>
      </c>
      <c r="M1576" s="7" t="s">
        <v>30</v>
      </c>
    </row>
    <row r="1577" customFormat="false" ht="15" hidden="false" customHeight="true" outlineLevel="0" collapsed="false">
      <c r="A1577" s="7" t="n">
        <v>251</v>
      </c>
      <c r="B1577" s="7" t="n">
        <v>34</v>
      </c>
      <c r="C1577" s="7" t="s">
        <v>33</v>
      </c>
      <c r="D1577" s="7" t="s">
        <v>41</v>
      </c>
      <c r="E1577" s="7" t="n">
        <v>12</v>
      </c>
      <c r="F1577" s="7" t="n">
        <v>6</v>
      </c>
      <c r="G1577" s="7" t="s">
        <v>35</v>
      </c>
      <c r="H1577" s="7" t="s">
        <v>27</v>
      </c>
      <c r="I1577" s="7" t="n">
        <v>19.3</v>
      </c>
      <c r="J1577" s="7" t="s">
        <v>39</v>
      </c>
      <c r="K1577" s="7" t="n">
        <v>208.5</v>
      </c>
      <c r="L1577" s="7" t="s">
        <v>29</v>
      </c>
      <c r="M1577" s="7" t="s">
        <v>30</v>
      </c>
    </row>
    <row r="1578" customFormat="false" ht="15" hidden="false" customHeight="true" outlineLevel="0" collapsed="false">
      <c r="A1578" s="7" t="n">
        <v>262</v>
      </c>
      <c r="B1578" s="7" t="n">
        <v>76</v>
      </c>
      <c r="C1578" s="7" t="s">
        <v>33</v>
      </c>
      <c r="D1578" s="7" t="s">
        <v>41</v>
      </c>
      <c r="E1578" s="7" t="n">
        <v>4</v>
      </c>
      <c r="F1578" s="7" t="n">
        <v>13</v>
      </c>
      <c r="G1578" s="7" t="s">
        <v>36</v>
      </c>
      <c r="H1578" s="7" t="s">
        <v>27</v>
      </c>
      <c r="I1578" s="7" t="n">
        <v>21</v>
      </c>
      <c r="J1578" s="7" t="s">
        <v>39</v>
      </c>
      <c r="K1578" s="7" t="n">
        <v>268.3</v>
      </c>
      <c r="L1578" s="7" t="s">
        <v>29</v>
      </c>
      <c r="M1578" s="7" t="s">
        <v>30</v>
      </c>
    </row>
    <row r="1579" customFormat="false" ht="15" hidden="false" customHeight="true" outlineLevel="0" collapsed="false">
      <c r="A1579" s="7" t="n">
        <v>268</v>
      </c>
      <c r="B1579" s="7" t="n">
        <v>88</v>
      </c>
      <c r="C1579" s="7" t="s">
        <v>33</v>
      </c>
      <c r="D1579" s="7" t="s">
        <v>41</v>
      </c>
      <c r="E1579" s="7" t="n">
        <v>16</v>
      </c>
      <c r="F1579" s="7" t="n">
        <v>2</v>
      </c>
      <c r="G1579" s="7" t="s">
        <v>26</v>
      </c>
      <c r="H1579" s="7" t="s">
        <v>27</v>
      </c>
      <c r="I1579" s="7" t="n">
        <v>37.6</v>
      </c>
      <c r="J1579" s="7" t="s">
        <v>39</v>
      </c>
      <c r="K1579" s="7" t="n">
        <v>158.2</v>
      </c>
      <c r="L1579" s="7" t="s">
        <v>29</v>
      </c>
      <c r="M1579" s="7" t="s">
        <v>30</v>
      </c>
    </row>
    <row r="1580" customFormat="false" ht="15" hidden="false" customHeight="true" outlineLevel="0" collapsed="false">
      <c r="A1580" s="7" t="n">
        <v>272</v>
      </c>
      <c r="B1580" s="7" t="n">
        <v>77</v>
      </c>
      <c r="C1580" s="7" t="s">
        <v>24</v>
      </c>
      <c r="D1580" s="7" t="s">
        <v>41</v>
      </c>
      <c r="E1580" s="7" t="n">
        <v>11</v>
      </c>
      <c r="F1580" s="7" t="n">
        <v>9</v>
      </c>
      <c r="G1580" s="7" t="s">
        <v>34</v>
      </c>
      <c r="H1580" s="7" t="s">
        <v>27</v>
      </c>
      <c r="I1580" s="7" t="n">
        <v>36.3</v>
      </c>
      <c r="J1580" s="7" t="s">
        <v>39</v>
      </c>
      <c r="K1580" s="7" t="n">
        <v>213.8</v>
      </c>
      <c r="L1580" s="7" t="s">
        <v>29</v>
      </c>
      <c r="M1580" s="7" t="s">
        <v>30</v>
      </c>
    </row>
    <row r="1581" customFormat="false" ht="15" hidden="false" customHeight="true" outlineLevel="0" collapsed="false">
      <c r="A1581" s="7" t="n">
        <v>530</v>
      </c>
      <c r="B1581" s="7" t="n">
        <v>77</v>
      </c>
      <c r="C1581" s="7" t="s">
        <v>24</v>
      </c>
      <c r="D1581" s="7" t="s">
        <v>41</v>
      </c>
      <c r="E1581" s="7" t="n">
        <v>10</v>
      </c>
      <c r="F1581" s="7" t="n">
        <v>6</v>
      </c>
      <c r="G1581" s="7" t="s">
        <v>35</v>
      </c>
      <c r="H1581" s="7" t="s">
        <v>27</v>
      </c>
      <c r="I1581" s="7" t="n">
        <v>20.1</v>
      </c>
      <c r="J1581" s="7" t="s">
        <v>39</v>
      </c>
      <c r="K1581" s="7" t="n">
        <v>234.5</v>
      </c>
      <c r="L1581" s="7" t="s">
        <v>29</v>
      </c>
      <c r="M1581" s="7" t="s">
        <v>30</v>
      </c>
    </row>
    <row r="1582" customFormat="false" ht="15" hidden="false" customHeight="true" outlineLevel="0" collapsed="false">
      <c r="A1582" s="7" t="n">
        <v>595</v>
      </c>
      <c r="B1582" s="7" t="n">
        <v>65</v>
      </c>
      <c r="C1582" s="7" t="s">
        <v>24</v>
      </c>
      <c r="D1582" s="7" t="s">
        <v>41</v>
      </c>
      <c r="E1582" s="7" t="n">
        <v>5</v>
      </c>
      <c r="F1582" s="7" t="n">
        <v>13</v>
      </c>
      <c r="G1582" s="7" t="s">
        <v>35</v>
      </c>
      <c r="H1582" s="7" t="s">
        <v>27</v>
      </c>
      <c r="I1582" s="7" t="n">
        <v>41.9</v>
      </c>
      <c r="J1582" s="7" t="s">
        <v>39</v>
      </c>
      <c r="K1582" s="7" t="n">
        <v>272.2</v>
      </c>
      <c r="L1582" s="7" t="s">
        <v>29</v>
      </c>
      <c r="M1582" s="7" t="s">
        <v>30</v>
      </c>
    </row>
    <row r="1583" customFormat="false" ht="15" hidden="false" customHeight="true" outlineLevel="0" collapsed="false">
      <c r="A1583" s="7" t="n">
        <v>642</v>
      </c>
      <c r="B1583" s="7" t="n">
        <v>44</v>
      </c>
      <c r="C1583" s="7" t="s">
        <v>24</v>
      </c>
      <c r="D1583" s="7" t="s">
        <v>41</v>
      </c>
      <c r="E1583" s="7" t="n">
        <v>17</v>
      </c>
      <c r="F1583" s="7" t="n">
        <v>10</v>
      </c>
      <c r="G1583" s="7" t="s">
        <v>31</v>
      </c>
      <c r="H1583" s="7" t="s">
        <v>32</v>
      </c>
      <c r="I1583" s="7" t="n">
        <v>34.1</v>
      </c>
      <c r="J1583" s="7" t="s">
        <v>39</v>
      </c>
      <c r="K1583" s="7" t="n">
        <v>156.6</v>
      </c>
      <c r="L1583" s="7" t="s">
        <v>29</v>
      </c>
      <c r="M1583" s="7" t="s">
        <v>30</v>
      </c>
    </row>
    <row r="1584" customFormat="false" ht="15" hidden="false" customHeight="true" outlineLevel="0" collapsed="false">
      <c r="A1584" s="7" t="n">
        <v>663</v>
      </c>
      <c r="B1584" s="7" t="n">
        <v>87</v>
      </c>
      <c r="C1584" s="7" t="s">
        <v>24</v>
      </c>
      <c r="D1584" s="7" t="s">
        <v>41</v>
      </c>
      <c r="E1584" s="7" t="n">
        <v>10</v>
      </c>
      <c r="F1584" s="7" t="n">
        <v>11</v>
      </c>
      <c r="G1584" s="7" t="s">
        <v>31</v>
      </c>
      <c r="H1584" s="7" t="s">
        <v>27</v>
      </c>
      <c r="I1584" s="7" t="n">
        <v>38.7</v>
      </c>
      <c r="J1584" s="7" t="s">
        <v>39</v>
      </c>
      <c r="K1584" s="7" t="n">
        <v>164.6</v>
      </c>
      <c r="L1584" s="7" t="s">
        <v>37</v>
      </c>
      <c r="M1584" s="7" t="s">
        <v>30</v>
      </c>
    </row>
    <row r="1585" customFormat="false" ht="15" hidden="false" customHeight="true" outlineLevel="0" collapsed="false">
      <c r="A1585" s="7" t="n">
        <v>692</v>
      </c>
      <c r="B1585" s="7" t="n">
        <v>46</v>
      </c>
      <c r="C1585" s="7" t="s">
        <v>24</v>
      </c>
      <c r="D1585" s="7" t="s">
        <v>41</v>
      </c>
      <c r="E1585" s="7" t="n">
        <v>9</v>
      </c>
      <c r="F1585" s="7" t="n">
        <v>3</v>
      </c>
      <c r="G1585" s="7" t="s">
        <v>31</v>
      </c>
      <c r="H1585" s="7" t="s">
        <v>27</v>
      </c>
      <c r="I1585" s="7" t="n">
        <v>29.3</v>
      </c>
      <c r="J1585" s="7" t="s">
        <v>39</v>
      </c>
      <c r="K1585" s="7" t="n">
        <v>265.2</v>
      </c>
      <c r="L1585" s="7" t="s">
        <v>37</v>
      </c>
      <c r="M1585" s="7" t="s">
        <v>30</v>
      </c>
    </row>
    <row r="1586" customFormat="false" ht="15" hidden="false" customHeight="true" outlineLevel="0" collapsed="false">
      <c r="A1586" s="7" t="n">
        <v>700</v>
      </c>
      <c r="B1586" s="7" t="n">
        <v>73</v>
      </c>
      <c r="C1586" s="7" t="s">
        <v>33</v>
      </c>
      <c r="D1586" s="7" t="s">
        <v>41</v>
      </c>
      <c r="E1586" s="7" t="n">
        <v>6</v>
      </c>
      <c r="F1586" s="7" t="n">
        <v>14</v>
      </c>
      <c r="G1586" s="7" t="s">
        <v>31</v>
      </c>
      <c r="H1586" s="7" t="s">
        <v>27</v>
      </c>
      <c r="I1586" s="7" t="n">
        <v>35.7</v>
      </c>
      <c r="J1586" s="7" t="s">
        <v>39</v>
      </c>
      <c r="K1586" s="7" t="n">
        <v>258.8</v>
      </c>
      <c r="L1586" s="7" t="s">
        <v>37</v>
      </c>
      <c r="M1586" s="7" t="s">
        <v>30</v>
      </c>
    </row>
    <row r="1587" customFormat="false" ht="15" hidden="false" customHeight="true" outlineLevel="0" collapsed="false">
      <c r="A1587" s="7" t="n">
        <v>712</v>
      </c>
      <c r="B1587" s="7" t="n">
        <v>28</v>
      </c>
      <c r="C1587" s="7" t="s">
        <v>33</v>
      </c>
      <c r="D1587" s="7" t="s">
        <v>41</v>
      </c>
      <c r="E1587" s="7" t="n">
        <v>13</v>
      </c>
      <c r="F1587" s="7" t="n">
        <v>8</v>
      </c>
      <c r="G1587" s="7" t="s">
        <v>36</v>
      </c>
      <c r="H1587" s="7" t="s">
        <v>27</v>
      </c>
      <c r="I1587" s="7" t="n">
        <v>19.3</v>
      </c>
      <c r="J1587" s="7" t="s">
        <v>39</v>
      </c>
      <c r="K1587" s="7" t="n">
        <v>244.1</v>
      </c>
      <c r="L1587" s="7" t="s">
        <v>37</v>
      </c>
      <c r="M1587" s="7" t="s">
        <v>30</v>
      </c>
    </row>
    <row r="1588" customFormat="false" ht="15" hidden="false" customHeight="true" outlineLevel="0" collapsed="false">
      <c r="A1588" s="7" t="n">
        <v>747</v>
      </c>
      <c r="B1588" s="7" t="n">
        <v>52</v>
      </c>
      <c r="C1588" s="7" t="s">
        <v>24</v>
      </c>
      <c r="D1588" s="7" t="s">
        <v>41</v>
      </c>
      <c r="E1588" s="7" t="n">
        <v>18</v>
      </c>
      <c r="F1588" s="7" t="n">
        <v>1</v>
      </c>
      <c r="G1588" s="7" t="s">
        <v>26</v>
      </c>
      <c r="H1588" s="7" t="s">
        <v>27</v>
      </c>
      <c r="I1588" s="7" t="n">
        <v>37.4</v>
      </c>
      <c r="J1588" s="7" t="s">
        <v>39</v>
      </c>
      <c r="K1588" s="7" t="n">
        <v>213.7</v>
      </c>
      <c r="L1588" s="7" t="s">
        <v>29</v>
      </c>
      <c r="M1588" s="7" t="s">
        <v>30</v>
      </c>
    </row>
    <row r="1589" customFormat="false" ht="15" hidden="false" customHeight="true" outlineLevel="0" collapsed="false">
      <c r="A1589" s="7" t="n">
        <v>768</v>
      </c>
      <c r="B1589" s="7" t="n">
        <v>33</v>
      </c>
      <c r="C1589" s="7" t="s">
        <v>33</v>
      </c>
      <c r="D1589" s="7" t="s">
        <v>41</v>
      </c>
      <c r="E1589" s="7" t="n">
        <v>10</v>
      </c>
      <c r="F1589" s="7" t="n">
        <v>9</v>
      </c>
      <c r="G1589" s="7" t="s">
        <v>36</v>
      </c>
      <c r="H1589" s="7" t="s">
        <v>27</v>
      </c>
      <c r="I1589" s="7" t="n">
        <v>22.3</v>
      </c>
      <c r="J1589" s="7" t="s">
        <v>39</v>
      </c>
      <c r="K1589" s="7" t="n">
        <v>235.2</v>
      </c>
      <c r="L1589" s="7" t="s">
        <v>37</v>
      </c>
      <c r="M1589" s="7" t="s">
        <v>30</v>
      </c>
    </row>
    <row r="1590" customFormat="false" ht="15" hidden="false" customHeight="true" outlineLevel="0" collapsed="false">
      <c r="A1590" s="7" t="n">
        <v>793</v>
      </c>
      <c r="B1590" s="7" t="n">
        <v>44</v>
      </c>
      <c r="C1590" s="7" t="s">
        <v>33</v>
      </c>
      <c r="D1590" s="7" t="s">
        <v>41</v>
      </c>
      <c r="E1590" s="7" t="n">
        <v>16</v>
      </c>
      <c r="F1590" s="7" t="n">
        <v>1</v>
      </c>
      <c r="G1590" s="7" t="s">
        <v>35</v>
      </c>
      <c r="H1590" s="7" t="s">
        <v>27</v>
      </c>
      <c r="I1590" s="7" t="n">
        <v>29.3</v>
      </c>
      <c r="J1590" s="7" t="s">
        <v>39</v>
      </c>
      <c r="K1590" s="7" t="n">
        <v>247.1</v>
      </c>
      <c r="L1590" s="7" t="s">
        <v>29</v>
      </c>
      <c r="M1590" s="7" t="s">
        <v>30</v>
      </c>
    </row>
    <row r="1591" customFormat="false" ht="15" hidden="false" customHeight="true" outlineLevel="0" collapsed="false">
      <c r="A1591" s="7" t="n">
        <v>818</v>
      </c>
      <c r="B1591" s="7" t="n">
        <v>85</v>
      </c>
      <c r="C1591" s="7" t="s">
        <v>33</v>
      </c>
      <c r="D1591" s="7" t="s">
        <v>41</v>
      </c>
      <c r="E1591" s="7" t="n">
        <v>5</v>
      </c>
      <c r="F1591" s="7" t="n">
        <v>11</v>
      </c>
      <c r="G1591" s="7" t="s">
        <v>34</v>
      </c>
      <c r="H1591" s="7" t="s">
        <v>32</v>
      </c>
      <c r="I1591" s="7" t="n">
        <v>27.1</v>
      </c>
      <c r="J1591" s="7" t="s">
        <v>39</v>
      </c>
      <c r="K1591" s="7" t="n">
        <v>194.8</v>
      </c>
      <c r="L1591" s="7" t="s">
        <v>29</v>
      </c>
      <c r="M1591" s="7" t="s">
        <v>30</v>
      </c>
    </row>
    <row r="1592" customFormat="false" ht="15" hidden="false" customHeight="true" outlineLevel="0" collapsed="false">
      <c r="A1592" s="7" t="n">
        <v>822</v>
      </c>
      <c r="B1592" s="7" t="n">
        <v>25</v>
      </c>
      <c r="C1592" s="7" t="s">
        <v>33</v>
      </c>
      <c r="D1592" s="7" t="s">
        <v>41</v>
      </c>
      <c r="E1592" s="7" t="n">
        <v>6</v>
      </c>
      <c r="F1592" s="7" t="n">
        <v>1</v>
      </c>
      <c r="G1592" s="7" t="s">
        <v>35</v>
      </c>
      <c r="H1592" s="7" t="s">
        <v>27</v>
      </c>
      <c r="I1592" s="7" t="n">
        <v>18.4</v>
      </c>
      <c r="J1592" s="7" t="s">
        <v>39</v>
      </c>
      <c r="K1592" s="7" t="n">
        <v>173</v>
      </c>
      <c r="L1592" s="7" t="s">
        <v>37</v>
      </c>
      <c r="M1592" s="7" t="s">
        <v>30</v>
      </c>
    </row>
    <row r="1593" customFormat="false" ht="15" hidden="false" customHeight="true" outlineLevel="0" collapsed="false">
      <c r="A1593" s="7" t="n">
        <v>846</v>
      </c>
      <c r="B1593" s="7" t="n">
        <v>58</v>
      </c>
      <c r="C1593" s="7" t="s">
        <v>33</v>
      </c>
      <c r="D1593" s="7" t="s">
        <v>41</v>
      </c>
      <c r="E1593" s="7" t="n">
        <v>8</v>
      </c>
      <c r="F1593" s="7" t="n">
        <v>11</v>
      </c>
      <c r="G1593" s="7" t="s">
        <v>26</v>
      </c>
      <c r="H1593" s="7" t="s">
        <v>27</v>
      </c>
      <c r="I1593" s="7" t="n">
        <v>32.8</v>
      </c>
      <c r="J1593" s="7" t="s">
        <v>39</v>
      </c>
      <c r="K1593" s="7" t="n">
        <v>195.4</v>
      </c>
      <c r="L1593" s="7" t="s">
        <v>29</v>
      </c>
      <c r="M1593" s="7" t="s">
        <v>30</v>
      </c>
    </row>
    <row r="1594" customFormat="false" ht="15" hidden="false" customHeight="true" outlineLevel="0" collapsed="false">
      <c r="A1594" s="7" t="n">
        <v>847</v>
      </c>
      <c r="B1594" s="7" t="n">
        <v>71</v>
      </c>
      <c r="C1594" s="7" t="s">
        <v>33</v>
      </c>
      <c r="D1594" s="7" t="s">
        <v>41</v>
      </c>
      <c r="E1594" s="7" t="n">
        <v>13</v>
      </c>
      <c r="F1594" s="7" t="n">
        <v>1</v>
      </c>
      <c r="G1594" s="7" t="s">
        <v>26</v>
      </c>
      <c r="H1594" s="7" t="s">
        <v>27</v>
      </c>
      <c r="I1594" s="7" t="n">
        <v>38.6</v>
      </c>
      <c r="J1594" s="7" t="s">
        <v>39</v>
      </c>
      <c r="K1594" s="7" t="n">
        <v>164.4</v>
      </c>
      <c r="L1594" s="7" t="s">
        <v>29</v>
      </c>
      <c r="M1594" s="7" t="s">
        <v>30</v>
      </c>
    </row>
    <row r="1595" customFormat="false" ht="15" hidden="false" customHeight="true" outlineLevel="0" collapsed="false">
      <c r="A1595" s="7" t="n">
        <v>854</v>
      </c>
      <c r="B1595" s="7" t="n">
        <v>20</v>
      </c>
      <c r="C1595" s="7" t="s">
        <v>24</v>
      </c>
      <c r="D1595" s="7" t="s">
        <v>41</v>
      </c>
      <c r="E1595" s="7" t="n">
        <v>7</v>
      </c>
      <c r="F1595" s="7" t="n">
        <v>1</v>
      </c>
      <c r="G1595" s="7" t="s">
        <v>35</v>
      </c>
      <c r="H1595" s="7" t="s">
        <v>27</v>
      </c>
      <c r="I1595" s="7" t="n">
        <v>24</v>
      </c>
      <c r="J1595" s="7" t="s">
        <v>39</v>
      </c>
      <c r="K1595" s="7" t="n">
        <v>147.6</v>
      </c>
      <c r="L1595" s="7" t="s">
        <v>29</v>
      </c>
      <c r="M1595" s="7" t="s">
        <v>30</v>
      </c>
    </row>
    <row r="1596" customFormat="false" ht="15" hidden="false" customHeight="true" outlineLevel="0" collapsed="false">
      <c r="A1596" s="7" t="n">
        <v>864</v>
      </c>
      <c r="B1596" s="7" t="n">
        <v>73</v>
      </c>
      <c r="C1596" s="7" t="s">
        <v>33</v>
      </c>
      <c r="D1596" s="7" t="s">
        <v>41</v>
      </c>
      <c r="E1596" s="7" t="n">
        <v>15</v>
      </c>
      <c r="F1596" s="7" t="n">
        <v>11</v>
      </c>
      <c r="G1596" s="7" t="s">
        <v>36</v>
      </c>
      <c r="H1596" s="7" t="s">
        <v>32</v>
      </c>
      <c r="I1596" s="7" t="n">
        <v>27.5</v>
      </c>
      <c r="J1596" s="7" t="s">
        <v>39</v>
      </c>
      <c r="K1596" s="7" t="n">
        <v>298.8</v>
      </c>
      <c r="L1596" s="7" t="s">
        <v>37</v>
      </c>
      <c r="M1596" s="7" t="s">
        <v>30</v>
      </c>
    </row>
    <row r="1597" customFormat="false" ht="15" hidden="false" customHeight="true" outlineLevel="0" collapsed="false">
      <c r="A1597" s="7" t="n">
        <v>870</v>
      </c>
      <c r="B1597" s="7" t="n">
        <v>27</v>
      </c>
      <c r="C1597" s="7" t="s">
        <v>33</v>
      </c>
      <c r="D1597" s="7" t="s">
        <v>41</v>
      </c>
      <c r="E1597" s="7" t="n">
        <v>8</v>
      </c>
      <c r="F1597" s="7" t="n">
        <v>14</v>
      </c>
      <c r="G1597" s="7" t="s">
        <v>26</v>
      </c>
      <c r="H1597" s="7" t="s">
        <v>27</v>
      </c>
      <c r="I1597" s="7" t="n">
        <v>23.3</v>
      </c>
      <c r="J1597" s="7" t="s">
        <v>39</v>
      </c>
      <c r="K1597" s="7" t="n">
        <v>290.5</v>
      </c>
      <c r="L1597" s="7" t="s">
        <v>37</v>
      </c>
      <c r="M1597" s="7" t="s">
        <v>30</v>
      </c>
    </row>
    <row r="1598" customFormat="false" ht="15" hidden="false" customHeight="true" outlineLevel="0" collapsed="false">
      <c r="A1598" s="7" t="n">
        <v>881</v>
      </c>
      <c r="B1598" s="7" t="n">
        <v>23</v>
      </c>
      <c r="C1598" s="7" t="s">
        <v>33</v>
      </c>
      <c r="D1598" s="7" t="s">
        <v>41</v>
      </c>
      <c r="E1598" s="7" t="n">
        <v>12</v>
      </c>
      <c r="F1598" s="7" t="n">
        <v>7</v>
      </c>
      <c r="G1598" s="7" t="s">
        <v>36</v>
      </c>
      <c r="H1598" s="7" t="s">
        <v>27</v>
      </c>
      <c r="I1598" s="7" t="n">
        <v>24</v>
      </c>
      <c r="J1598" s="7" t="s">
        <v>39</v>
      </c>
      <c r="K1598" s="7" t="n">
        <v>183.2</v>
      </c>
      <c r="L1598" s="7" t="s">
        <v>29</v>
      </c>
      <c r="M1598" s="7" t="s">
        <v>30</v>
      </c>
    </row>
    <row r="1599" customFormat="false" ht="15" hidden="false" customHeight="true" outlineLevel="0" collapsed="false">
      <c r="A1599" s="7" t="n">
        <v>896</v>
      </c>
      <c r="B1599" s="7" t="n">
        <v>55</v>
      </c>
      <c r="C1599" s="7" t="s">
        <v>33</v>
      </c>
      <c r="D1599" s="7" t="s">
        <v>41</v>
      </c>
      <c r="E1599" s="7" t="n">
        <v>16</v>
      </c>
      <c r="F1599" s="7" t="n">
        <v>9</v>
      </c>
      <c r="G1599" s="7" t="s">
        <v>34</v>
      </c>
      <c r="H1599" s="7" t="s">
        <v>27</v>
      </c>
      <c r="I1599" s="7" t="n">
        <v>31.8</v>
      </c>
      <c r="J1599" s="7" t="s">
        <v>39</v>
      </c>
      <c r="K1599" s="7" t="n">
        <v>184.2</v>
      </c>
      <c r="L1599" s="7" t="s">
        <v>37</v>
      </c>
      <c r="M1599" s="7" t="s">
        <v>30</v>
      </c>
    </row>
    <row r="1600" customFormat="false" ht="15" hidden="false" customHeight="true" outlineLevel="0" collapsed="false">
      <c r="A1600" s="7" t="n">
        <v>951</v>
      </c>
      <c r="B1600" s="7" t="n">
        <v>21</v>
      </c>
      <c r="C1600" s="7" t="s">
        <v>24</v>
      </c>
      <c r="D1600" s="7" t="s">
        <v>41</v>
      </c>
      <c r="E1600" s="7" t="n">
        <v>4</v>
      </c>
      <c r="F1600" s="7" t="n">
        <v>1</v>
      </c>
      <c r="G1600" s="7" t="s">
        <v>36</v>
      </c>
      <c r="H1600" s="7" t="s">
        <v>32</v>
      </c>
      <c r="I1600" s="7" t="n">
        <v>40.9</v>
      </c>
      <c r="J1600" s="7" t="s">
        <v>39</v>
      </c>
      <c r="K1600" s="7" t="n">
        <v>283.7</v>
      </c>
      <c r="L1600" s="7" t="s">
        <v>29</v>
      </c>
      <c r="M1600" s="7" t="s">
        <v>30</v>
      </c>
    </row>
    <row r="1601" customFormat="false" ht="15" hidden="false" customHeight="true" outlineLevel="0" collapsed="false">
      <c r="A1601" s="7" t="n">
        <v>952</v>
      </c>
      <c r="B1601" s="7" t="n">
        <v>77</v>
      </c>
      <c r="C1601" s="7" t="s">
        <v>24</v>
      </c>
      <c r="D1601" s="7" t="s">
        <v>41</v>
      </c>
      <c r="E1601" s="7" t="n">
        <v>8</v>
      </c>
      <c r="F1601" s="7" t="n">
        <v>14</v>
      </c>
      <c r="G1601" s="7" t="s">
        <v>35</v>
      </c>
      <c r="H1601" s="7" t="s">
        <v>32</v>
      </c>
      <c r="I1601" s="7" t="n">
        <v>41.5</v>
      </c>
      <c r="J1601" s="7" t="s">
        <v>39</v>
      </c>
      <c r="K1601" s="7" t="n">
        <v>170.4</v>
      </c>
      <c r="L1601" s="7" t="s">
        <v>37</v>
      </c>
      <c r="M1601" s="7" t="s">
        <v>30</v>
      </c>
    </row>
    <row r="1602" customFormat="false" ht="15" hidden="false" customHeight="true" outlineLevel="0" collapsed="false">
      <c r="A1602" s="7" t="n">
        <v>996</v>
      </c>
      <c r="B1602" s="7" t="n">
        <v>89</v>
      </c>
      <c r="C1602" s="7" t="s">
        <v>33</v>
      </c>
      <c r="D1602" s="7" t="s">
        <v>41</v>
      </c>
      <c r="E1602" s="7" t="n">
        <v>17</v>
      </c>
      <c r="F1602" s="7" t="n">
        <v>6</v>
      </c>
      <c r="G1602" s="7" t="s">
        <v>34</v>
      </c>
      <c r="H1602" s="7" t="s">
        <v>27</v>
      </c>
      <c r="I1602" s="7" t="n">
        <v>23.6</v>
      </c>
      <c r="J1602" s="7" t="s">
        <v>39</v>
      </c>
      <c r="K1602" s="7" t="n">
        <v>186.1</v>
      </c>
      <c r="L1602" s="7" t="s">
        <v>29</v>
      </c>
      <c r="M1602" s="7" t="s">
        <v>30</v>
      </c>
    </row>
    <row r="1603" customFormat="false" ht="15" hidden="false" customHeight="true" outlineLevel="0" collapsed="false">
      <c r="A1603" s="7" t="n">
        <v>1000</v>
      </c>
      <c r="B1603" s="7" t="n">
        <v>78</v>
      </c>
      <c r="C1603" s="7" t="s">
        <v>33</v>
      </c>
      <c r="D1603" s="7" t="s">
        <v>41</v>
      </c>
      <c r="E1603" s="7" t="n">
        <v>15</v>
      </c>
      <c r="F1603" s="7" t="n">
        <v>10</v>
      </c>
      <c r="G1603" s="7" t="s">
        <v>26</v>
      </c>
      <c r="H1603" s="7" t="s">
        <v>32</v>
      </c>
      <c r="I1603" s="7" t="n">
        <v>41.4</v>
      </c>
      <c r="J1603" s="7" t="s">
        <v>39</v>
      </c>
      <c r="K1603" s="7" t="n">
        <v>258.6</v>
      </c>
      <c r="L1603" s="7" t="s">
        <v>29</v>
      </c>
      <c r="M1603" s="7" t="s">
        <v>30</v>
      </c>
    </row>
    <row r="1604" customFormat="false" ht="15" hidden="false" customHeight="true" outlineLevel="0" collapsed="false">
      <c r="A1604" s="7" t="n">
        <v>1050</v>
      </c>
      <c r="B1604" s="7" t="n">
        <v>59</v>
      </c>
      <c r="C1604" s="7" t="s">
        <v>33</v>
      </c>
      <c r="D1604" s="7" t="s">
        <v>41</v>
      </c>
      <c r="E1604" s="7" t="n">
        <v>8</v>
      </c>
      <c r="F1604" s="7" t="n">
        <v>10</v>
      </c>
      <c r="G1604" s="7" t="s">
        <v>36</v>
      </c>
      <c r="H1604" s="7" t="s">
        <v>27</v>
      </c>
      <c r="I1604" s="7" t="n">
        <v>17.6</v>
      </c>
      <c r="J1604" s="7" t="s">
        <v>39</v>
      </c>
      <c r="K1604" s="7" t="n">
        <v>228</v>
      </c>
      <c r="L1604" s="7" t="s">
        <v>29</v>
      </c>
      <c r="M1604" s="7" t="s">
        <v>30</v>
      </c>
    </row>
    <row r="1605" customFormat="false" ht="15" hidden="false" customHeight="true" outlineLevel="0" collapsed="false">
      <c r="A1605" s="7" t="n">
        <v>1065</v>
      </c>
      <c r="B1605" s="7" t="n">
        <v>86</v>
      </c>
      <c r="C1605" s="7" t="s">
        <v>33</v>
      </c>
      <c r="D1605" s="7" t="s">
        <v>41</v>
      </c>
      <c r="E1605" s="7" t="n">
        <v>18</v>
      </c>
      <c r="F1605" s="7" t="n">
        <v>11</v>
      </c>
      <c r="G1605" s="7" t="s">
        <v>36</v>
      </c>
      <c r="H1605" s="7" t="s">
        <v>27</v>
      </c>
      <c r="I1605" s="7" t="n">
        <v>25</v>
      </c>
      <c r="J1605" s="7" t="s">
        <v>39</v>
      </c>
      <c r="K1605" s="7" t="n">
        <v>209.4</v>
      </c>
      <c r="L1605" s="7" t="s">
        <v>29</v>
      </c>
      <c r="M1605" s="7" t="s">
        <v>30</v>
      </c>
    </row>
    <row r="1606" customFormat="false" ht="15" hidden="false" customHeight="true" outlineLevel="0" collapsed="false">
      <c r="A1606" s="7" t="n">
        <v>1095</v>
      </c>
      <c r="B1606" s="7" t="n">
        <v>66</v>
      </c>
      <c r="C1606" s="7" t="s">
        <v>24</v>
      </c>
      <c r="D1606" s="7" t="s">
        <v>41</v>
      </c>
      <c r="E1606" s="7" t="n">
        <v>11</v>
      </c>
      <c r="F1606" s="7" t="n">
        <v>7</v>
      </c>
      <c r="G1606" s="7" t="s">
        <v>35</v>
      </c>
      <c r="H1606" s="7" t="s">
        <v>32</v>
      </c>
      <c r="I1606" s="7" t="n">
        <v>25.8</v>
      </c>
      <c r="J1606" s="7" t="s">
        <v>39</v>
      </c>
      <c r="K1606" s="7" t="n">
        <v>296.7</v>
      </c>
      <c r="L1606" s="7" t="s">
        <v>29</v>
      </c>
      <c r="M1606" s="7" t="s">
        <v>30</v>
      </c>
    </row>
    <row r="1607" customFormat="false" ht="15" hidden="false" customHeight="true" outlineLevel="0" collapsed="false">
      <c r="A1607" s="7" t="n">
        <v>1096</v>
      </c>
      <c r="B1607" s="7" t="n">
        <v>18</v>
      </c>
      <c r="C1607" s="7" t="s">
        <v>33</v>
      </c>
      <c r="D1607" s="7" t="s">
        <v>41</v>
      </c>
      <c r="E1607" s="7" t="n">
        <v>11</v>
      </c>
      <c r="F1607" s="7" t="n">
        <v>3</v>
      </c>
      <c r="G1607" s="7" t="s">
        <v>26</v>
      </c>
      <c r="H1607" s="7" t="s">
        <v>32</v>
      </c>
      <c r="I1607" s="7" t="n">
        <v>30.9</v>
      </c>
      <c r="J1607" s="7" t="s">
        <v>39</v>
      </c>
      <c r="K1607" s="7" t="n">
        <v>176.7</v>
      </c>
      <c r="L1607" s="7" t="s">
        <v>29</v>
      </c>
      <c r="M1607" s="7" t="s">
        <v>30</v>
      </c>
    </row>
    <row r="1608" customFormat="false" ht="15" hidden="false" customHeight="true" outlineLevel="0" collapsed="false">
      <c r="A1608" s="7" t="n">
        <v>1107</v>
      </c>
      <c r="B1608" s="7" t="n">
        <v>70</v>
      </c>
      <c r="C1608" s="7" t="s">
        <v>33</v>
      </c>
      <c r="D1608" s="7" t="s">
        <v>41</v>
      </c>
      <c r="E1608" s="7" t="n">
        <v>18</v>
      </c>
      <c r="F1608" s="7" t="n">
        <v>9</v>
      </c>
      <c r="G1608" s="7" t="s">
        <v>36</v>
      </c>
      <c r="H1608" s="7" t="s">
        <v>27</v>
      </c>
      <c r="I1608" s="7" t="n">
        <v>23.7</v>
      </c>
      <c r="J1608" s="7" t="s">
        <v>39</v>
      </c>
      <c r="K1608" s="7" t="n">
        <v>186.3</v>
      </c>
      <c r="L1608" s="7" t="s">
        <v>37</v>
      </c>
      <c r="M1608" s="7" t="s">
        <v>30</v>
      </c>
    </row>
    <row r="1609" customFormat="false" ht="15" hidden="false" customHeight="true" outlineLevel="0" collapsed="false">
      <c r="A1609" s="7" t="n">
        <v>1140</v>
      </c>
      <c r="B1609" s="7" t="n">
        <v>20</v>
      </c>
      <c r="C1609" s="7" t="s">
        <v>33</v>
      </c>
      <c r="D1609" s="7" t="s">
        <v>41</v>
      </c>
      <c r="E1609" s="7" t="n">
        <v>15</v>
      </c>
      <c r="F1609" s="7" t="n">
        <v>10</v>
      </c>
      <c r="G1609" s="7" t="s">
        <v>31</v>
      </c>
      <c r="H1609" s="7" t="s">
        <v>27</v>
      </c>
      <c r="I1609" s="7" t="n">
        <v>39.1</v>
      </c>
      <c r="J1609" s="7" t="s">
        <v>39</v>
      </c>
      <c r="K1609" s="7" t="n">
        <v>196.4</v>
      </c>
      <c r="L1609" s="7" t="s">
        <v>29</v>
      </c>
      <c r="M1609" s="7" t="s">
        <v>30</v>
      </c>
    </row>
    <row r="1610" customFormat="false" ht="15" hidden="false" customHeight="true" outlineLevel="0" collapsed="false">
      <c r="A1610" s="7" t="n">
        <v>1142</v>
      </c>
      <c r="B1610" s="7" t="n">
        <v>29</v>
      </c>
      <c r="C1610" s="7" t="s">
        <v>33</v>
      </c>
      <c r="D1610" s="7" t="s">
        <v>41</v>
      </c>
      <c r="E1610" s="7" t="n">
        <v>9</v>
      </c>
      <c r="F1610" s="7" t="n">
        <v>11</v>
      </c>
      <c r="G1610" s="7" t="s">
        <v>35</v>
      </c>
      <c r="H1610" s="7" t="s">
        <v>32</v>
      </c>
      <c r="I1610" s="7" t="n">
        <v>23.5</v>
      </c>
      <c r="J1610" s="7" t="s">
        <v>39</v>
      </c>
      <c r="K1610" s="7" t="n">
        <v>215.4</v>
      </c>
      <c r="L1610" s="7" t="s">
        <v>29</v>
      </c>
      <c r="M1610" s="7" t="s">
        <v>30</v>
      </c>
    </row>
    <row r="1611" customFormat="false" ht="15" hidden="false" customHeight="true" outlineLevel="0" collapsed="false">
      <c r="A1611" s="7" t="n">
        <v>1147</v>
      </c>
      <c r="B1611" s="7" t="n">
        <v>72</v>
      </c>
      <c r="C1611" s="7" t="s">
        <v>24</v>
      </c>
      <c r="D1611" s="7" t="s">
        <v>41</v>
      </c>
      <c r="E1611" s="7" t="n">
        <v>17</v>
      </c>
      <c r="F1611" s="7" t="n">
        <v>5</v>
      </c>
      <c r="G1611" s="7" t="s">
        <v>35</v>
      </c>
      <c r="H1611" s="7" t="s">
        <v>27</v>
      </c>
      <c r="I1611" s="7" t="n">
        <v>22.4</v>
      </c>
      <c r="J1611" s="7" t="s">
        <v>39</v>
      </c>
      <c r="K1611" s="7" t="n">
        <v>198</v>
      </c>
      <c r="L1611" s="7" t="s">
        <v>29</v>
      </c>
      <c r="M1611" s="7" t="s">
        <v>30</v>
      </c>
    </row>
    <row r="1612" customFormat="false" ht="15" hidden="false" customHeight="true" outlineLevel="0" collapsed="false">
      <c r="A1612" s="7" t="n">
        <v>1156</v>
      </c>
      <c r="B1612" s="7" t="n">
        <v>89</v>
      </c>
      <c r="C1612" s="7" t="s">
        <v>24</v>
      </c>
      <c r="D1612" s="7" t="s">
        <v>41</v>
      </c>
      <c r="E1612" s="7" t="n">
        <v>18</v>
      </c>
      <c r="F1612" s="7" t="n">
        <v>5</v>
      </c>
      <c r="G1612" s="7" t="s">
        <v>26</v>
      </c>
      <c r="H1612" s="7" t="s">
        <v>27</v>
      </c>
      <c r="I1612" s="7" t="n">
        <v>23.3</v>
      </c>
      <c r="J1612" s="7" t="s">
        <v>39</v>
      </c>
      <c r="K1612" s="7" t="n">
        <v>197.8</v>
      </c>
      <c r="L1612" s="7" t="s">
        <v>29</v>
      </c>
      <c r="M1612" s="7" t="s">
        <v>30</v>
      </c>
    </row>
    <row r="1613" customFormat="false" ht="15" hidden="false" customHeight="true" outlineLevel="0" collapsed="false">
      <c r="A1613" s="7" t="n">
        <v>1200</v>
      </c>
      <c r="B1613" s="7" t="n">
        <v>86</v>
      </c>
      <c r="C1613" s="7" t="s">
        <v>33</v>
      </c>
      <c r="D1613" s="7" t="s">
        <v>41</v>
      </c>
      <c r="E1613" s="7" t="n">
        <v>9</v>
      </c>
      <c r="F1613" s="7" t="n">
        <v>10</v>
      </c>
      <c r="G1613" s="7" t="s">
        <v>35</v>
      </c>
      <c r="H1613" s="7" t="s">
        <v>27</v>
      </c>
      <c r="I1613" s="7" t="n">
        <v>40.2</v>
      </c>
      <c r="J1613" s="7" t="s">
        <v>39</v>
      </c>
      <c r="K1613" s="7" t="n">
        <v>160.5</v>
      </c>
      <c r="L1613" s="7" t="s">
        <v>29</v>
      </c>
      <c r="M1613" s="7" t="s">
        <v>30</v>
      </c>
    </row>
    <row r="1614" customFormat="false" ht="15" hidden="false" customHeight="true" outlineLevel="0" collapsed="false">
      <c r="A1614" s="7" t="n">
        <v>1209</v>
      </c>
      <c r="B1614" s="7" t="n">
        <v>52</v>
      </c>
      <c r="C1614" s="7" t="s">
        <v>24</v>
      </c>
      <c r="D1614" s="7" t="s">
        <v>41</v>
      </c>
      <c r="E1614" s="7" t="n">
        <v>19</v>
      </c>
      <c r="F1614" s="7" t="n">
        <v>5</v>
      </c>
      <c r="G1614" s="7" t="s">
        <v>26</v>
      </c>
      <c r="H1614" s="7" t="s">
        <v>27</v>
      </c>
      <c r="I1614" s="7" t="n">
        <v>21.4</v>
      </c>
      <c r="J1614" s="7" t="s">
        <v>39</v>
      </c>
      <c r="K1614" s="7" t="n">
        <v>253.7</v>
      </c>
      <c r="L1614" s="7" t="s">
        <v>29</v>
      </c>
      <c r="M1614" s="7" t="s">
        <v>30</v>
      </c>
    </row>
    <row r="1615" customFormat="false" ht="15" hidden="false" customHeight="true" outlineLevel="0" collapsed="false">
      <c r="A1615" s="7" t="n">
        <v>1253</v>
      </c>
      <c r="B1615" s="7" t="n">
        <v>78</v>
      </c>
      <c r="C1615" s="7" t="s">
        <v>33</v>
      </c>
      <c r="D1615" s="7" t="s">
        <v>41</v>
      </c>
      <c r="E1615" s="7" t="n">
        <v>1</v>
      </c>
      <c r="F1615" s="7" t="n">
        <v>6</v>
      </c>
      <c r="G1615" s="7" t="s">
        <v>35</v>
      </c>
      <c r="H1615" s="7" t="s">
        <v>32</v>
      </c>
      <c r="I1615" s="7" t="n">
        <v>23.8</v>
      </c>
      <c r="J1615" s="7" t="s">
        <v>39</v>
      </c>
      <c r="K1615" s="7" t="n">
        <v>269.1</v>
      </c>
      <c r="L1615" s="7" t="s">
        <v>29</v>
      </c>
      <c r="M1615" s="7" t="s">
        <v>30</v>
      </c>
    </row>
    <row r="1616" customFormat="false" ht="15" hidden="false" customHeight="true" outlineLevel="0" collapsed="false">
      <c r="A1616" s="7" t="n">
        <v>1272</v>
      </c>
      <c r="B1616" s="7" t="n">
        <v>68</v>
      </c>
      <c r="C1616" s="7" t="s">
        <v>33</v>
      </c>
      <c r="D1616" s="7" t="s">
        <v>41</v>
      </c>
      <c r="E1616" s="7" t="n">
        <v>10</v>
      </c>
      <c r="F1616" s="7" t="n">
        <v>6</v>
      </c>
      <c r="G1616" s="7" t="s">
        <v>34</v>
      </c>
      <c r="H1616" s="7" t="s">
        <v>27</v>
      </c>
      <c r="I1616" s="7" t="n">
        <v>19.1</v>
      </c>
      <c r="J1616" s="7" t="s">
        <v>39</v>
      </c>
      <c r="K1616" s="7" t="n">
        <v>230.3</v>
      </c>
      <c r="L1616" s="7" t="s">
        <v>37</v>
      </c>
      <c r="M1616" s="7" t="s">
        <v>30</v>
      </c>
    </row>
    <row r="1617" customFormat="false" ht="15" hidden="false" customHeight="true" outlineLevel="0" collapsed="false">
      <c r="A1617" s="7" t="n">
        <v>1274</v>
      </c>
      <c r="B1617" s="7" t="n">
        <v>36</v>
      </c>
      <c r="C1617" s="7" t="s">
        <v>24</v>
      </c>
      <c r="D1617" s="7" t="s">
        <v>41</v>
      </c>
      <c r="E1617" s="7" t="n">
        <v>2</v>
      </c>
      <c r="F1617" s="7" t="n">
        <v>9</v>
      </c>
      <c r="G1617" s="7" t="s">
        <v>31</v>
      </c>
      <c r="H1617" s="7" t="s">
        <v>27</v>
      </c>
      <c r="I1617" s="7" t="n">
        <v>35.4</v>
      </c>
      <c r="J1617" s="7" t="s">
        <v>39</v>
      </c>
      <c r="K1617" s="7" t="n">
        <v>135</v>
      </c>
      <c r="L1617" s="7" t="s">
        <v>37</v>
      </c>
      <c r="M1617" s="7" t="s">
        <v>30</v>
      </c>
    </row>
    <row r="1618" customFormat="false" ht="15" hidden="false" customHeight="true" outlineLevel="0" collapsed="false">
      <c r="A1618" s="7" t="n">
        <v>1294</v>
      </c>
      <c r="B1618" s="7" t="n">
        <v>61</v>
      </c>
      <c r="C1618" s="7" t="s">
        <v>24</v>
      </c>
      <c r="D1618" s="7" t="s">
        <v>41</v>
      </c>
      <c r="E1618" s="7" t="n">
        <v>5</v>
      </c>
      <c r="F1618" s="7" t="n">
        <v>6</v>
      </c>
      <c r="G1618" s="7" t="s">
        <v>26</v>
      </c>
      <c r="H1618" s="7" t="s">
        <v>32</v>
      </c>
      <c r="I1618" s="7" t="n">
        <v>34.6</v>
      </c>
      <c r="J1618" s="7" t="s">
        <v>39</v>
      </c>
      <c r="K1618" s="7" t="n">
        <v>242.7</v>
      </c>
      <c r="L1618" s="7" t="s">
        <v>37</v>
      </c>
      <c r="M1618" s="7" t="s">
        <v>30</v>
      </c>
    </row>
    <row r="1619" customFormat="false" ht="15" hidden="false" customHeight="true" outlineLevel="0" collapsed="false">
      <c r="A1619" s="7" t="n">
        <v>1331</v>
      </c>
      <c r="B1619" s="7" t="n">
        <v>64</v>
      </c>
      <c r="C1619" s="7" t="s">
        <v>24</v>
      </c>
      <c r="D1619" s="7" t="s">
        <v>41</v>
      </c>
      <c r="E1619" s="7" t="n">
        <v>17</v>
      </c>
      <c r="F1619" s="7" t="n">
        <v>13</v>
      </c>
      <c r="G1619" s="7" t="s">
        <v>31</v>
      </c>
      <c r="H1619" s="7" t="s">
        <v>27</v>
      </c>
      <c r="I1619" s="7" t="n">
        <v>40.2</v>
      </c>
      <c r="J1619" s="7" t="s">
        <v>39</v>
      </c>
      <c r="K1619" s="7" t="n">
        <v>212.3</v>
      </c>
      <c r="L1619" s="7" t="s">
        <v>29</v>
      </c>
      <c r="M1619" s="7" t="s">
        <v>30</v>
      </c>
    </row>
    <row r="1620" customFormat="false" ht="15" hidden="false" customHeight="true" outlineLevel="0" collapsed="false">
      <c r="A1620" s="7" t="n">
        <v>1338</v>
      </c>
      <c r="B1620" s="7" t="n">
        <v>35</v>
      </c>
      <c r="C1620" s="7" t="s">
        <v>33</v>
      </c>
      <c r="D1620" s="7" t="s">
        <v>41</v>
      </c>
      <c r="E1620" s="7" t="n">
        <v>4</v>
      </c>
      <c r="F1620" s="7" t="n">
        <v>2</v>
      </c>
      <c r="G1620" s="7" t="s">
        <v>36</v>
      </c>
      <c r="H1620" s="7" t="s">
        <v>27</v>
      </c>
      <c r="I1620" s="7" t="n">
        <v>39.5</v>
      </c>
      <c r="J1620" s="7" t="s">
        <v>39</v>
      </c>
      <c r="K1620" s="7" t="n">
        <v>234.2</v>
      </c>
      <c r="L1620" s="7" t="s">
        <v>29</v>
      </c>
      <c r="M1620" s="7" t="s">
        <v>30</v>
      </c>
    </row>
    <row r="1621" customFormat="false" ht="15" hidden="false" customHeight="true" outlineLevel="0" collapsed="false">
      <c r="A1621" s="7" t="n">
        <v>1350</v>
      </c>
      <c r="B1621" s="7" t="n">
        <v>80</v>
      </c>
      <c r="C1621" s="7" t="s">
        <v>24</v>
      </c>
      <c r="D1621" s="7" t="s">
        <v>41</v>
      </c>
      <c r="E1621" s="7" t="n">
        <v>1</v>
      </c>
      <c r="F1621" s="7" t="n">
        <v>12</v>
      </c>
      <c r="G1621" s="7" t="s">
        <v>35</v>
      </c>
      <c r="H1621" s="7" t="s">
        <v>27</v>
      </c>
      <c r="I1621" s="7" t="n">
        <v>27.9</v>
      </c>
      <c r="J1621" s="7" t="s">
        <v>39</v>
      </c>
      <c r="K1621" s="7" t="n">
        <v>150.1</v>
      </c>
      <c r="L1621" s="7" t="s">
        <v>37</v>
      </c>
      <c r="M1621" s="7" t="s">
        <v>30</v>
      </c>
    </row>
    <row r="1622" customFormat="false" ht="15" hidden="false" customHeight="true" outlineLevel="0" collapsed="false">
      <c r="A1622" s="7" t="n">
        <v>1495</v>
      </c>
      <c r="B1622" s="7" t="n">
        <v>83</v>
      </c>
      <c r="C1622" s="7" t="s">
        <v>24</v>
      </c>
      <c r="D1622" s="7" t="s">
        <v>41</v>
      </c>
      <c r="E1622" s="7" t="n">
        <v>14</v>
      </c>
      <c r="F1622" s="7" t="n">
        <v>14</v>
      </c>
      <c r="G1622" s="7" t="s">
        <v>26</v>
      </c>
      <c r="H1622" s="7" t="s">
        <v>32</v>
      </c>
      <c r="I1622" s="7" t="n">
        <v>39.8</v>
      </c>
      <c r="J1622" s="7" t="s">
        <v>39</v>
      </c>
      <c r="K1622" s="7" t="n">
        <v>243.8</v>
      </c>
      <c r="L1622" s="7" t="s">
        <v>29</v>
      </c>
      <c r="M1622" s="7" t="s">
        <v>30</v>
      </c>
    </row>
    <row r="1623" customFormat="false" ht="15" hidden="false" customHeight="true" outlineLevel="0" collapsed="false">
      <c r="A1623" s="7" t="n">
        <v>1589</v>
      </c>
      <c r="B1623" s="7" t="n">
        <v>33</v>
      </c>
      <c r="C1623" s="7" t="s">
        <v>24</v>
      </c>
      <c r="D1623" s="7" t="s">
        <v>41</v>
      </c>
      <c r="E1623" s="7" t="n">
        <v>8</v>
      </c>
      <c r="F1623" s="7" t="n">
        <v>10</v>
      </c>
      <c r="G1623" s="7" t="s">
        <v>36</v>
      </c>
      <c r="H1623" s="7" t="s">
        <v>27</v>
      </c>
      <c r="I1623" s="7" t="n">
        <v>32.7</v>
      </c>
      <c r="J1623" s="7" t="s">
        <v>39</v>
      </c>
      <c r="K1623" s="7" t="n">
        <v>263.5</v>
      </c>
      <c r="L1623" s="7" t="s">
        <v>29</v>
      </c>
      <c r="M1623" s="7" t="s">
        <v>30</v>
      </c>
    </row>
    <row r="1624" customFormat="false" ht="15" hidden="false" customHeight="true" outlineLevel="0" collapsed="false">
      <c r="A1624" s="7" t="n">
        <v>1601</v>
      </c>
      <c r="B1624" s="7" t="n">
        <v>59</v>
      </c>
      <c r="C1624" s="7" t="s">
        <v>24</v>
      </c>
      <c r="D1624" s="7" t="s">
        <v>41</v>
      </c>
      <c r="E1624" s="7" t="n">
        <v>9</v>
      </c>
      <c r="F1624" s="7" t="n">
        <v>5</v>
      </c>
      <c r="G1624" s="7" t="s">
        <v>35</v>
      </c>
      <c r="H1624" s="7" t="s">
        <v>27</v>
      </c>
      <c r="I1624" s="7" t="n">
        <v>39.3</v>
      </c>
      <c r="J1624" s="7" t="s">
        <v>39</v>
      </c>
      <c r="K1624" s="7" t="n">
        <v>293.7</v>
      </c>
      <c r="L1624" s="7" t="s">
        <v>29</v>
      </c>
      <c r="M1624" s="7" t="s">
        <v>30</v>
      </c>
    </row>
    <row r="1625" customFormat="false" ht="15" hidden="false" customHeight="true" outlineLevel="0" collapsed="false">
      <c r="A1625" s="7" t="n">
        <v>1649</v>
      </c>
      <c r="B1625" s="7" t="n">
        <v>28</v>
      </c>
      <c r="C1625" s="7" t="s">
        <v>24</v>
      </c>
      <c r="D1625" s="7" t="s">
        <v>41</v>
      </c>
      <c r="E1625" s="7" t="n">
        <v>14</v>
      </c>
      <c r="F1625" s="7" t="n">
        <v>7</v>
      </c>
      <c r="G1625" s="7" t="s">
        <v>26</v>
      </c>
      <c r="H1625" s="7" t="s">
        <v>27</v>
      </c>
      <c r="I1625" s="7" t="n">
        <v>30.1</v>
      </c>
      <c r="J1625" s="7" t="s">
        <v>39</v>
      </c>
      <c r="K1625" s="7" t="n">
        <v>254.9</v>
      </c>
      <c r="L1625" s="7" t="s">
        <v>29</v>
      </c>
      <c r="M1625" s="7" t="s">
        <v>30</v>
      </c>
    </row>
    <row r="1626" customFormat="false" ht="15" hidden="false" customHeight="true" outlineLevel="0" collapsed="false">
      <c r="A1626" s="7" t="n">
        <v>1692</v>
      </c>
      <c r="B1626" s="7" t="n">
        <v>37</v>
      </c>
      <c r="C1626" s="7" t="s">
        <v>33</v>
      </c>
      <c r="D1626" s="7" t="s">
        <v>41</v>
      </c>
      <c r="E1626" s="7" t="n">
        <v>17</v>
      </c>
      <c r="F1626" s="7" t="n">
        <v>4</v>
      </c>
      <c r="G1626" s="7" t="s">
        <v>36</v>
      </c>
      <c r="H1626" s="7" t="s">
        <v>27</v>
      </c>
      <c r="I1626" s="7" t="n">
        <v>40.4</v>
      </c>
      <c r="J1626" s="7" t="s">
        <v>39</v>
      </c>
      <c r="K1626" s="7" t="n">
        <v>171.4</v>
      </c>
      <c r="L1626" s="7" t="s">
        <v>37</v>
      </c>
      <c r="M1626" s="7" t="s">
        <v>30</v>
      </c>
    </row>
    <row r="1627" customFormat="false" ht="15" hidden="false" customHeight="true" outlineLevel="0" collapsed="false">
      <c r="A1627" s="7" t="n">
        <v>1699</v>
      </c>
      <c r="B1627" s="7" t="n">
        <v>68</v>
      </c>
      <c r="C1627" s="7" t="s">
        <v>33</v>
      </c>
      <c r="D1627" s="7" t="s">
        <v>41</v>
      </c>
      <c r="E1627" s="7" t="n">
        <v>12</v>
      </c>
      <c r="F1627" s="7" t="n">
        <v>3</v>
      </c>
      <c r="G1627" s="7" t="s">
        <v>35</v>
      </c>
      <c r="H1627" s="7" t="s">
        <v>32</v>
      </c>
      <c r="I1627" s="7" t="n">
        <v>34.4</v>
      </c>
      <c r="J1627" s="7" t="s">
        <v>39</v>
      </c>
      <c r="K1627" s="7" t="n">
        <v>149.8</v>
      </c>
      <c r="L1627" s="7" t="s">
        <v>29</v>
      </c>
      <c r="M1627" s="7" t="s">
        <v>30</v>
      </c>
    </row>
    <row r="1628" customFormat="false" ht="15" hidden="false" customHeight="true" outlineLevel="0" collapsed="false">
      <c r="A1628" s="7" t="n">
        <v>1711</v>
      </c>
      <c r="B1628" s="7" t="n">
        <v>20</v>
      </c>
      <c r="C1628" s="7" t="s">
        <v>33</v>
      </c>
      <c r="D1628" s="7" t="s">
        <v>41</v>
      </c>
      <c r="E1628" s="7" t="n">
        <v>5</v>
      </c>
      <c r="F1628" s="7" t="n">
        <v>13</v>
      </c>
      <c r="G1628" s="7" t="s">
        <v>35</v>
      </c>
      <c r="H1628" s="7" t="s">
        <v>32</v>
      </c>
      <c r="I1628" s="7" t="n">
        <v>24.5</v>
      </c>
      <c r="J1628" s="7" t="s">
        <v>39</v>
      </c>
      <c r="K1628" s="7" t="n">
        <v>288.1</v>
      </c>
      <c r="L1628" s="7" t="s">
        <v>29</v>
      </c>
      <c r="M1628" s="7" t="s">
        <v>30</v>
      </c>
    </row>
    <row r="1629" customFormat="false" ht="15" hidden="false" customHeight="true" outlineLevel="0" collapsed="false">
      <c r="A1629" s="7" t="n">
        <v>1723</v>
      </c>
      <c r="B1629" s="7" t="n">
        <v>54</v>
      </c>
      <c r="C1629" s="7" t="s">
        <v>33</v>
      </c>
      <c r="D1629" s="7" t="s">
        <v>41</v>
      </c>
      <c r="E1629" s="7" t="n">
        <v>7</v>
      </c>
      <c r="F1629" s="7" t="n">
        <v>1</v>
      </c>
      <c r="G1629" s="7" t="s">
        <v>34</v>
      </c>
      <c r="H1629" s="7" t="s">
        <v>32</v>
      </c>
      <c r="I1629" s="7" t="n">
        <v>37.8</v>
      </c>
      <c r="J1629" s="7" t="s">
        <v>39</v>
      </c>
      <c r="K1629" s="7" t="n">
        <v>145.9</v>
      </c>
      <c r="L1629" s="7" t="s">
        <v>29</v>
      </c>
      <c r="M1629" s="7" t="s">
        <v>30</v>
      </c>
    </row>
    <row r="1630" customFormat="false" ht="15" hidden="false" customHeight="true" outlineLevel="0" collapsed="false">
      <c r="A1630" s="7" t="n">
        <v>1787</v>
      </c>
      <c r="B1630" s="7" t="n">
        <v>74</v>
      </c>
      <c r="C1630" s="7" t="s">
        <v>24</v>
      </c>
      <c r="D1630" s="7" t="s">
        <v>41</v>
      </c>
      <c r="E1630" s="7" t="n">
        <v>11</v>
      </c>
      <c r="F1630" s="7" t="n">
        <v>6</v>
      </c>
      <c r="G1630" s="7" t="s">
        <v>34</v>
      </c>
      <c r="H1630" s="7" t="s">
        <v>32</v>
      </c>
      <c r="I1630" s="7" t="n">
        <v>34.9</v>
      </c>
      <c r="J1630" s="7" t="s">
        <v>39</v>
      </c>
      <c r="K1630" s="7" t="n">
        <v>121.7</v>
      </c>
      <c r="L1630" s="7" t="s">
        <v>29</v>
      </c>
      <c r="M1630" s="7" t="s">
        <v>30</v>
      </c>
    </row>
    <row r="1631" customFormat="false" ht="15" hidden="false" customHeight="true" outlineLevel="0" collapsed="false">
      <c r="A1631" s="7" t="n">
        <v>1826</v>
      </c>
      <c r="B1631" s="7" t="n">
        <v>38</v>
      </c>
      <c r="C1631" s="7" t="s">
        <v>24</v>
      </c>
      <c r="D1631" s="7" t="s">
        <v>41</v>
      </c>
      <c r="E1631" s="7" t="n">
        <v>12</v>
      </c>
      <c r="F1631" s="7" t="n">
        <v>5</v>
      </c>
      <c r="G1631" s="7" t="s">
        <v>35</v>
      </c>
      <c r="H1631" s="7" t="s">
        <v>27</v>
      </c>
      <c r="I1631" s="7" t="n">
        <v>35.3</v>
      </c>
      <c r="J1631" s="7" t="s">
        <v>39</v>
      </c>
      <c r="K1631" s="7" t="n">
        <v>261.2</v>
      </c>
      <c r="L1631" s="7" t="s">
        <v>37</v>
      </c>
      <c r="M1631" s="7" t="s">
        <v>30</v>
      </c>
    </row>
    <row r="1632" customFormat="false" ht="15" hidden="false" customHeight="true" outlineLevel="0" collapsed="false">
      <c r="A1632" s="7" t="n">
        <v>1838</v>
      </c>
      <c r="B1632" s="7" t="n">
        <v>26</v>
      </c>
      <c r="C1632" s="7" t="s">
        <v>33</v>
      </c>
      <c r="D1632" s="7" t="s">
        <v>41</v>
      </c>
      <c r="E1632" s="7" t="n">
        <v>16</v>
      </c>
      <c r="F1632" s="7" t="n">
        <v>1</v>
      </c>
      <c r="G1632" s="7" t="s">
        <v>34</v>
      </c>
      <c r="H1632" s="7" t="s">
        <v>27</v>
      </c>
      <c r="I1632" s="7" t="n">
        <v>24.5</v>
      </c>
      <c r="J1632" s="7" t="s">
        <v>39</v>
      </c>
      <c r="K1632" s="7" t="n">
        <v>241.1</v>
      </c>
      <c r="L1632" s="7" t="s">
        <v>29</v>
      </c>
      <c r="M1632" s="7" t="s">
        <v>30</v>
      </c>
    </row>
    <row r="1633" customFormat="false" ht="15" hidden="false" customHeight="true" outlineLevel="0" collapsed="false">
      <c r="A1633" s="7" t="n">
        <v>1887</v>
      </c>
      <c r="B1633" s="7" t="n">
        <v>56</v>
      </c>
      <c r="C1633" s="7" t="s">
        <v>33</v>
      </c>
      <c r="D1633" s="7" t="s">
        <v>41</v>
      </c>
      <c r="E1633" s="7" t="n">
        <v>8</v>
      </c>
      <c r="F1633" s="7" t="n">
        <v>8</v>
      </c>
      <c r="G1633" s="7" t="s">
        <v>36</v>
      </c>
      <c r="H1633" s="7" t="s">
        <v>27</v>
      </c>
      <c r="I1633" s="7" t="n">
        <v>26.6</v>
      </c>
      <c r="J1633" s="7" t="s">
        <v>39</v>
      </c>
      <c r="K1633" s="7" t="n">
        <v>148.9</v>
      </c>
      <c r="L1633" s="7" t="s">
        <v>29</v>
      </c>
      <c r="M1633" s="7" t="s">
        <v>30</v>
      </c>
    </row>
    <row r="1634" customFormat="false" ht="15" hidden="false" customHeight="true" outlineLevel="0" collapsed="false">
      <c r="A1634" s="7" t="n">
        <v>1905</v>
      </c>
      <c r="B1634" s="7" t="n">
        <v>57</v>
      </c>
      <c r="C1634" s="7" t="s">
        <v>33</v>
      </c>
      <c r="D1634" s="7" t="s">
        <v>41</v>
      </c>
      <c r="E1634" s="7" t="n">
        <v>4</v>
      </c>
      <c r="F1634" s="7" t="n">
        <v>6</v>
      </c>
      <c r="G1634" s="7" t="s">
        <v>31</v>
      </c>
      <c r="H1634" s="7" t="s">
        <v>32</v>
      </c>
      <c r="I1634" s="7" t="n">
        <v>31.1</v>
      </c>
      <c r="J1634" s="7" t="s">
        <v>39</v>
      </c>
      <c r="K1634" s="7" t="n">
        <v>124.6</v>
      </c>
      <c r="L1634" s="7" t="s">
        <v>29</v>
      </c>
      <c r="M1634" s="7" t="s">
        <v>30</v>
      </c>
    </row>
    <row r="1635" customFormat="false" ht="15" hidden="false" customHeight="true" outlineLevel="0" collapsed="false">
      <c r="A1635" s="7" t="n">
        <v>1909</v>
      </c>
      <c r="B1635" s="7" t="n">
        <v>76</v>
      </c>
      <c r="C1635" s="7" t="s">
        <v>24</v>
      </c>
      <c r="D1635" s="7" t="s">
        <v>41</v>
      </c>
      <c r="E1635" s="7" t="n">
        <v>16</v>
      </c>
      <c r="F1635" s="7" t="n">
        <v>1</v>
      </c>
      <c r="G1635" s="7" t="s">
        <v>36</v>
      </c>
      <c r="H1635" s="7" t="s">
        <v>27</v>
      </c>
      <c r="I1635" s="7" t="n">
        <v>19.5</v>
      </c>
      <c r="J1635" s="7" t="s">
        <v>39</v>
      </c>
      <c r="K1635" s="7" t="n">
        <v>211.2</v>
      </c>
      <c r="L1635" s="7" t="s">
        <v>29</v>
      </c>
      <c r="M1635" s="7" t="s">
        <v>30</v>
      </c>
    </row>
    <row r="1636" customFormat="false" ht="15" hidden="false" customHeight="true" outlineLevel="0" collapsed="false">
      <c r="A1636" s="7" t="n">
        <v>1944</v>
      </c>
      <c r="B1636" s="7" t="n">
        <v>50</v>
      </c>
      <c r="C1636" s="7" t="s">
        <v>33</v>
      </c>
      <c r="D1636" s="7" t="s">
        <v>41</v>
      </c>
      <c r="E1636" s="7" t="n">
        <v>9</v>
      </c>
      <c r="F1636" s="7" t="n">
        <v>13</v>
      </c>
      <c r="G1636" s="7" t="s">
        <v>35</v>
      </c>
      <c r="H1636" s="7" t="s">
        <v>27</v>
      </c>
      <c r="I1636" s="7" t="n">
        <v>26.1</v>
      </c>
      <c r="J1636" s="7" t="s">
        <v>39</v>
      </c>
      <c r="K1636" s="7" t="n">
        <v>150.7</v>
      </c>
      <c r="L1636" s="7" t="s">
        <v>37</v>
      </c>
      <c r="M1636" s="7" t="s">
        <v>30</v>
      </c>
    </row>
    <row r="1637" customFormat="false" ht="15" hidden="false" customHeight="true" outlineLevel="0" collapsed="false">
      <c r="A1637" s="7" t="n">
        <v>1946</v>
      </c>
      <c r="B1637" s="7" t="n">
        <v>54</v>
      </c>
      <c r="C1637" s="7" t="s">
        <v>33</v>
      </c>
      <c r="D1637" s="7" t="s">
        <v>41</v>
      </c>
      <c r="E1637" s="7" t="n">
        <v>1</v>
      </c>
      <c r="F1637" s="7" t="n">
        <v>3</v>
      </c>
      <c r="G1637" s="7" t="s">
        <v>31</v>
      </c>
      <c r="H1637" s="7" t="s">
        <v>27</v>
      </c>
      <c r="I1637" s="7" t="n">
        <v>41.5</v>
      </c>
      <c r="J1637" s="7" t="s">
        <v>39</v>
      </c>
      <c r="K1637" s="7" t="n">
        <v>130.8</v>
      </c>
      <c r="L1637" s="7" t="s">
        <v>29</v>
      </c>
      <c r="M1637" s="7" t="s">
        <v>30</v>
      </c>
    </row>
    <row r="1638" customFormat="false" ht="15" hidden="false" customHeight="true" outlineLevel="0" collapsed="false">
      <c r="A1638" s="7" t="n">
        <v>1949</v>
      </c>
      <c r="B1638" s="7" t="n">
        <v>69</v>
      </c>
      <c r="C1638" s="7" t="s">
        <v>24</v>
      </c>
      <c r="D1638" s="7" t="s">
        <v>41</v>
      </c>
      <c r="E1638" s="7" t="n">
        <v>13</v>
      </c>
      <c r="F1638" s="7" t="n">
        <v>2</v>
      </c>
      <c r="G1638" s="7" t="s">
        <v>31</v>
      </c>
      <c r="H1638" s="7" t="s">
        <v>27</v>
      </c>
      <c r="I1638" s="7" t="n">
        <v>24</v>
      </c>
      <c r="J1638" s="7" t="s">
        <v>39</v>
      </c>
      <c r="K1638" s="7" t="n">
        <v>152.2</v>
      </c>
      <c r="L1638" s="7" t="s">
        <v>29</v>
      </c>
      <c r="M1638" s="7" t="s">
        <v>30</v>
      </c>
    </row>
    <row r="1639" customFormat="false" ht="15" hidden="false" customHeight="true" outlineLevel="0" collapsed="false">
      <c r="A1639" s="7" t="n">
        <v>2107</v>
      </c>
      <c r="B1639" s="7" t="n">
        <v>34</v>
      </c>
      <c r="C1639" s="7" t="s">
        <v>33</v>
      </c>
      <c r="D1639" s="7" t="s">
        <v>41</v>
      </c>
      <c r="E1639" s="7" t="n">
        <v>9</v>
      </c>
      <c r="F1639" s="7" t="n">
        <v>13</v>
      </c>
      <c r="G1639" s="7" t="s">
        <v>26</v>
      </c>
      <c r="H1639" s="7" t="s">
        <v>27</v>
      </c>
      <c r="I1639" s="7" t="n">
        <v>39.8</v>
      </c>
      <c r="J1639" s="7" t="s">
        <v>39</v>
      </c>
      <c r="K1639" s="7" t="n">
        <v>175</v>
      </c>
      <c r="L1639" s="7" t="s">
        <v>29</v>
      </c>
      <c r="M1639" s="7" t="s">
        <v>30</v>
      </c>
    </row>
    <row r="1640" customFormat="false" ht="15" hidden="false" customHeight="true" outlineLevel="0" collapsed="false">
      <c r="A1640" s="7" t="n">
        <v>2126</v>
      </c>
      <c r="B1640" s="7" t="n">
        <v>74</v>
      </c>
      <c r="C1640" s="7" t="s">
        <v>33</v>
      </c>
      <c r="D1640" s="7" t="s">
        <v>41</v>
      </c>
      <c r="E1640" s="7" t="n">
        <v>3</v>
      </c>
      <c r="F1640" s="7" t="n">
        <v>5</v>
      </c>
      <c r="G1640" s="7" t="s">
        <v>35</v>
      </c>
      <c r="H1640" s="7" t="s">
        <v>27</v>
      </c>
      <c r="I1640" s="7" t="n">
        <v>34.8</v>
      </c>
      <c r="J1640" s="7" t="s">
        <v>39</v>
      </c>
      <c r="K1640" s="7" t="n">
        <v>216.7</v>
      </c>
      <c r="L1640" s="7" t="s">
        <v>29</v>
      </c>
      <c r="M1640" s="7" t="s">
        <v>30</v>
      </c>
    </row>
    <row r="1641" customFormat="false" ht="15" hidden="false" customHeight="true" outlineLevel="0" collapsed="false">
      <c r="A1641" s="7" t="n">
        <v>2129</v>
      </c>
      <c r="B1641" s="7" t="n">
        <v>36</v>
      </c>
      <c r="C1641" s="7" t="s">
        <v>33</v>
      </c>
      <c r="D1641" s="7" t="s">
        <v>41</v>
      </c>
      <c r="E1641" s="7" t="n">
        <v>8</v>
      </c>
      <c r="F1641" s="7" t="n">
        <v>6</v>
      </c>
      <c r="G1641" s="7" t="s">
        <v>35</v>
      </c>
      <c r="H1641" s="7" t="s">
        <v>27</v>
      </c>
      <c r="I1641" s="7" t="n">
        <v>29.6</v>
      </c>
      <c r="J1641" s="7" t="s">
        <v>39</v>
      </c>
      <c r="K1641" s="7" t="n">
        <v>267.5</v>
      </c>
      <c r="L1641" s="7" t="s">
        <v>29</v>
      </c>
      <c r="M1641" s="7" t="s">
        <v>30</v>
      </c>
    </row>
    <row r="1642" customFormat="false" ht="15" hidden="false" customHeight="true" outlineLevel="0" collapsed="false">
      <c r="A1642" s="7" t="n">
        <v>2140</v>
      </c>
      <c r="B1642" s="7" t="n">
        <v>31</v>
      </c>
      <c r="C1642" s="7" t="s">
        <v>33</v>
      </c>
      <c r="D1642" s="7" t="s">
        <v>41</v>
      </c>
      <c r="E1642" s="7" t="n">
        <v>2</v>
      </c>
      <c r="F1642" s="7" t="n">
        <v>12</v>
      </c>
      <c r="G1642" s="7" t="s">
        <v>35</v>
      </c>
      <c r="H1642" s="7" t="s">
        <v>27</v>
      </c>
      <c r="I1642" s="7" t="n">
        <v>31.3</v>
      </c>
      <c r="J1642" s="7" t="s">
        <v>39</v>
      </c>
      <c r="K1642" s="7" t="n">
        <v>256.7</v>
      </c>
      <c r="L1642" s="7" t="s">
        <v>29</v>
      </c>
      <c r="M1642" s="7" t="s">
        <v>30</v>
      </c>
    </row>
    <row r="1643" customFormat="false" ht="15" hidden="false" customHeight="true" outlineLevel="0" collapsed="false">
      <c r="A1643" s="7" t="n">
        <v>2205</v>
      </c>
      <c r="B1643" s="7" t="n">
        <v>57</v>
      </c>
      <c r="C1643" s="7" t="s">
        <v>24</v>
      </c>
      <c r="D1643" s="7" t="s">
        <v>41</v>
      </c>
      <c r="E1643" s="7" t="n">
        <v>15</v>
      </c>
      <c r="F1643" s="7" t="n">
        <v>7</v>
      </c>
      <c r="G1643" s="7" t="s">
        <v>26</v>
      </c>
      <c r="H1643" s="7" t="s">
        <v>32</v>
      </c>
      <c r="I1643" s="7" t="n">
        <v>23.9</v>
      </c>
      <c r="J1643" s="7" t="s">
        <v>39</v>
      </c>
      <c r="K1643" s="7" t="n">
        <v>273.8</v>
      </c>
      <c r="L1643" s="7" t="s">
        <v>29</v>
      </c>
      <c r="M1643" s="7" t="s">
        <v>30</v>
      </c>
    </row>
    <row r="1644" customFormat="false" ht="15" hidden="false" customHeight="true" outlineLevel="0" collapsed="false">
      <c r="A1644" s="7" t="n">
        <v>2275</v>
      </c>
      <c r="B1644" s="7" t="n">
        <v>49</v>
      </c>
      <c r="C1644" s="7" t="s">
        <v>33</v>
      </c>
      <c r="D1644" s="7" t="s">
        <v>41</v>
      </c>
      <c r="E1644" s="7" t="n">
        <v>15</v>
      </c>
      <c r="F1644" s="7" t="n">
        <v>12</v>
      </c>
      <c r="G1644" s="7" t="s">
        <v>35</v>
      </c>
      <c r="H1644" s="7" t="s">
        <v>32</v>
      </c>
      <c r="I1644" s="7" t="n">
        <v>39.1</v>
      </c>
      <c r="J1644" s="7" t="s">
        <v>39</v>
      </c>
      <c r="K1644" s="7" t="n">
        <v>290.2</v>
      </c>
      <c r="L1644" s="7" t="s">
        <v>29</v>
      </c>
      <c r="M1644" s="7" t="s">
        <v>30</v>
      </c>
    </row>
    <row r="1645" customFormat="false" ht="15" hidden="false" customHeight="true" outlineLevel="0" collapsed="false">
      <c r="A1645" s="7" t="n">
        <v>2303</v>
      </c>
      <c r="B1645" s="7" t="n">
        <v>70</v>
      </c>
      <c r="C1645" s="7" t="s">
        <v>33</v>
      </c>
      <c r="D1645" s="7" t="s">
        <v>41</v>
      </c>
      <c r="E1645" s="7" t="n">
        <v>18</v>
      </c>
      <c r="F1645" s="7" t="n">
        <v>9</v>
      </c>
      <c r="G1645" s="7" t="s">
        <v>35</v>
      </c>
      <c r="H1645" s="7" t="s">
        <v>27</v>
      </c>
      <c r="I1645" s="7" t="n">
        <v>18.9</v>
      </c>
      <c r="J1645" s="7" t="s">
        <v>39</v>
      </c>
      <c r="K1645" s="7" t="n">
        <v>261.8</v>
      </c>
      <c r="L1645" s="7" t="s">
        <v>29</v>
      </c>
      <c r="M1645" s="7" t="s">
        <v>30</v>
      </c>
    </row>
    <row r="1646" customFormat="false" ht="15" hidden="false" customHeight="true" outlineLevel="0" collapsed="false">
      <c r="A1646" s="7" t="n">
        <v>2354</v>
      </c>
      <c r="B1646" s="7" t="n">
        <v>77</v>
      </c>
      <c r="C1646" s="7" t="s">
        <v>24</v>
      </c>
      <c r="D1646" s="7" t="s">
        <v>41</v>
      </c>
      <c r="E1646" s="7" t="n">
        <v>3</v>
      </c>
      <c r="F1646" s="7" t="n">
        <v>11</v>
      </c>
      <c r="G1646" s="7" t="s">
        <v>36</v>
      </c>
      <c r="H1646" s="7" t="s">
        <v>32</v>
      </c>
      <c r="I1646" s="7" t="n">
        <v>28.2</v>
      </c>
      <c r="J1646" s="7" t="s">
        <v>39</v>
      </c>
      <c r="K1646" s="7" t="n">
        <v>174.4</v>
      </c>
      <c r="L1646" s="7" t="s">
        <v>29</v>
      </c>
      <c r="M1646" s="7" t="s">
        <v>30</v>
      </c>
    </row>
    <row r="1647" customFormat="false" ht="15" hidden="false" customHeight="true" outlineLevel="0" collapsed="false">
      <c r="A1647" s="7" t="n">
        <v>2369</v>
      </c>
      <c r="B1647" s="7" t="n">
        <v>87</v>
      </c>
      <c r="C1647" s="7" t="s">
        <v>24</v>
      </c>
      <c r="D1647" s="7" t="s">
        <v>41</v>
      </c>
      <c r="E1647" s="7" t="n">
        <v>3</v>
      </c>
      <c r="F1647" s="7" t="n">
        <v>13</v>
      </c>
      <c r="G1647" s="7" t="s">
        <v>26</v>
      </c>
      <c r="H1647" s="7" t="s">
        <v>32</v>
      </c>
      <c r="I1647" s="7" t="n">
        <v>33.6</v>
      </c>
      <c r="J1647" s="7" t="s">
        <v>39</v>
      </c>
      <c r="K1647" s="7" t="n">
        <v>199.5</v>
      </c>
      <c r="L1647" s="7" t="s">
        <v>37</v>
      </c>
      <c r="M1647" s="7" t="s">
        <v>30</v>
      </c>
    </row>
    <row r="1648" customFormat="false" ht="15" hidden="false" customHeight="true" outlineLevel="0" collapsed="false">
      <c r="A1648" s="7" t="n">
        <v>2396</v>
      </c>
      <c r="B1648" s="7" t="n">
        <v>30</v>
      </c>
      <c r="C1648" s="7" t="s">
        <v>33</v>
      </c>
      <c r="D1648" s="7" t="s">
        <v>41</v>
      </c>
      <c r="E1648" s="7" t="n">
        <v>17</v>
      </c>
      <c r="F1648" s="7" t="n">
        <v>10</v>
      </c>
      <c r="G1648" s="7" t="s">
        <v>34</v>
      </c>
      <c r="H1648" s="7" t="s">
        <v>32</v>
      </c>
      <c r="I1648" s="7" t="n">
        <v>24.7</v>
      </c>
      <c r="J1648" s="7" t="s">
        <v>39</v>
      </c>
      <c r="K1648" s="7" t="n">
        <v>228.9</v>
      </c>
      <c r="L1648" s="7" t="s">
        <v>29</v>
      </c>
      <c r="M1648" s="7" t="s">
        <v>30</v>
      </c>
    </row>
    <row r="1649" customFormat="false" ht="15" hidden="false" customHeight="true" outlineLevel="0" collapsed="false">
      <c r="A1649" s="7" t="n">
        <v>2400</v>
      </c>
      <c r="B1649" s="7" t="n">
        <v>49</v>
      </c>
      <c r="C1649" s="7" t="s">
        <v>33</v>
      </c>
      <c r="D1649" s="7" t="s">
        <v>41</v>
      </c>
      <c r="E1649" s="7" t="n">
        <v>4</v>
      </c>
      <c r="F1649" s="7" t="n">
        <v>2</v>
      </c>
      <c r="G1649" s="7" t="s">
        <v>35</v>
      </c>
      <c r="H1649" s="7" t="s">
        <v>27</v>
      </c>
      <c r="I1649" s="7" t="n">
        <v>21.6</v>
      </c>
      <c r="J1649" s="7" t="s">
        <v>39</v>
      </c>
      <c r="K1649" s="7" t="n">
        <v>165.9</v>
      </c>
      <c r="L1649" s="7" t="s">
        <v>37</v>
      </c>
      <c r="M1649" s="7" t="s">
        <v>30</v>
      </c>
    </row>
    <row r="1650" customFormat="false" ht="15" hidden="false" customHeight="true" outlineLevel="0" collapsed="false">
      <c r="A1650" s="7" t="n">
        <v>2412</v>
      </c>
      <c r="B1650" s="7" t="n">
        <v>54</v>
      </c>
      <c r="C1650" s="7" t="s">
        <v>33</v>
      </c>
      <c r="D1650" s="7" t="s">
        <v>41</v>
      </c>
      <c r="E1650" s="7" t="n">
        <v>8</v>
      </c>
      <c r="F1650" s="7" t="n">
        <v>11</v>
      </c>
      <c r="G1650" s="7" t="s">
        <v>36</v>
      </c>
      <c r="H1650" s="7" t="s">
        <v>27</v>
      </c>
      <c r="I1650" s="7" t="n">
        <v>30.5</v>
      </c>
      <c r="J1650" s="7" t="s">
        <v>39</v>
      </c>
      <c r="K1650" s="7" t="n">
        <v>183</v>
      </c>
      <c r="L1650" s="7" t="s">
        <v>29</v>
      </c>
      <c r="M1650" s="7" t="s">
        <v>30</v>
      </c>
    </row>
    <row r="1651" customFormat="false" ht="15" hidden="false" customHeight="true" outlineLevel="0" collapsed="false">
      <c r="A1651" s="7" t="n">
        <v>2430</v>
      </c>
      <c r="B1651" s="7" t="n">
        <v>47</v>
      </c>
      <c r="C1651" s="7" t="s">
        <v>33</v>
      </c>
      <c r="D1651" s="7" t="s">
        <v>41</v>
      </c>
      <c r="E1651" s="7" t="n">
        <v>5</v>
      </c>
      <c r="F1651" s="7" t="n">
        <v>5</v>
      </c>
      <c r="G1651" s="7" t="s">
        <v>26</v>
      </c>
      <c r="H1651" s="7" t="s">
        <v>27</v>
      </c>
      <c r="I1651" s="7" t="n">
        <v>20.9</v>
      </c>
      <c r="J1651" s="7" t="s">
        <v>39</v>
      </c>
      <c r="K1651" s="7" t="n">
        <v>177</v>
      </c>
      <c r="L1651" s="7" t="s">
        <v>29</v>
      </c>
      <c r="M1651" s="7" t="s">
        <v>30</v>
      </c>
    </row>
    <row r="1652" customFormat="false" ht="15" hidden="false" customHeight="true" outlineLevel="0" collapsed="false">
      <c r="A1652" s="7" t="n">
        <v>2442</v>
      </c>
      <c r="B1652" s="7" t="n">
        <v>72</v>
      </c>
      <c r="C1652" s="7" t="s">
        <v>33</v>
      </c>
      <c r="D1652" s="7" t="s">
        <v>41</v>
      </c>
      <c r="E1652" s="7" t="n">
        <v>17</v>
      </c>
      <c r="F1652" s="7" t="n">
        <v>3</v>
      </c>
      <c r="G1652" s="7" t="s">
        <v>36</v>
      </c>
      <c r="H1652" s="7" t="s">
        <v>32</v>
      </c>
      <c r="I1652" s="7" t="n">
        <v>35.3</v>
      </c>
      <c r="J1652" s="7" t="s">
        <v>39</v>
      </c>
      <c r="K1652" s="7" t="n">
        <v>229</v>
      </c>
      <c r="L1652" s="7" t="s">
        <v>37</v>
      </c>
      <c r="M1652" s="7" t="s">
        <v>30</v>
      </c>
    </row>
    <row r="1653" customFormat="false" ht="15" hidden="false" customHeight="true" outlineLevel="0" collapsed="false">
      <c r="A1653" s="7" t="n">
        <v>2448</v>
      </c>
      <c r="B1653" s="7" t="n">
        <v>32</v>
      </c>
      <c r="C1653" s="7" t="s">
        <v>33</v>
      </c>
      <c r="D1653" s="7" t="s">
        <v>41</v>
      </c>
      <c r="E1653" s="7" t="n">
        <v>15</v>
      </c>
      <c r="F1653" s="7" t="n">
        <v>2</v>
      </c>
      <c r="G1653" s="7" t="s">
        <v>34</v>
      </c>
      <c r="H1653" s="7" t="s">
        <v>27</v>
      </c>
      <c r="I1653" s="7" t="n">
        <v>38.5</v>
      </c>
      <c r="J1653" s="7" t="s">
        <v>39</v>
      </c>
      <c r="K1653" s="7" t="n">
        <v>159.6</v>
      </c>
      <c r="L1653" s="7" t="s">
        <v>29</v>
      </c>
      <c r="M1653" s="7" t="s">
        <v>30</v>
      </c>
    </row>
    <row r="1654" customFormat="false" ht="15" hidden="false" customHeight="true" outlineLevel="0" collapsed="false">
      <c r="A1654" s="7" t="n">
        <v>2474</v>
      </c>
      <c r="B1654" s="7" t="n">
        <v>61</v>
      </c>
      <c r="C1654" s="7" t="s">
        <v>24</v>
      </c>
      <c r="D1654" s="7" t="s">
        <v>41</v>
      </c>
      <c r="E1654" s="7" t="n">
        <v>5</v>
      </c>
      <c r="F1654" s="7" t="n">
        <v>4</v>
      </c>
      <c r="G1654" s="7" t="s">
        <v>26</v>
      </c>
      <c r="H1654" s="7" t="s">
        <v>27</v>
      </c>
      <c r="I1654" s="7" t="n">
        <v>34.5</v>
      </c>
      <c r="J1654" s="7" t="s">
        <v>39</v>
      </c>
      <c r="K1654" s="7" t="n">
        <v>133.3</v>
      </c>
      <c r="L1654" s="7" t="s">
        <v>37</v>
      </c>
      <c r="M1654" s="7" t="s">
        <v>30</v>
      </c>
    </row>
    <row r="1655" customFormat="false" ht="15" hidden="false" customHeight="true" outlineLevel="0" collapsed="false">
      <c r="A1655" s="7" t="n">
        <v>8</v>
      </c>
      <c r="B1655" s="7" t="n">
        <v>50</v>
      </c>
      <c r="C1655" s="7" t="s">
        <v>33</v>
      </c>
      <c r="D1655" s="7" t="s">
        <v>40</v>
      </c>
      <c r="E1655" s="7" t="n">
        <v>39</v>
      </c>
      <c r="F1655" s="7" t="n">
        <v>7</v>
      </c>
      <c r="G1655" s="7" t="s">
        <v>26</v>
      </c>
      <c r="H1655" s="7" t="s">
        <v>32</v>
      </c>
      <c r="I1655" s="7" t="n">
        <v>33.3</v>
      </c>
      <c r="J1655" s="7" t="s">
        <v>39</v>
      </c>
      <c r="K1655" s="7" t="n">
        <v>273</v>
      </c>
      <c r="L1655" s="7" t="s">
        <v>29</v>
      </c>
      <c r="M1655" s="7" t="s">
        <v>30</v>
      </c>
    </row>
    <row r="1656" customFormat="false" ht="15" hidden="false" customHeight="true" outlineLevel="0" collapsed="false">
      <c r="A1656" s="7" t="n">
        <v>21</v>
      </c>
      <c r="B1656" s="7" t="n">
        <v>89</v>
      </c>
      <c r="C1656" s="7" t="s">
        <v>24</v>
      </c>
      <c r="D1656" s="7" t="s">
        <v>40</v>
      </c>
      <c r="E1656" s="7" t="n">
        <v>37</v>
      </c>
      <c r="F1656" s="7" t="n">
        <v>28</v>
      </c>
      <c r="G1656" s="7" t="s">
        <v>31</v>
      </c>
      <c r="H1656" s="7" t="s">
        <v>27</v>
      </c>
      <c r="I1656" s="7" t="n">
        <v>26.3</v>
      </c>
      <c r="J1656" s="7" t="s">
        <v>39</v>
      </c>
      <c r="K1656" s="7" t="n">
        <v>295.3</v>
      </c>
      <c r="L1656" s="7" t="s">
        <v>37</v>
      </c>
      <c r="M1656" s="7" t="s">
        <v>30</v>
      </c>
    </row>
    <row r="1657" customFormat="false" ht="15" hidden="false" customHeight="true" outlineLevel="0" collapsed="false">
      <c r="A1657" s="7" t="n">
        <v>32</v>
      </c>
      <c r="B1657" s="7" t="n">
        <v>79</v>
      </c>
      <c r="C1657" s="7" t="s">
        <v>33</v>
      </c>
      <c r="D1657" s="7" t="s">
        <v>40</v>
      </c>
      <c r="E1657" s="7" t="n">
        <v>30</v>
      </c>
      <c r="F1657" s="7" t="n">
        <v>9</v>
      </c>
      <c r="G1657" s="7" t="s">
        <v>34</v>
      </c>
      <c r="H1657" s="7" t="s">
        <v>32</v>
      </c>
      <c r="I1657" s="7" t="n">
        <v>18.5</v>
      </c>
      <c r="J1657" s="7" t="s">
        <v>39</v>
      </c>
      <c r="K1657" s="7" t="n">
        <v>199.6</v>
      </c>
      <c r="L1657" s="7" t="s">
        <v>37</v>
      </c>
      <c r="M1657" s="7" t="s">
        <v>30</v>
      </c>
    </row>
    <row r="1658" customFormat="false" ht="15" hidden="false" customHeight="true" outlineLevel="0" collapsed="false">
      <c r="A1658" s="7" t="n">
        <v>77</v>
      </c>
      <c r="B1658" s="7" t="n">
        <v>83</v>
      </c>
      <c r="C1658" s="7" t="s">
        <v>24</v>
      </c>
      <c r="D1658" s="7" t="s">
        <v>40</v>
      </c>
      <c r="E1658" s="7" t="n">
        <v>37</v>
      </c>
      <c r="F1658" s="7" t="n">
        <v>8</v>
      </c>
      <c r="G1658" s="7" t="s">
        <v>26</v>
      </c>
      <c r="H1658" s="7" t="s">
        <v>32</v>
      </c>
      <c r="I1658" s="7" t="n">
        <v>25.6</v>
      </c>
      <c r="J1658" s="7" t="s">
        <v>39</v>
      </c>
      <c r="K1658" s="7" t="n">
        <v>139.9</v>
      </c>
      <c r="L1658" s="7" t="s">
        <v>29</v>
      </c>
      <c r="M1658" s="7" t="s">
        <v>30</v>
      </c>
    </row>
    <row r="1659" customFormat="false" ht="15" hidden="false" customHeight="true" outlineLevel="0" collapsed="false">
      <c r="A1659" s="7" t="n">
        <v>98</v>
      </c>
      <c r="B1659" s="7" t="n">
        <v>50</v>
      </c>
      <c r="C1659" s="7" t="s">
        <v>24</v>
      </c>
      <c r="D1659" s="7" t="s">
        <v>40</v>
      </c>
      <c r="E1659" s="7" t="n">
        <v>9</v>
      </c>
      <c r="F1659" s="7" t="n">
        <v>28</v>
      </c>
      <c r="G1659" s="7" t="s">
        <v>31</v>
      </c>
      <c r="H1659" s="7" t="s">
        <v>27</v>
      </c>
      <c r="I1659" s="7" t="n">
        <v>21.1</v>
      </c>
      <c r="J1659" s="7" t="s">
        <v>39</v>
      </c>
      <c r="K1659" s="7" t="n">
        <v>272.4</v>
      </c>
      <c r="L1659" s="7" t="s">
        <v>29</v>
      </c>
      <c r="M1659" s="7" t="s">
        <v>30</v>
      </c>
    </row>
    <row r="1660" customFormat="false" ht="15" hidden="false" customHeight="true" outlineLevel="0" collapsed="false">
      <c r="A1660" s="7" t="n">
        <v>102</v>
      </c>
      <c r="B1660" s="7" t="n">
        <v>33</v>
      </c>
      <c r="C1660" s="7" t="s">
        <v>33</v>
      </c>
      <c r="D1660" s="7" t="s">
        <v>40</v>
      </c>
      <c r="E1660" s="7" t="n">
        <v>36</v>
      </c>
      <c r="F1660" s="7" t="n">
        <v>14</v>
      </c>
      <c r="G1660" s="7" t="s">
        <v>34</v>
      </c>
      <c r="H1660" s="7" t="s">
        <v>27</v>
      </c>
      <c r="I1660" s="7" t="n">
        <v>31.2</v>
      </c>
      <c r="J1660" s="7" t="s">
        <v>39</v>
      </c>
      <c r="K1660" s="7" t="n">
        <v>126.1</v>
      </c>
      <c r="L1660" s="7" t="s">
        <v>29</v>
      </c>
      <c r="M1660" s="7" t="s">
        <v>30</v>
      </c>
    </row>
    <row r="1661" customFormat="false" ht="15" hidden="false" customHeight="true" outlineLevel="0" collapsed="false">
      <c r="A1661" s="7" t="n">
        <v>147</v>
      </c>
      <c r="B1661" s="7" t="n">
        <v>63</v>
      </c>
      <c r="C1661" s="7" t="s">
        <v>24</v>
      </c>
      <c r="D1661" s="7" t="s">
        <v>40</v>
      </c>
      <c r="E1661" s="7" t="n">
        <v>16</v>
      </c>
      <c r="F1661" s="7" t="n">
        <v>12</v>
      </c>
      <c r="G1661" s="7" t="s">
        <v>34</v>
      </c>
      <c r="H1661" s="7" t="s">
        <v>27</v>
      </c>
      <c r="I1661" s="7" t="n">
        <v>40.5</v>
      </c>
      <c r="J1661" s="7" t="s">
        <v>39</v>
      </c>
      <c r="K1661" s="7" t="n">
        <v>240.1</v>
      </c>
      <c r="L1661" s="7" t="s">
        <v>29</v>
      </c>
      <c r="M1661" s="7" t="s">
        <v>30</v>
      </c>
    </row>
    <row r="1662" customFormat="false" ht="15" hidden="false" customHeight="true" outlineLevel="0" collapsed="false">
      <c r="A1662" s="7" t="n">
        <v>153</v>
      </c>
      <c r="B1662" s="7" t="n">
        <v>32</v>
      </c>
      <c r="C1662" s="7" t="s">
        <v>33</v>
      </c>
      <c r="D1662" s="7" t="s">
        <v>40</v>
      </c>
      <c r="E1662" s="7" t="n">
        <v>20</v>
      </c>
      <c r="F1662" s="7" t="n">
        <v>19</v>
      </c>
      <c r="G1662" s="7" t="s">
        <v>31</v>
      </c>
      <c r="H1662" s="7" t="s">
        <v>32</v>
      </c>
      <c r="I1662" s="7" t="n">
        <v>18.5</v>
      </c>
      <c r="J1662" s="7" t="s">
        <v>39</v>
      </c>
      <c r="K1662" s="7" t="n">
        <v>183.3</v>
      </c>
      <c r="L1662" s="7" t="s">
        <v>37</v>
      </c>
      <c r="M1662" s="7" t="s">
        <v>30</v>
      </c>
    </row>
    <row r="1663" customFormat="false" ht="15" hidden="false" customHeight="true" outlineLevel="0" collapsed="false">
      <c r="A1663" s="7" t="n">
        <v>286</v>
      </c>
      <c r="B1663" s="7" t="n">
        <v>88</v>
      </c>
      <c r="C1663" s="7" t="s">
        <v>33</v>
      </c>
      <c r="D1663" s="7" t="s">
        <v>40</v>
      </c>
      <c r="E1663" s="7" t="n">
        <v>5</v>
      </c>
      <c r="F1663" s="7" t="n">
        <v>29</v>
      </c>
      <c r="G1663" s="7" t="s">
        <v>35</v>
      </c>
      <c r="H1663" s="7" t="s">
        <v>27</v>
      </c>
      <c r="I1663" s="7" t="n">
        <v>35.9</v>
      </c>
      <c r="J1663" s="7" t="s">
        <v>39</v>
      </c>
      <c r="K1663" s="7" t="n">
        <v>291.2</v>
      </c>
      <c r="L1663" s="7" t="s">
        <v>29</v>
      </c>
      <c r="M1663" s="7" t="s">
        <v>30</v>
      </c>
    </row>
    <row r="1664" customFormat="false" ht="15" hidden="false" customHeight="true" outlineLevel="0" collapsed="false">
      <c r="A1664" s="7" t="n">
        <v>315</v>
      </c>
      <c r="B1664" s="7" t="n">
        <v>55</v>
      </c>
      <c r="C1664" s="7" t="s">
        <v>33</v>
      </c>
      <c r="D1664" s="7" t="s">
        <v>40</v>
      </c>
      <c r="E1664" s="7" t="n">
        <v>14</v>
      </c>
      <c r="F1664" s="7" t="n">
        <v>22</v>
      </c>
      <c r="G1664" s="7" t="s">
        <v>35</v>
      </c>
      <c r="H1664" s="7" t="s">
        <v>27</v>
      </c>
      <c r="I1664" s="7" t="n">
        <v>24.1</v>
      </c>
      <c r="J1664" s="7" t="s">
        <v>39</v>
      </c>
      <c r="K1664" s="7" t="n">
        <v>191.5</v>
      </c>
      <c r="L1664" s="7" t="s">
        <v>29</v>
      </c>
      <c r="M1664" s="7" t="s">
        <v>30</v>
      </c>
    </row>
    <row r="1665" customFormat="false" ht="15" hidden="false" customHeight="true" outlineLevel="0" collapsed="false">
      <c r="A1665" s="7" t="n">
        <v>331</v>
      </c>
      <c r="B1665" s="7" t="n">
        <v>39</v>
      </c>
      <c r="C1665" s="7" t="s">
        <v>24</v>
      </c>
      <c r="D1665" s="7" t="s">
        <v>40</v>
      </c>
      <c r="E1665" s="7" t="n">
        <v>6</v>
      </c>
      <c r="F1665" s="7" t="n">
        <v>12</v>
      </c>
      <c r="G1665" s="7" t="s">
        <v>31</v>
      </c>
      <c r="H1665" s="7" t="s">
        <v>27</v>
      </c>
      <c r="I1665" s="7" t="n">
        <v>35.6</v>
      </c>
      <c r="J1665" s="7" t="s">
        <v>39</v>
      </c>
      <c r="K1665" s="7" t="n">
        <v>218.2</v>
      </c>
      <c r="L1665" s="7" t="s">
        <v>29</v>
      </c>
      <c r="M1665" s="7" t="s">
        <v>30</v>
      </c>
    </row>
    <row r="1666" customFormat="false" ht="15" hidden="false" customHeight="true" outlineLevel="0" collapsed="false">
      <c r="A1666" s="7" t="n">
        <v>342</v>
      </c>
      <c r="B1666" s="7" t="n">
        <v>52</v>
      </c>
      <c r="C1666" s="7" t="s">
        <v>33</v>
      </c>
      <c r="D1666" s="7" t="s">
        <v>40</v>
      </c>
      <c r="E1666" s="7" t="n">
        <v>14</v>
      </c>
      <c r="F1666" s="7" t="n">
        <v>7</v>
      </c>
      <c r="G1666" s="7" t="s">
        <v>26</v>
      </c>
      <c r="H1666" s="7" t="s">
        <v>27</v>
      </c>
      <c r="I1666" s="7" t="n">
        <v>41</v>
      </c>
      <c r="J1666" s="7" t="s">
        <v>39</v>
      </c>
      <c r="K1666" s="7" t="n">
        <v>272.9</v>
      </c>
      <c r="L1666" s="7" t="s">
        <v>29</v>
      </c>
      <c r="M1666" s="7" t="s">
        <v>30</v>
      </c>
    </row>
    <row r="1667" customFormat="false" ht="15" hidden="false" customHeight="true" outlineLevel="0" collapsed="false">
      <c r="A1667" s="7" t="n">
        <v>396</v>
      </c>
      <c r="B1667" s="7" t="n">
        <v>65</v>
      </c>
      <c r="C1667" s="7" t="s">
        <v>24</v>
      </c>
      <c r="D1667" s="7" t="s">
        <v>40</v>
      </c>
      <c r="E1667" s="7" t="n">
        <v>29</v>
      </c>
      <c r="F1667" s="7" t="n">
        <v>18</v>
      </c>
      <c r="G1667" s="7" t="s">
        <v>36</v>
      </c>
      <c r="H1667" s="7" t="s">
        <v>27</v>
      </c>
      <c r="I1667" s="7" t="n">
        <v>17.6</v>
      </c>
      <c r="J1667" s="7" t="s">
        <v>39</v>
      </c>
      <c r="K1667" s="7" t="n">
        <v>295.4</v>
      </c>
      <c r="L1667" s="7" t="s">
        <v>37</v>
      </c>
      <c r="M1667" s="7" t="s">
        <v>30</v>
      </c>
    </row>
    <row r="1668" customFormat="false" ht="15" hidden="false" customHeight="true" outlineLevel="0" collapsed="false">
      <c r="A1668" s="7" t="n">
        <v>417</v>
      </c>
      <c r="B1668" s="7" t="n">
        <v>46</v>
      </c>
      <c r="C1668" s="7" t="s">
        <v>24</v>
      </c>
      <c r="D1668" s="7" t="s">
        <v>40</v>
      </c>
      <c r="E1668" s="7" t="n">
        <v>39</v>
      </c>
      <c r="F1668" s="7" t="n">
        <v>9</v>
      </c>
      <c r="G1668" s="7" t="s">
        <v>34</v>
      </c>
      <c r="H1668" s="7" t="s">
        <v>27</v>
      </c>
      <c r="I1668" s="7" t="n">
        <v>33.7</v>
      </c>
      <c r="J1668" s="7" t="s">
        <v>39</v>
      </c>
      <c r="K1668" s="7" t="n">
        <v>160.6</v>
      </c>
      <c r="L1668" s="7" t="s">
        <v>29</v>
      </c>
      <c r="M1668" s="7" t="s">
        <v>30</v>
      </c>
    </row>
    <row r="1669" customFormat="false" ht="15" hidden="false" customHeight="true" outlineLevel="0" collapsed="false">
      <c r="A1669" s="7" t="n">
        <v>457</v>
      </c>
      <c r="B1669" s="7" t="n">
        <v>25</v>
      </c>
      <c r="C1669" s="7" t="s">
        <v>33</v>
      </c>
      <c r="D1669" s="7" t="s">
        <v>40</v>
      </c>
      <c r="E1669" s="7" t="n">
        <v>14</v>
      </c>
      <c r="F1669" s="7" t="n">
        <v>13</v>
      </c>
      <c r="G1669" s="7" t="s">
        <v>34</v>
      </c>
      <c r="H1669" s="7" t="s">
        <v>27</v>
      </c>
      <c r="I1669" s="7" t="n">
        <v>17</v>
      </c>
      <c r="J1669" s="7" t="s">
        <v>39</v>
      </c>
      <c r="K1669" s="7" t="n">
        <v>124.4</v>
      </c>
      <c r="L1669" s="7" t="s">
        <v>37</v>
      </c>
      <c r="M1669" s="7" t="s">
        <v>30</v>
      </c>
    </row>
    <row r="1670" customFormat="false" ht="15" hidden="false" customHeight="true" outlineLevel="0" collapsed="false">
      <c r="A1670" s="7" t="n">
        <v>482</v>
      </c>
      <c r="B1670" s="7" t="n">
        <v>76</v>
      </c>
      <c r="C1670" s="7" t="s">
        <v>33</v>
      </c>
      <c r="D1670" s="7" t="s">
        <v>40</v>
      </c>
      <c r="E1670" s="7" t="n">
        <v>21</v>
      </c>
      <c r="F1670" s="7" t="n">
        <v>29</v>
      </c>
      <c r="G1670" s="7" t="s">
        <v>31</v>
      </c>
      <c r="H1670" s="7" t="s">
        <v>27</v>
      </c>
      <c r="I1670" s="7" t="n">
        <v>29.6</v>
      </c>
      <c r="J1670" s="7" t="s">
        <v>39</v>
      </c>
      <c r="K1670" s="7" t="n">
        <v>291.5</v>
      </c>
      <c r="L1670" s="7" t="s">
        <v>29</v>
      </c>
      <c r="M1670" s="7" t="s">
        <v>30</v>
      </c>
    </row>
    <row r="1671" customFormat="false" ht="15" hidden="false" customHeight="true" outlineLevel="0" collapsed="false">
      <c r="A1671" s="7" t="n">
        <v>604</v>
      </c>
      <c r="B1671" s="7" t="n">
        <v>33</v>
      </c>
      <c r="C1671" s="7" t="s">
        <v>24</v>
      </c>
      <c r="D1671" s="7" t="s">
        <v>40</v>
      </c>
      <c r="E1671" s="7" t="n">
        <v>28</v>
      </c>
      <c r="F1671" s="7" t="n">
        <v>22</v>
      </c>
      <c r="G1671" s="7" t="s">
        <v>31</v>
      </c>
      <c r="H1671" s="7" t="s">
        <v>27</v>
      </c>
      <c r="I1671" s="7" t="n">
        <v>38.3</v>
      </c>
      <c r="J1671" s="7" t="s">
        <v>39</v>
      </c>
      <c r="K1671" s="7" t="n">
        <v>137.9</v>
      </c>
      <c r="L1671" s="7" t="s">
        <v>37</v>
      </c>
      <c r="M1671" s="7" t="s">
        <v>30</v>
      </c>
    </row>
    <row r="1672" customFormat="false" ht="15" hidden="false" customHeight="true" outlineLevel="0" collapsed="false">
      <c r="A1672" s="7" t="n">
        <v>614</v>
      </c>
      <c r="B1672" s="7" t="n">
        <v>47</v>
      </c>
      <c r="C1672" s="7" t="s">
        <v>33</v>
      </c>
      <c r="D1672" s="7" t="s">
        <v>40</v>
      </c>
      <c r="E1672" s="7" t="n">
        <v>24</v>
      </c>
      <c r="F1672" s="7" t="n">
        <v>26</v>
      </c>
      <c r="G1672" s="7" t="s">
        <v>31</v>
      </c>
      <c r="H1672" s="7" t="s">
        <v>27</v>
      </c>
      <c r="I1672" s="7" t="n">
        <v>42</v>
      </c>
      <c r="J1672" s="7" t="s">
        <v>39</v>
      </c>
      <c r="K1672" s="7" t="n">
        <v>261.6</v>
      </c>
      <c r="L1672" s="7" t="s">
        <v>29</v>
      </c>
      <c r="M1672" s="7" t="s">
        <v>30</v>
      </c>
    </row>
    <row r="1673" customFormat="false" ht="15" hidden="false" customHeight="true" outlineLevel="0" collapsed="false">
      <c r="A1673" s="7" t="n">
        <v>638</v>
      </c>
      <c r="B1673" s="7" t="n">
        <v>72</v>
      </c>
      <c r="C1673" s="7" t="s">
        <v>33</v>
      </c>
      <c r="D1673" s="7" t="s">
        <v>40</v>
      </c>
      <c r="E1673" s="7" t="n">
        <v>16</v>
      </c>
      <c r="F1673" s="7" t="n">
        <v>11</v>
      </c>
      <c r="G1673" s="7" t="s">
        <v>36</v>
      </c>
      <c r="H1673" s="7" t="s">
        <v>27</v>
      </c>
      <c r="I1673" s="7" t="n">
        <v>28.2</v>
      </c>
      <c r="J1673" s="7" t="s">
        <v>39</v>
      </c>
      <c r="K1673" s="7" t="n">
        <v>285.5</v>
      </c>
      <c r="L1673" s="7" t="s">
        <v>29</v>
      </c>
      <c r="M1673" s="7" t="s">
        <v>30</v>
      </c>
    </row>
    <row r="1674" customFormat="false" ht="15" hidden="false" customHeight="true" outlineLevel="0" collapsed="false">
      <c r="A1674" s="7" t="n">
        <v>664</v>
      </c>
      <c r="B1674" s="7" t="n">
        <v>89</v>
      </c>
      <c r="C1674" s="7" t="s">
        <v>33</v>
      </c>
      <c r="D1674" s="7" t="s">
        <v>40</v>
      </c>
      <c r="E1674" s="7" t="n">
        <v>28</v>
      </c>
      <c r="F1674" s="7" t="n">
        <v>29</v>
      </c>
      <c r="G1674" s="7" t="s">
        <v>26</v>
      </c>
      <c r="H1674" s="7" t="s">
        <v>32</v>
      </c>
      <c r="I1674" s="7" t="n">
        <v>36.5</v>
      </c>
      <c r="J1674" s="7" t="s">
        <v>39</v>
      </c>
      <c r="K1674" s="7" t="n">
        <v>295.1</v>
      </c>
      <c r="L1674" s="7" t="s">
        <v>37</v>
      </c>
      <c r="M1674" s="7" t="s">
        <v>30</v>
      </c>
    </row>
    <row r="1675" customFormat="false" ht="15" hidden="false" customHeight="true" outlineLevel="0" collapsed="false">
      <c r="A1675" s="7" t="n">
        <v>691</v>
      </c>
      <c r="B1675" s="7" t="n">
        <v>72</v>
      </c>
      <c r="C1675" s="7" t="s">
        <v>24</v>
      </c>
      <c r="D1675" s="7" t="s">
        <v>40</v>
      </c>
      <c r="E1675" s="7" t="n">
        <v>5</v>
      </c>
      <c r="F1675" s="7" t="n">
        <v>13</v>
      </c>
      <c r="G1675" s="7" t="s">
        <v>35</v>
      </c>
      <c r="H1675" s="7" t="s">
        <v>32</v>
      </c>
      <c r="I1675" s="7" t="n">
        <v>17.1</v>
      </c>
      <c r="J1675" s="7" t="s">
        <v>39</v>
      </c>
      <c r="K1675" s="7" t="n">
        <v>139.1</v>
      </c>
      <c r="L1675" s="7" t="s">
        <v>29</v>
      </c>
      <c r="M1675" s="7" t="s">
        <v>30</v>
      </c>
    </row>
    <row r="1676" customFormat="false" ht="15" hidden="false" customHeight="true" outlineLevel="0" collapsed="false">
      <c r="A1676" s="7" t="n">
        <v>702</v>
      </c>
      <c r="B1676" s="7" t="n">
        <v>20</v>
      </c>
      <c r="C1676" s="7" t="s">
        <v>24</v>
      </c>
      <c r="D1676" s="7" t="s">
        <v>40</v>
      </c>
      <c r="E1676" s="7" t="n">
        <v>5</v>
      </c>
      <c r="F1676" s="7" t="n">
        <v>26</v>
      </c>
      <c r="G1676" s="7" t="s">
        <v>31</v>
      </c>
      <c r="H1676" s="7" t="s">
        <v>27</v>
      </c>
      <c r="I1676" s="7" t="n">
        <v>33.7</v>
      </c>
      <c r="J1676" s="7" t="s">
        <v>39</v>
      </c>
      <c r="K1676" s="7" t="n">
        <v>182.2</v>
      </c>
      <c r="L1676" s="7" t="s">
        <v>29</v>
      </c>
      <c r="M1676" s="7" t="s">
        <v>30</v>
      </c>
    </row>
    <row r="1677" customFormat="false" ht="15" hidden="false" customHeight="true" outlineLevel="0" collapsed="false">
      <c r="A1677" s="7" t="n">
        <v>707</v>
      </c>
      <c r="B1677" s="7" t="n">
        <v>38</v>
      </c>
      <c r="C1677" s="7" t="s">
        <v>33</v>
      </c>
      <c r="D1677" s="7" t="s">
        <v>40</v>
      </c>
      <c r="E1677" s="7" t="n">
        <v>29</v>
      </c>
      <c r="F1677" s="7" t="n">
        <v>16</v>
      </c>
      <c r="G1677" s="7" t="s">
        <v>35</v>
      </c>
      <c r="H1677" s="7" t="s">
        <v>27</v>
      </c>
      <c r="I1677" s="7" t="n">
        <v>20.8</v>
      </c>
      <c r="J1677" s="7" t="s">
        <v>39</v>
      </c>
      <c r="K1677" s="7" t="n">
        <v>189</v>
      </c>
      <c r="L1677" s="7" t="s">
        <v>29</v>
      </c>
      <c r="M1677" s="7" t="s">
        <v>30</v>
      </c>
    </row>
    <row r="1678" customFormat="false" ht="15" hidden="false" customHeight="true" outlineLevel="0" collapsed="false">
      <c r="A1678" s="7" t="n">
        <v>726</v>
      </c>
      <c r="B1678" s="7" t="n">
        <v>21</v>
      </c>
      <c r="C1678" s="7" t="s">
        <v>33</v>
      </c>
      <c r="D1678" s="7" t="s">
        <v>40</v>
      </c>
      <c r="E1678" s="7" t="n">
        <v>28</v>
      </c>
      <c r="F1678" s="7" t="n">
        <v>13</v>
      </c>
      <c r="G1678" s="7" t="s">
        <v>36</v>
      </c>
      <c r="H1678" s="7" t="s">
        <v>27</v>
      </c>
      <c r="I1678" s="7" t="n">
        <v>18.8</v>
      </c>
      <c r="J1678" s="7" t="s">
        <v>39</v>
      </c>
      <c r="K1678" s="7" t="n">
        <v>171.2</v>
      </c>
      <c r="L1678" s="7" t="s">
        <v>29</v>
      </c>
      <c r="M1678" s="7" t="s">
        <v>30</v>
      </c>
    </row>
    <row r="1679" customFormat="false" ht="15" hidden="false" customHeight="true" outlineLevel="0" collapsed="false">
      <c r="A1679" s="7" t="n">
        <v>730</v>
      </c>
      <c r="B1679" s="7" t="n">
        <v>64</v>
      </c>
      <c r="C1679" s="7" t="s">
        <v>33</v>
      </c>
      <c r="D1679" s="7" t="s">
        <v>40</v>
      </c>
      <c r="E1679" s="7" t="n">
        <v>26</v>
      </c>
      <c r="F1679" s="7" t="n">
        <v>9</v>
      </c>
      <c r="G1679" s="7" t="s">
        <v>36</v>
      </c>
      <c r="H1679" s="7" t="s">
        <v>27</v>
      </c>
      <c r="I1679" s="7" t="n">
        <v>28.1</v>
      </c>
      <c r="J1679" s="7" t="s">
        <v>39</v>
      </c>
      <c r="K1679" s="7" t="n">
        <v>142.7</v>
      </c>
      <c r="L1679" s="7" t="s">
        <v>37</v>
      </c>
      <c r="M1679" s="7" t="s">
        <v>30</v>
      </c>
    </row>
    <row r="1680" customFormat="false" ht="15" hidden="false" customHeight="true" outlineLevel="0" collapsed="false">
      <c r="A1680" s="7" t="n">
        <v>751</v>
      </c>
      <c r="B1680" s="7" t="n">
        <v>46</v>
      </c>
      <c r="C1680" s="7" t="s">
        <v>33</v>
      </c>
      <c r="D1680" s="7" t="s">
        <v>40</v>
      </c>
      <c r="E1680" s="7" t="n">
        <v>37</v>
      </c>
      <c r="F1680" s="7" t="n">
        <v>5</v>
      </c>
      <c r="G1680" s="7" t="s">
        <v>34</v>
      </c>
      <c r="H1680" s="7" t="s">
        <v>27</v>
      </c>
      <c r="I1680" s="7" t="n">
        <v>34.5</v>
      </c>
      <c r="J1680" s="7" t="s">
        <v>39</v>
      </c>
      <c r="K1680" s="7" t="n">
        <v>145.2</v>
      </c>
      <c r="L1680" s="7" t="s">
        <v>29</v>
      </c>
      <c r="M1680" s="7" t="s">
        <v>30</v>
      </c>
    </row>
    <row r="1681" customFormat="false" ht="15" hidden="false" customHeight="true" outlineLevel="0" collapsed="false">
      <c r="A1681" s="7" t="n">
        <v>767</v>
      </c>
      <c r="B1681" s="7" t="n">
        <v>62</v>
      </c>
      <c r="C1681" s="7" t="s">
        <v>33</v>
      </c>
      <c r="D1681" s="7" t="s">
        <v>40</v>
      </c>
      <c r="E1681" s="7" t="n">
        <v>31</v>
      </c>
      <c r="F1681" s="7" t="n">
        <v>8</v>
      </c>
      <c r="G1681" s="7" t="s">
        <v>36</v>
      </c>
      <c r="H1681" s="7" t="s">
        <v>32</v>
      </c>
      <c r="I1681" s="7" t="n">
        <v>37.9</v>
      </c>
      <c r="J1681" s="7" t="s">
        <v>39</v>
      </c>
      <c r="K1681" s="7" t="n">
        <v>286</v>
      </c>
      <c r="L1681" s="7" t="s">
        <v>37</v>
      </c>
      <c r="M1681" s="7" t="s">
        <v>30</v>
      </c>
    </row>
    <row r="1682" customFormat="false" ht="15" hidden="false" customHeight="true" outlineLevel="0" collapsed="false">
      <c r="A1682" s="7" t="n">
        <v>770</v>
      </c>
      <c r="B1682" s="7" t="n">
        <v>47</v>
      </c>
      <c r="C1682" s="7" t="s">
        <v>33</v>
      </c>
      <c r="D1682" s="7" t="s">
        <v>40</v>
      </c>
      <c r="E1682" s="7" t="n">
        <v>9</v>
      </c>
      <c r="F1682" s="7" t="n">
        <v>9</v>
      </c>
      <c r="G1682" s="7" t="s">
        <v>34</v>
      </c>
      <c r="H1682" s="7" t="s">
        <v>27</v>
      </c>
      <c r="I1682" s="7" t="n">
        <v>35.2</v>
      </c>
      <c r="J1682" s="7" t="s">
        <v>39</v>
      </c>
      <c r="K1682" s="7" t="n">
        <v>194.7</v>
      </c>
      <c r="L1682" s="7" t="s">
        <v>29</v>
      </c>
      <c r="M1682" s="7" t="s">
        <v>30</v>
      </c>
    </row>
    <row r="1683" customFormat="false" ht="15" hidden="false" customHeight="true" outlineLevel="0" collapsed="false">
      <c r="A1683" s="7" t="n">
        <v>836</v>
      </c>
      <c r="B1683" s="7" t="n">
        <v>75</v>
      </c>
      <c r="C1683" s="7" t="s">
        <v>24</v>
      </c>
      <c r="D1683" s="7" t="s">
        <v>40</v>
      </c>
      <c r="E1683" s="7" t="n">
        <v>30</v>
      </c>
      <c r="F1683" s="7" t="n">
        <v>17</v>
      </c>
      <c r="G1683" s="7" t="s">
        <v>35</v>
      </c>
      <c r="H1683" s="7" t="s">
        <v>27</v>
      </c>
      <c r="I1683" s="7" t="n">
        <v>24.5</v>
      </c>
      <c r="J1683" s="7" t="s">
        <v>39</v>
      </c>
      <c r="K1683" s="7" t="n">
        <v>254.4</v>
      </c>
      <c r="L1683" s="7" t="s">
        <v>29</v>
      </c>
      <c r="M1683" s="7" t="s">
        <v>30</v>
      </c>
    </row>
    <row r="1684" customFormat="false" ht="15" hidden="false" customHeight="true" outlineLevel="0" collapsed="false">
      <c r="A1684" s="7" t="n">
        <v>858</v>
      </c>
      <c r="B1684" s="7" t="n">
        <v>86</v>
      </c>
      <c r="C1684" s="7" t="s">
        <v>24</v>
      </c>
      <c r="D1684" s="7" t="s">
        <v>40</v>
      </c>
      <c r="E1684" s="7" t="n">
        <v>28</v>
      </c>
      <c r="F1684" s="7" t="n">
        <v>24</v>
      </c>
      <c r="G1684" s="7" t="s">
        <v>35</v>
      </c>
      <c r="H1684" s="7" t="s">
        <v>27</v>
      </c>
      <c r="I1684" s="7" t="n">
        <v>25.4</v>
      </c>
      <c r="J1684" s="7" t="s">
        <v>39</v>
      </c>
      <c r="K1684" s="7" t="n">
        <v>264.5</v>
      </c>
      <c r="L1684" s="7" t="s">
        <v>29</v>
      </c>
      <c r="M1684" s="7" t="s">
        <v>30</v>
      </c>
    </row>
    <row r="1685" customFormat="false" ht="15" hidden="false" customHeight="true" outlineLevel="0" collapsed="false">
      <c r="A1685" s="7" t="n">
        <v>860</v>
      </c>
      <c r="B1685" s="7" t="n">
        <v>59</v>
      </c>
      <c r="C1685" s="7" t="s">
        <v>24</v>
      </c>
      <c r="D1685" s="7" t="s">
        <v>40</v>
      </c>
      <c r="E1685" s="7" t="n">
        <v>11</v>
      </c>
      <c r="F1685" s="7" t="n">
        <v>25</v>
      </c>
      <c r="G1685" s="7" t="s">
        <v>26</v>
      </c>
      <c r="H1685" s="7" t="s">
        <v>27</v>
      </c>
      <c r="I1685" s="7" t="n">
        <v>22.1</v>
      </c>
      <c r="J1685" s="7" t="s">
        <v>39</v>
      </c>
      <c r="K1685" s="7" t="n">
        <v>199.9</v>
      </c>
      <c r="L1685" s="7" t="s">
        <v>37</v>
      </c>
      <c r="M1685" s="7" t="s">
        <v>30</v>
      </c>
    </row>
    <row r="1686" customFormat="false" ht="15" hidden="false" customHeight="true" outlineLevel="0" collapsed="false">
      <c r="A1686" s="7" t="n">
        <v>885</v>
      </c>
      <c r="B1686" s="7" t="n">
        <v>84</v>
      </c>
      <c r="C1686" s="7" t="s">
        <v>33</v>
      </c>
      <c r="D1686" s="7" t="s">
        <v>40</v>
      </c>
      <c r="E1686" s="7" t="n">
        <v>11</v>
      </c>
      <c r="F1686" s="7" t="n">
        <v>20</v>
      </c>
      <c r="G1686" s="7" t="s">
        <v>26</v>
      </c>
      <c r="H1686" s="7" t="s">
        <v>27</v>
      </c>
      <c r="I1686" s="7" t="n">
        <v>24.5</v>
      </c>
      <c r="J1686" s="7" t="s">
        <v>39</v>
      </c>
      <c r="K1686" s="7" t="n">
        <v>246.5</v>
      </c>
      <c r="L1686" s="7" t="s">
        <v>37</v>
      </c>
      <c r="M1686" s="7" t="s">
        <v>30</v>
      </c>
    </row>
    <row r="1687" customFormat="false" ht="15" hidden="false" customHeight="true" outlineLevel="0" collapsed="false">
      <c r="A1687" s="7" t="n">
        <v>891</v>
      </c>
      <c r="B1687" s="7" t="n">
        <v>64</v>
      </c>
      <c r="C1687" s="7" t="s">
        <v>33</v>
      </c>
      <c r="D1687" s="7" t="s">
        <v>40</v>
      </c>
      <c r="E1687" s="7" t="n">
        <v>15</v>
      </c>
      <c r="F1687" s="7" t="n">
        <v>19</v>
      </c>
      <c r="G1687" s="7" t="s">
        <v>26</v>
      </c>
      <c r="H1687" s="7" t="s">
        <v>32</v>
      </c>
      <c r="I1687" s="7" t="n">
        <v>40.3</v>
      </c>
      <c r="J1687" s="7" t="s">
        <v>39</v>
      </c>
      <c r="K1687" s="7" t="n">
        <v>284.5</v>
      </c>
      <c r="L1687" s="7" t="s">
        <v>29</v>
      </c>
      <c r="M1687" s="7" t="s">
        <v>30</v>
      </c>
    </row>
    <row r="1688" customFormat="false" ht="15" hidden="false" customHeight="true" outlineLevel="0" collapsed="false">
      <c r="A1688" s="7" t="n">
        <v>902</v>
      </c>
      <c r="B1688" s="7" t="n">
        <v>28</v>
      </c>
      <c r="C1688" s="7" t="s">
        <v>33</v>
      </c>
      <c r="D1688" s="7" t="s">
        <v>40</v>
      </c>
      <c r="E1688" s="7" t="n">
        <v>20</v>
      </c>
      <c r="F1688" s="7" t="n">
        <v>14</v>
      </c>
      <c r="G1688" s="7" t="s">
        <v>31</v>
      </c>
      <c r="H1688" s="7" t="s">
        <v>32</v>
      </c>
      <c r="I1688" s="7" t="n">
        <v>26.4</v>
      </c>
      <c r="J1688" s="7" t="s">
        <v>39</v>
      </c>
      <c r="K1688" s="7" t="n">
        <v>267.2</v>
      </c>
      <c r="L1688" s="7" t="s">
        <v>29</v>
      </c>
      <c r="M1688" s="7" t="s">
        <v>30</v>
      </c>
    </row>
    <row r="1689" customFormat="false" ht="15" hidden="false" customHeight="true" outlineLevel="0" collapsed="false">
      <c r="A1689" s="7" t="n">
        <v>905</v>
      </c>
      <c r="B1689" s="7" t="n">
        <v>74</v>
      </c>
      <c r="C1689" s="7" t="s">
        <v>33</v>
      </c>
      <c r="D1689" s="7" t="s">
        <v>40</v>
      </c>
      <c r="E1689" s="7" t="n">
        <v>18</v>
      </c>
      <c r="F1689" s="7" t="n">
        <v>21</v>
      </c>
      <c r="G1689" s="7" t="s">
        <v>34</v>
      </c>
      <c r="H1689" s="7" t="s">
        <v>32</v>
      </c>
      <c r="I1689" s="7" t="n">
        <v>19.3</v>
      </c>
      <c r="J1689" s="7" t="s">
        <v>39</v>
      </c>
      <c r="K1689" s="7" t="n">
        <v>231</v>
      </c>
      <c r="L1689" s="7" t="s">
        <v>29</v>
      </c>
      <c r="M1689" s="7" t="s">
        <v>30</v>
      </c>
    </row>
    <row r="1690" customFormat="false" ht="15" hidden="false" customHeight="true" outlineLevel="0" collapsed="false">
      <c r="A1690" s="7" t="n">
        <v>950</v>
      </c>
      <c r="B1690" s="7" t="n">
        <v>33</v>
      </c>
      <c r="C1690" s="7" t="s">
        <v>33</v>
      </c>
      <c r="D1690" s="7" t="s">
        <v>40</v>
      </c>
      <c r="E1690" s="7" t="n">
        <v>26</v>
      </c>
      <c r="F1690" s="7" t="n">
        <v>26</v>
      </c>
      <c r="G1690" s="7" t="s">
        <v>31</v>
      </c>
      <c r="H1690" s="7" t="s">
        <v>27</v>
      </c>
      <c r="I1690" s="7" t="n">
        <v>33.8</v>
      </c>
      <c r="J1690" s="7" t="s">
        <v>39</v>
      </c>
      <c r="K1690" s="7" t="n">
        <v>174.9</v>
      </c>
      <c r="L1690" s="7" t="s">
        <v>29</v>
      </c>
      <c r="M1690" s="7" t="s">
        <v>30</v>
      </c>
    </row>
    <row r="1691" customFormat="false" ht="15" hidden="false" customHeight="true" outlineLevel="0" collapsed="false">
      <c r="A1691" s="7" t="n">
        <v>961</v>
      </c>
      <c r="B1691" s="7" t="n">
        <v>38</v>
      </c>
      <c r="C1691" s="7" t="s">
        <v>24</v>
      </c>
      <c r="D1691" s="7" t="s">
        <v>40</v>
      </c>
      <c r="E1691" s="7" t="n">
        <v>35</v>
      </c>
      <c r="F1691" s="7" t="n">
        <v>16</v>
      </c>
      <c r="G1691" s="7" t="s">
        <v>35</v>
      </c>
      <c r="H1691" s="7" t="s">
        <v>27</v>
      </c>
      <c r="I1691" s="7" t="n">
        <v>32.5</v>
      </c>
      <c r="J1691" s="7" t="s">
        <v>39</v>
      </c>
      <c r="K1691" s="7" t="n">
        <v>209.3</v>
      </c>
      <c r="L1691" s="7" t="s">
        <v>29</v>
      </c>
      <c r="M1691" s="7" t="s">
        <v>30</v>
      </c>
    </row>
    <row r="1692" customFormat="false" ht="15" hidden="false" customHeight="true" outlineLevel="0" collapsed="false">
      <c r="A1692" s="7" t="n">
        <v>1013</v>
      </c>
      <c r="B1692" s="7" t="n">
        <v>80</v>
      </c>
      <c r="C1692" s="7" t="s">
        <v>33</v>
      </c>
      <c r="D1692" s="7" t="s">
        <v>40</v>
      </c>
      <c r="E1692" s="7" t="n">
        <v>37</v>
      </c>
      <c r="F1692" s="7" t="n">
        <v>14</v>
      </c>
      <c r="G1692" s="7" t="s">
        <v>34</v>
      </c>
      <c r="H1692" s="7" t="s">
        <v>27</v>
      </c>
      <c r="I1692" s="7" t="n">
        <v>21.2</v>
      </c>
      <c r="J1692" s="7" t="s">
        <v>39</v>
      </c>
      <c r="K1692" s="7" t="n">
        <v>231.2</v>
      </c>
      <c r="L1692" s="7" t="s">
        <v>29</v>
      </c>
      <c r="M1692" s="7" t="s">
        <v>30</v>
      </c>
    </row>
    <row r="1693" customFormat="false" ht="15" hidden="false" customHeight="true" outlineLevel="0" collapsed="false">
      <c r="A1693" s="7" t="n">
        <v>1033</v>
      </c>
      <c r="B1693" s="7" t="n">
        <v>83</v>
      </c>
      <c r="C1693" s="7" t="s">
        <v>33</v>
      </c>
      <c r="D1693" s="7" t="s">
        <v>40</v>
      </c>
      <c r="E1693" s="7" t="n">
        <v>7</v>
      </c>
      <c r="F1693" s="7" t="n">
        <v>10</v>
      </c>
      <c r="G1693" s="7" t="s">
        <v>34</v>
      </c>
      <c r="H1693" s="7" t="s">
        <v>32</v>
      </c>
      <c r="I1693" s="7" t="n">
        <v>22.9</v>
      </c>
      <c r="J1693" s="7" t="s">
        <v>39</v>
      </c>
      <c r="K1693" s="7" t="n">
        <v>175.7</v>
      </c>
      <c r="L1693" s="7" t="s">
        <v>29</v>
      </c>
      <c r="M1693" s="7" t="s">
        <v>30</v>
      </c>
    </row>
    <row r="1694" customFormat="false" ht="15" hidden="false" customHeight="true" outlineLevel="0" collapsed="false">
      <c r="A1694" s="7" t="n">
        <v>1058</v>
      </c>
      <c r="B1694" s="7" t="n">
        <v>65</v>
      </c>
      <c r="C1694" s="7" t="s">
        <v>24</v>
      </c>
      <c r="D1694" s="7" t="s">
        <v>40</v>
      </c>
      <c r="E1694" s="7" t="n">
        <v>32</v>
      </c>
      <c r="F1694" s="7" t="n">
        <v>18</v>
      </c>
      <c r="G1694" s="7" t="s">
        <v>31</v>
      </c>
      <c r="H1694" s="7" t="s">
        <v>27</v>
      </c>
      <c r="I1694" s="7" t="n">
        <v>26.5</v>
      </c>
      <c r="J1694" s="7" t="s">
        <v>39</v>
      </c>
      <c r="K1694" s="7" t="n">
        <v>121.8</v>
      </c>
      <c r="L1694" s="7" t="s">
        <v>29</v>
      </c>
      <c r="M1694" s="7" t="s">
        <v>30</v>
      </c>
    </row>
    <row r="1695" customFormat="false" ht="15" hidden="false" customHeight="true" outlineLevel="0" collapsed="false">
      <c r="A1695" s="7" t="n">
        <v>1071</v>
      </c>
      <c r="B1695" s="7" t="n">
        <v>66</v>
      </c>
      <c r="C1695" s="7" t="s">
        <v>24</v>
      </c>
      <c r="D1695" s="7" t="s">
        <v>40</v>
      </c>
      <c r="E1695" s="7" t="n">
        <v>38</v>
      </c>
      <c r="F1695" s="7" t="n">
        <v>7</v>
      </c>
      <c r="G1695" s="7" t="s">
        <v>36</v>
      </c>
      <c r="H1695" s="7" t="s">
        <v>27</v>
      </c>
      <c r="I1695" s="7" t="n">
        <v>24.2</v>
      </c>
      <c r="J1695" s="7" t="s">
        <v>39</v>
      </c>
      <c r="K1695" s="7" t="n">
        <v>257.2</v>
      </c>
      <c r="L1695" s="7" t="s">
        <v>29</v>
      </c>
      <c r="M1695" s="7" t="s">
        <v>30</v>
      </c>
    </row>
    <row r="1696" customFormat="false" ht="15" hidden="false" customHeight="true" outlineLevel="0" collapsed="false">
      <c r="A1696" s="7" t="n">
        <v>1121</v>
      </c>
      <c r="B1696" s="7" t="n">
        <v>86</v>
      </c>
      <c r="C1696" s="7" t="s">
        <v>33</v>
      </c>
      <c r="D1696" s="7" t="s">
        <v>40</v>
      </c>
      <c r="E1696" s="7" t="n">
        <v>22</v>
      </c>
      <c r="F1696" s="7" t="n">
        <v>18</v>
      </c>
      <c r="G1696" s="7" t="s">
        <v>35</v>
      </c>
      <c r="H1696" s="7" t="s">
        <v>27</v>
      </c>
      <c r="I1696" s="7" t="n">
        <v>20</v>
      </c>
      <c r="J1696" s="7" t="s">
        <v>39</v>
      </c>
      <c r="K1696" s="7" t="n">
        <v>299.6</v>
      </c>
      <c r="L1696" s="7" t="s">
        <v>37</v>
      </c>
      <c r="M1696" s="7" t="s">
        <v>30</v>
      </c>
    </row>
    <row r="1697" customFormat="false" ht="15" hidden="false" customHeight="true" outlineLevel="0" collapsed="false">
      <c r="A1697" s="7" t="n">
        <v>1132</v>
      </c>
      <c r="B1697" s="7" t="n">
        <v>69</v>
      </c>
      <c r="C1697" s="7" t="s">
        <v>33</v>
      </c>
      <c r="D1697" s="7" t="s">
        <v>40</v>
      </c>
      <c r="E1697" s="7" t="n">
        <v>22</v>
      </c>
      <c r="F1697" s="7" t="n">
        <v>7</v>
      </c>
      <c r="G1697" s="7" t="s">
        <v>26</v>
      </c>
      <c r="H1697" s="7" t="s">
        <v>27</v>
      </c>
      <c r="I1697" s="7" t="n">
        <v>36.3</v>
      </c>
      <c r="J1697" s="7" t="s">
        <v>39</v>
      </c>
      <c r="K1697" s="7" t="n">
        <v>122.4</v>
      </c>
      <c r="L1697" s="7" t="s">
        <v>29</v>
      </c>
      <c r="M1697" s="7" t="s">
        <v>30</v>
      </c>
    </row>
    <row r="1698" customFormat="false" ht="15" hidden="false" customHeight="true" outlineLevel="0" collapsed="false">
      <c r="A1698" s="7" t="n">
        <v>1133</v>
      </c>
      <c r="B1698" s="7" t="n">
        <v>63</v>
      </c>
      <c r="C1698" s="7" t="s">
        <v>24</v>
      </c>
      <c r="D1698" s="7" t="s">
        <v>40</v>
      </c>
      <c r="E1698" s="7" t="n">
        <v>7</v>
      </c>
      <c r="F1698" s="7" t="n">
        <v>21</v>
      </c>
      <c r="G1698" s="7" t="s">
        <v>35</v>
      </c>
      <c r="H1698" s="7" t="s">
        <v>27</v>
      </c>
      <c r="I1698" s="7" t="n">
        <v>34.2</v>
      </c>
      <c r="J1698" s="7" t="s">
        <v>39</v>
      </c>
      <c r="K1698" s="7" t="n">
        <v>181.2</v>
      </c>
      <c r="L1698" s="7" t="s">
        <v>29</v>
      </c>
      <c r="M1698" s="7" t="s">
        <v>30</v>
      </c>
    </row>
    <row r="1699" customFormat="false" ht="15" hidden="false" customHeight="true" outlineLevel="0" collapsed="false">
      <c r="A1699" s="7" t="n">
        <v>1182</v>
      </c>
      <c r="B1699" s="7" t="n">
        <v>54</v>
      </c>
      <c r="C1699" s="7" t="s">
        <v>33</v>
      </c>
      <c r="D1699" s="7" t="s">
        <v>40</v>
      </c>
      <c r="E1699" s="7" t="n">
        <v>25</v>
      </c>
      <c r="F1699" s="7" t="n">
        <v>17</v>
      </c>
      <c r="G1699" s="7" t="s">
        <v>36</v>
      </c>
      <c r="H1699" s="7" t="s">
        <v>27</v>
      </c>
      <c r="I1699" s="7" t="n">
        <v>23.1</v>
      </c>
      <c r="J1699" s="7" t="s">
        <v>39</v>
      </c>
      <c r="K1699" s="7" t="n">
        <v>155.8</v>
      </c>
      <c r="L1699" s="7" t="s">
        <v>29</v>
      </c>
      <c r="M1699" s="7" t="s">
        <v>30</v>
      </c>
    </row>
    <row r="1700" customFormat="false" ht="15" hidden="false" customHeight="true" outlineLevel="0" collapsed="false">
      <c r="A1700" s="7" t="n">
        <v>1196</v>
      </c>
      <c r="B1700" s="7" t="n">
        <v>61</v>
      </c>
      <c r="C1700" s="7" t="s">
        <v>33</v>
      </c>
      <c r="D1700" s="7" t="s">
        <v>40</v>
      </c>
      <c r="E1700" s="7" t="n">
        <v>25</v>
      </c>
      <c r="F1700" s="7" t="n">
        <v>28</v>
      </c>
      <c r="G1700" s="7" t="s">
        <v>31</v>
      </c>
      <c r="H1700" s="7" t="s">
        <v>27</v>
      </c>
      <c r="I1700" s="7" t="n">
        <v>23.4</v>
      </c>
      <c r="J1700" s="7" t="s">
        <v>39</v>
      </c>
      <c r="K1700" s="7" t="n">
        <v>137.1</v>
      </c>
      <c r="L1700" s="7" t="s">
        <v>29</v>
      </c>
      <c r="M1700" s="7" t="s">
        <v>30</v>
      </c>
    </row>
    <row r="1701" customFormat="false" ht="15" hidden="false" customHeight="true" outlineLevel="0" collapsed="false">
      <c r="A1701" s="7" t="n">
        <v>1204</v>
      </c>
      <c r="B1701" s="7" t="n">
        <v>63</v>
      </c>
      <c r="C1701" s="7" t="s">
        <v>24</v>
      </c>
      <c r="D1701" s="7" t="s">
        <v>40</v>
      </c>
      <c r="E1701" s="7" t="n">
        <v>18</v>
      </c>
      <c r="F1701" s="7" t="n">
        <v>7</v>
      </c>
      <c r="G1701" s="7" t="s">
        <v>35</v>
      </c>
      <c r="H1701" s="7" t="s">
        <v>27</v>
      </c>
      <c r="I1701" s="7" t="n">
        <v>41.6</v>
      </c>
      <c r="J1701" s="7" t="s">
        <v>39</v>
      </c>
      <c r="K1701" s="7" t="n">
        <v>148.8</v>
      </c>
      <c r="L1701" s="7" t="s">
        <v>37</v>
      </c>
      <c r="M1701" s="7" t="s">
        <v>30</v>
      </c>
    </row>
    <row r="1702" customFormat="false" ht="15" hidden="false" customHeight="true" outlineLevel="0" collapsed="false">
      <c r="A1702" s="7" t="n">
        <v>1235</v>
      </c>
      <c r="B1702" s="7" t="n">
        <v>74</v>
      </c>
      <c r="C1702" s="7" t="s">
        <v>24</v>
      </c>
      <c r="D1702" s="7" t="s">
        <v>40</v>
      </c>
      <c r="E1702" s="7" t="n">
        <v>23</v>
      </c>
      <c r="F1702" s="7" t="n">
        <v>26</v>
      </c>
      <c r="G1702" s="7" t="s">
        <v>36</v>
      </c>
      <c r="H1702" s="7" t="s">
        <v>27</v>
      </c>
      <c r="I1702" s="7" t="n">
        <v>22.3</v>
      </c>
      <c r="J1702" s="7" t="s">
        <v>39</v>
      </c>
      <c r="K1702" s="7" t="n">
        <v>259.3</v>
      </c>
      <c r="L1702" s="7" t="s">
        <v>37</v>
      </c>
      <c r="M1702" s="7" t="s">
        <v>30</v>
      </c>
    </row>
    <row r="1703" customFormat="false" ht="15" hidden="false" customHeight="true" outlineLevel="0" collapsed="false">
      <c r="A1703" s="7" t="n">
        <v>1276</v>
      </c>
      <c r="B1703" s="7" t="n">
        <v>86</v>
      </c>
      <c r="C1703" s="7" t="s">
        <v>33</v>
      </c>
      <c r="D1703" s="7" t="s">
        <v>40</v>
      </c>
      <c r="E1703" s="7" t="n">
        <v>39</v>
      </c>
      <c r="F1703" s="7" t="n">
        <v>27</v>
      </c>
      <c r="G1703" s="7" t="s">
        <v>31</v>
      </c>
      <c r="H1703" s="7" t="s">
        <v>32</v>
      </c>
      <c r="I1703" s="7" t="n">
        <v>26.3</v>
      </c>
      <c r="J1703" s="7" t="s">
        <v>39</v>
      </c>
      <c r="K1703" s="7" t="n">
        <v>158.4</v>
      </c>
      <c r="L1703" s="7" t="s">
        <v>29</v>
      </c>
      <c r="M1703" s="7" t="s">
        <v>30</v>
      </c>
    </row>
    <row r="1704" customFormat="false" ht="15" hidden="false" customHeight="true" outlineLevel="0" collapsed="false">
      <c r="A1704" s="7" t="n">
        <v>1282</v>
      </c>
      <c r="B1704" s="7" t="n">
        <v>78</v>
      </c>
      <c r="C1704" s="7" t="s">
        <v>33</v>
      </c>
      <c r="D1704" s="7" t="s">
        <v>40</v>
      </c>
      <c r="E1704" s="7" t="n">
        <v>27</v>
      </c>
      <c r="F1704" s="7" t="n">
        <v>8</v>
      </c>
      <c r="G1704" s="7" t="s">
        <v>35</v>
      </c>
      <c r="H1704" s="7" t="s">
        <v>27</v>
      </c>
      <c r="I1704" s="7" t="n">
        <v>36.8</v>
      </c>
      <c r="J1704" s="7" t="s">
        <v>39</v>
      </c>
      <c r="K1704" s="7" t="n">
        <v>196.9</v>
      </c>
      <c r="L1704" s="7" t="s">
        <v>29</v>
      </c>
      <c r="M1704" s="7" t="s">
        <v>30</v>
      </c>
    </row>
    <row r="1705" customFormat="false" ht="15" hidden="false" customHeight="true" outlineLevel="0" collapsed="false">
      <c r="A1705" s="7" t="n">
        <v>1299</v>
      </c>
      <c r="B1705" s="7" t="n">
        <v>52</v>
      </c>
      <c r="C1705" s="7" t="s">
        <v>24</v>
      </c>
      <c r="D1705" s="7" t="s">
        <v>40</v>
      </c>
      <c r="E1705" s="7" t="n">
        <v>19</v>
      </c>
      <c r="F1705" s="7" t="n">
        <v>24</v>
      </c>
      <c r="G1705" s="7" t="s">
        <v>35</v>
      </c>
      <c r="H1705" s="7" t="s">
        <v>32</v>
      </c>
      <c r="I1705" s="7" t="n">
        <v>19.8</v>
      </c>
      <c r="J1705" s="7" t="s">
        <v>39</v>
      </c>
      <c r="K1705" s="7" t="n">
        <v>288.3</v>
      </c>
      <c r="L1705" s="7" t="s">
        <v>37</v>
      </c>
      <c r="M1705" s="7" t="s">
        <v>30</v>
      </c>
    </row>
    <row r="1706" customFormat="false" ht="15" hidden="false" customHeight="true" outlineLevel="0" collapsed="false">
      <c r="A1706" s="7" t="n">
        <v>1314</v>
      </c>
      <c r="B1706" s="7" t="n">
        <v>51</v>
      </c>
      <c r="C1706" s="7" t="s">
        <v>24</v>
      </c>
      <c r="D1706" s="7" t="s">
        <v>40</v>
      </c>
      <c r="E1706" s="7" t="n">
        <v>30</v>
      </c>
      <c r="F1706" s="7" t="n">
        <v>12</v>
      </c>
      <c r="G1706" s="7" t="s">
        <v>26</v>
      </c>
      <c r="H1706" s="7" t="s">
        <v>32</v>
      </c>
      <c r="I1706" s="7" t="n">
        <v>41.9</v>
      </c>
      <c r="J1706" s="7" t="s">
        <v>39</v>
      </c>
      <c r="K1706" s="7" t="n">
        <v>120.8</v>
      </c>
      <c r="L1706" s="7" t="s">
        <v>29</v>
      </c>
      <c r="M1706" s="7" t="s">
        <v>30</v>
      </c>
    </row>
    <row r="1707" customFormat="false" ht="15" hidden="false" customHeight="true" outlineLevel="0" collapsed="false">
      <c r="A1707" s="7" t="n">
        <v>1343</v>
      </c>
      <c r="B1707" s="7" t="n">
        <v>86</v>
      </c>
      <c r="C1707" s="7" t="s">
        <v>24</v>
      </c>
      <c r="D1707" s="7" t="s">
        <v>40</v>
      </c>
      <c r="E1707" s="7" t="n">
        <v>17</v>
      </c>
      <c r="F1707" s="7" t="n">
        <v>16</v>
      </c>
      <c r="G1707" s="7" t="s">
        <v>35</v>
      </c>
      <c r="H1707" s="7" t="s">
        <v>32</v>
      </c>
      <c r="I1707" s="7" t="n">
        <v>38.7</v>
      </c>
      <c r="J1707" s="7" t="s">
        <v>39</v>
      </c>
      <c r="K1707" s="7" t="n">
        <v>182.4</v>
      </c>
      <c r="L1707" s="7" t="s">
        <v>29</v>
      </c>
      <c r="M1707" s="7" t="s">
        <v>30</v>
      </c>
    </row>
    <row r="1708" customFormat="false" ht="15" hidden="false" customHeight="true" outlineLevel="0" collapsed="false">
      <c r="A1708" s="7" t="n">
        <v>1393</v>
      </c>
      <c r="B1708" s="7" t="n">
        <v>86</v>
      </c>
      <c r="C1708" s="7" t="s">
        <v>24</v>
      </c>
      <c r="D1708" s="7" t="s">
        <v>40</v>
      </c>
      <c r="E1708" s="7" t="n">
        <v>39</v>
      </c>
      <c r="F1708" s="7" t="n">
        <v>13</v>
      </c>
      <c r="G1708" s="7" t="s">
        <v>31</v>
      </c>
      <c r="H1708" s="7" t="s">
        <v>27</v>
      </c>
      <c r="I1708" s="7" t="n">
        <v>26.5</v>
      </c>
      <c r="J1708" s="7" t="s">
        <v>39</v>
      </c>
      <c r="K1708" s="7" t="n">
        <v>158.3</v>
      </c>
      <c r="L1708" s="7" t="s">
        <v>37</v>
      </c>
      <c r="M1708" s="7" t="s">
        <v>30</v>
      </c>
    </row>
    <row r="1709" customFormat="false" ht="15" hidden="false" customHeight="true" outlineLevel="0" collapsed="false">
      <c r="A1709" s="7" t="n">
        <v>1425</v>
      </c>
      <c r="B1709" s="7" t="n">
        <v>53</v>
      </c>
      <c r="C1709" s="7" t="s">
        <v>24</v>
      </c>
      <c r="D1709" s="7" t="s">
        <v>40</v>
      </c>
      <c r="E1709" s="7" t="n">
        <v>23</v>
      </c>
      <c r="F1709" s="7" t="n">
        <v>14</v>
      </c>
      <c r="G1709" s="7" t="s">
        <v>35</v>
      </c>
      <c r="H1709" s="7" t="s">
        <v>27</v>
      </c>
      <c r="I1709" s="7" t="n">
        <v>21.4</v>
      </c>
      <c r="J1709" s="7" t="s">
        <v>39</v>
      </c>
      <c r="K1709" s="7" t="n">
        <v>279.9</v>
      </c>
      <c r="L1709" s="7" t="s">
        <v>29</v>
      </c>
      <c r="M1709" s="7" t="s">
        <v>30</v>
      </c>
    </row>
    <row r="1710" customFormat="false" ht="15" hidden="false" customHeight="true" outlineLevel="0" collapsed="false">
      <c r="A1710" s="7" t="n">
        <v>1476</v>
      </c>
      <c r="B1710" s="7" t="n">
        <v>81</v>
      </c>
      <c r="C1710" s="7" t="s">
        <v>24</v>
      </c>
      <c r="D1710" s="7" t="s">
        <v>40</v>
      </c>
      <c r="E1710" s="7" t="n">
        <v>23</v>
      </c>
      <c r="F1710" s="7" t="n">
        <v>19</v>
      </c>
      <c r="G1710" s="7" t="s">
        <v>35</v>
      </c>
      <c r="H1710" s="7" t="s">
        <v>27</v>
      </c>
      <c r="I1710" s="7" t="n">
        <v>29.3</v>
      </c>
      <c r="J1710" s="7" t="s">
        <v>39</v>
      </c>
      <c r="K1710" s="7" t="n">
        <v>174.3</v>
      </c>
      <c r="L1710" s="7" t="s">
        <v>37</v>
      </c>
      <c r="M1710" s="7" t="s">
        <v>30</v>
      </c>
    </row>
    <row r="1711" customFormat="false" ht="15" hidden="false" customHeight="true" outlineLevel="0" collapsed="false">
      <c r="A1711" s="7" t="n">
        <v>1552</v>
      </c>
      <c r="B1711" s="7" t="n">
        <v>66</v>
      </c>
      <c r="C1711" s="7" t="s">
        <v>33</v>
      </c>
      <c r="D1711" s="7" t="s">
        <v>40</v>
      </c>
      <c r="E1711" s="7" t="n">
        <v>22</v>
      </c>
      <c r="F1711" s="7" t="n">
        <v>16</v>
      </c>
      <c r="G1711" s="7" t="s">
        <v>35</v>
      </c>
      <c r="H1711" s="7" t="s">
        <v>27</v>
      </c>
      <c r="I1711" s="7" t="n">
        <v>24.3</v>
      </c>
      <c r="J1711" s="7" t="s">
        <v>39</v>
      </c>
      <c r="K1711" s="7" t="n">
        <v>280.9</v>
      </c>
      <c r="L1711" s="7" t="s">
        <v>29</v>
      </c>
      <c r="M1711" s="7" t="s">
        <v>30</v>
      </c>
    </row>
    <row r="1712" customFormat="false" ht="15" hidden="false" customHeight="true" outlineLevel="0" collapsed="false">
      <c r="A1712" s="7" t="n">
        <v>1557</v>
      </c>
      <c r="B1712" s="7" t="n">
        <v>77</v>
      </c>
      <c r="C1712" s="7" t="s">
        <v>24</v>
      </c>
      <c r="D1712" s="7" t="s">
        <v>40</v>
      </c>
      <c r="E1712" s="7" t="n">
        <v>14</v>
      </c>
      <c r="F1712" s="7" t="n">
        <v>5</v>
      </c>
      <c r="G1712" s="7" t="s">
        <v>35</v>
      </c>
      <c r="H1712" s="7" t="s">
        <v>32</v>
      </c>
      <c r="I1712" s="7" t="n">
        <v>39.4</v>
      </c>
      <c r="J1712" s="7" t="s">
        <v>39</v>
      </c>
      <c r="K1712" s="7" t="n">
        <v>283.4</v>
      </c>
      <c r="L1712" s="7" t="s">
        <v>29</v>
      </c>
      <c r="M1712" s="7" t="s">
        <v>30</v>
      </c>
    </row>
    <row r="1713" customFormat="false" ht="15" hidden="false" customHeight="true" outlineLevel="0" collapsed="false">
      <c r="A1713" s="7" t="n">
        <v>1570</v>
      </c>
      <c r="B1713" s="7" t="n">
        <v>73</v>
      </c>
      <c r="C1713" s="7" t="s">
        <v>24</v>
      </c>
      <c r="D1713" s="7" t="s">
        <v>40</v>
      </c>
      <c r="E1713" s="7" t="n">
        <v>17</v>
      </c>
      <c r="F1713" s="7" t="n">
        <v>7</v>
      </c>
      <c r="G1713" s="7" t="s">
        <v>34</v>
      </c>
      <c r="H1713" s="7" t="s">
        <v>27</v>
      </c>
      <c r="I1713" s="7" t="n">
        <v>30.7</v>
      </c>
      <c r="J1713" s="7" t="s">
        <v>39</v>
      </c>
      <c r="K1713" s="7" t="n">
        <v>168.5</v>
      </c>
      <c r="L1713" s="7" t="s">
        <v>29</v>
      </c>
      <c r="M1713" s="7" t="s">
        <v>30</v>
      </c>
    </row>
    <row r="1714" customFormat="false" ht="15" hidden="false" customHeight="true" outlineLevel="0" collapsed="false">
      <c r="A1714" s="7" t="n">
        <v>1579</v>
      </c>
      <c r="B1714" s="7" t="n">
        <v>20</v>
      </c>
      <c r="C1714" s="7" t="s">
        <v>24</v>
      </c>
      <c r="D1714" s="7" t="s">
        <v>40</v>
      </c>
      <c r="E1714" s="7" t="n">
        <v>34</v>
      </c>
      <c r="F1714" s="7" t="n">
        <v>28</v>
      </c>
      <c r="G1714" s="7" t="s">
        <v>31</v>
      </c>
      <c r="H1714" s="7" t="s">
        <v>27</v>
      </c>
      <c r="I1714" s="7" t="n">
        <v>17.8</v>
      </c>
      <c r="J1714" s="7" t="s">
        <v>39</v>
      </c>
      <c r="K1714" s="7" t="n">
        <v>137.8</v>
      </c>
      <c r="L1714" s="7" t="s">
        <v>29</v>
      </c>
      <c r="M1714" s="7" t="s">
        <v>30</v>
      </c>
    </row>
    <row r="1715" customFormat="false" ht="15" hidden="false" customHeight="true" outlineLevel="0" collapsed="false">
      <c r="A1715" s="7" t="n">
        <v>1646</v>
      </c>
      <c r="B1715" s="7" t="n">
        <v>41</v>
      </c>
      <c r="C1715" s="7" t="s">
        <v>33</v>
      </c>
      <c r="D1715" s="7" t="s">
        <v>40</v>
      </c>
      <c r="E1715" s="7" t="n">
        <v>13</v>
      </c>
      <c r="F1715" s="7" t="n">
        <v>17</v>
      </c>
      <c r="G1715" s="7" t="s">
        <v>35</v>
      </c>
      <c r="H1715" s="7" t="s">
        <v>32</v>
      </c>
      <c r="I1715" s="7" t="n">
        <v>35.1</v>
      </c>
      <c r="J1715" s="7" t="s">
        <v>39</v>
      </c>
      <c r="K1715" s="7" t="n">
        <v>159.6</v>
      </c>
      <c r="L1715" s="7" t="s">
        <v>29</v>
      </c>
      <c r="M1715" s="7" t="s">
        <v>30</v>
      </c>
    </row>
    <row r="1716" customFormat="false" ht="15" hidden="false" customHeight="true" outlineLevel="0" collapsed="false">
      <c r="A1716" s="7" t="n">
        <v>1659</v>
      </c>
      <c r="B1716" s="7" t="n">
        <v>39</v>
      </c>
      <c r="C1716" s="7" t="s">
        <v>33</v>
      </c>
      <c r="D1716" s="7" t="s">
        <v>40</v>
      </c>
      <c r="E1716" s="7" t="n">
        <v>28</v>
      </c>
      <c r="F1716" s="7" t="n">
        <v>15</v>
      </c>
      <c r="G1716" s="7" t="s">
        <v>36</v>
      </c>
      <c r="H1716" s="7" t="s">
        <v>32</v>
      </c>
      <c r="I1716" s="7" t="n">
        <v>35.3</v>
      </c>
      <c r="J1716" s="7" t="s">
        <v>39</v>
      </c>
      <c r="K1716" s="7" t="n">
        <v>149.5</v>
      </c>
      <c r="L1716" s="7" t="s">
        <v>37</v>
      </c>
      <c r="M1716" s="7" t="s">
        <v>30</v>
      </c>
    </row>
    <row r="1717" customFormat="false" ht="15" hidden="false" customHeight="true" outlineLevel="0" collapsed="false">
      <c r="A1717" s="7" t="n">
        <v>1701</v>
      </c>
      <c r="B1717" s="7" t="n">
        <v>52</v>
      </c>
      <c r="C1717" s="7" t="s">
        <v>24</v>
      </c>
      <c r="D1717" s="7" t="s">
        <v>40</v>
      </c>
      <c r="E1717" s="7" t="n">
        <v>11</v>
      </c>
      <c r="F1717" s="7" t="n">
        <v>5</v>
      </c>
      <c r="G1717" s="7" t="s">
        <v>36</v>
      </c>
      <c r="H1717" s="7" t="s">
        <v>27</v>
      </c>
      <c r="I1717" s="7" t="n">
        <v>19.2</v>
      </c>
      <c r="J1717" s="7" t="s">
        <v>39</v>
      </c>
      <c r="K1717" s="7" t="n">
        <v>237.2</v>
      </c>
      <c r="L1717" s="7" t="s">
        <v>29</v>
      </c>
      <c r="M1717" s="7" t="s">
        <v>30</v>
      </c>
    </row>
    <row r="1718" customFormat="false" ht="15" hidden="false" customHeight="true" outlineLevel="0" collapsed="false">
      <c r="A1718" s="7" t="n">
        <v>1751</v>
      </c>
      <c r="B1718" s="7" t="n">
        <v>50</v>
      </c>
      <c r="C1718" s="7" t="s">
        <v>33</v>
      </c>
      <c r="D1718" s="7" t="s">
        <v>40</v>
      </c>
      <c r="E1718" s="7" t="n">
        <v>38</v>
      </c>
      <c r="F1718" s="7" t="n">
        <v>22</v>
      </c>
      <c r="G1718" s="7" t="s">
        <v>35</v>
      </c>
      <c r="H1718" s="7" t="s">
        <v>27</v>
      </c>
      <c r="I1718" s="7" t="n">
        <v>27.7</v>
      </c>
      <c r="J1718" s="7" t="s">
        <v>39</v>
      </c>
      <c r="K1718" s="7" t="n">
        <v>136</v>
      </c>
      <c r="L1718" s="7" t="s">
        <v>29</v>
      </c>
      <c r="M1718" s="7" t="s">
        <v>30</v>
      </c>
    </row>
    <row r="1719" customFormat="false" ht="15" hidden="false" customHeight="true" outlineLevel="0" collapsed="false">
      <c r="A1719" s="7" t="n">
        <v>1811</v>
      </c>
      <c r="B1719" s="7" t="n">
        <v>31</v>
      </c>
      <c r="C1719" s="7" t="s">
        <v>33</v>
      </c>
      <c r="D1719" s="7" t="s">
        <v>40</v>
      </c>
      <c r="E1719" s="7" t="n">
        <v>24</v>
      </c>
      <c r="F1719" s="7" t="n">
        <v>7</v>
      </c>
      <c r="G1719" s="7" t="s">
        <v>35</v>
      </c>
      <c r="H1719" s="7" t="s">
        <v>27</v>
      </c>
      <c r="I1719" s="7" t="n">
        <v>23.6</v>
      </c>
      <c r="J1719" s="7" t="s">
        <v>39</v>
      </c>
      <c r="K1719" s="7" t="n">
        <v>290.3</v>
      </c>
      <c r="L1719" s="7" t="s">
        <v>29</v>
      </c>
      <c r="M1719" s="7" t="s">
        <v>30</v>
      </c>
    </row>
    <row r="1720" customFormat="false" ht="15" hidden="false" customHeight="true" outlineLevel="0" collapsed="false">
      <c r="A1720" s="7" t="n">
        <v>1836</v>
      </c>
      <c r="B1720" s="7" t="n">
        <v>61</v>
      </c>
      <c r="C1720" s="7" t="s">
        <v>33</v>
      </c>
      <c r="D1720" s="7" t="s">
        <v>40</v>
      </c>
      <c r="E1720" s="7" t="n">
        <v>30</v>
      </c>
      <c r="F1720" s="7" t="n">
        <v>10</v>
      </c>
      <c r="G1720" s="7" t="s">
        <v>26</v>
      </c>
      <c r="H1720" s="7" t="s">
        <v>27</v>
      </c>
      <c r="I1720" s="7" t="n">
        <v>35.4</v>
      </c>
      <c r="J1720" s="7" t="s">
        <v>39</v>
      </c>
      <c r="K1720" s="7" t="n">
        <v>161.5</v>
      </c>
      <c r="L1720" s="7" t="s">
        <v>37</v>
      </c>
      <c r="M1720" s="7" t="s">
        <v>30</v>
      </c>
    </row>
    <row r="1721" customFormat="false" ht="15" hidden="false" customHeight="true" outlineLevel="0" collapsed="false">
      <c r="A1721" s="7" t="n">
        <v>1874</v>
      </c>
      <c r="B1721" s="7" t="n">
        <v>70</v>
      </c>
      <c r="C1721" s="7" t="s">
        <v>33</v>
      </c>
      <c r="D1721" s="7" t="s">
        <v>40</v>
      </c>
      <c r="E1721" s="7" t="n">
        <v>23</v>
      </c>
      <c r="F1721" s="7" t="n">
        <v>9</v>
      </c>
      <c r="G1721" s="7" t="s">
        <v>26</v>
      </c>
      <c r="H1721" s="7" t="s">
        <v>32</v>
      </c>
      <c r="I1721" s="7" t="n">
        <v>37</v>
      </c>
      <c r="J1721" s="7" t="s">
        <v>39</v>
      </c>
      <c r="K1721" s="7" t="n">
        <v>265.2</v>
      </c>
      <c r="L1721" s="7" t="s">
        <v>37</v>
      </c>
      <c r="M1721" s="7" t="s">
        <v>30</v>
      </c>
    </row>
    <row r="1722" customFormat="false" ht="15" hidden="false" customHeight="true" outlineLevel="0" collapsed="false">
      <c r="A1722" s="7" t="n">
        <v>1926</v>
      </c>
      <c r="B1722" s="7" t="n">
        <v>77</v>
      </c>
      <c r="C1722" s="7" t="s">
        <v>24</v>
      </c>
      <c r="D1722" s="7" t="s">
        <v>40</v>
      </c>
      <c r="E1722" s="7" t="n">
        <v>34</v>
      </c>
      <c r="F1722" s="7" t="n">
        <v>5</v>
      </c>
      <c r="G1722" s="7" t="s">
        <v>26</v>
      </c>
      <c r="H1722" s="7" t="s">
        <v>27</v>
      </c>
      <c r="I1722" s="7" t="n">
        <v>25.9</v>
      </c>
      <c r="J1722" s="7" t="s">
        <v>39</v>
      </c>
      <c r="K1722" s="7" t="n">
        <v>126.8</v>
      </c>
      <c r="L1722" s="7" t="s">
        <v>37</v>
      </c>
      <c r="M1722" s="7" t="s">
        <v>30</v>
      </c>
    </row>
    <row r="1723" customFormat="false" ht="15" hidden="false" customHeight="true" outlineLevel="0" collapsed="false">
      <c r="A1723" s="7" t="n">
        <v>1931</v>
      </c>
      <c r="B1723" s="7" t="n">
        <v>88</v>
      </c>
      <c r="C1723" s="7" t="s">
        <v>33</v>
      </c>
      <c r="D1723" s="7" t="s">
        <v>40</v>
      </c>
      <c r="E1723" s="7" t="n">
        <v>11</v>
      </c>
      <c r="F1723" s="7" t="n">
        <v>6</v>
      </c>
      <c r="G1723" s="7" t="s">
        <v>34</v>
      </c>
      <c r="H1723" s="7" t="s">
        <v>27</v>
      </c>
      <c r="I1723" s="7" t="n">
        <v>37.8</v>
      </c>
      <c r="J1723" s="7" t="s">
        <v>39</v>
      </c>
      <c r="K1723" s="7" t="n">
        <v>288.3</v>
      </c>
      <c r="L1723" s="7" t="s">
        <v>37</v>
      </c>
      <c r="M1723" s="7" t="s">
        <v>30</v>
      </c>
    </row>
    <row r="1724" customFormat="false" ht="15" hidden="false" customHeight="true" outlineLevel="0" collapsed="false">
      <c r="A1724" s="7" t="n">
        <v>1943</v>
      </c>
      <c r="B1724" s="7" t="n">
        <v>22</v>
      </c>
      <c r="C1724" s="7" t="s">
        <v>24</v>
      </c>
      <c r="D1724" s="7" t="s">
        <v>40</v>
      </c>
      <c r="E1724" s="7" t="n">
        <v>22</v>
      </c>
      <c r="F1724" s="7" t="n">
        <v>7</v>
      </c>
      <c r="G1724" s="7" t="s">
        <v>26</v>
      </c>
      <c r="H1724" s="7" t="s">
        <v>32</v>
      </c>
      <c r="I1724" s="7" t="n">
        <v>38.4</v>
      </c>
      <c r="J1724" s="7" t="s">
        <v>39</v>
      </c>
      <c r="K1724" s="7" t="n">
        <v>270.2</v>
      </c>
      <c r="L1724" s="7" t="s">
        <v>37</v>
      </c>
      <c r="M1724" s="7" t="s">
        <v>30</v>
      </c>
    </row>
    <row r="1725" customFormat="false" ht="15" hidden="false" customHeight="true" outlineLevel="0" collapsed="false">
      <c r="A1725" s="7" t="n">
        <v>1958</v>
      </c>
      <c r="B1725" s="7" t="n">
        <v>35</v>
      </c>
      <c r="C1725" s="7" t="s">
        <v>33</v>
      </c>
      <c r="D1725" s="7" t="s">
        <v>40</v>
      </c>
      <c r="E1725" s="7" t="n">
        <v>33</v>
      </c>
      <c r="F1725" s="7" t="n">
        <v>9</v>
      </c>
      <c r="G1725" s="7" t="s">
        <v>31</v>
      </c>
      <c r="H1725" s="7" t="s">
        <v>32</v>
      </c>
      <c r="I1725" s="7" t="n">
        <v>28.4</v>
      </c>
      <c r="J1725" s="7" t="s">
        <v>39</v>
      </c>
      <c r="K1725" s="7" t="n">
        <v>154.7</v>
      </c>
      <c r="L1725" s="7" t="s">
        <v>29</v>
      </c>
      <c r="M1725" s="7" t="s">
        <v>30</v>
      </c>
    </row>
    <row r="1726" customFormat="false" ht="15" hidden="false" customHeight="true" outlineLevel="0" collapsed="false">
      <c r="A1726" s="7" t="n">
        <v>2010</v>
      </c>
      <c r="B1726" s="7" t="n">
        <v>31</v>
      </c>
      <c r="C1726" s="7" t="s">
        <v>33</v>
      </c>
      <c r="D1726" s="7" t="s">
        <v>40</v>
      </c>
      <c r="E1726" s="7" t="n">
        <v>32</v>
      </c>
      <c r="F1726" s="7" t="n">
        <v>10</v>
      </c>
      <c r="G1726" s="7" t="s">
        <v>35</v>
      </c>
      <c r="H1726" s="7" t="s">
        <v>27</v>
      </c>
      <c r="I1726" s="7" t="n">
        <v>31.9</v>
      </c>
      <c r="J1726" s="7" t="s">
        <v>39</v>
      </c>
      <c r="K1726" s="7" t="n">
        <v>154.7</v>
      </c>
      <c r="L1726" s="7" t="s">
        <v>29</v>
      </c>
      <c r="M1726" s="7" t="s">
        <v>30</v>
      </c>
    </row>
    <row r="1727" customFormat="false" ht="15" hidden="false" customHeight="true" outlineLevel="0" collapsed="false">
      <c r="A1727" s="7" t="n">
        <v>2018</v>
      </c>
      <c r="B1727" s="7" t="n">
        <v>48</v>
      </c>
      <c r="C1727" s="7" t="s">
        <v>24</v>
      </c>
      <c r="D1727" s="7" t="s">
        <v>40</v>
      </c>
      <c r="E1727" s="7" t="n">
        <v>33</v>
      </c>
      <c r="F1727" s="7" t="n">
        <v>5</v>
      </c>
      <c r="G1727" s="7" t="s">
        <v>36</v>
      </c>
      <c r="H1727" s="7" t="s">
        <v>27</v>
      </c>
      <c r="I1727" s="7" t="n">
        <v>20.3</v>
      </c>
      <c r="J1727" s="7" t="s">
        <v>39</v>
      </c>
      <c r="K1727" s="7" t="n">
        <v>124.2</v>
      </c>
      <c r="L1727" s="7" t="s">
        <v>29</v>
      </c>
      <c r="M1727" s="7" t="s">
        <v>30</v>
      </c>
    </row>
    <row r="1728" customFormat="false" ht="15" hidden="false" customHeight="true" outlineLevel="0" collapsed="false">
      <c r="A1728" s="7" t="n">
        <v>2033</v>
      </c>
      <c r="B1728" s="7" t="n">
        <v>23</v>
      </c>
      <c r="C1728" s="7" t="s">
        <v>33</v>
      </c>
      <c r="D1728" s="7" t="s">
        <v>40</v>
      </c>
      <c r="E1728" s="7" t="n">
        <v>35</v>
      </c>
      <c r="F1728" s="7" t="n">
        <v>5</v>
      </c>
      <c r="G1728" s="7" t="s">
        <v>34</v>
      </c>
      <c r="H1728" s="7" t="s">
        <v>27</v>
      </c>
      <c r="I1728" s="7" t="n">
        <v>26.6</v>
      </c>
      <c r="J1728" s="7" t="s">
        <v>39</v>
      </c>
      <c r="K1728" s="7" t="n">
        <v>163.9</v>
      </c>
      <c r="L1728" s="7" t="s">
        <v>37</v>
      </c>
      <c r="M1728" s="7" t="s">
        <v>30</v>
      </c>
    </row>
    <row r="1729" customFormat="false" ht="15" hidden="false" customHeight="true" outlineLevel="0" collapsed="false">
      <c r="A1729" s="7" t="n">
        <v>2035</v>
      </c>
      <c r="B1729" s="7" t="n">
        <v>48</v>
      </c>
      <c r="C1729" s="7" t="s">
        <v>24</v>
      </c>
      <c r="D1729" s="7" t="s">
        <v>40</v>
      </c>
      <c r="E1729" s="7" t="n">
        <v>22</v>
      </c>
      <c r="F1729" s="7" t="n">
        <v>28</v>
      </c>
      <c r="G1729" s="7" t="s">
        <v>36</v>
      </c>
      <c r="H1729" s="7" t="s">
        <v>27</v>
      </c>
      <c r="I1729" s="7" t="n">
        <v>19.8</v>
      </c>
      <c r="J1729" s="7" t="s">
        <v>39</v>
      </c>
      <c r="K1729" s="7" t="n">
        <v>215.4</v>
      </c>
      <c r="L1729" s="7" t="s">
        <v>37</v>
      </c>
      <c r="M1729" s="7" t="s">
        <v>30</v>
      </c>
    </row>
    <row r="1730" customFormat="false" ht="15" hidden="false" customHeight="true" outlineLevel="0" collapsed="false">
      <c r="A1730" s="7" t="n">
        <v>2110</v>
      </c>
      <c r="B1730" s="7" t="n">
        <v>45</v>
      </c>
      <c r="C1730" s="7" t="s">
        <v>24</v>
      </c>
      <c r="D1730" s="7" t="s">
        <v>40</v>
      </c>
      <c r="E1730" s="7" t="n">
        <v>9</v>
      </c>
      <c r="F1730" s="7" t="n">
        <v>15</v>
      </c>
      <c r="G1730" s="7" t="s">
        <v>34</v>
      </c>
      <c r="H1730" s="7" t="s">
        <v>27</v>
      </c>
      <c r="I1730" s="7" t="n">
        <v>30.4</v>
      </c>
      <c r="J1730" s="7" t="s">
        <v>39</v>
      </c>
      <c r="K1730" s="7" t="n">
        <v>122.8</v>
      </c>
      <c r="L1730" s="7" t="s">
        <v>29</v>
      </c>
      <c r="M1730" s="7" t="s">
        <v>30</v>
      </c>
    </row>
    <row r="1731" customFormat="false" ht="15" hidden="false" customHeight="true" outlineLevel="0" collapsed="false">
      <c r="A1731" s="7" t="n">
        <v>2248</v>
      </c>
      <c r="B1731" s="7" t="n">
        <v>76</v>
      </c>
      <c r="C1731" s="7" t="s">
        <v>33</v>
      </c>
      <c r="D1731" s="7" t="s">
        <v>40</v>
      </c>
      <c r="E1731" s="7" t="n">
        <v>12</v>
      </c>
      <c r="F1731" s="7" t="n">
        <v>6</v>
      </c>
      <c r="G1731" s="7" t="s">
        <v>36</v>
      </c>
      <c r="H1731" s="7" t="s">
        <v>32</v>
      </c>
      <c r="I1731" s="7" t="n">
        <v>34.8</v>
      </c>
      <c r="J1731" s="7" t="s">
        <v>39</v>
      </c>
      <c r="K1731" s="7" t="n">
        <v>282.8</v>
      </c>
      <c r="L1731" s="7" t="s">
        <v>29</v>
      </c>
      <c r="M1731" s="7" t="s">
        <v>30</v>
      </c>
    </row>
    <row r="1732" customFormat="false" ht="15" hidden="false" customHeight="true" outlineLevel="0" collapsed="false">
      <c r="A1732" s="7" t="n">
        <v>2249</v>
      </c>
      <c r="B1732" s="7" t="n">
        <v>80</v>
      </c>
      <c r="C1732" s="7" t="s">
        <v>33</v>
      </c>
      <c r="D1732" s="7" t="s">
        <v>40</v>
      </c>
      <c r="E1732" s="7" t="n">
        <v>22</v>
      </c>
      <c r="F1732" s="7" t="n">
        <v>16</v>
      </c>
      <c r="G1732" s="7" t="s">
        <v>26</v>
      </c>
      <c r="H1732" s="7" t="s">
        <v>32</v>
      </c>
      <c r="I1732" s="7" t="n">
        <v>41.4</v>
      </c>
      <c r="J1732" s="7" t="s">
        <v>39</v>
      </c>
      <c r="K1732" s="7" t="n">
        <v>178.6</v>
      </c>
      <c r="L1732" s="7" t="s">
        <v>29</v>
      </c>
      <c r="M1732" s="7" t="s">
        <v>30</v>
      </c>
    </row>
    <row r="1733" customFormat="false" ht="15" hidden="false" customHeight="true" outlineLevel="0" collapsed="false">
      <c r="A1733" s="7" t="n">
        <v>2293</v>
      </c>
      <c r="B1733" s="7" t="n">
        <v>88</v>
      </c>
      <c r="C1733" s="7" t="s">
        <v>24</v>
      </c>
      <c r="D1733" s="7" t="s">
        <v>40</v>
      </c>
      <c r="E1733" s="7" t="n">
        <v>25</v>
      </c>
      <c r="F1733" s="7" t="n">
        <v>7</v>
      </c>
      <c r="G1733" s="7" t="s">
        <v>35</v>
      </c>
      <c r="H1733" s="7" t="s">
        <v>32</v>
      </c>
      <c r="I1733" s="7" t="n">
        <v>20.3</v>
      </c>
      <c r="J1733" s="7" t="s">
        <v>39</v>
      </c>
      <c r="K1733" s="7" t="n">
        <v>141.4</v>
      </c>
      <c r="L1733" s="7" t="s">
        <v>29</v>
      </c>
      <c r="M1733" s="7" t="s">
        <v>30</v>
      </c>
    </row>
    <row r="1734" customFormat="false" ht="15" hidden="false" customHeight="true" outlineLevel="0" collapsed="false">
      <c r="A1734" s="7" t="n">
        <v>2324</v>
      </c>
      <c r="B1734" s="7" t="n">
        <v>60</v>
      </c>
      <c r="C1734" s="7" t="s">
        <v>24</v>
      </c>
      <c r="D1734" s="7" t="s">
        <v>40</v>
      </c>
      <c r="E1734" s="7" t="n">
        <v>32</v>
      </c>
      <c r="F1734" s="7" t="n">
        <v>24</v>
      </c>
      <c r="G1734" s="7" t="s">
        <v>34</v>
      </c>
      <c r="H1734" s="7" t="s">
        <v>27</v>
      </c>
      <c r="I1734" s="7" t="n">
        <v>29.1</v>
      </c>
      <c r="J1734" s="7" t="s">
        <v>39</v>
      </c>
      <c r="K1734" s="7" t="n">
        <v>178.1</v>
      </c>
      <c r="L1734" s="7" t="s">
        <v>29</v>
      </c>
      <c r="M1734" s="7" t="s">
        <v>30</v>
      </c>
    </row>
    <row r="1735" customFormat="false" ht="15" hidden="false" customHeight="true" outlineLevel="0" collapsed="false">
      <c r="A1735" s="7" t="n">
        <v>2339</v>
      </c>
      <c r="B1735" s="7" t="n">
        <v>18</v>
      </c>
      <c r="C1735" s="7" t="s">
        <v>33</v>
      </c>
      <c r="D1735" s="7" t="s">
        <v>40</v>
      </c>
      <c r="E1735" s="7" t="n">
        <v>34</v>
      </c>
      <c r="F1735" s="7" t="n">
        <v>8</v>
      </c>
      <c r="G1735" s="7" t="s">
        <v>35</v>
      </c>
      <c r="H1735" s="7" t="s">
        <v>32</v>
      </c>
      <c r="I1735" s="7" t="n">
        <v>39.4</v>
      </c>
      <c r="J1735" s="7" t="s">
        <v>39</v>
      </c>
      <c r="K1735" s="7" t="n">
        <v>147.8</v>
      </c>
      <c r="L1735" s="7" t="s">
        <v>29</v>
      </c>
      <c r="M1735" s="7" t="s">
        <v>30</v>
      </c>
    </row>
    <row r="1736" customFormat="false" ht="15" hidden="false" customHeight="true" outlineLevel="0" collapsed="false">
      <c r="A1736" s="7" t="n">
        <v>2349</v>
      </c>
      <c r="B1736" s="7" t="n">
        <v>60</v>
      </c>
      <c r="C1736" s="7" t="s">
        <v>24</v>
      </c>
      <c r="D1736" s="7" t="s">
        <v>40</v>
      </c>
      <c r="E1736" s="7" t="n">
        <v>8</v>
      </c>
      <c r="F1736" s="7" t="n">
        <v>21</v>
      </c>
      <c r="G1736" s="7" t="s">
        <v>31</v>
      </c>
      <c r="H1736" s="7" t="s">
        <v>27</v>
      </c>
      <c r="I1736" s="7" t="n">
        <v>26.8</v>
      </c>
      <c r="J1736" s="7" t="s">
        <v>39</v>
      </c>
      <c r="K1736" s="7" t="n">
        <v>174</v>
      </c>
      <c r="L1736" s="7" t="s">
        <v>29</v>
      </c>
      <c r="M1736" s="7" t="s">
        <v>30</v>
      </c>
    </row>
    <row r="1737" customFormat="false" ht="15" hidden="false" customHeight="true" outlineLevel="0" collapsed="false">
      <c r="A1737" s="7" t="n">
        <v>2353</v>
      </c>
      <c r="B1737" s="7" t="n">
        <v>61</v>
      </c>
      <c r="C1737" s="7" t="s">
        <v>33</v>
      </c>
      <c r="D1737" s="7" t="s">
        <v>40</v>
      </c>
      <c r="E1737" s="7" t="n">
        <v>24</v>
      </c>
      <c r="F1737" s="7" t="n">
        <v>7</v>
      </c>
      <c r="G1737" s="7" t="s">
        <v>34</v>
      </c>
      <c r="H1737" s="7" t="s">
        <v>32</v>
      </c>
      <c r="I1737" s="7" t="n">
        <v>21.9</v>
      </c>
      <c r="J1737" s="7" t="s">
        <v>39</v>
      </c>
      <c r="K1737" s="7" t="n">
        <v>198.7</v>
      </c>
      <c r="L1737" s="7" t="s">
        <v>29</v>
      </c>
      <c r="M1737" s="7" t="s">
        <v>30</v>
      </c>
    </row>
    <row r="1738" customFormat="false" ht="15" hidden="false" customHeight="true" outlineLevel="0" collapsed="false">
      <c r="A1738" s="7" t="n">
        <v>2372</v>
      </c>
      <c r="B1738" s="7" t="n">
        <v>20</v>
      </c>
      <c r="C1738" s="7" t="s">
        <v>33</v>
      </c>
      <c r="D1738" s="7" t="s">
        <v>40</v>
      </c>
      <c r="E1738" s="7" t="n">
        <v>13</v>
      </c>
      <c r="F1738" s="7" t="n">
        <v>27</v>
      </c>
      <c r="G1738" s="7" t="s">
        <v>26</v>
      </c>
      <c r="H1738" s="7" t="s">
        <v>32</v>
      </c>
      <c r="I1738" s="7" t="n">
        <v>40.2</v>
      </c>
      <c r="J1738" s="7" t="s">
        <v>39</v>
      </c>
      <c r="K1738" s="7" t="n">
        <v>240.7</v>
      </c>
      <c r="L1738" s="7" t="s">
        <v>29</v>
      </c>
      <c r="M1738" s="7" t="s">
        <v>30</v>
      </c>
    </row>
    <row r="1739" customFormat="false" ht="15" hidden="false" customHeight="true" outlineLevel="0" collapsed="false">
      <c r="A1739" s="7" t="n">
        <v>2389</v>
      </c>
      <c r="B1739" s="7" t="n">
        <v>58</v>
      </c>
      <c r="C1739" s="7" t="s">
        <v>24</v>
      </c>
      <c r="D1739" s="7" t="s">
        <v>40</v>
      </c>
      <c r="E1739" s="7" t="n">
        <v>27</v>
      </c>
      <c r="F1739" s="7" t="n">
        <v>23</v>
      </c>
      <c r="G1739" s="7" t="s">
        <v>26</v>
      </c>
      <c r="H1739" s="7" t="s">
        <v>27</v>
      </c>
      <c r="I1739" s="7" t="n">
        <v>25.1</v>
      </c>
      <c r="J1739" s="7" t="s">
        <v>39</v>
      </c>
      <c r="K1739" s="7" t="n">
        <v>135.4</v>
      </c>
      <c r="L1739" s="7" t="s">
        <v>29</v>
      </c>
      <c r="M1739" s="7" t="s">
        <v>30</v>
      </c>
    </row>
    <row r="1740" customFormat="false" ht="15" hidden="false" customHeight="true" outlineLevel="0" collapsed="false">
      <c r="A1740" s="7" t="n">
        <v>2408</v>
      </c>
      <c r="B1740" s="7" t="n">
        <v>84</v>
      </c>
      <c r="C1740" s="7" t="s">
        <v>24</v>
      </c>
      <c r="D1740" s="7" t="s">
        <v>40</v>
      </c>
      <c r="E1740" s="7" t="n">
        <v>17</v>
      </c>
      <c r="F1740" s="7" t="n">
        <v>10</v>
      </c>
      <c r="G1740" s="7" t="s">
        <v>36</v>
      </c>
      <c r="H1740" s="7" t="s">
        <v>27</v>
      </c>
      <c r="I1740" s="7" t="n">
        <v>17</v>
      </c>
      <c r="J1740" s="7" t="s">
        <v>39</v>
      </c>
      <c r="K1740" s="7" t="n">
        <v>260</v>
      </c>
      <c r="L1740" s="7" t="s">
        <v>29</v>
      </c>
      <c r="M1740" s="7" t="s">
        <v>30</v>
      </c>
    </row>
    <row r="1741" customFormat="false" ht="15" hidden="false" customHeight="true" outlineLevel="0" collapsed="false">
      <c r="A1741" s="7" t="n">
        <v>2417</v>
      </c>
      <c r="B1741" s="7" t="n">
        <v>44</v>
      </c>
      <c r="C1741" s="7" t="s">
        <v>24</v>
      </c>
      <c r="D1741" s="7" t="s">
        <v>40</v>
      </c>
      <c r="E1741" s="7" t="n">
        <v>31</v>
      </c>
      <c r="F1741" s="7" t="n">
        <v>20</v>
      </c>
      <c r="G1741" s="7" t="s">
        <v>36</v>
      </c>
      <c r="H1741" s="7" t="s">
        <v>27</v>
      </c>
      <c r="I1741" s="7" t="n">
        <v>41.1</v>
      </c>
      <c r="J1741" s="7" t="s">
        <v>39</v>
      </c>
      <c r="K1741" s="7" t="n">
        <v>150</v>
      </c>
      <c r="L1741" s="7" t="s">
        <v>29</v>
      </c>
      <c r="M1741" s="7" t="s">
        <v>30</v>
      </c>
    </row>
    <row r="1742" customFormat="false" ht="15" hidden="false" customHeight="true" outlineLevel="0" collapsed="false">
      <c r="A1742" s="7" t="n">
        <v>2425</v>
      </c>
      <c r="B1742" s="7" t="n">
        <v>33</v>
      </c>
      <c r="C1742" s="7" t="s">
        <v>33</v>
      </c>
      <c r="D1742" s="7" t="s">
        <v>40</v>
      </c>
      <c r="E1742" s="7" t="n">
        <v>24</v>
      </c>
      <c r="F1742" s="7" t="n">
        <v>6</v>
      </c>
      <c r="G1742" s="7" t="s">
        <v>36</v>
      </c>
      <c r="H1742" s="7" t="s">
        <v>32</v>
      </c>
      <c r="I1742" s="7" t="n">
        <v>19.1</v>
      </c>
      <c r="J1742" s="7" t="s">
        <v>39</v>
      </c>
      <c r="K1742" s="7" t="n">
        <v>139.2</v>
      </c>
      <c r="L1742" s="7" t="s">
        <v>29</v>
      </c>
      <c r="M1742" s="7" t="s">
        <v>30</v>
      </c>
    </row>
    <row r="1743" customFormat="false" ht="15" hidden="false" customHeight="true" outlineLevel="0" collapsed="false">
      <c r="A1743" s="7" t="n">
        <v>2438</v>
      </c>
      <c r="B1743" s="7" t="n">
        <v>46</v>
      </c>
      <c r="C1743" s="7" t="s">
        <v>24</v>
      </c>
      <c r="D1743" s="7" t="s">
        <v>40</v>
      </c>
      <c r="E1743" s="7" t="n">
        <v>24</v>
      </c>
      <c r="F1743" s="7" t="n">
        <v>21</v>
      </c>
      <c r="G1743" s="7" t="s">
        <v>35</v>
      </c>
      <c r="H1743" s="7" t="s">
        <v>27</v>
      </c>
      <c r="I1743" s="7" t="n">
        <v>27.8</v>
      </c>
      <c r="J1743" s="7" t="s">
        <v>39</v>
      </c>
      <c r="K1743" s="7" t="n">
        <v>201.1</v>
      </c>
      <c r="L1743" s="7" t="s">
        <v>37</v>
      </c>
      <c r="M1743" s="7" t="s">
        <v>30</v>
      </c>
    </row>
    <row r="1744" customFormat="false" ht="15" hidden="false" customHeight="true" outlineLevel="0" collapsed="false">
      <c r="A1744" s="7" t="n">
        <v>2486</v>
      </c>
      <c r="B1744" s="7" t="n">
        <v>28</v>
      </c>
      <c r="C1744" s="7" t="s">
        <v>33</v>
      </c>
      <c r="D1744" s="7" t="s">
        <v>40</v>
      </c>
      <c r="E1744" s="7" t="n">
        <v>25</v>
      </c>
      <c r="F1744" s="7" t="n">
        <v>24</v>
      </c>
      <c r="G1744" s="7" t="s">
        <v>34</v>
      </c>
      <c r="H1744" s="7" t="s">
        <v>27</v>
      </c>
      <c r="I1744" s="7" t="n">
        <v>26.3</v>
      </c>
      <c r="J1744" s="7" t="s">
        <v>39</v>
      </c>
      <c r="K1744" s="7" t="n">
        <v>138.9</v>
      </c>
      <c r="L1744" s="7" t="s">
        <v>29</v>
      </c>
      <c r="M1744" s="7" t="s">
        <v>30</v>
      </c>
    </row>
    <row r="1745" customFormat="false" ht="15" hidden="false" customHeight="true" outlineLevel="0" collapsed="false">
      <c r="A1745" s="7" t="n">
        <v>2495</v>
      </c>
      <c r="B1745" s="7" t="n">
        <v>65</v>
      </c>
      <c r="C1745" s="7" t="s">
        <v>24</v>
      </c>
      <c r="D1745" s="7" t="s">
        <v>40</v>
      </c>
      <c r="E1745" s="7" t="n">
        <v>35</v>
      </c>
      <c r="F1745" s="7" t="n">
        <v>29</v>
      </c>
      <c r="G1745" s="7" t="s">
        <v>34</v>
      </c>
      <c r="H1745" s="7" t="s">
        <v>32</v>
      </c>
      <c r="I1745" s="7" t="n">
        <v>31.6</v>
      </c>
      <c r="J1745" s="7" t="s">
        <v>39</v>
      </c>
      <c r="K1745" s="7" t="n">
        <v>209</v>
      </c>
      <c r="L1745" s="7" t="s">
        <v>37</v>
      </c>
      <c r="M1745" s="7" t="s">
        <v>30</v>
      </c>
    </row>
    <row r="1746" customFormat="false" ht="15" hidden="false" customHeight="true" outlineLevel="0" collapsed="false">
      <c r="A1746" s="7" t="n">
        <v>16</v>
      </c>
      <c r="B1746" s="7" t="n">
        <v>18</v>
      </c>
      <c r="C1746" s="7" t="s">
        <v>33</v>
      </c>
      <c r="D1746" s="7" t="s">
        <v>41</v>
      </c>
      <c r="E1746" s="7" t="n">
        <v>5</v>
      </c>
      <c r="F1746" s="7" t="n">
        <v>1</v>
      </c>
      <c r="G1746" s="7" t="s">
        <v>36</v>
      </c>
      <c r="H1746" s="7" t="s">
        <v>27</v>
      </c>
      <c r="I1746" s="7" t="n">
        <v>28.2</v>
      </c>
      <c r="J1746" s="7" t="s">
        <v>28</v>
      </c>
      <c r="K1746" s="7" t="n">
        <v>226.7</v>
      </c>
      <c r="L1746" s="7" t="s">
        <v>37</v>
      </c>
      <c r="M1746" s="7" t="s">
        <v>30</v>
      </c>
    </row>
    <row r="1747" customFormat="false" ht="15" hidden="false" customHeight="true" outlineLevel="0" collapsed="false">
      <c r="A1747" s="7" t="n">
        <v>19</v>
      </c>
      <c r="B1747" s="7" t="n">
        <v>18</v>
      </c>
      <c r="C1747" s="7" t="s">
        <v>33</v>
      </c>
      <c r="D1747" s="7" t="s">
        <v>41</v>
      </c>
      <c r="E1747" s="7" t="n">
        <v>7</v>
      </c>
      <c r="F1747" s="7" t="n">
        <v>2</v>
      </c>
      <c r="G1747" s="7" t="s">
        <v>31</v>
      </c>
      <c r="H1747" s="7" t="s">
        <v>32</v>
      </c>
      <c r="I1747" s="7" t="n">
        <v>22.2</v>
      </c>
      <c r="J1747" s="7" t="s">
        <v>28</v>
      </c>
      <c r="K1747" s="7" t="n">
        <v>245.2</v>
      </c>
      <c r="L1747" s="7" t="s">
        <v>37</v>
      </c>
      <c r="M1747" s="7" t="s">
        <v>30</v>
      </c>
    </row>
    <row r="1748" customFormat="false" ht="15" hidden="false" customHeight="true" outlineLevel="0" collapsed="false">
      <c r="A1748" s="7" t="n">
        <v>128</v>
      </c>
      <c r="B1748" s="7" t="n">
        <v>58</v>
      </c>
      <c r="C1748" s="7" t="s">
        <v>24</v>
      </c>
      <c r="D1748" s="7" t="s">
        <v>41</v>
      </c>
      <c r="E1748" s="7" t="n">
        <v>1</v>
      </c>
      <c r="F1748" s="7" t="n">
        <v>12</v>
      </c>
      <c r="G1748" s="7" t="s">
        <v>35</v>
      </c>
      <c r="H1748" s="7" t="s">
        <v>27</v>
      </c>
      <c r="I1748" s="7" t="n">
        <v>19.6</v>
      </c>
      <c r="J1748" s="7" t="s">
        <v>28</v>
      </c>
      <c r="K1748" s="7" t="n">
        <v>297.6</v>
      </c>
      <c r="L1748" s="7" t="s">
        <v>37</v>
      </c>
      <c r="M1748" s="7" t="s">
        <v>30</v>
      </c>
    </row>
    <row r="1749" customFormat="false" ht="15" hidden="false" customHeight="true" outlineLevel="0" collapsed="false">
      <c r="A1749" s="7" t="n">
        <v>151</v>
      </c>
      <c r="B1749" s="7" t="n">
        <v>83</v>
      </c>
      <c r="C1749" s="7" t="s">
        <v>24</v>
      </c>
      <c r="D1749" s="7" t="s">
        <v>41</v>
      </c>
      <c r="E1749" s="7" t="n">
        <v>8</v>
      </c>
      <c r="F1749" s="7" t="n">
        <v>14</v>
      </c>
      <c r="G1749" s="7" t="s">
        <v>34</v>
      </c>
      <c r="H1749" s="7" t="s">
        <v>27</v>
      </c>
      <c r="I1749" s="7" t="n">
        <v>38.6</v>
      </c>
      <c r="J1749" s="7" t="s">
        <v>28</v>
      </c>
      <c r="K1749" s="7" t="n">
        <v>206.3</v>
      </c>
      <c r="L1749" s="7" t="s">
        <v>37</v>
      </c>
      <c r="M1749" s="7" t="s">
        <v>30</v>
      </c>
    </row>
    <row r="1750" customFormat="false" ht="15" hidden="false" customHeight="true" outlineLevel="0" collapsed="false">
      <c r="A1750" s="7" t="n">
        <v>162</v>
      </c>
      <c r="B1750" s="7" t="n">
        <v>22</v>
      </c>
      <c r="C1750" s="7" t="s">
        <v>24</v>
      </c>
      <c r="D1750" s="7" t="s">
        <v>41</v>
      </c>
      <c r="E1750" s="7" t="n">
        <v>2</v>
      </c>
      <c r="F1750" s="7" t="n">
        <v>12</v>
      </c>
      <c r="G1750" s="7" t="s">
        <v>35</v>
      </c>
      <c r="H1750" s="7" t="s">
        <v>27</v>
      </c>
      <c r="I1750" s="7" t="n">
        <v>23.8</v>
      </c>
      <c r="J1750" s="7" t="s">
        <v>28</v>
      </c>
      <c r="K1750" s="7" t="n">
        <v>242.4</v>
      </c>
      <c r="L1750" s="7" t="s">
        <v>37</v>
      </c>
      <c r="M1750" s="7" t="s">
        <v>30</v>
      </c>
    </row>
    <row r="1751" customFormat="false" ht="15" hidden="false" customHeight="true" outlineLevel="0" collapsed="false">
      <c r="A1751" s="7" t="n">
        <v>180</v>
      </c>
      <c r="B1751" s="7" t="n">
        <v>77</v>
      </c>
      <c r="C1751" s="7" t="s">
        <v>33</v>
      </c>
      <c r="D1751" s="7" t="s">
        <v>41</v>
      </c>
      <c r="E1751" s="7" t="n">
        <v>17</v>
      </c>
      <c r="F1751" s="7" t="n">
        <v>1</v>
      </c>
      <c r="G1751" s="7" t="s">
        <v>26</v>
      </c>
      <c r="H1751" s="7" t="s">
        <v>27</v>
      </c>
      <c r="I1751" s="7" t="n">
        <v>35.4</v>
      </c>
      <c r="J1751" s="7" t="s">
        <v>28</v>
      </c>
      <c r="K1751" s="7" t="n">
        <v>242.4</v>
      </c>
      <c r="L1751" s="7" t="s">
        <v>37</v>
      </c>
      <c r="M1751" s="7" t="s">
        <v>30</v>
      </c>
    </row>
    <row r="1752" customFormat="false" ht="15" hidden="false" customHeight="true" outlineLevel="0" collapsed="false">
      <c r="A1752" s="7" t="n">
        <v>194</v>
      </c>
      <c r="B1752" s="7" t="n">
        <v>74</v>
      </c>
      <c r="C1752" s="7" t="s">
        <v>33</v>
      </c>
      <c r="D1752" s="7" t="s">
        <v>41</v>
      </c>
      <c r="E1752" s="7" t="n">
        <v>4</v>
      </c>
      <c r="F1752" s="7" t="n">
        <v>12</v>
      </c>
      <c r="G1752" s="7" t="s">
        <v>31</v>
      </c>
      <c r="H1752" s="7" t="s">
        <v>27</v>
      </c>
      <c r="I1752" s="7" t="n">
        <v>38.9</v>
      </c>
      <c r="J1752" s="7" t="s">
        <v>28</v>
      </c>
      <c r="K1752" s="7" t="n">
        <v>250.2</v>
      </c>
      <c r="L1752" s="7" t="s">
        <v>37</v>
      </c>
      <c r="M1752" s="7" t="s">
        <v>30</v>
      </c>
    </row>
    <row r="1753" customFormat="false" ht="15" hidden="false" customHeight="true" outlineLevel="0" collapsed="false">
      <c r="A1753" s="7" t="n">
        <v>232</v>
      </c>
      <c r="B1753" s="7" t="n">
        <v>79</v>
      </c>
      <c r="C1753" s="7" t="s">
        <v>24</v>
      </c>
      <c r="D1753" s="7" t="s">
        <v>41</v>
      </c>
      <c r="E1753" s="7" t="n">
        <v>17</v>
      </c>
      <c r="F1753" s="7" t="n">
        <v>14</v>
      </c>
      <c r="G1753" s="7" t="s">
        <v>35</v>
      </c>
      <c r="H1753" s="7" t="s">
        <v>32</v>
      </c>
      <c r="I1753" s="7" t="n">
        <v>24.1</v>
      </c>
      <c r="J1753" s="7" t="s">
        <v>28</v>
      </c>
      <c r="K1753" s="7" t="n">
        <v>198.9</v>
      </c>
      <c r="L1753" s="7" t="s">
        <v>37</v>
      </c>
      <c r="M1753" s="7" t="s">
        <v>30</v>
      </c>
    </row>
    <row r="1754" customFormat="false" ht="15" hidden="false" customHeight="true" outlineLevel="0" collapsed="false">
      <c r="A1754" s="7" t="n">
        <v>253</v>
      </c>
      <c r="B1754" s="7" t="n">
        <v>65</v>
      </c>
      <c r="C1754" s="7" t="s">
        <v>33</v>
      </c>
      <c r="D1754" s="7" t="s">
        <v>41</v>
      </c>
      <c r="E1754" s="7" t="n">
        <v>13</v>
      </c>
      <c r="F1754" s="7" t="n">
        <v>3</v>
      </c>
      <c r="G1754" s="7" t="s">
        <v>34</v>
      </c>
      <c r="H1754" s="7" t="s">
        <v>27</v>
      </c>
      <c r="I1754" s="7" t="n">
        <v>17.1</v>
      </c>
      <c r="J1754" s="7" t="s">
        <v>28</v>
      </c>
      <c r="K1754" s="7" t="n">
        <v>173.7</v>
      </c>
      <c r="L1754" s="7" t="s">
        <v>37</v>
      </c>
      <c r="M1754" s="7" t="s">
        <v>30</v>
      </c>
    </row>
    <row r="1755" customFormat="false" ht="15" hidden="false" customHeight="true" outlineLevel="0" collapsed="false">
      <c r="A1755" s="7" t="n">
        <v>259</v>
      </c>
      <c r="B1755" s="7" t="n">
        <v>30</v>
      </c>
      <c r="C1755" s="7" t="s">
        <v>24</v>
      </c>
      <c r="D1755" s="7" t="s">
        <v>41</v>
      </c>
      <c r="E1755" s="7" t="n">
        <v>2</v>
      </c>
      <c r="F1755" s="7" t="n">
        <v>2</v>
      </c>
      <c r="G1755" s="7" t="s">
        <v>31</v>
      </c>
      <c r="H1755" s="7" t="s">
        <v>32</v>
      </c>
      <c r="I1755" s="7" t="n">
        <v>27</v>
      </c>
      <c r="J1755" s="7" t="s">
        <v>28</v>
      </c>
      <c r="K1755" s="7" t="n">
        <v>147.4</v>
      </c>
      <c r="L1755" s="7" t="s">
        <v>37</v>
      </c>
      <c r="M1755" s="7" t="s">
        <v>30</v>
      </c>
    </row>
    <row r="1756" customFormat="false" ht="15" hidden="false" customHeight="true" outlineLevel="0" collapsed="false">
      <c r="A1756" s="7" t="n">
        <v>284</v>
      </c>
      <c r="B1756" s="7" t="n">
        <v>54</v>
      </c>
      <c r="C1756" s="7" t="s">
        <v>24</v>
      </c>
      <c r="D1756" s="7" t="s">
        <v>41</v>
      </c>
      <c r="E1756" s="7" t="n">
        <v>12</v>
      </c>
      <c r="F1756" s="7" t="n">
        <v>9</v>
      </c>
      <c r="G1756" s="7" t="s">
        <v>31</v>
      </c>
      <c r="H1756" s="7" t="s">
        <v>27</v>
      </c>
      <c r="I1756" s="7" t="n">
        <v>40.2</v>
      </c>
      <c r="J1756" s="7" t="s">
        <v>28</v>
      </c>
      <c r="K1756" s="7" t="n">
        <v>234.2</v>
      </c>
      <c r="L1756" s="7" t="s">
        <v>37</v>
      </c>
      <c r="M1756" s="7" t="s">
        <v>30</v>
      </c>
    </row>
    <row r="1757" customFormat="false" ht="15" hidden="false" customHeight="true" outlineLevel="0" collapsed="false">
      <c r="A1757" s="7" t="n">
        <v>294</v>
      </c>
      <c r="B1757" s="7" t="n">
        <v>30</v>
      </c>
      <c r="C1757" s="7" t="s">
        <v>33</v>
      </c>
      <c r="D1757" s="7" t="s">
        <v>41</v>
      </c>
      <c r="E1757" s="7" t="n">
        <v>9</v>
      </c>
      <c r="F1757" s="7" t="n">
        <v>5</v>
      </c>
      <c r="G1757" s="7" t="s">
        <v>36</v>
      </c>
      <c r="H1757" s="7" t="s">
        <v>27</v>
      </c>
      <c r="I1757" s="7" t="n">
        <v>25.1</v>
      </c>
      <c r="J1757" s="7" t="s">
        <v>28</v>
      </c>
      <c r="K1757" s="7" t="n">
        <v>267</v>
      </c>
      <c r="L1757" s="7" t="s">
        <v>37</v>
      </c>
      <c r="M1757" s="7" t="s">
        <v>30</v>
      </c>
    </row>
    <row r="1758" customFormat="false" ht="15" hidden="false" customHeight="true" outlineLevel="0" collapsed="false">
      <c r="A1758" s="7" t="n">
        <v>357</v>
      </c>
      <c r="B1758" s="7" t="n">
        <v>79</v>
      </c>
      <c r="C1758" s="7" t="s">
        <v>33</v>
      </c>
      <c r="D1758" s="7" t="s">
        <v>41</v>
      </c>
      <c r="E1758" s="7" t="n">
        <v>16</v>
      </c>
      <c r="F1758" s="7" t="n">
        <v>12</v>
      </c>
      <c r="G1758" s="7" t="s">
        <v>34</v>
      </c>
      <c r="H1758" s="7" t="s">
        <v>27</v>
      </c>
      <c r="I1758" s="7" t="n">
        <v>41.6</v>
      </c>
      <c r="J1758" s="7" t="s">
        <v>28</v>
      </c>
      <c r="K1758" s="7" t="n">
        <v>248.7</v>
      </c>
      <c r="L1758" s="7" t="s">
        <v>37</v>
      </c>
      <c r="M1758" s="7" t="s">
        <v>30</v>
      </c>
    </row>
    <row r="1759" customFormat="false" ht="15" hidden="false" customHeight="true" outlineLevel="0" collapsed="false">
      <c r="A1759" s="7" t="n">
        <v>420</v>
      </c>
      <c r="B1759" s="7" t="n">
        <v>56</v>
      </c>
      <c r="C1759" s="7" t="s">
        <v>24</v>
      </c>
      <c r="D1759" s="7" t="s">
        <v>41</v>
      </c>
      <c r="E1759" s="7" t="n">
        <v>13</v>
      </c>
      <c r="F1759" s="7" t="n">
        <v>4</v>
      </c>
      <c r="G1759" s="7" t="s">
        <v>35</v>
      </c>
      <c r="H1759" s="7" t="s">
        <v>27</v>
      </c>
      <c r="I1759" s="7" t="n">
        <v>35.3</v>
      </c>
      <c r="J1759" s="7" t="s">
        <v>28</v>
      </c>
      <c r="K1759" s="7" t="n">
        <v>153.6</v>
      </c>
      <c r="L1759" s="7" t="s">
        <v>37</v>
      </c>
      <c r="M1759" s="7" t="s">
        <v>30</v>
      </c>
    </row>
    <row r="1760" customFormat="false" ht="15" hidden="false" customHeight="true" outlineLevel="0" collapsed="false">
      <c r="A1760" s="7" t="n">
        <v>441</v>
      </c>
      <c r="B1760" s="7" t="n">
        <v>35</v>
      </c>
      <c r="C1760" s="7" t="s">
        <v>24</v>
      </c>
      <c r="D1760" s="7" t="s">
        <v>41</v>
      </c>
      <c r="E1760" s="7" t="n">
        <v>11</v>
      </c>
      <c r="F1760" s="7" t="n">
        <v>9</v>
      </c>
      <c r="G1760" s="7" t="s">
        <v>26</v>
      </c>
      <c r="H1760" s="7" t="s">
        <v>27</v>
      </c>
      <c r="I1760" s="7" t="n">
        <v>24.1</v>
      </c>
      <c r="J1760" s="7" t="s">
        <v>28</v>
      </c>
      <c r="K1760" s="7" t="n">
        <v>150.6</v>
      </c>
      <c r="L1760" s="7" t="s">
        <v>37</v>
      </c>
      <c r="M1760" s="7" t="s">
        <v>30</v>
      </c>
    </row>
    <row r="1761" customFormat="false" ht="15" hidden="false" customHeight="true" outlineLevel="0" collapsed="false">
      <c r="A1761" s="7" t="n">
        <v>481</v>
      </c>
      <c r="B1761" s="7" t="n">
        <v>68</v>
      </c>
      <c r="C1761" s="7" t="s">
        <v>33</v>
      </c>
      <c r="D1761" s="7" t="s">
        <v>41</v>
      </c>
      <c r="E1761" s="7" t="n">
        <v>5</v>
      </c>
      <c r="F1761" s="7" t="n">
        <v>1</v>
      </c>
      <c r="G1761" s="7" t="s">
        <v>35</v>
      </c>
      <c r="H1761" s="7" t="s">
        <v>32</v>
      </c>
      <c r="I1761" s="7" t="n">
        <v>20.5</v>
      </c>
      <c r="J1761" s="7" t="s">
        <v>28</v>
      </c>
      <c r="K1761" s="7" t="n">
        <v>206.9</v>
      </c>
      <c r="L1761" s="7" t="s">
        <v>37</v>
      </c>
      <c r="M1761" s="7" t="s">
        <v>30</v>
      </c>
    </row>
    <row r="1762" customFormat="false" ht="15" hidden="false" customHeight="true" outlineLevel="0" collapsed="false">
      <c r="A1762" s="7" t="n">
        <v>487</v>
      </c>
      <c r="B1762" s="7" t="n">
        <v>27</v>
      </c>
      <c r="C1762" s="7" t="s">
        <v>33</v>
      </c>
      <c r="D1762" s="7" t="s">
        <v>41</v>
      </c>
      <c r="E1762" s="7" t="n">
        <v>6</v>
      </c>
      <c r="F1762" s="7" t="n">
        <v>7</v>
      </c>
      <c r="G1762" s="7" t="s">
        <v>36</v>
      </c>
      <c r="H1762" s="7" t="s">
        <v>27</v>
      </c>
      <c r="I1762" s="7" t="n">
        <v>37.4</v>
      </c>
      <c r="J1762" s="7" t="s">
        <v>28</v>
      </c>
      <c r="K1762" s="7" t="n">
        <v>143.8</v>
      </c>
      <c r="L1762" s="7" t="s">
        <v>37</v>
      </c>
      <c r="M1762" s="7" t="s">
        <v>30</v>
      </c>
    </row>
    <row r="1763" customFormat="false" ht="15" hidden="false" customHeight="true" outlineLevel="0" collapsed="false">
      <c r="A1763" s="7" t="n">
        <v>518</v>
      </c>
      <c r="B1763" s="7" t="n">
        <v>57</v>
      </c>
      <c r="C1763" s="7" t="s">
        <v>33</v>
      </c>
      <c r="D1763" s="7" t="s">
        <v>41</v>
      </c>
      <c r="E1763" s="7" t="n">
        <v>5</v>
      </c>
      <c r="F1763" s="7" t="n">
        <v>7</v>
      </c>
      <c r="G1763" s="7" t="s">
        <v>35</v>
      </c>
      <c r="H1763" s="7" t="s">
        <v>27</v>
      </c>
      <c r="I1763" s="7" t="n">
        <v>36.2</v>
      </c>
      <c r="J1763" s="7" t="s">
        <v>28</v>
      </c>
      <c r="K1763" s="7" t="n">
        <v>221.8</v>
      </c>
      <c r="L1763" s="7" t="s">
        <v>37</v>
      </c>
      <c r="M1763" s="7" t="s">
        <v>30</v>
      </c>
    </row>
    <row r="1764" customFormat="false" ht="15" hidden="false" customHeight="true" outlineLevel="0" collapsed="false">
      <c r="A1764" s="7" t="n">
        <v>523</v>
      </c>
      <c r="B1764" s="7" t="n">
        <v>67</v>
      </c>
      <c r="C1764" s="7" t="s">
        <v>33</v>
      </c>
      <c r="D1764" s="7" t="s">
        <v>41</v>
      </c>
      <c r="E1764" s="7" t="n">
        <v>9</v>
      </c>
      <c r="F1764" s="7" t="n">
        <v>13</v>
      </c>
      <c r="G1764" s="7" t="s">
        <v>31</v>
      </c>
      <c r="H1764" s="7" t="s">
        <v>27</v>
      </c>
      <c r="I1764" s="7" t="n">
        <v>18.5</v>
      </c>
      <c r="J1764" s="7" t="s">
        <v>28</v>
      </c>
      <c r="K1764" s="7" t="n">
        <v>205.4</v>
      </c>
      <c r="L1764" s="7" t="s">
        <v>37</v>
      </c>
      <c r="M1764" s="7" t="s">
        <v>30</v>
      </c>
    </row>
    <row r="1765" customFormat="false" ht="15" hidden="false" customHeight="true" outlineLevel="0" collapsed="false">
      <c r="A1765" s="7" t="n">
        <v>545</v>
      </c>
      <c r="B1765" s="7" t="n">
        <v>68</v>
      </c>
      <c r="C1765" s="7" t="s">
        <v>33</v>
      </c>
      <c r="D1765" s="7" t="s">
        <v>41</v>
      </c>
      <c r="E1765" s="7" t="n">
        <v>3</v>
      </c>
      <c r="F1765" s="7" t="n">
        <v>3</v>
      </c>
      <c r="G1765" s="7" t="s">
        <v>26</v>
      </c>
      <c r="H1765" s="7" t="s">
        <v>27</v>
      </c>
      <c r="I1765" s="7" t="n">
        <v>25.7</v>
      </c>
      <c r="J1765" s="7" t="s">
        <v>28</v>
      </c>
      <c r="K1765" s="7" t="n">
        <v>218.1</v>
      </c>
      <c r="L1765" s="7" t="s">
        <v>37</v>
      </c>
      <c r="M1765" s="7" t="s">
        <v>30</v>
      </c>
    </row>
    <row r="1766" customFormat="false" ht="15" hidden="false" customHeight="true" outlineLevel="0" collapsed="false">
      <c r="A1766" s="7" t="n">
        <v>555</v>
      </c>
      <c r="B1766" s="7" t="n">
        <v>76</v>
      </c>
      <c r="C1766" s="7" t="s">
        <v>33</v>
      </c>
      <c r="D1766" s="7" t="s">
        <v>41</v>
      </c>
      <c r="E1766" s="7" t="n">
        <v>13</v>
      </c>
      <c r="F1766" s="7" t="n">
        <v>9</v>
      </c>
      <c r="G1766" s="7" t="s">
        <v>31</v>
      </c>
      <c r="H1766" s="7" t="s">
        <v>32</v>
      </c>
      <c r="I1766" s="7" t="n">
        <v>37.7</v>
      </c>
      <c r="J1766" s="7" t="s">
        <v>28</v>
      </c>
      <c r="K1766" s="7" t="n">
        <v>133.6</v>
      </c>
      <c r="L1766" s="7" t="s">
        <v>37</v>
      </c>
      <c r="M1766" s="7" t="s">
        <v>30</v>
      </c>
    </row>
    <row r="1767" customFormat="false" ht="15" hidden="false" customHeight="true" outlineLevel="0" collapsed="false">
      <c r="A1767" s="7" t="n">
        <v>557</v>
      </c>
      <c r="B1767" s="7" t="n">
        <v>21</v>
      </c>
      <c r="C1767" s="7" t="s">
        <v>24</v>
      </c>
      <c r="D1767" s="7" t="s">
        <v>41</v>
      </c>
      <c r="E1767" s="7" t="n">
        <v>19</v>
      </c>
      <c r="F1767" s="7" t="n">
        <v>7</v>
      </c>
      <c r="G1767" s="7" t="s">
        <v>35</v>
      </c>
      <c r="H1767" s="7" t="s">
        <v>32</v>
      </c>
      <c r="I1767" s="7" t="n">
        <v>32.1</v>
      </c>
      <c r="J1767" s="7" t="s">
        <v>28</v>
      </c>
      <c r="K1767" s="7" t="n">
        <v>299.7</v>
      </c>
      <c r="L1767" s="7" t="s">
        <v>37</v>
      </c>
      <c r="M1767" s="7" t="s">
        <v>30</v>
      </c>
    </row>
    <row r="1768" customFormat="false" ht="15" hidden="false" customHeight="true" outlineLevel="0" collapsed="false">
      <c r="A1768" s="7" t="n">
        <v>572</v>
      </c>
      <c r="B1768" s="7" t="n">
        <v>49</v>
      </c>
      <c r="C1768" s="7" t="s">
        <v>24</v>
      </c>
      <c r="D1768" s="7" t="s">
        <v>41</v>
      </c>
      <c r="E1768" s="7" t="n">
        <v>9</v>
      </c>
      <c r="F1768" s="7" t="n">
        <v>7</v>
      </c>
      <c r="G1768" s="7" t="s">
        <v>31</v>
      </c>
      <c r="H1768" s="7" t="s">
        <v>27</v>
      </c>
      <c r="I1768" s="7" t="n">
        <v>40.6</v>
      </c>
      <c r="J1768" s="7" t="s">
        <v>28</v>
      </c>
      <c r="K1768" s="7" t="n">
        <v>174.3</v>
      </c>
      <c r="L1768" s="7" t="s">
        <v>37</v>
      </c>
      <c r="M1768" s="7" t="s">
        <v>30</v>
      </c>
    </row>
    <row r="1769" customFormat="false" ht="15" hidden="false" customHeight="true" outlineLevel="0" collapsed="false">
      <c r="A1769" s="7" t="n">
        <v>650</v>
      </c>
      <c r="B1769" s="7" t="n">
        <v>34</v>
      </c>
      <c r="C1769" s="7" t="s">
        <v>24</v>
      </c>
      <c r="D1769" s="7" t="s">
        <v>41</v>
      </c>
      <c r="E1769" s="7" t="n">
        <v>4</v>
      </c>
      <c r="F1769" s="7" t="n">
        <v>5</v>
      </c>
      <c r="G1769" s="7" t="s">
        <v>31</v>
      </c>
      <c r="H1769" s="7" t="s">
        <v>27</v>
      </c>
      <c r="I1769" s="7" t="n">
        <v>31.8</v>
      </c>
      <c r="J1769" s="7" t="s">
        <v>28</v>
      </c>
      <c r="K1769" s="7" t="n">
        <v>232.1</v>
      </c>
      <c r="L1769" s="7" t="s">
        <v>37</v>
      </c>
      <c r="M1769" s="7" t="s">
        <v>30</v>
      </c>
    </row>
    <row r="1770" customFormat="false" ht="15" hidden="false" customHeight="true" outlineLevel="0" collapsed="false">
      <c r="A1770" s="7" t="n">
        <v>690</v>
      </c>
      <c r="B1770" s="7" t="n">
        <v>58</v>
      </c>
      <c r="C1770" s="7" t="s">
        <v>33</v>
      </c>
      <c r="D1770" s="7" t="s">
        <v>41</v>
      </c>
      <c r="E1770" s="7" t="n">
        <v>13</v>
      </c>
      <c r="F1770" s="7" t="n">
        <v>3</v>
      </c>
      <c r="G1770" s="7" t="s">
        <v>26</v>
      </c>
      <c r="H1770" s="7" t="s">
        <v>27</v>
      </c>
      <c r="I1770" s="7" t="n">
        <v>25.2</v>
      </c>
      <c r="J1770" s="7" t="s">
        <v>28</v>
      </c>
      <c r="K1770" s="7" t="n">
        <v>206.1</v>
      </c>
      <c r="L1770" s="7" t="s">
        <v>37</v>
      </c>
      <c r="M1770" s="7" t="s">
        <v>30</v>
      </c>
    </row>
    <row r="1771" customFormat="false" ht="15" hidden="false" customHeight="true" outlineLevel="0" collapsed="false">
      <c r="A1771" s="7" t="n">
        <v>713</v>
      </c>
      <c r="B1771" s="7" t="n">
        <v>87</v>
      </c>
      <c r="C1771" s="7" t="s">
        <v>24</v>
      </c>
      <c r="D1771" s="7" t="s">
        <v>41</v>
      </c>
      <c r="E1771" s="7" t="n">
        <v>18</v>
      </c>
      <c r="F1771" s="7" t="n">
        <v>6</v>
      </c>
      <c r="G1771" s="7" t="s">
        <v>31</v>
      </c>
      <c r="H1771" s="7" t="s">
        <v>27</v>
      </c>
      <c r="I1771" s="7" t="n">
        <v>41</v>
      </c>
      <c r="J1771" s="7" t="s">
        <v>28</v>
      </c>
      <c r="K1771" s="7" t="n">
        <v>167.1</v>
      </c>
      <c r="L1771" s="7" t="s">
        <v>37</v>
      </c>
      <c r="M1771" s="7" t="s">
        <v>30</v>
      </c>
    </row>
    <row r="1772" customFormat="false" ht="15" hidden="false" customHeight="true" outlineLevel="0" collapsed="false">
      <c r="A1772" s="7" t="n">
        <v>732</v>
      </c>
      <c r="B1772" s="7" t="n">
        <v>74</v>
      </c>
      <c r="C1772" s="7" t="s">
        <v>33</v>
      </c>
      <c r="D1772" s="7" t="s">
        <v>41</v>
      </c>
      <c r="E1772" s="7" t="n">
        <v>9</v>
      </c>
      <c r="F1772" s="7" t="n">
        <v>14</v>
      </c>
      <c r="G1772" s="7" t="s">
        <v>34</v>
      </c>
      <c r="H1772" s="7" t="s">
        <v>32</v>
      </c>
      <c r="I1772" s="7" t="n">
        <v>38.1</v>
      </c>
      <c r="J1772" s="7" t="s">
        <v>28</v>
      </c>
      <c r="K1772" s="7" t="n">
        <v>134</v>
      </c>
      <c r="L1772" s="7" t="s">
        <v>37</v>
      </c>
      <c r="M1772" s="7" t="s">
        <v>30</v>
      </c>
    </row>
    <row r="1773" customFormat="false" ht="15" hidden="false" customHeight="true" outlineLevel="0" collapsed="false">
      <c r="A1773" s="7" t="n">
        <v>744</v>
      </c>
      <c r="B1773" s="7" t="n">
        <v>71</v>
      </c>
      <c r="C1773" s="7" t="s">
        <v>24</v>
      </c>
      <c r="D1773" s="7" t="s">
        <v>41</v>
      </c>
      <c r="E1773" s="7" t="n">
        <v>12</v>
      </c>
      <c r="F1773" s="7" t="n">
        <v>7</v>
      </c>
      <c r="G1773" s="7" t="s">
        <v>26</v>
      </c>
      <c r="H1773" s="7" t="s">
        <v>27</v>
      </c>
      <c r="I1773" s="7" t="n">
        <v>29.8</v>
      </c>
      <c r="J1773" s="7" t="s">
        <v>28</v>
      </c>
      <c r="K1773" s="7" t="n">
        <v>179.9</v>
      </c>
      <c r="L1773" s="7" t="s">
        <v>37</v>
      </c>
      <c r="M1773" s="7" t="s">
        <v>30</v>
      </c>
    </row>
    <row r="1774" customFormat="false" ht="15" hidden="false" customHeight="true" outlineLevel="0" collapsed="false">
      <c r="A1774" s="7" t="n">
        <v>832</v>
      </c>
      <c r="B1774" s="7" t="n">
        <v>65</v>
      </c>
      <c r="C1774" s="7" t="s">
        <v>24</v>
      </c>
      <c r="D1774" s="7" t="s">
        <v>41</v>
      </c>
      <c r="E1774" s="7" t="n">
        <v>9</v>
      </c>
      <c r="F1774" s="7" t="n">
        <v>4</v>
      </c>
      <c r="G1774" s="7" t="s">
        <v>35</v>
      </c>
      <c r="H1774" s="7" t="s">
        <v>27</v>
      </c>
      <c r="I1774" s="7" t="n">
        <v>20.5</v>
      </c>
      <c r="J1774" s="7" t="s">
        <v>28</v>
      </c>
      <c r="K1774" s="7" t="n">
        <v>152.3</v>
      </c>
      <c r="L1774" s="7" t="s">
        <v>37</v>
      </c>
      <c r="M1774" s="7" t="s">
        <v>30</v>
      </c>
    </row>
    <row r="1775" customFormat="false" ht="15" hidden="false" customHeight="true" outlineLevel="0" collapsed="false">
      <c r="A1775" s="7" t="n">
        <v>890</v>
      </c>
      <c r="B1775" s="7" t="n">
        <v>31</v>
      </c>
      <c r="C1775" s="7" t="s">
        <v>33</v>
      </c>
      <c r="D1775" s="7" t="s">
        <v>41</v>
      </c>
      <c r="E1775" s="7" t="n">
        <v>14</v>
      </c>
      <c r="F1775" s="7" t="n">
        <v>11</v>
      </c>
      <c r="G1775" s="7" t="s">
        <v>35</v>
      </c>
      <c r="H1775" s="7" t="s">
        <v>27</v>
      </c>
      <c r="I1775" s="7" t="n">
        <v>34.3</v>
      </c>
      <c r="J1775" s="7" t="s">
        <v>28</v>
      </c>
      <c r="K1775" s="7" t="n">
        <v>248.9</v>
      </c>
      <c r="L1775" s="7" t="s">
        <v>37</v>
      </c>
      <c r="M1775" s="7" t="s">
        <v>30</v>
      </c>
    </row>
    <row r="1776" customFormat="false" ht="15" hidden="false" customHeight="true" outlineLevel="0" collapsed="false">
      <c r="A1776" s="7" t="n">
        <v>976</v>
      </c>
      <c r="B1776" s="7" t="n">
        <v>27</v>
      </c>
      <c r="C1776" s="7" t="s">
        <v>24</v>
      </c>
      <c r="D1776" s="7" t="s">
        <v>41</v>
      </c>
      <c r="E1776" s="7" t="n">
        <v>16</v>
      </c>
      <c r="F1776" s="7" t="n">
        <v>14</v>
      </c>
      <c r="G1776" s="7" t="s">
        <v>26</v>
      </c>
      <c r="H1776" s="7" t="s">
        <v>27</v>
      </c>
      <c r="I1776" s="7" t="n">
        <v>22.4</v>
      </c>
      <c r="J1776" s="7" t="s">
        <v>28</v>
      </c>
      <c r="K1776" s="7" t="n">
        <v>195.9</v>
      </c>
      <c r="L1776" s="7" t="s">
        <v>37</v>
      </c>
      <c r="M1776" s="7" t="s">
        <v>30</v>
      </c>
    </row>
    <row r="1777" customFormat="false" ht="15" hidden="false" customHeight="true" outlineLevel="0" collapsed="false">
      <c r="A1777" s="7" t="n">
        <v>980</v>
      </c>
      <c r="B1777" s="7" t="n">
        <v>54</v>
      </c>
      <c r="C1777" s="7" t="s">
        <v>24</v>
      </c>
      <c r="D1777" s="7" t="s">
        <v>41</v>
      </c>
      <c r="E1777" s="7" t="n">
        <v>9</v>
      </c>
      <c r="F1777" s="7" t="n">
        <v>7</v>
      </c>
      <c r="G1777" s="7" t="s">
        <v>31</v>
      </c>
      <c r="H1777" s="7" t="s">
        <v>27</v>
      </c>
      <c r="I1777" s="7" t="n">
        <v>36.5</v>
      </c>
      <c r="J1777" s="7" t="s">
        <v>28</v>
      </c>
      <c r="K1777" s="7" t="n">
        <v>297.3</v>
      </c>
      <c r="L1777" s="7" t="s">
        <v>37</v>
      </c>
      <c r="M1777" s="7" t="s">
        <v>30</v>
      </c>
    </row>
    <row r="1778" customFormat="false" ht="15" hidden="false" customHeight="true" outlineLevel="0" collapsed="false">
      <c r="A1778" s="7" t="n">
        <v>983</v>
      </c>
      <c r="B1778" s="7" t="n">
        <v>54</v>
      </c>
      <c r="C1778" s="7" t="s">
        <v>24</v>
      </c>
      <c r="D1778" s="7" t="s">
        <v>41</v>
      </c>
      <c r="E1778" s="7" t="n">
        <v>14</v>
      </c>
      <c r="F1778" s="7" t="n">
        <v>7</v>
      </c>
      <c r="G1778" s="7" t="s">
        <v>34</v>
      </c>
      <c r="H1778" s="7" t="s">
        <v>32</v>
      </c>
      <c r="I1778" s="7" t="n">
        <v>40.4</v>
      </c>
      <c r="J1778" s="7" t="s">
        <v>28</v>
      </c>
      <c r="K1778" s="7" t="n">
        <v>258.3</v>
      </c>
      <c r="L1778" s="7" t="s">
        <v>37</v>
      </c>
      <c r="M1778" s="7" t="s">
        <v>30</v>
      </c>
    </row>
    <row r="1779" customFormat="false" ht="15" hidden="false" customHeight="true" outlineLevel="0" collapsed="false">
      <c r="A1779" s="7" t="n">
        <v>1006</v>
      </c>
      <c r="B1779" s="7" t="n">
        <v>25</v>
      </c>
      <c r="C1779" s="7" t="s">
        <v>24</v>
      </c>
      <c r="D1779" s="7" t="s">
        <v>41</v>
      </c>
      <c r="E1779" s="7" t="n">
        <v>8</v>
      </c>
      <c r="F1779" s="7" t="n">
        <v>7</v>
      </c>
      <c r="G1779" s="7" t="s">
        <v>36</v>
      </c>
      <c r="H1779" s="7" t="s">
        <v>27</v>
      </c>
      <c r="I1779" s="7" t="n">
        <v>34.6</v>
      </c>
      <c r="J1779" s="7" t="s">
        <v>28</v>
      </c>
      <c r="K1779" s="7" t="n">
        <v>224.3</v>
      </c>
      <c r="L1779" s="7" t="s">
        <v>37</v>
      </c>
      <c r="M1779" s="7" t="s">
        <v>30</v>
      </c>
    </row>
    <row r="1780" customFormat="false" ht="15" hidden="false" customHeight="true" outlineLevel="0" collapsed="false">
      <c r="A1780" s="7" t="n">
        <v>1012</v>
      </c>
      <c r="B1780" s="7" t="n">
        <v>32</v>
      </c>
      <c r="C1780" s="7" t="s">
        <v>33</v>
      </c>
      <c r="D1780" s="7" t="s">
        <v>41</v>
      </c>
      <c r="E1780" s="7" t="n">
        <v>15</v>
      </c>
      <c r="F1780" s="7" t="n">
        <v>8</v>
      </c>
      <c r="G1780" s="7" t="s">
        <v>34</v>
      </c>
      <c r="H1780" s="7" t="s">
        <v>27</v>
      </c>
      <c r="I1780" s="7" t="n">
        <v>35.9</v>
      </c>
      <c r="J1780" s="7" t="s">
        <v>28</v>
      </c>
      <c r="K1780" s="7" t="n">
        <v>159.8</v>
      </c>
      <c r="L1780" s="7" t="s">
        <v>37</v>
      </c>
      <c r="M1780" s="7" t="s">
        <v>30</v>
      </c>
    </row>
    <row r="1781" customFormat="false" ht="15" hidden="false" customHeight="true" outlineLevel="0" collapsed="false">
      <c r="A1781" s="7" t="n">
        <v>1057</v>
      </c>
      <c r="B1781" s="7" t="n">
        <v>26</v>
      </c>
      <c r="C1781" s="7" t="s">
        <v>33</v>
      </c>
      <c r="D1781" s="7" t="s">
        <v>41</v>
      </c>
      <c r="E1781" s="7" t="n">
        <v>9</v>
      </c>
      <c r="F1781" s="7" t="n">
        <v>9</v>
      </c>
      <c r="G1781" s="7" t="s">
        <v>26</v>
      </c>
      <c r="H1781" s="7" t="s">
        <v>32</v>
      </c>
      <c r="I1781" s="7" t="n">
        <v>31.8</v>
      </c>
      <c r="J1781" s="7" t="s">
        <v>28</v>
      </c>
      <c r="K1781" s="7" t="n">
        <v>272.2</v>
      </c>
      <c r="L1781" s="7" t="s">
        <v>37</v>
      </c>
      <c r="M1781" s="7" t="s">
        <v>30</v>
      </c>
    </row>
    <row r="1782" customFormat="false" ht="15" hidden="false" customHeight="true" outlineLevel="0" collapsed="false">
      <c r="A1782" s="7" t="n">
        <v>1066</v>
      </c>
      <c r="B1782" s="7" t="n">
        <v>27</v>
      </c>
      <c r="C1782" s="7" t="s">
        <v>33</v>
      </c>
      <c r="D1782" s="7" t="s">
        <v>41</v>
      </c>
      <c r="E1782" s="7" t="n">
        <v>14</v>
      </c>
      <c r="F1782" s="7" t="n">
        <v>10</v>
      </c>
      <c r="G1782" s="7" t="s">
        <v>26</v>
      </c>
      <c r="H1782" s="7" t="s">
        <v>27</v>
      </c>
      <c r="I1782" s="7" t="n">
        <v>34.8</v>
      </c>
      <c r="J1782" s="7" t="s">
        <v>28</v>
      </c>
      <c r="K1782" s="7" t="n">
        <v>237.3</v>
      </c>
      <c r="L1782" s="7" t="s">
        <v>37</v>
      </c>
      <c r="M1782" s="7" t="s">
        <v>30</v>
      </c>
    </row>
    <row r="1783" customFormat="false" ht="15" hidden="false" customHeight="true" outlineLevel="0" collapsed="false">
      <c r="A1783" s="7" t="n">
        <v>1077</v>
      </c>
      <c r="B1783" s="7" t="n">
        <v>87</v>
      </c>
      <c r="C1783" s="7" t="s">
        <v>24</v>
      </c>
      <c r="D1783" s="7" t="s">
        <v>41</v>
      </c>
      <c r="E1783" s="7" t="n">
        <v>1</v>
      </c>
      <c r="F1783" s="7" t="n">
        <v>5</v>
      </c>
      <c r="G1783" s="7" t="s">
        <v>36</v>
      </c>
      <c r="H1783" s="7" t="s">
        <v>27</v>
      </c>
      <c r="I1783" s="7" t="n">
        <v>28.8</v>
      </c>
      <c r="J1783" s="7" t="s">
        <v>28</v>
      </c>
      <c r="K1783" s="7" t="n">
        <v>198.1</v>
      </c>
      <c r="L1783" s="7" t="s">
        <v>37</v>
      </c>
      <c r="M1783" s="7" t="s">
        <v>30</v>
      </c>
    </row>
    <row r="1784" customFormat="false" ht="15" hidden="false" customHeight="true" outlineLevel="0" collapsed="false">
      <c r="A1784" s="7" t="n">
        <v>1105</v>
      </c>
      <c r="B1784" s="7" t="n">
        <v>56</v>
      </c>
      <c r="C1784" s="7" t="s">
        <v>33</v>
      </c>
      <c r="D1784" s="7" t="s">
        <v>41</v>
      </c>
      <c r="E1784" s="7" t="n">
        <v>9</v>
      </c>
      <c r="F1784" s="7" t="n">
        <v>2</v>
      </c>
      <c r="G1784" s="7" t="s">
        <v>34</v>
      </c>
      <c r="H1784" s="7" t="s">
        <v>27</v>
      </c>
      <c r="I1784" s="7" t="n">
        <v>26.7</v>
      </c>
      <c r="J1784" s="7" t="s">
        <v>28</v>
      </c>
      <c r="K1784" s="7" t="n">
        <v>150</v>
      </c>
      <c r="L1784" s="7" t="s">
        <v>37</v>
      </c>
      <c r="M1784" s="7" t="s">
        <v>30</v>
      </c>
    </row>
    <row r="1785" customFormat="false" ht="15" hidden="false" customHeight="true" outlineLevel="0" collapsed="false">
      <c r="A1785" s="7" t="n">
        <v>1148</v>
      </c>
      <c r="B1785" s="7" t="n">
        <v>30</v>
      </c>
      <c r="C1785" s="7" t="s">
        <v>24</v>
      </c>
      <c r="D1785" s="7" t="s">
        <v>41</v>
      </c>
      <c r="E1785" s="7" t="n">
        <v>7</v>
      </c>
      <c r="F1785" s="7" t="n">
        <v>12</v>
      </c>
      <c r="G1785" s="7" t="s">
        <v>34</v>
      </c>
      <c r="H1785" s="7" t="s">
        <v>27</v>
      </c>
      <c r="I1785" s="7" t="n">
        <v>26.7</v>
      </c>
      <c r="J1785" s="7" t="s">
        <v>28</v>
      </c>
      <c r="K1785" s="7" t="n">
        <v>223.8</v>
      </c>
      <c r="L1785" s="7" t="s">
        <v>37</v>
      </c>
      <c r="M1785" s="7" t="s">
        <v>30</v>
      </c>
    </row>
    <row r="1786" customFormat="false" ht="15" hidden="false" customHeight="true" outlineLevel="0" collapsed="false">
      <c r="A1786" s="7" t="n">
        <v>1193</v>
      </c>
      <c r="B1786" s="7" t="n">
        <v>86</v>
      </c>
      <c r="C1786" s="7" t="s">
        <v>24</v>
      </c>
      <c r="D1786" s="7" t="s">
        <v>41</v>
      </c>
      <c r="E1786" s="7" t="n">
        <v>7</v>
      </c>
      <c r="F1786" s="7" t="n">
        <v>13</v>
      </c>
      <c r="G1786" s="7" t="s">
        <v>36</v>
      </c>
      <c r="H1786" s="7" t="s">
        <v>27</v>
      </c>
      <c r="I1786" s="7" t="n">
        <v>19.3</v>
      </c>
      <c r="J1786" s="7" t="s">
        <v>28</v>
      </c>
      <c r="K1786" s="7" t="n">
        <v>136.4</v>
      </c>
      <c r="L1786" s="7" t="s">
        <v>37</v>
      </c>
      <c r="M1786" s="7" t="s">
        <v>30</v>
      </c>
    </row>
    <row r="1787" customFormat="false" ht="15" hidden="false" customHeight="true" outlineLevel="0" collapsed="false">
      <c r="A1787" s="7" t="n">
        <v>1260</v>
      </c>
      <c r="B1787" s="7" t="n">
        <v>74</v>
      </c>
      <c r="C1787" s="7" t="s">
        <v>33</v>
      </c>
      <c r="D1787" s="7" t="s">
        <v>41</v>
      </c>
      <c r="E1787" s="7" t="n">
        <v>18</v>
      </c>
      <c r="F1787" s="7" t="n">
        <v>10</v>
      </c>
      <c r="G1787" s="7" t="s">
        <v>31</v>
      </c>
      <c r="H1787" s="7" t="s">
        <v>27</v>
      </c>
      <c r="I1787" s="7" t="n">
        <v>28.7</v>
      </c>
      <c r="J1787" s="7" t="s">
        <v>28</v>
      </c>
      <c r="K1787" s="7" t="n">
        <v>189.3</v>
      </c>
      <c r="L1787" s="7" t="s">
        <v>37</v>
      </c>
      <c r="M1787" s="7" t="s">
        <v>30</v>
      </c>
    </row>
    <row r="1788" customFormat="false" ht="15" hidden="false" customHeight="true" outlineLevel="0" collapsed="false">
      <c r="A1788" s="7" t="n">
        <v>1408</v>
      </c>
      <c r="B1788" s="7" t="n">
        <v>76</v>
      </c>
      <c r="C1788" s="7" t="s">
        <v>24</v>
      </c>
      <c r="D1788" s="7" t="s">
        <v>41</v>
      </c>
      <c r="E1788" s="7" t="n">
        <v>8</v>
      </c>
      <c r="F1788" s="7" t="n">
        <v>13</v>
      </c>
      <c r="G1788" s="7" t="s">
        <v>35</v>
      </c>
      <c r="H1788" s="7" t="s">
        <v>27</v>
      </c>
      <c r="I1788" s="7" t="n">
        <v>37</v>
      </c>
      <c r="J1788" s="7" t="s">
        <v>28</v>
      </c>
      <c r="K1788" s="7" t="n">
        <v>218.2</v>
      </c>
      <c r="L1788" s="7" t="s">
        <v>37</v>
      </c>
      <c r="M1788" s="7" t="s">
        <v>30</v>
      </c>
    </row>
    <row r="1789" customFormat="false" ht="15" hidden="false" customHeight="true" outlineLevel="0" collapsed="false">
      <c r="A1789" s="7" t="n">
        <v>1499</v>
      </c>
      <c r="B1789" s="7" t="n">
        <v>45</v>
      </c>
      <c r="C1789" s="7" t="s">
        <v>24</v>
      </c>
      <c r="D1789" s="7" t="s">
        <v>41</v>
      </c>
      <c r="E1789" s="7" t="n">
        <v>8</v>
      </c>
      <c r="F1789" s="7" t="n">
        <v>14</v>
      </c>
      <c r="G1789" s="7" t="s">
        <v>36</v>
      </c>
      <c r="H1789" s="7" t="s">
        <v>27</v>
      </c>
      <c r="I1789" s="7" t="n">
        <v>22.1</v>
      </c>
      <c r="J1789" s="7" t="s">
        <v>28</v>
      </c>
      <c r="K1789" s="7" t="n">
        <v>253.4</v>
      </c>
      <c r="L1789" s="7" t="s">
        <v>37</v>
      </c>
      <c r="M1789" s="7" t="s">
        <v>30</v>
      </c>
    </row>
    <row r="1790" customFormat="false" ht="15" hidden="false" customHeight="true" outlineLevel="0" collapsed="false">
      <c r="A1790" s="7" t="n">
        <v>1505</v>
      </c>
      <c r="B1790" s="7" t="n">
        <v>66</v>
      </c>
      <c r="C1790" s="7" t="s">
        <v>24</v>
      </c>
      <c r="D1790" s="7" t="s">
        <v>41</v>
      </c>
      <c r="E1790" s="7" t="n">
        <v>6</v>
      </c>
      <c r="F1790" s="7" t="n">
        <v>8</v>
      </c>
      <c r="G1790" s="7" t="s">
        <v>34</v>
      </c>
      <c r="H1790" s="7" t="s">
        <v>32</v>
      </c>
      <c r="I1790" s="7" t="n">
        <v>41.3</v>
      </c>
      <c r="J1790" s="7" t="s">
        <v>28</v>
      </c>
      <c r="K1790" s="7" t="n">
        <v>244.8</v>
      </c>
      <c r="L1790" s="7" t="s">
        <v>37</v>
      </c>
      <c r="M1790" s="7" t="s">
        <v>30</v>
      </c>
    </row>
    <row r="1791" customFormat="false" ht="15" hidden="false" customHeight="true" outlineLevel="0" collapsed="false">
      <c r="A1791" s="7" t="n">
        <v>1664</v>
      </c>
      <c r="B1791" s="7" t="n">
        <v>62</v>
      </c>
      <c r="C1791" s="7" t="s">
        <v>24</v>
      </c>
      <c r="D1791" s="7" t="s">
        <v>41</v>
      </c>
      <c r="E1791" s="7" t="n">
        <v>3</v>
      </c>
      <c r="F1791" s="7" t="n">
        <v>6</v>
      </c>
      <c r="G1791" s="7" t="s">
        <v>34</v>
      </c>
      <c r="H1791" s="7" t="s">
        <v>32</v>
      </c>
      <c r="I1791" s="7" t="n">
        <v>33.8</v>
      </c>
      <c r="J1791" s="7" t="s">
        <v>28</v>
      </c>
      <c r="K1791" s="7" t="n">
        <v>260.3</v>
      </c>
      <c r="L1791" s="7" t="s">
        <v>37</v>
      </c>
      <c r="M1791" s="7" t="s">
        <v>30</v>
      </c>
    </row>
    <row r="1792" customFormat="false" ht="15" hidden="false" customHeight="true" outlineLevel="0" collapsed="false">
      <c r="A1792" s="7" t="n">
        <v>1786</v>
      </c>
      <c r="B1792" s="7" t="n">
        <v>68</v>
      </c>
      <c r="C1792" s="7" t="s">
        <v>24</v>
      </c>
      <c r="D1792" s="7" t="s">
        <v>41</v>
      </c>
      <c r="E1792" s="7" t="n">
        <v>3</v>
      </c>
      <c r="F1792" s="7" t="n">
        <v>1</v>
      </c>
      <c r="G1792" s="7" t="s">
        <v>31</v>
      </c>
      <c r="H1792" s="7" t="s">
        <v>27</v>
      </c>
      <c r="I1792" s="7" t="n">
        <v>26</v>
      </c>
      <c r="J1792" s="7" t="s">
        <v>28</v>
      </c>
      <c r="K1792" s="7" t="n">
        <v>162.1</v>
      </c>
      <c r="L1792" s="7" t="s">
        <v>37</v>
      </c>
      <c r="M1792" s="7" t="s">
        <v>30</v>
      </c>
    </row>
    <row r="1793" customFormat="false" ht="15" hidden="false" customHeight="true" outlineLevel="0" collapsed="false">
      <c r="A1793" s="7" t="n">
        <v>1862</v>
      </c>
      <c r="B1793" s="7" t="n">
        <v>33</v>
      </c>
      <c r="C1793" s="7" t="s">
        <v>33</v>
      </c>
      <c r="D1793" s="7" t="s">
        <v>41</v>
      </c>
      <c r="E1793" s="7" t="n">
        <v>11</v>
      </c>
      <c r="F1793" s="7" t="n">
        <v>5</v>
      </c>
      <c r="G1793" s="7" t="s">
        <v>35</v>
      </c>
      <c r="H1793" s="7" t="s">
        <v>27</v>
      </c>
      <c r="I1793" s="7" t="n">
        <v>19.2</v>
      </c>
      <c r="J1793" s="7" t="s">
        <v>28</v>
      </c>
      <c r="K1793" s="7" t="n">
        <v>260.7</v>
      </c>
      <c r="L1793" s="7" t="s">
        <v>37</v>
      </c>
      <c r="M1793" s="7" t="s">
        <v>30</v>
      </c>
    </row>
    <row r="1794" customFormat="false" ht="15" hidden="false" customHeight="true" outlineLevel="0" collapsed="false">
      <c r="A1794" s="7" t="n">
        <v>1892</v>
      </c>
      <c r="B1794" s="7" t="n">
        <v>78</v>
      </c>
      <c r="C1794" s="7" t="s">
        <v>33</v>
      </c>
      <c r="D1794" s="7" t="s">
        <v>41</v>
      </c>
      <c r="E1794" s="7" t="n">
        <v>12</v>
      </c>
      <c r="F1794" s="7" t="n">
        <v>3</v>
      </c>
      <c r="G1794" s="7" t="s">
        <v>34</v>
      </c>
      <c r="H1794" s="7" t="s">
        <v>27</v>
      </c>
      <c r="I1794" s="7" t="n">
        <v>40.7</v>
      </c>
      <c r="J1794" s="7" t="s">
        <v>28</v>
      </c>
      <c r="K1794" s="7" t="n">
        <v>266.9</v>
      </c>
      <c r="L1794" s="7" t="s">
        <v>37</v>
      </c>
      <c r="M1794" s="7" t="s">
        <v>30</v>
      </c>
    </row>
    <row r="1795" customFormat="false" ht="15" hidden="false" customHeight="true" outlineLevel="0" collapsed="false">
      <c r="A1795" s="7" t="n">
        <v>1903</v>
      </c>
      <c r="B1795" s="7" t="n">
        <v>31</v>
      </c>
      <c r="C1795" s="7" t="s">
        <v>33</v>
      </c>
      <c r="D1795" s="7" t="s">
        <v>41</v>
      </c>
      <c r="E1795" s="7" t="n">
        <v>4</v>
      </c>
      <c r="F1795" s="7" t="n">
        <v>7</v>
      </c>
      <c r="G1795" s="7" t="s">
        <v>36</v>
      </c>
      <c r="H1795" s="7" t="s">
        <v>27</v>
      </c>
      <c r="I1795" s="7" t="n">
        <v>17.2</v>
      </c>
      <c r="J1795" s="7" t="s">
        <v>28</v>
      </c>
      <c r="K1795" s="7" t="n">
        <v>195.5</v>
      </c>
      <c r="L1795" s="7" t="s">
        <v>37</v>
      </c>
      <c r="M1795" s="7" t="s">
        <v>30</v>
      </c>
    </row>
    <row r="1796" customFormat="false" ht="15" hidden="false" customHeight="true" outlineLevel="0" collapsed="false">
      <c r="A1796" s="7" t="n">
        <v>2056</v>
      </c>
      <c r="B1796" s="7" t="n">
        <v>67</v>
      </c>
      <c r="C1796" s="7" t="s">
        <v>33</v>
      </c>
      <c r="D1796" s="7" t="s">
        <v>41</v>
      </c>
      <c r="E1796" s="7" t="n">
        <v>12</v>
      </c>
      <c r="F1796" s="7" t="n">
        <v>2</v>
      </c>
      <c r="G1796" s="7" t="s">
        <v>26</v>
      </c>
      <c r="H1796" s="7" t="s">
        <v>32</v>
      </c>
      <c r="I1796" s="7" t="n">
        <v>27.1</v>
      </c>
      <c r="J1796" s="7" t="s">
        <v>28</v>
      </c>
      <c r="K1796" s="7" t="n">
        <v>138.3</v>
      </c>
      <c r="L1796" s="7" t="s">
        <v>37</v>
      </c>
      <c r="M1796" s="7" t="s">
        <v>30</v>
      </c>
    </row>
    <row r="1797" customFormat="false" ht="15" hidden="false" customHeight="true" outlineLevel="0" collapsed="false">
      <c r="A1797" s="7" t="n">
        <v>2062</v>
      </c>
      <c r="B1797" s="7" t="n">
        <v>82</v>
      </c>
      <c r="C1797" s="7" t="s">
        <v>33</v>
      </c>
      <c r="D1797" s="7" t="s">
        <v>41</v>
      </c>
      <c r="E1797" s="7" t="n">
        <v>17</v>
      </c>
      <c r="F1797" s="7" t="n">
        <v>12</v>
      </c>
      <c r="G1797" s="7" t="s">
        <v>26</v>
      </c>
      <c r="H1797" s="7" t="s">
        <v>27</v>
      </c>
      <c r="I1797" s="7" t="n">
        <v>23.4</v>
      </c>
      <c r="J1797" s="7" t="s">
        <v>28</v>
      </c>
      <c r="K1797" s="7" t="n">
        <v>267.2</v>
      </c>
      <c r="L1797" s="7" t="s">
        <v>37</v>
      </c>
      <c r="M1797" s="7" t="s">
        <v>30</v>
      </c>
    </row>
    <row r="1798" customFormat="false" ht="15" hidden="false" customHeight="true" outlineLevel="0" collapsed="false">
      <c r="A1798" s="7" t="n">
        <v>2184</v>
      </c>
      <c r="B1798" s="7" t="n">
        <v>21</v>
      </c>
      <c r="C1798" s="7" t="s">
        <v>24</v>
      </c>
      <c r="D1798" s="7" t="s">
        <v>41</v>
      </c>
      <c r="E1798" s="7" t="n">
        <v>5</v>
      </c>
      <c r="F1798" s="7" t="n">
        <v>11</v>
      </c>
      <c r="G1798" s="7" t="s">
        <v>34</v>
      </c>
      <c r="H1798" s="7" t="s">
        <v>32</v>
      </c>
      <c r="I1798" s="7" t="n">
        <v>26.7</v>
      </c>
      <c r="J1798" s="7" t="s">
        <v>28</v>
      </c>
      <c r="K1798" s="7" t="n">
        <v>170.1</v>
      </c>
      <c r="L1798" s="7" t="s">
        <v>37</v>
      </c>
      <c r="M1798" s="7" t="s">
        <v>30</v>
      </c>
    </row>
    <row r="1799" customFormat="false" ht="15" hidden="false" customHeight="true" outlineLevel="0" collapsed="false">
      <c r="A1799" s="7" t="n">
        <v>2311</v>
      </c>
      <c r="B1799" s="7" t="n">
        <v>41</v>
      </c>
      <c r="C1799" s="7" t="s">
        <v>24</v>
      </c>
      <c r="D1799" s="7" t="s">
        <v>41</v>
      </c>
      <c r="E1799" s="7" t="n">
        <v>13</v>
      </c>
      <c r="F1799" s="7" t="n">
        <v>5</v>
      </c>
      <c r="G1799" s="7" t="s">
        <v>31</v>
      </c>
      <c r="H1799" s="7" t="s">
        <v>32</v>
      </c>
      <c r="I1799" s="7" t="n">
        <v>29</v>
      </c>
      <c r="J1799" s="7" t="s">
        <v>28</v>
      </c>
      <c r="K1799" s="7" t="n">
        <v>218.2</v>
      </c>
      <c r="L1799" s="7" t="s">
        <v>37</v>
      </c>
      <c r="M1799" s="7" t="s">
        <v>30</v>
      </c>
    </row>
    <row r="1800" customFormat="false" ht="15" hidden="false" customHeight="true" outlineLevel="0" collapsed="false">
      <c r="A1800" s="7" t="n">
        <v>2327</v>
      </c>
      <c r="B1800" s="7" t="n">
        <v>34</v>
      </c>
      <c r="C1800" s="7" t="s">
        <v>33</v>
      </c>
      <c r="D1800" s="7" t="s">
        <v>41</v>
      </c>
      <c r="E1800" s="7" t="n">
        <v>10</v>
      </c>
      <c r="F1800" s="7" t="n">
        <v>12</v>
      </c>
      <c r="G1800" s="7" t="s">
        <v>31</v>
      </c>
      <c r="H1800" s="7" t="s">
        <v>27</v>
      </c>
      <c r="I1800" s="7" t="n">
        <v>35.7</v>
      </c>
      <c r="J1800" s="7" t="s">
        <v>28</v>
      </c>
      <c r="K1800" s="7" t="n">
        <v>217.3</v>
      </c>
      <c r="L1800" s="7" t="s">
        <v>37</v>
      </c>
      <c r="M1800" s="7" t="s">
        <v>30</v>
      </c>
    </row>
    <row r="1801" customFormat="false" ht="15" hidden="false" customHeight="true" outlineLevel="0" collapsed="false">
      <c r="A1801" s="7" t="n">
        <v>2362</v>
      </c>
      <c r="B1801" s="7" t="n">
        <v>28</v>
      </c>
      <c r="C1801" s="7" t="s">
        <v>33</v>
      </c>
      <c r="D1801" s="7" t="s">
        <v>41</v>
      </c>
      <c r="E1801" s="7" t="n">
        <v>1</v>
      </c>
      <c r="F1801" s="7" t="n">
        <v>3</v>
      </c>
      <c r="G1801" s="7" t="s">
        <v>36</v>
      </c>
      <c r="H1801" s="7" t="s">
        <v>32</v>
      </c>
      <c r="I1801" s="7" t="n">
        <v>30.6</v>
      </c>
      <c r="J1801" s="7" t="s">
        <v>28</v>
      </c>
      <c r="K1801" s="7" t="n">
        <v>154.5</v>
      </c>
      <c r="L1801" s="7" t="s">
        <v>37</v>
      </c>
      <c r="M1801" s="7" t="s">
        <v>30</v>
      </c>
    </row>
    <row r="1802" customFormat="false" ht="15" hidden="false" customHeight="true" outlineLevel="0" collapsed="false">
      <c r="A1802" s="7" t="n">
        <v>2490</v>
      </c>
      <c r="B1802" s="7" t="n">
        <v>70</v>
      </c>
      <c r="C1802" s="7" t="s">
        <v>24</v>
      </c>
      <c r="D1802" s="7" t="s">
        <v>41</v>
      </c>
      <c r="E1802" s="7" t="n">
        <v>11</v>
      </c>
      <c r="F1802" s="7" t="n">
        <v>1</v>
      </c>
      <c r="G1802" s="7" t="s">
        <v>35</v>
      </c>
      <c r="H1802" s="7" t="s">
        <v>27</v>
      </c>
      <c r="I1802" s="7" t="n">
        <v>37.3</v>
      </c>
      <c r="J1802" s="7" t="s">
        <v>28</v>
      </c>
      <c r="K1802" s="7" t="n">
        <v>246.2</v>
      </c>
      <c r="L1802" s="7" t="s">
        <v>37</v>
      </c>
      <c r="M1802" s="7" t="s">
        <v>30</v>
      </c>
    </row>
    <row r="1803" customFormat="false" ht="15" hidden="false" customHeight="true" outlineLevel="0" collapsed="false">
      <c r="A1803" s="7" t="n">
        <v>2</v>
      </c>
      <c r="B1803" s="7" t="n">
        <v>47</v>
      </c>
      <c r="C1803" s="7" t="s">
        <v>24</v>
      </c>
      <c r="D1803" s="7" t="s">
        <v>41</v>
      </c>
      <c r="E1803" s="7" t="n">
        <v>2</v>
      </c>
      <c r="F1803" s="7" t="n">
        <v>8</v>
      </c>
      <c r="G1803" s="7" t="s">
        <v>36</v>
      </c>
      <c r="H1803" s="7" t="s">
        <v>27</v>
      </c>
      <c r="I1803" s="7" t="n">
        <v>21.6</v>
      </c>
      <c r="J1803" s="7" t="s">
        <v>28</v>
      </c>
      <c r="K1803" s="7" t="n">
        <v>214.5</v>
      </c>
      <c r="L1803" s="7" t="s">
        <v>29</v>
      </c>
      <c r="M1803" s="7" t="s">
        <v>30</v>
      </c>
    </row>
    <row r="1804" customFormat="false" ht="15" hidden="false" customHeight="true" outlineLevel="0" collapsed="false">
      <c r="A1804" s="7" t="n">
        <v>3</v>
      </c>
      <c r="B1804" s="7" t="n">
        <v>77</v>
      </c>
      <c r="C1804" s="7" t="s">
        <v>24</v>
      </c>
      <c r="D1804" s="7" t="s">
        <v>41</v>
      </c>
      <c r="E1804" s="7" t="n">
        <v>10</v>
      </c>
      <c r="F1804" s="7" t="n">
        <v>12</v>
      </c>
      <c r="G1804" s="7" t="s">
        <v>35</v>
      </c>
      <c r="H1804" s="7" t="s">
        <v>27</v>
      </c>
      <c r="I1804" s="7" t="n">
        <v>41.6</v>
      </c>
      <c r="J1804" s="7" t="s">
        <v>28</v>
      </c>
      <c r="K1804" s="7" t="n">
        <v>274.8</v>
      </c>
      <c r="L1804" s="7" t="s">
        <v>29</v>
      </c>
      <c r="M1804" s="7" t="s">
        <v>30</v>
      </c>
    </row>
    <row r="1805" customFormat="false" ht="15" hidden="false" customHeight="true" outlineLevel="0" collapsed="false">
      <c r="A1805" s="7" t="n">
        <v>49</v>
      </c>
      <c r="B1805" s="7" t="n">
        <v>71</v>
      </c>
      <c r="C1805" s="7" t="s">
        <v>24</v>
      </c>
      <c r="D1805" s="7" t="s">
        <v>41</v>
      </c>
      <c r="E1805" s="7" t="n">
        <v>1</v>
      </c>
      <c r="F1805" s="7" t="n">
        <v>5</v>
      </c>
      <c r="G1805" s="7" t="s">
        <v>35</v>
      </c>
      <c r="H1805" s="7" t="s">
        <v>32</v>
      </c>
      <c r="I1805" s="7" t="n">
        <v>18.1</v>
      </c>
      <c r="J1805" s="7" t="s">
        <v>28</v>
      </c>
      <c r="K1805" s="7" t="n">
        <v>291.1</v>
      </c>
      <c r="L1805" s="7" t="s">
        <v>29</v>
      </c>
      <c r="M1805" s="7" t="s">
        <v>30</v>
      </c>
    </row>
    <row r="1806" customFormat="false" ht="15" hidden="false" customHeight="true" outlineLevel="0" collapsed="false">
      <c r="A1806" s="7" t="n">
        <v>50</v>
      </c>
      <c r="B1806" s="7" t="n">
        <v>53</v>
      </c>
      <c r="C1806" s="7" t="s">
        <v>24</v>
      </c>
      <c r="D1806" s="7" t="s">
        <v>41</v>
      </c>
      <c r="E1806" s="7" t="n">
        <v>8</v>
      </c>
      <c r="F1806" s="7" t="n">
        <v>10</v>
      </c>
      <c r="G1806" s="7" t="s">
        <v>36</v>
      </c>
      <c r="H1806" s="7" t="s">
        <v>27</v>
      </c>
      <c r="I1806" s="7" t="n">
        <v>23.6</v>
      </c>
      <c r="J1806" s="7" t="s">
        <v>28</v>
      </c>
      <c r="K1806" s="7" t="n">
        <v>166.8</v>
      </c>
      <c r="L1806" s="7" t="s">
        <v>29</v>
      </c>
      <c r="M1806" s="7" t="s">
        <v>30</v>
      </c>
    </row>
    <row r="1807" customFormat="false" ht="15" hidden="false" customHeight="true" outlineLevel="0" collapsed="false">
      <c r="A1807" s="7" t="n">
        <v>55</v>
      </c>
      <c r="B1807" s="7" t="n">
        <v>20</v>
      </c>
      <c r="C1807" s="7" t="s">
        <v>33</v>
      </c>
      <c r="D1807" s="7" t="s">
        <v>41</v>
      </c>
      <c r="E1807" s="7" t="n">
        <v>2</v>
      </c>
      <c r="F1807" s="7" t="n">
        <v>6</v>
      </c>
      <c r="G1807" s="7" t="s">
        <v>36</v>
      </c>
      <c r="H1807" s="7" t="s">
        <v>32</v>
      </c>
      <c r="I1807" s="7" t="n">
        <v>30.8</v>
      </c>
      <c r="J1807" s="7" t="s">
        <v>28</v>
      </c>
      <c r="K1807" s="7" t="n">
        <v>277.8</v>
      </c>
      <c r="L1807" s="7" t="s">
        <v>29</v>
      </c>
      <c r="M1807" s="7" t="s">
        <v>30</v>
      </c>
    </row>
    <row r="1808" customFormat="false" ht="15" hidden="false" customHeight="true" outlineLevel="0" collapsed="false">
      <c r="A1808" s="7" t="n">
        <v>70</v>
      </c>
      <c r="B1808" s="7" t="n">
        <v>31</v>
      </c>
      <c r="C1808" s="7" t="s">
        <v>24</v>
      </c>
      <c r="D1808" s="7" t="s">
        <v>41</v>
      </c>
      <c r="E1808" s="7" t="n">
        <v>1</v>
      </c>
      <c r="F1808" s="7" t="n">
        <v>10</v>
      </c>
      <c r="G1808" s="7" t="s">
        <v>26</v>
      </c>
      <c r="H1808" s="7" t="s">
        <v>27</v>
      </c>
      <c r="I1808" s="7" t="n">
        <v>40.3</v>
      </c>
      <c r="J1808" s="7" t="s">
        <v>28</v>
      </c>
      <c r="K1808" s="7" t="n">
        <v>226.9</v>
      </c>
      <c r="L1808" s="7" t="s">
        <v>29</v>
      </c>
      <c r="M1808" s="7" t="s">
        <v>30</v>
      </c>
    </row>
    <row r="1809" customFormat="false" ht="15" hidden="false" customHeight="true" outlineLevel="0" collapsed="false">
      <c r="A1809" s="7" t="n">
        <v>91</v>
      </c>
      <c r="B1809" s="7" t="n">
        <v>36</v>
      </c>
      <c r="C1809" s="7" t="s">
        <v>24</v>
      </c>
      <c r="D1809" s="7" t="s">
        <v>41</v>
      </c>
      <c r="E1809" s="7" t="n">
        <v>1</v>
      </c>
      <c r="F1809" s="7" t="n">
        <v>7</v>
      </c>
      <c r="G1809" s="7" t="s">
        <v>26</v>
      </c>
      <c r="H1809" s="7" t="s">
        <v>32</v>
      </c>
      <c r="I1809" s="7" t="n">
        <v>33.1</v>
      </c>
      <c r="J1809" s="7" t="s">
        <v>28</v>
      </c>
      <c r="K1809" s="7" t="n">
        <v>283.9</v>
      </c>
      <c r="L1809" s="7" t="s">
        <v>29</v>
      </c>
      <c r="M1809" s="7" t="s">
        <v>30</v>
      </c>
    </row>
    <row r="1810" customFormat="false" ht="15" hidden="false" customHeight="true" outlineLevel="0" collapsed="false">
      <c r="A1810" s="7" t="n">
        <v>127</v>
      </c>
      <c r="B1810" s="7" t="n">
        <v>81</v>
      </c>
      <c r="C1810" s="7" t="s">
        <v>33</v>
      </c>
      <c r="D1810" s="7" t="s">
        <v>41</v>
      </c>
      <c r="E1810" s="7" t="n">
        <v>8</v>
      </c>
      <c r="F1810" s="7" t="n">
        <v>11</v>
      </c>
      <c r="G1810" s="7" t="s">
        <v>34</v>
      </c>
      <c r="H1810" s="7" t="s">
        <v>27</v>
      </c>
      <c r="I1810" s="7" t="n">
        <v>18.8</v>
      </c>
      <c r="J1810" s="7" t="s">
        <v>28</v>
      </c>
      <c r="K1810" s="7" t="n">
        <v>206.4</v>
      </c>
      <c r="L1810" s="7" t="s">
        <v>29</v>
      </c>
      <c r="M1810" s="7" t="s">
        <v>30</v>
      </c>
    </row>
    <row r="1811" customFormat="false" ht="15" hidden="false" customHeight="true" outlineLevel="0" collapsed="false">
      <c r="A1811" s="7" t="n">
        <v>134</v>
      </c>
      <c r="B1811" s="7" t="n">
        <v>35</v>
      </c>
      <c r="C1811" s="7" t="s">
        <v>33</v>
      </c>
      <c r="D1811" s="7" t="s">
        <v>41</v>
      </c>
      <c r="E1811" s="7" t="n">
        <v>18</v>
      </c>
      <c r="F1811" s="7" t="n">
        <v>6</v>
      </c>
      <c r="G1811" s="7" t="s">
        <v>26</v>
      </c>
      <c r="H1811" s="7" t="s">
        <v>32</v>
      </c>
      <c r="I1811" s="7" t="n">
        <v>41.4</v>
      </c>
      <c r="J1811" s="7" t="s">
        <v>28</v>
      </c>
      <c r="K1811" s="7" t="n">
        <v>155.9</v>
      </c>
      <c r="L1811" s="7" t="s">
        <v>29</v>
      </c>
      <c r="M1811" s="7" t="s">
        <v>30</v>
      </c>
    </row>
    <row r="1812" customFormat="false" ht="15" hidden="false" customHeight="true" outlineLevel="0" collapsed="false">
      <c r="A1812" s="7" t="n">
        <v>142</v>
      </c>
      <c r="B1812" s="7" t="n">
        <v>61</v>
      </c>
      <c r="C1812" s="7" t="s">
        <v>24</v>
      </c>
      <c r="D1812" s="7" t="s">
        <v>41</v>
      </c>
      <c r="E1812" s="7" t="n">
        <v>17</v>
      </c>
      <c r="F1812" s="7" t="n">
        <v>8</v>
      </c>
      <c r="G1812" s="7" t="s">
        <v>31</v>
      </c>
      <c r="H1812" s="7" t="s">
        <v>32</v>
      </c>
      <c r="I1812" s="7" t="n">
        <v>31</v>
      </c>
      <c r="J1812" s="7" t="s">
        <v>28</v>
      </c>
      <c r="K1812" s="7" t="n">
        <v>126.2</v>
      </c>
      <c r="L1812" s="7" t="s">
        <v>29</v>
      </c>
      <c r="M1812" s="7" t="s">
        <v>30</v>
      </c>
    </row>
    <row r="1813" customFormat="false" ht="15" hidden="false" customHeight="true" outlineLevel="0" collapsed="false">
      <c r="A1813" s="7" t="n">
        <v>150</v>
      </c>
      <c r="B1813" s="7" t="n">
        <v>88</v>
      </c>
      <c r="C1813" s="7" t="s">
        <v>33</v>
      </c>
      <c r="D1813" s="7" t="s">
        <v>41</v>
      </c>
      <c r="E1813" s="7" t="n">
        <v>15</v>
      </c>
      <c r="F1813" s="7" t="n">
        <v>1</v>
      </c>
      <c r="G1813" s="7" t="s">
        <v>26</v>
      </c>
      <c r="H1813" s="7" t="s">
        <v>27</v>
      </c>
      <c r="I1813" s="7" t="n">
        <v>30.7</v>
      </c>
      <c r="J1813" s="7" t="s">
        <v>28</v>
      </c>
      <c r="K1813" s="7" t="n">
        <v>218.2</v>
      </c>
      <c r="L1813" s="7" t="s">
        <v>29</v>
      </c>
      <c r="M1813" s="7" t="s">
        <v>30</v>
      </c>
    </row>
    <row r="1814" customFormat="false" ht="15" hidden="false" customHeight="true" outlineLevel="0" collapsed="false">
      <c r="A1814" s="7" t="n">
        <v>171</v>
      </c>
      <c r="B1814" s="7" t="n">
        <v>62</v>
      </c>
      <c r="C1814" s="7" t="s">
        <v>24</v>
      </c>
      <c r="D1814" s="7" t="s">
        <v>41</v>
      </c>
      <c r="E1814" s="7" t="n">
        <v>15</v>
      </c>
      <c r="F1814" s="7" t="n">
        <v>4</v>
      </c>
      <c r="G1814" s="7" t="s">
        <v>31</v>
      </c>
      <c r="H1814" s="7" t="s">
        <v>32</v>
      </c>
      <c r="I1814" s="7" t="n">
        <v>27.8</v>
      </c>
      <c r="J1814" s="7" t="s">
        <v>28</v>
      </c>
      <c r="K1814" s="7" t="n">
        <v>211.1</v>
      </c>
      <c r="L1814" s="7" t="s">
        <v>29</v>
      </c>
      <c r="M1814" s="7" t="s">
        <v>30</v>
      </c>
    </row>
    <row r="1815" customFormat="false" ht="15" hidden="false" customHeight="true" outlineLevel="0" collapsed="false">
      <c r="A1815" s="7" t="n">
        <v>205</v>
      </c>
      <c r="B1815" s="7" t="n">
        <v>67</v>
      </c>
      <c r="C1815" s="7" t="s">
        <v>33</v>
      </c>
      <c r="D1815" s="7" t="s">
        <v>41</v>
      </c>
      <c r="E1815" s="7" t="n">
        <v>9</v>
      </c>
      <c r="F1815" s="7" t="n">
        <v>1</v>
      </c>
      <c r="G1815" s="7" t="s">
        <v>31</v>
      </c>
      <c r="H1815" s="7" t="s">
        <v>27</v>
      </c>
      <c r="I1815" s="7" t="n">
        <v>19.2</v>
      </c>
      <c r="J1815" s="7" t="s">
        <v>28</v>
      </c>
      <c r="K1815" s="7" t="n">
        <v>218.1</v>
      </c>
      <c r="L1815" s="7" t="s">
        <v>29</v>
      </c>
      <c r="M1815" s="7" t="s">
        <v>30</v>
      </c>
    </row>
    <row r="1816" customFormat="false" ht="15" hidden="false" customHeight="true" outlineLevel="0" collapsed="false">
      <c r="A1816" s="7" t="n">
        <v>218</v>
      </c>
      <c r="B1816" s="7" t="n">
        <v>34</v>
      </c>
      <c r="C1816" s="7" t="s">
        <v>33</v>
      </c>
      <c r="D1816" s="7" t="s">
        <v>41</v>
      </c>
      <c r="E1816" s="7" t="n">
        <v>16</v>
      </c>
      <c r="F1816" s="7" t="n">
        <v>6</v>
      </c>
      <c r="G1816" s="7" t="s">
        <v>31</v>
      </c>
      <c r="H1816" s="7" t="s">
        <v>27</v>
      </c>
      <c r="I1816" s="7" t="n">
        <v>41.5</v>
      </c>
      <c r="J1816" s="7" t="s">
        <v>28</v>
      </c>
      <c r="K1816" s="7" t="n">
        <v>142.7</v>
      </c>
      <c r="L1816" s="7" t="s">
        <v>29</v>
      </c>
      <c r="M1816" s="7" t="s">
        <v>30</v>
      </c>
    </row>
    <row r="1817" customFormat="false" ht="15" hidden="false" customHeight="true" outlineLevel="0" collapsed="false">
      <c r="A1817" s="7" t="n">
        <v>224</v>
      </c>
      <c r="B1817" s="7" t="n">
        <v>31</v>
      </c>
      <c r="C1817" s="7" t="s">
        <v>24</v>
      </c>
      <c r="D1817" s="7" t="s">
        <v>41</v>
      </c>
      <c r="E1817" s="7" t="n">
        <v>19</v>
      </c>
      <c r="F1817" s="7" t="n">
        <v>4</v>
      </c>
      <c r="G1817" s="7" t="s">
        <v>26</v>
      </c>
      <c r="H1817" s="7" t="s">
        <v>27</v>
      </c>
      <c r="I1817" s="7" t="n">
        <v>19.4</v>
      </c>
      <c r="J1817" s="7" t="s">
        <v>28</v>
      </c>
      <c r="K1817" s="7" t="n">
        <v>122.2</v>
      </c>
      <c r="L1817" s="7" t="s">
        <v>29</v>
      </c>
      <c r="M1817" s="7" t="s">
        <v>30</v>
      </c>
    </row>
    <row r="1818" customFormat="false" ht="15" hidden="false" customHeight="true" outlineLevel="0" collapsed="false">
      <c r="A1818" s="7" t="n">
        <v>258</v>
      </c>
      <c r="B1818" s="7" t="n">
        <v>51</v>
      </c>
      <c r="C1818" s="7" t="s">
        <v>33</v>
      </c>
      <c r="D1818" s="7" t="s">
        <v>41</v>
      </c>
      <c r="E1818" s="7" t="n">
        <v>13</v>
      </c>
      <c r="F1818" s="7" t="n">
        <v>13</v>
      </c>
      <c r="G1818" s="7" t="s">
        <v>26</v>
      </c>
      <c r="H1818" s="7" t="s">
        <v>27</v>
      </c>
      <c r="I1818" s="7" t="n">
        <v>38.7</v>
      </c>
      <c r="J1818" s="7" t="s">
        <v>28</v>
      </c>
      <c r="K1818" s="7" t="n">
        <v>140.3</v>
      </c>
      <c r="L1818" s="7" t="s">
        <v>29</v>
      </c>
      <c r="M1818" s="7" t="s">
        <v>30</v>
      </c>
    </row>
    <row r="1819" customFormat="false" ht="15" hidden="false" customHeight="true" outlineLevel="0" collapsed="false">
      <c r="A1819" s="7" t="n">
        <v>278</v>
      </c>
      <c r="B1819" s="7" t="n">
        <v>64</v>
      </c>
      <c r="C1819" s="7" t="s">
        <v>24</v>
      </c>
      <c r="D1819" s="7" t="s">
        <v>41</v>
      </c>
      <c r="E1819" s="7" t="n">
        <v>1</v>
      </c>
      <c r="F1819" s="7" t="n">
        <v>1</v>
      </c>
      <c r="G1819" s="7" t="s">
        <v>31</v>
      </c>
      <c r="H1819" s="7" t="s">
        <v>27</v>
      </c>
      <c r="I1819" s="7" t="n">
        <v>18.5</v>
      </c>
      <c r="J1819" s="7" t="s">
        <v>28</v>
      </c>
      <c r="K1819" s="7" t="n">
        <v>244.2</v>
      </c>
      <c r="L1819" s="7" t="s">
        <v>29</v>
      </c>
      <c r="M1819" s="7" t="s">
        <v>30</v>
      </c>
    </row>
    <row r="1820" customFormat="false" ht="15" hidden="false" customHeight="true" outlineLevel="0" collapsed="false">
      <c r="A1820" s="7" t="n">
        <v>283</v>
      </c>
      <c r="B1820" s="7" t="n">
        <v>25</v>
      </c>
      <c r="C1820" s="7" t="s">
        <v>33</v>
      </c>
      <c r="D1820" s="7" t="s">
        <v>41</v>
      </c>
      <c r="E1820" s="7" t="n">
        <v>2</v>
      </c>
      <c r="F1820" s="7" t="n">
        <v>2</v>
      </c>
      <c r="G1820" s="7" t="s">
        <v>36</v>
      </c>
      <c r="H1820" s="7" t="s">
        <v>27</v>
      </c>
      <c r="I1820" s="7" t="n">
        <v>35</v>
      </c>
      <c r="J1820" s="7" t="s">
        <v>28</v>
      </c>
      <c r="K1820" s="7" t="n">
        <v>235.3</v>
      </c>
      <c r="L1820" s="7" t="s">
        <v>29</v>
      </c>
      <c r="M1820" s="7" t="s">
        <v>30</v>
      </c>
    </row>
    <row r="1821" customFormat="false" ht="15" hidden="false" customHeight="true" outlineLevel="0" collapsed="false">
      <c r="A1821" s="7" t="n">
        <v>291</v>
      </c>
      <c r="B1821" s="7" t="n">
        <v>44</v>
      </c>
      <c r="C1821" s="7" t="s">
        <v>24</v>
      </c>
      <c r="D1821" s="7" t="s">
        <v>41</v>
      </c>
      <c r="E1821" s="7" t="n">
        <v>15</v>
      </c>
      <c r="F1821" s="7" t="n">
        <v>8</v>
      </c>
      <c r="G1821" s="7" t="s">
        <v>26</v>
      </c>
      <c r="H1821" s="7" t="s">
        <v>32</v>
      </c>
      <c r="I1821" s="7" t="n">
        <v>36.3</v>
      </c>
      <c r="J1821" s="7" t="s">
        <v>28</v>
      </c>
      <c r="K1821" s="7" t="n">
        <v>268.5</v>
      </c>
      <c r="L1821" s="7" t="s">
        <v>29</v>
      </c>
      <c r="M1821" s="7" t="s">
        <v>30</v>
      </c>
    </row>
    <row r="1822" customFormat="false" ht="15" hidden="false" customHeight="true" outlineLevel="0" collapsed="false">
      <c r="A1822" s="7" t="n">
        <v>320</v>
      </c>
      <c r="B1822" s="7" t="n">
        <v>86</v>
      </c>
      <c r="C1822" s="7" t="s">
        <v>33</v>
      </c>
      <c r="D1822" s="7" t="s">
        <v>41</v>
      </c>
      <c r="E1822" s="7" t="n">
        <v>3</v>
      </c>
      <c r="F1822" s="7" t="n">
        <v>4</v>
      </c>
      <c r="G1822" s="7" t="s">
        <v>31</v>
      </c>
      <c r="H1822" s="7" t="s">
        <v>32</v>
      </c>
      <c r="I1822" s="7" t="n">
        <v>28.1</v>
      </c>
      <c r="J1822" s="7" t="s">
        <v>28</v>
      </c>
      <c r="K1822" s="7" t="n">
        <v>165.9</v>
      </c>
      <c r="L1822" s="7" t="s">
        <v>29</v>
      </c>
      <c r="M1822" s="7" t="s">
        <v>30</v>
      </c>
    </row>
    <row r="1823" customFormat="false" ht="15" hidden="false" customHeight="true" outlineLevel="0" collapsed="false">
      <c r="A1823" s="7" t="n">
        <v>336</v>
      </c>
      <c r="B1823" s="7" t="n">
        <v>79</v>
      </c>
      <c r="C1823" s="7" t="s">
        <v>24</v>
      </c>
      <c r="D1823" s="7" t="s">
        <v>41</v>
      </c>
      <c r="E1823" s="7" t="n">
        <v>4</v>
      </c>
      <c r="F1823" s="7" t="n">
        <v>10</v>
      </c>
      <c r="G1823" s="7" t="s">
        <v>31</v>
      </c>
      <c r="H1823" s="7" t="s">
        <v>27</v>
      </c>
      <c r="I1823" s="7" t="n">
        <v>34.9</v>
      </c>
      <c r="J1823" s="7" t="s">
        <v>28</v>
      </c>
      <c r="K1823" s="7" t="n">
        <v>156.4</v>
      </c>
      <c r="L1823" s="7" t="s">
        <v>29</v>
      </c>
      <c r="M1823" s="7" t="s">
        <v>30</v>
      </c>
    </row>
    <row r="1824" customFormat="false" ht="15" hidden="false" customHeight="true" outlineLevel="0" collapsed="false">
      <c r="A1824" s="7" t="n">
        <v>345</v>
      </c>
      <c r="B1824" s="7" t="n">
        <v>72</v>
      </c>
      <c r="C1824" s="7" t="s">
        <v>24</v>
      </c>
      <c r="D1824" s="7" t="s">
        <v>41</v>
      </c>
      <c r="E1824" s="7" t="n">
        <v>11</v>
      </c>
      <c r="F1824" s="7" t="n">
        <v>14</v>
      </c>
      <c r="G1824" s="7" t="s">
        <v>26</v>
      </c>
      <c r="H1824" s="7" t="s">
        <v>27</v>
      </c>
      <c r="I1824" s="7" t="n">
        <v>28.7</v>
      </c>
      <c r="J1824" s="7" t="s">
        <v>28</v>
      </c>
      <c r="K1824" s="7" t="n">
        <v>208.9</v>
      </c>
      <c r="L1824" s="7" t="s">
        <v>29</v>
      </c>
      <c r="M1824" s="7" t="s">
        <v>30</v>
      </c>
    </row>
    <row r="1825" customFormat="false" ht="15" hidden="false" customHeight="true" outlineLevel="0" collapsed="false">
      <c r="A1825" s="7" t="n">
        <v>349</v>
      </c>
      <c r="B1825" s="7" t="n">
        <v>83</v>
      </c>
      <c r="C1825" s="7" t="s">
        <v>33</v>
      </c>
      <c r="D1825" s="7" t="s">
        <v>41</v>
      </c>
      <c r="E1825" s="7" t="n">
        <v>13</v>
      </c>
      <c r="F1825" s="7" t="n">
        <v>13</v>
      </c>
      <c r="G1825" s="7" t="s">
        <v>34</v>
      </c>
      <c r="H1825" s="7" t="s">
        <v>27</v>
      </c>
      <c r="I1825" s="7" t="n">
        <v>40</v>
      </c>
      <c r="J1825" s="7" t="s">
        <v>28</v>
      </c>
      <c r="K1825" s="7" t="n">
        <v>226.7</v>
      </c>
      <c r="L1825" s="7" t="s">
        <v>29</v>
      </c>
      <c r="M1825" s="7" t="s">
        <v>30</v>
      </c>
    </row>
    <row r="1826" customFormat="false" ht="15" hidden="false" customHeight="true" outlineLevel="0" collapsed="false">
      <c r="A1826" s="7" t="n">
        <v>392</v>
      </c>
      <c r="B1826" s="7" t="n">
        <v>23</v>
      </c>
      <c r="C1826" s="7" t="s">
        <v>24</v>
      </c>
      <c r="D1826" s="7" t="s">
        <v>41</v>
      </c>
      <c r="E1826" s="7" t="n">
        <v>5</v>
      </c>
      <c r="F1826" s="7" t="n">
        <v>10</v>
      </c>
      <c r="G1826" s="7" t="s">
        <v>35</v>
      </c>
      <c r="H1826" s="7" t="s">
        <v>27</v>
      </c>
      <c r="I1826" s="7" t="n">
        <v>37.7</v>
      </c>
      <c r="J1826" s="7" t="s">
        <v>28</v>
      </c>
      <c r="K1826" s="7" t="n">
        <v>245.4</v>
      </c>
      <c r="L1826" s="7" t="s">
        <v>29</v>
      </c>
      <c r="M1826" s="7" t="s">
        <v>30</v>
      </c>
    </row>
    <row r="1827" customFormat="false" ht="15" hidden="false" customHeight="true" outlineLevel="0" collapsed="false">
      <c r="A1827" s="7" t="n">
        <v>405</v>
      </c>
      <c r="B1827" s="7" t="n">
        <v>49</v>
      </c>
      <c r="C1827" s="7" t="s">
        <v>24</v>
      </c>
      <c r="D1827" s="7" t="s">
        <v>41</v>
      </c>
      <c r="E1827" s="7" t="n">
        <v>19</v>
      </c>
      <c r="F1827" s="7" t="n">
        <v>5</v>
      </c>
      <c r="G1827" s="7" t="s">
        <v>35</v>
      </c>
      <c r="H1827" s="7" t="s">
        <v>27</v>
      </c>
      <c r="I1827" s="7" t="n">
        <v>27.7</v>
      </c>
      <c r="J1827" s="7" t="s">
        <v>28</v>
      </c>
      <c r="K1827" s="7" t="n">
        <v>221.6</v>
      </c>
      <c r="L1827" s="7" t="s">
        <v>29</v>
      </c>
      <c r="M1827" s="7" t="s">
        <v>30</v>
      </c>
    </row>
    <row r="1828" customFormat="false" ht="15" hidden="false" customHeight="true" outlineLevel="0" collapsed="false">
      <c r="A1828" s="7" t="n">
        <v>426</v>
      </c>
      <c r="B1828" s="7" t="n">
        <v>53</v>
      </c>
      <c r="C1828" s="7" t="s">
        <v>24</v>
      </c>
      <c r="D1828" s="7" t="s">
        <v>41</v>
      </c>
      <c r="E1828" s="7" t="n">
        <v>19</v>
      </c>
      <c r="F1828" s="7" t="n">
        <v>1</v>
      </c>
      <c r="G1828" s="7" t="s">
        <v>35</v>
      </c>
      <c r="H1828" s="7" t="s">
        <v>32</v>
      </c>
      <c r="I1828" s="7" t="n">
        <v>41.9</v>
      </c>
      <c r="J1828" s="7" t="s">
        <v>28</v>
      </c>
      <c r="K1828" s="7" t="n">
        <v>183.9</v>
      </c>
      <c r="L1828" s="7" t="s">
        <v>29</v>
      </c>
      <c r="M1828" s="7" t="s">
        <v>30</v>
      </c>
    </row>
    <row r="1829" customFormat="false" ht="15" hidden="false" customHeight="true" outlineLevel="0" collapsed="false">
      <c r="A1829" s="7" t="n">
        <v>501</v>
      </c>
      <c r="B1829" s="7" t="n">
        <v>35</v>
      </c>
      <c r="C1829" s="7" t="s">
        <v>24</v>
      </c>
      <c r="D1829" s="7" t="s">
        <v>41</v>
      </c>
      <c r="E1829" s="7" t="n">
        <v>4</v>
      </c>
      <c r="F1829" s="7" t="n">
        <v>6</v>
      </c>
      <c r="G1829" s="7" t="s">
        <v>31</v>
      </c>
      <c r="H1829" s="7" t="s">
        <v>32</v>
      </c>
      <c r="I1829" s="7" t="n">
        <v>31.9</v>
      </c>
      <c r="J1829" s="7" t="s">
        <v>28</v>
      </c>
      <c r="K1829" s="7" t="n">
        <v>205.2</v>
      </c>
      <c r="L1829" s="7" t="s">
        <v>29</v>
      </c>
      <c r="M1829" s="7" t="s">
        <v>30</v>
      </c>
    </row>
    <row r="1830" customFormat="false" ht="15" hidden="false" customHeight="true" outlineLevel="0" collapsed="false">
      <c r="A1830" s="7" t="n">
        <v>509</v>
      </c>
      <c r="B1830" s="7" t="n">
        <v>89</v>
      </c>
      <c r="C1830" s="7" t="s">
        <v>33</v>
      </c>
      <c r="D1830" s="7" t="s">
        <v>41</v>
      </c>
      <c r="E1830" s="7" t="n">
        <v>10</v>
      </c>
      <c r="F1830" s="7" t="n">
        <v>8</v>
      </c>
      <c r="G1830" s="7" t="s">
        <v>26</v>
      </c>
      <c r="H1830" s="7" t="s">
        <v>27</v>
      </c>
      <c r="I1830" s="7" t="n">
        <v>28.4</v>
      </c>
      <c r="J1830" s="7" t="s">
        <v>28</v>
      </c>
      <c r="K1830" s="7" t="n">
        <v>260.9</v>
      </c>
      <c r="L1830" s="7" t="s">
        <v>29</v>
      </c>
      <c r="M1830" s="7" t="s">
        <v>30</v>
      </c>
    </row>
    <row r="1831" customFormat="false" ht="15" hidden="false" customHeight="true" outlineLevel="0" collapsed="false">
      <c r="A1831" s="7" t="n">
        <v>516</v>
      </c>
      <c r="B1831" s="7" t="n">
        <v>57</v>
      </c>
      <c r="C1831" s="7" t="s">
        <v>24</v>
      </c>
      <c r="D1831" s="7" t="s">
        <v>41</v>
      </c>
      <c r="E1831" s="7" t="n">
        <v>16</v>
      </c>
      <c r="F1831" s="7" t="n">
        <v>7</v>
      </c>
      <c r="G1831" s="7" t="s">
        <v>31</v>
      </c>
      <c r="H1831" s="7" t="s">
        <v>32</v>
      </c>
      <c r="I1831" s="7" t="n">
        <v>21</v>
      </c>
      <c r="J1831" s="7" t="s">
        <v>28</v>
      </c>
      <c r="K1831" s="7" t="n">
        <v>154.6</v>
      </c>
      <c r="L1831" s="7" t="s">
        <v>29</v>
      </c>
      <c r="M1831" s="7" t="s">
        <v>30</v>
      </c>
    </row>
    <row r="1832" customFormat="false" ht="15" hidden="false" customHeight="true" outlineLevel="0" collapsed="false">
      <c r="A1832" s="7" t="n">
        <v>585</v>
      </c>
      <c r="B1832" s="7" t="n">
        <v>77</v>
      </c>
      <c r="C1832" s="7" t="s">
        <v>24</v>
      </c>
      <c r="D1832" s="7" t="s">
        <v>41</v>
      </c>
      <c r="E1832" s="7" t="n">
        <v>6</v>
      </c>
      <c r="F1832" s="7" t="n">
        <v>11</v>
      </c>
      <c r="G1832" s="7" t="s">
        <v>34</v>
      </c>
      <c r="H1832" s="7" t="s">
        <v>32</v>
      </c>
      <c r="I1832" s="7" t="n">
        <v>27.3</v>
      </c>
      <c r="J1832" s="7" t="s">
        <v>28</v>
      </c>
      <c r="K1832" s="7" t="n">
        <v>233.4</v>
      </c>
      <c r="L1832" s="7" t="s">
        <v>29</v>
      </c>
      <c r="M1832" s="7" t="s">
        <v>30</v>
      </c>
    </row>
    <row r="1833" customFormat="false" ht="15" hidden="false" customHeight="true" outlineLevel="0" collapsed="false">
      <c r="A1833" s="7" t="n">
        <v>609</v>
      </c>
      <c r="B1833" s="7" t="n">
        <v>28</v>
      </c>
      <c r="C1833" s="7" t="s">
        <v>33</v>
      </c>
      <c r="D1833" s="7" t="s">
        <v>41</v>
      </c>
      <c r="E1833" s="7" t="n">
        <v>4</v>
      </c>
      <c r="F1833" s="7" t="n">
        <v>10</v>
      </c>
      <c r="G1833" s="7" t="s">
        <v>36</v>
      </c>
      <c r="H1833" s="7" t="s">
        <v>27</v>
      </c>
      <c r="I1833" s="7" t="n">
        <v>28.2</v>
      </c>
      <c r="J1833" s="7" t="s">
        <v>28</v>
      </c>
      <c r="K1833" s="7" t="n">
        <v>244.1</v>
      </c>
      <c r="L1833" s="7" t="s">
        <v>29</v>
      </c>
      <c r="M1833" s="7" t="s">
        <v>30</v>
      </c>
    </row>
    <row r="1834" customFormat="false" ht="15" hidden="false" customHeight="true" outlineLevel="0" collapsed="false">
      <c r="A1834" s="7" t="n">
        <v>612</v>
      </c>
      <c r="B1834" s="7" t="n">
        <v>71</v>
      </c>
      <c r="C1834" s="7" t="s">
        <v>33</v>
      </c>
      <c r="D1834" s="7" t="s">
        <v>41</v>
      </c>
      <c r="E1834" s="7" t="n">
        <v>14</v>
      </c>
      <c r="F1834" s="7" t="n">
        <v>10</v>
      </c>
      <c r="G1834" s="7" t="s">
        <v>36</v>
      </c>
      <c r="H1834" s="7" t="s">
        <v>27</v>
      </c>
      <c r="I1834" s="7" t="n">
        <v>21.7</v>
      </c>
      <c r="J1834" s="7" t="s">
        <v>28</v>
      </c>
      <c r="K1834" s="7" t="n">
        <v>168.2</v>
      </c>
      <c r="L1834" s="7" t="s">
        <v>29</v>
      </c>
      <c r="M1834" s="7" t="s">
        <v>30</v>
      </c>
    </row>
    <row r="1835" customFormat="false" ht="15" hidden="false" customHeight="true" outlineLevel="0" collapsed="false">
      <c r="A1835" s="7" t="n">
        <v>620</v>
      </c>
      <c r="B1835" s="7" t="n">
        <v>29</v>
      </c>
      <c r="C1835" s="7" t="s">
        <v>33</v>
      </c>
      <c r="D1835" s="7" t="s">
        <v>41</v>
      </c>
      <c r="E1835" s="7" t="n">
        <v>3</v>
      </c>
      <c r="F1835" s="7" t="n">
        <v>12</v>
      </c>
      <c r="G1835" s="7" t="s">
        <v>36</v>
      </c>
      <c r="H1835" s="7" t="s">
        <v>27</v>
      </c>
      <c r="I1835" s="7" t="n">
        <v>31.8</v>
      </c>
      <c r="J1835" s="7" t="s">
        <v>28</v>
      </c>
      <c r="K1835" s="7" t="n">
        <v>140.9</v>
      </c>
      <c r="L1835" s="7" t="s">
        <v>29</v>
      </c>
      <c r="M1835" s="7" t="s">
        <v>30</v>
      </c>
    </row>
    <row r="1836" customFormat="false" ht="15" hidden="false" customHeight="true" outlineLevel="0" collapsed="false">
      <c r="A1836" s="7" t="n">
        <v>651</v>
      </c>
      <c r="B1836" s="7" t="n">
        <v>65</v>
      </c>
      <c r="C1836" s="7" t="s">
        <v>33</v>
      </c>
      <c r="D1836" s="7" t="s">
        <v>41</v>
      </c>
      <c r="E1836" s="7" t="n">
        <v>18</v>
      </c>
      <c r="F1836" s="7" t="n">
        <v>4</v>
      </c>
      <c r="G1836" s="7" t="s">
        <v>34</v>
      </c>
      <c r="H1836" s="7" t="s">
        <v>27</v>
      </c>
      <c r="I1836" s="7" t="n">
        <v>18.6</v>
      </c>
      <c r="J1836" s="7" t="s">
        <v>28</v>
      </c>
      <c r="K1836" s="7" t="n">
        <v>162.9</v>
      </c>
      <c r="L1836" s="7" t="s">
        <v>29</v>
      </c>
      <c r="M1836" s="7" t="s">
        <v>30</v>
      </c>
    </row>
    <row r="1837" customFormat="false" ht="15" hidden="false" customHeight="true" outlineLevel="0" collapsed="false">
      <c r="A1837" s="7" t="n">
        <v>682</v>
      </c>
      <c r="B1837" s="7" t="n">
        <v>27</v>
      </c>
      <c r="C1837" s="7" t="s">
        <v>24</v>
      </c>
      <c r="D1837" s="7" t="s">
        <v>41</v>
      </c>
      <c r="E1837" s="7" t="n">
        <v>7</v>
      </c>
      <c r="F1837" s="7" t="n">
        <v>13</v>
      </c>
      <c r="G1837" s="7" t="s">
        <v>31</v>
      </c>
      <c r="H1837" s="7" t="s">
        <v>27</v>
      </c>
      <c r="I1837" s="7" t="n">
        <v>24.9</v>
      </c>
      <c r="J1837" s="7" t="s">
        <v>28</v>
      </c>
      <c r="K1837" s="7" t="n">
        <v>171.4</v>
      </c>
      <c r="L1837" s="7" t="s">
        <v>29</v>
      </c>
      <c r="M1837" s="7" t="s">
        <v>30</v>
      </c>
    </row>
    <row r="1838" customFormat="false" ht="15" hidden="false" customHeight="true" outlineLevel="0" collapsed="false">
      <c r="A1838" s="7" t="n">
        <v>689</v>
      </c>
      <c r="B1838" s="7" t="n">
        <v>88</v>
      </c>
      <c r="C1838" s="7" t="s">
        <v>24</v>
      </c>
      <c r="D1838" s="7" t="s">
        <v>41</v>
      </c>
      <c r="E1838" s="7" t="n">
        <v>8</v>
      </c>
      <c r="F1838" s="7" t="n">
        <v>11</v>
      </c>
      <c r="G1838" s="7" t="s">
        <v>34</v>
      </c>
      <c r="H1838" s="7" t="s">
        <v>32</v>
      </c>
      <c r="I1838" s="7" t="n">
        <v>18.9</v>
      </c>
      <c r="J1838" s="7" t="s">
        <v>28</v>
      </c>
      <c r="K1838" s="7" t="n">
        <v>174.6</v>
      </c>
      <c r="L1838" s="7" t="s">
        <v>29</v>
      </c>
      <c r="M1838" s="7" t="s">
        <v>30</v>
      </c>
    </row>
    <row r="1839" customFormat="false" ht="15" hidden="false" customHeight="true" outlineLevel="0" collapsed="false">
      <c r="A1839" s="7" t="n">
        <v>696</v>
      </c>
      <c r="B1839" s="7" t="n">
        <v>56</v>
      </c>
      <c r="C1839" s="7" t="s">
        <v>24</v>
      </c>
      <c r="D1839" s="7" t="s">
        <v>41</v>
      </c>
      <c r="E1839" s="7" t="n">
        <v>6</v>
      </c>
      <c r="F1839" s="7" t="n">
        <v>10</v>
      </c>
      <c r="G1839" s="7" t="s">
        <v>36</v>
      </c>
      <c r="H1839" s="7" t="s">
        <v>27</v>
      </c>
      <c r="I1839" s="7" t="n">
        <v>40.7</v>
      </c>
      <c r="J1839" s="7" t="s">
        <v>28</v>
      </c>
      <c r="K1839" s="7" t="n">
        <v>177.1</v>
      </c>
      <c r="L1839" s="7" t="s">
        <v>29</v>
      </c>
      <c r="M1839" s="7" t="s">
        <v>30</v>
      </c>
    </row>
    <row r="1840" customFormat="false" ht="15" hidden="false" customHeight="true" outlineLevel="0" collapsed="false">
      <c r="A1840" s="7" t="n">
        <v>711</v>
      </c>
      <c r="B1840" s="7" t="n">
        <v>80</v>
      </c>
      <c r="C1840" s="7" t="s">
        <v>24</v>
      </c>
      <c r="D1840" s="7" t="s">
        <v>41</v>
      </c>
      <c r="E1840" s="7" t="n">
        <v>1</v>
      </c>
      <c r="F1840" s="7" t="n">
        <v>4</v>
      </c>
      <c r="G1840" s="7" t="s">
        <v>34</v>
      </c>
      <c r="H1840" s="7" t="s">
        <v>27</v>
      </c>
      <c r="I1840" s="7" t="n">
        <v>35.5</v>
      </c>
      <c r="J1840" s="7" t="s">
        <v>28</v>
      </c>
      <c r="K1840" s="7" t="n">
        <v>257.7</v>
      </c>
      <c r="L1840" s="7" t="s">
        <v>29</v>
      </c>
      <c r="M1840" s="7" t="s">
        <v>30</v>
      </c>
    </row>
    <row r="1841" customFormat="false" ht="15" hidden="false" customHeight="true" outlineLevel="0" collapsed="false">
      <c r="A1841" s="7" t="n">
        <v>719</v>
      </c>
      <c r="B1841" s="7" t="n">
        <v>55</v>
      </c>
      <c r="C1841" s="7" t="s">
        <v>24</v>
      </c>
      <c r="D1841" s="7" t="s">
        <v>41</v>
      </c>
      <c r="E1841" s="7" t="n">
        <v>9</v>
      </c>
      <c r="F1841" s="7" t="n">
        <v>5</v>
      </c>
      <c r="G1841" s="7" t="s">
        <v>36</v>
      </c>
      <c r="H1841" s="7" t="s">
        <v>27</v>
      </c>
      <c r="I1841" s="7" t="n">
        <v>34.5</v>
      </c>
      <c r="J1841" s="7" t="s">
        <v>28</v>
      </c>
      <c r="K1841" s="7" t="n">
        <v>129.4</v>
      </c>
      <c r="L1841" s="7" t="s">
        <v>29</v>
      </c>
      <c r="M1841" s="7" t="s">
        <v>30</v>
      </c>
    </row>
    <row r="1842" customFormat="false" ht="15" hidden="false" customHeight="true" outlineLevel="0" collapsed="false">
      <c r="A1842" s="7" t="n">
        <v>806</v>
      </c>
      <c r="B1842" s="7" t="n">
        <v>38</v>
      </c>
      <c r="C1842" s="7" t="s">
        <v>24</v>
      </c>
      <c r="D1842" s="7" t="s">
        <v>41</v>
      </c>
      <c r="E1842" s="7" t="n">
        <v>10</v>
      </c>
      <c r="F1842" s="7" t="n">
        <v>12</v>
      </c>
      <c r="G1842" s="7" t="s">
        <v>36</v>
      </c>
      <c r="H1842" s="7" t="s">
        <v>27</v>
      </c>
      <c r="I1842" s="7" t="n">
        <v>25.4</v>
      </c>
      <c r="J1842" s="7" t="s">
        <v>28</v>
      </c>
      <c r="K1842" s="7" t="n">
        <v>201.8</v>
      </c>
      <c r="L1842" s="7" t="s">
        <v>29</v>
      </c>
      <c r="M1842" s="7" t="s">
        <v>30</v>
      </c>
    </row>
    <row r="1843" customFormat="false" ht="15" hidden="false" customHeight="true" outlineLevel="0" collapsed="false">
      <c r="A1843" s="7" t="n">
        <v>814</v>
      </c>
      <c r="B1843" s="7" t="n">
        <v>20</v>
      </c>
      <c r="C1843" s="7" t="s">
        <v>24</v>
      </c>
      <c r="D1843" s="7" t="s">
        <v>41</v>
      </c>
      <c r="E1843" s="7" t="n">
        <v>6</v>
      </c>
      <c r="F1843" s="7" t="n">
        <v>10</v>
      </c>
      <c r="G1843" s="7" t="s">
        <v>36</v>
      </c>
      <c r="H1843" s="7" t="s">
        <v>27</v>
      </c>
      <c r="I1843" s="7" t="n">
        <v>28</v>
      </c>
      <c r="J1843" s="7" t="s">
        <v>28</v>
      </c>
      <c r="K1843" s="7" t="n">
        <v>266.9</v>
      </c>
      <c r="L1843" s="7" t="s">
        <v>29</v>
      </c>
      <c r="M1843" s="7" t="s">
        <v>30</v>
      </c>
    </row>
    <row r="1844" customFormat="false" ht="15" hidden="false" customHeight="true" outlineLevel="0" collapsed="false">
      <c r="A1844" s="7" t="n">
        <v>819</v>
      </c>
      <c r="B1844" s="7" t="n">
        <v>87</v>
      </c>
      <c r="C1844" s="7" t="s">
        <v>33</v>
      </c>
      <c r="D1844" s="7" t="s">
        <v>41</v>
      </c>
      <c r="E1844" s="7" t="n">
        <v>5</v>
      </c>
      <c r="F1844" s="7" t="n">
        <v>10</v>
      </c>
      <c r="G1844" s="7" t="s">
        <v>35</v>
      </c>
      <c r="H1844" s="7" t="s">
        <v>32</v>
      </c>
      <c r="I1844" s="7" t="n">
        <v>25</v>
      </c>
      <c r="J1844" s="7" t="s">
        <v>28</v>
      </c>
      <c r="K1844" s="7" t="n">
        <v>216.2</v>
      </c>
      <c r="L1844" s="7" t="s">
        <v>29</v>
      </c>
      <c r="M1844" s="7" t="s">
        <v>30</v>
      </c>
    </row>
    <row r="1845" customFormat="false" ht="15" hidden="false" customHeight="true" outlineLevel="0" collapsed="false">
      <c r="A1845" s="7" t="n">
        <v>856</v>
      </c>
      <c r="B1845" s="7" t="n">
        <v>68</v>
      </c>
      <c r="C1845" s="7" t="s">
        <v>24</v>
      </c>
      <c r="D1845" s="7" t="s">
        <v>41</v>
      </c>
      <c r="E1845" s="7" t="n">
        <v>5</v>
      </c>
      <c r="F1845" s="7" t="n">
        <v>13</v>
      </c>
      <c r="G1845" s="7" t="s">
        <v>26</v>
      </c>
      <c r="H1845" s="7" t="s">
        <v>32</v>
      </c>
      <c r="I1845" s="7" t="n">
        <v>19.7</v>
      </c>
      <c r="J1845" s="7" t="s">
        <v>28</v>
      </c>
      <c r="K1845" s="7" t="n">
        <v>245.6</v>
      </c>
      <c r="L1845" s="7" t="s">
        <v>29</v>
      </c>
      <c r="M1845" s="7" t="s">
        <v>30</v>
      </c>
    </row>
    <row r="1846" customFormat="false" ht="15" hidden="false" customHeight="true" outlineLevel="0" collapsed="false">
      <c r="A1846" s="7" t="n">
        <v>857</v>
      </c>
      <c r="B1846" s="7" t="n">
        <v>52</v>
      </c>
      <c r="C1846" s="7" t="s">
        <v>33</v>
      </c>
      <c r="D1846" s="7" t="s">
        <v>41</v>
      </c>
      <c r="E1846" s="7" t="n">
        <v>7</v>
      </c>
      <c r="F1846" s="7" t="n">
        <v>5</v>
      </c>
      <c r="G1846" s="7" t="s">
        <v>35</v>
      </c>
      <c r="H1846" s="7" t="s">
        <v>32</v>
      </c>
      <c r="I1846" s="7" t="n">
        <v>30.5</v>
      </c>
      <c r="J1846" s="7" t="s">
        <v>28</v>
      </c>
      <c r="K1846" s="7" t="n">
        <v>144.5</v>
      </c>
      <c r="L1846" s="7" t="s">
        <v>29</v>
      </c>
      <c r="M1846" s="7" t="s">
        <v>30</v>
      </c>
    </row>
    <row r="1847" customFormat="false" ht="15" hidden="false" customHeight="true" outlineLevel="0" collapsed="false">
      <c r="A1847" s="7" t="n">
        <v>867</v>
      </c>
      <c r="B1847" s="7" t="n">
        <v>32</v>
      </c>
      <c r="C1847" s="7" t="s">
        <v>33</v>
      </c>
      <c r="D1847" s="7" t="s">
        <v>41</v>
      </c>
      <c r="E1847" s="7" t="n">
        <v>19</v>
      </c>
      <c r="F1847" s="7" t="n">
        <v>10</v>
      </c>
      <c r="G1847" s="7" t="s">
        <v>36</v>
      </c>
      <c r="H1847" s="7" t="s">
        <v>32</v>
      </c>
      <c r="I1847" s="7" t="n">
        <v>27.6</v>
      </c>
      <c r="J1847" s="7" t="s">
        <v>28</v>
      </c>
      <c r="K1847" s="7" t="n">
        <v>167.7</v>
      </c>
      <c r="L1847" s="7" t="s">
        <v>29</v>
      </c>
      <c r="M1847" s="7" t="s">
        <v>30</v>
      </c>
    </row>
    <row r="1848" customFormat="false" ht="15" hidden="false" customHeight="true" outlineLevel="0" collapsed="false">
      <c r="A1848" s="7" t="n">
        <v>879</v>
      </c>
      <c r="B1848" s="7" t="n">
        <v>45</v>
      </c>
      <c r="C1848" s="7" t="s">
        <v>33</v>
      </c>
      <c r="D1848" s="7" t="s">
        <v>41</v>
      </c>
      <c r="E1848" s="7" t="n">
        <v>5</v>
      </c>
      <c r="F1848" s="7" t="n">
        <v>6</v>
      </c>
      <c r="G1848" s="7" t="s">
        <v>36</v>
      </c>
      <c r="H1848" s="7" t="s">
        <v>27</v>
      </c>
      <c r="I1848" s="7" t="n">
        <v>26.6</v>
      </c>
      <c r="J1848" s="7" t="s">
        <v>28</v>
      </c>
      <c r="K1848" s="7" t="n">
        <v>195.2</v>
      </c>
      <c r="L1848" s="7" t="s">
        <v>29</v>
      </c>
      <c r="M1848" s="7" t="s">
        <v>30</v>
      </c>
    </row>
    <row r="1849" customFormat="false" ht="15" hidden="false" customHeight="true" outlineLevel="0" collapsed="false">
      <c r="A1849" s="7" t="n">
        <v>901</v>
      </c>
      <c r="B1849" s="7" t="n">
        <v>47</v>
      </c>
      <c r="C1849" s="7" t="s">
        <v>33</v>
      </c>
      <c r="D1849" s="7" t="s">
        <v>41</v>
      </c>
      <c r="E1849" s="7" t="n">
        <v>1</v>
      </c>
      <c r="F1849" s="7" t="n">
        <v>6</v>
      </c>
      <c r="G1849" s="7" t="s">
        <v>31</v>
      </c>
      <c r="H1849" s="7" t="s">
        <v>27</v>
      </c>
      <c r="I1849" s="7" t="n">
        <v>34.3</v>
      </c>
      <c r="J1849" s="7" t="s">
        <v>28</v>
      </c>
      <c r="K1849" s="7" t="n">
        <v>243.7</v>
      </c>
      <c r="L1849" s="7" t="s">
        <v>29</v>
      </c>
      <c r="M1849" s="7" t="s">
        <v>30</v>
      </c>
    </row>
    <row r="1850" customFormat="false" ht="15" hidden="false" customHeight="true" outlineLevel="0" collapsed="false">
      <c r="A1850" s="7" t="n">
        <v>906</v>
      </c>
      <c r="B1850" s="7" t="n">
        <v>85</v>
      </c>
      <c r="C1850" s="7" t="s">
        <v>24</v>
      </c>
      <c r="D1850" s="7" t="s">
        <v>41</v>
      </c>
      <c r="E1850" s="7" t="n">
        <v>19</v>
      </c>
      <c r="F1850" s="7" t="n">
        <v>3</v>
      </c>
      <c r="G1850" s="7" t="s">
        <v>35</v>
      </c>
      <c r="H1850" s="7" t="s">
        <v>27</v>
      </c>
      <c r="I1850" s="7" t="n">
        <v>26.5</v>
      </c>
      <c r="J1850" s="7" t="s">
        <v>28</v>
      </c>
      <c r="K1850" s="7" t="n">
        <v>140.6</v>
      </c>
      <c r="L1850" s="7" t="s">
        <v>29</v>
      </c>
      <c r="M1850" s="7" t="s">
        <v>30</v>
      </c>
    </row>
    <row r="1851" customFormat="false" ht="15" hidden="false" customHeight="true" outlineLevel="0" collapsed="false">
      <c r="A1851" s="7" t="n">
        <v>919</v>
      </c>
      <c r="B1851" s="7" t="n">
        <v>59</v>
      </c>
      <c r="C1851" s="7" t="s">
        <v>33</v>
      </c>
      <c r="D1851" s="7" t="s">
        <v>41</v>
      </c>
      <c r="E1851" s="7" t="n">
        <v>12</v>
      </c>
      <c r="F1851" s="7" t="n">
        <v>11</v>
      </c>
      <c r="G1851" s="7" t="s">
        <v>26</v>
      </c>
      <c r="H1851" s="7" t="s">
        <v>27</v>
      </c>
      <c r="I1851" s="7" t="n">
        <v>23</v>
      </c>
      <c r="J1851" s="7" t="s">
        <v>28</v>
      </c>
      <c r="K1851" s="7" t="n">
        <v>139.5</v>
      </c>
      <c r="L1851" s="7" t="s">
        <v>29</v>
      </c>
      <c r="M1851" s="7" t="s">
        <v>30</v>
      </c>
    </row>
    <row r="1852" customFormat="false" ht="15" hidden="false" customHeight="true" outlineLevel="0" collapsed="false">
      <c r="A1852" s="7" t="n">
        <v>944</v>
      </c>
      <c r="B1852" s="7" t="n">
        <v>44</v>
      </c>
      <c r="C1852" s="7" t="s">
        <v>24</v>
      </c>
      <c r="D1852" s="7" t="s">
        <v>41</v>
      </c>
      <c r="E1852" s="7" t="n">
        <v>7</v>
      </c>
      <c r="F1852" s="7" t="n">
        <v>9</v>
      </c>
      <c r="G1852" s="7" t="s">
        <v>34</v>
      </c>
      <c r="H1852" s="7" t="s">
        <v>27</v>
      </c>
      <c r="I1852" s="7" t="n">
        <v>30.2</v>
      </c>
      <c r="J1852" s="7" t="s">
        <v>28</v>
      </c>
      <c r="K1852" s="7" t="n">
        <v>152.5</v>
      </c>
      <c r="L1852" s="7" t="s">
        <v>29</v>
      </c>
      <c r="M1852" s="7" t="s">
        <v>30</v>
      </c>
    </row>
    <row r="1853" customFormat="false" ht="15" hidden="false" customHeight="true" outlineLevel="0" collapsed="false">
      <c r="A1853" s="7" t="n">
        <v>954</v>
      </c>
      <c r="B1853" s="7" t="n">
        <v>62</v>
      </c>
      <c r="C1853" s="7" t="s">
        <v>24</v>
      </c>
      <c r="D1853" s="7" t="s">
        <v>41</v>
      </c>
      <c r="E1853" s="7" t="n">
        <v>15</v>
      </c>
      <c r="F1853" s="7" t="n">
        <v>5</v>
      </c>
      <c r="G1853" s="7" t="s">
        <v>31</v>
      </c>
      <c r="H1853" s="7" t="s">
        <v>27</v>
      </c>
      <c r="I1853" s="7" t="n">
        <v>28.6</v>
      </c>
      <c r="J1853" s="7" t="s">
        <v>28</v>
      </c>
      <c r="K1853" s="7" t="n">
        <v>197</v>
      </c>
      <c r="L1853" s="7" t="s">
        <v>29</v>
      </c>
      <c r="M1853" s="7" t="s">
        <v>30</v>
      </c>
    </row>
    <row r="1854" customFormat="false" ht="15" hidden="false" customHeight="true" outlineLevel="0" collapsed="false">
      <c r="A1854" s="7" t="n">
        <v>974</v>
      </c>
      <c r="B1854" s="7" t="n">
        <v>64</v>
      </c>
      <c r="C1854" s="7" t="s">
        <v>33</v>
      </c>
      <c r="D1854" s="7" t="s">
        <v>41</v>
      </c>
      <c r="E1854" s="7" t="n">
        <v>18</v>
      </c>
      <c r="F1854" s="7" t="n">
        <v>14</v>
      </c>
      <c r="G1854" s="7" t="s">
        <v>34</v>
      </c>
      <c r="H1854" s="7" t="s">
        <v>32</v>
      </c>
      <c r="I1854" s="7" t="n">
        <v>41.2</v>
      </c>
      <c r="J1854" s="7" t="s">
        <v>28</v>
      </c>
      <c r="K1854" s="7" t="n">
        <v>190.8</v>
      </c>
      <c r="L1854" s="7" t="s">
        <v>29</v>
      </c>
      <c r="M1854" s="7" t="s">
        <v>30</v>
      </c>
    </row>
    <row r="1855" customFormat="false" ht="15" hidden="false" customHeight="true" outlineLevel="0" collapsed="false">
      <c r="A1855" s="7" t="n">
        <v>1007</v>
      </c>
      <c r="B1855" s="7" t="n">
        <v>43</v>
      </c>
      <c r="C1855" s="7" t="s">
        <v>24</v>
      </c>
      <c r="D1855" s="7" t="s">
        <v>41</v>
      </c>
      <c r="E1855" s="7" t="n">
        <v>2</v>
      </c>
      <c r="F1855" s="7" t="n">
        <v>13</v>
      </c>
      <c r="G1855" s="7" t="s">
        <v>35</v>
      </c>
      <c r="H1855" s="7" t="s">
        <v>32</v>
      </c>
      <c r="I1855" s="7" t="n">
        <v>24.3</v>
      </c>
      <c r="J1855" s="7" t="s">
        <v>28</v>
      </c>
      <c r="K1855" s="7" t="n">
        <v>138</v>
      </c>
      <c r="L1855" s="7" t="s">
        <v>29</v>
      </c>
      <c r="M1855" s="7" t="s">
        <v>30</v>
      </c>
    </row>
    <row r="1856" customFormat="false" ht="15" hidden="false" customHeight="true" outlineLevel="0" collapsed="false">
      <c r="A1856" s="7" t="n">
        <v>1019</v>
      </c>
      <c r="B1856" s="7" t="n">
        <v>33</v>
      </c>
      <c r="C1856" s="7" t="s">
        <v>24</v>
      </c>
      <c r="D1856" s="7" t="s">
        <v>41</v>
      </c>
      <c r="E1856" s="7" t="n">
        <v>8</v>
      </c>
      <c r="F1856" s="7" t="n">
        <v>12</v>
      </c>
      <c r="G1856" s="7" t="s">
        <v>35</v>
      </c>
      <c r="H1856" s="7" t="s">
        <v>32</v>
      </c>
      <c r="I1856" s="7" t="n">
        <v>37.8</v>
      </c>
      <c r="J1856" s="7" t="s">
        <v>28</v>
      </c>
      <c r="K1856" s="7" t="n">
        <v>230.9</v>
      </c>
      <c r="L1856" s="7" t="s">
        <v>29</v>
      </c>
      <c r="M1856" s="7" t="s">
        <v>30</v>
      </c>
    </row>
    <row r="1857" customFormat="false" ht="15" hidden="false" customHeight="true" outlineLevel="0" collapsed="false">
      <c r="A1857" s="7" t="n">
        <v>1075</v>
      </c>
      <c r="B1857" s="7" t="n">
        <v>61</v>
      </c>
      <c r="C1857" s="7" t="s">
        <v>24</v>
      </c>
      <c r="D1857" s="7" t="s">
        <v>41</v>
      </c>
      <c r="E1857" s="7" t="n">
        <v>19</v>
      </c>
      <c r="F1857" s="7" t="n">
        <v>6</v>
      </c>
      <c r="G1857" s="7" t="s">
        <v>34</v>
      </c>
      <c r="H1857" s="7" t="s">
        <v>27</v>
      </c>
      <c r="I1857" s="7" t="n">
        <v>23.5</v>
      </c>
      <c r="J1857" s="7" t="s">
        <v>28</v>
      </c>
      <c r="K1857" s="7" t="n">
        <v>177.8</v>
      </c>
      <c r="L1857" s="7" t="s">
        <v>29</v>
      </c>
      <c r="M1857" s="7" t="s">
        <v>30</v>
      </c>
    </row>
    <row r="1858" customFormat="false" ht="15" hidden="false" customHeight="true" outlineLevel="0" collapsed="false">
      <c r="A1858" s="7" t="n">
        <v>1106</v>
      </c>
      <c r="B1858" s="7" t="n">
        <v>53</v>
      </c>
      <c r="C1858" s="7" t="s">
        <v>33</v>
      </c>
      <c r="D1858" s="7" t="s">
        <v>41</v>
      </c>
      <c r="E1858" s="7" t="n">
        <v>18</v>
      </c>
      <c r="F1858" s="7" t="n">
        <v>10</v>
      </c>
      <c r="G1858" s="7" t="s">
        <v>26</v>
      </c>
      <c r="H1858" s="7" t="s">
        <v>27</v>
      </c>
      <c r="I1858" s="7" t="n">
        <v>19.7</v>
      </c>
      <c r="J1858" s="7" t="s">
        <v>28</v>
      </c>
      <c r="K1858" s="7" t="n">
        <v>169</v>
      </c>
      <c r="L1858" s="7" t="s">
        <v>29</v>
      </c>
      <c r="M1858" s="7" t="s">
        <v>30</v>
      </c>
    </row>
    <row r="1859" customFormat="false" ht="15" hidden="false" customHeight="true" outlineLevel="0" collapsed="false">
      <c r="A1859" s="7" t="n">
        <v>1159</v>
      </c>
      <c r="B1859" s="7" t="n">
        <v>53</v>
      </c>
      <c r="C1859" s="7" t="s">
        <v>33</v>
      </c>
      <c r="D1859" s="7" t="s">
        <v>41</v>
      </c>
      <c r="E1859" s="7" t="n">
        <v>14</v>
      </c>
      <c r="F1859" s="7" t="n">
        <v>13</v>
      </c>
      <c r="G1859" s="7" t="s">
        <v>26</v>
      </c>
      <c r="H1859" s="7" t="s">
        <v>32</v>
      </c>
      <c r="I1859" s="7" t="n">
        <v>25</v>
      </c>
      <c r="J1859" s="7" t="s">
        <v>28</v>
      </c>
      <c r="K1859" s="7" t="n">
        <v>266.1</v>
      </c>
      <c r="L1859" s="7" t="s">
        <v>29</v>
      </c>
      <c r="M1859" s="7" t="s">
        <v>30</v>
      </c>
    </row>
    <row r="1860" customFormat="false" ht="15" hidden="false" customHeight="true" outlineLevel="0" collapsed="false">
      <c r="A1860" s="7" t="n">
        <v>1164</v>
      </c>
      <c r="B1860" s="7" t="n">
        <v>18</v>
      </c>
      <c r="C1860" s="7" t="s">
        <v>24</v>
      </c>
      <c r="D1860" s="7" t="s">
        <v>41</v>
      </c>
      <c r="E1860" s="7" t="n">
        <v>13</v>
      </c>
      <c r="F1860" s="7" t="n">
        <v>10</v>
      </c>
      <c r="G1860" s="7" t="s">
        <v>35</v>
      </c>
      <c r="H1860" s="7" t="s">
        <v>32</v>
      </c>
      <c r="I1860" s="7" t="n">
        <v>17.6</v>
      </c>
      <c r="J1860" s="7" t="s">
        <v>28</v>
      </c>
      <c r="K1860" s="7" t="n">
        <v>214.8</v>
      </c>
      <c r="L1860" s="7" t="s">
        <v>29</v>
      </c>
      <c r="M1860" s="7" t="s">
        <v>30</v>
      </c>
    </row>
    <row r="1861" customFormat="false" ht="15" hidden="false" customHeight="true" outlineLevel="0" collapsed="false">
      <c r="A1861" s="7" t="n">
        <v>1186</v>
      </c>
      <c r="B1861" s="7" t="n">
        <v>40</v>
      </c>
      <c r="C1861" s="7" t="s">
        <v>33</v>
      </c>
      <c r="D1861" s="7" t="s">
        <v>41</v>
      </c>
      <c r="E1861" s="7" t="n">
        <v>4</v>
      </c>
      <c r="F1861" s="7" t="n">
        <v>8</v>
      </c>
      <c r="G1861" s="7" t="s">
        <v>36</v>
      </c>
      <c r="H1861" s="7" t="s">
        <v>32</v>
      </c>
      <c r="I1861" s="7" t="n">
        <v>34.9</v>
      </c>
      <c r="J1861" s="7" t="s">
        <v>28</v>
      </c>
      <c r="K1861" s="7" t="n">
        <v>205.3</v>
      </c>
      <c r="L1861" s="7" t="s">
        <v>29</v>
      </c>
      <c r="M1861" s="7" t="s">
        <v>30</v>
      </c>
    </row>
    <row r="1862" customFormat="false" ht="15" hidden="false" customHeight="true" outlineLevel="0" collapsed="false">
      <c r="A1862" s="7" t="n">
        <v>1221</v>
      </c>
      <c r="B1862" s="7" t="n">
        <v>73</v>
      </c>
      <c r="C1862" s="7" t="s">
        <v>33</v>
      </c>
      <c r="D1862" s="7" t="s">
        <v>41</v>
      </c>
      <c r="E1862" s="7" t="n">
        <v>3</v>
      </c>
      <c r="F1862" s="7" t="n">
        <v>3</v>
      </c>
      <c r="G1862" s="7" t="s">
        <v>36</v>
      </c>
      <c r="H1862" s="7" t="s">
        <v>27</v>
      </c>
      <c r="I1862" s="7" t="n">
        <v>29.3</v>
      </c>
      <c r="J1862" s="7" t="s">
        <v>28</v>
      </c>
      <c r="K1862" s="7" t="n">
        <v>138.3</v>
      </c>
      <c r="L1862" s="7" t="s">
        <v>29</v>
      </c>
      <c r="M1862" s="7" t="s">
        <v>30</v>
      </c>
    </row>
    <row r="1863" customFormat="false" ht="15" hidden="false" customHeight="true" outlineLevel="0" collapsed="false">
      <c r="A1863" s="7" t="n">
        <v>1256</v>
      </c>
      <c r="B1863" s="7" t="n">
        <v>38</v>
      </c>
      <c r="C1863" s="7" t="s">
        <v>33</v>
      </c>
      <c r="D1863" s="7" t="s">
        <v>41</v>
      </c>
      <c r="E1863" s="7" t="n">
        <v>8</v>
      </c>
      <c r="F1863" s="7" t="n">
        <v>12</v>
      </c>
      <c r="G1863" s="7" t="s">
        <v>26</v>
      </c>
      <c r="H1863" s="7" t="s">
        <v>32</v>
      </c>
      <c r="I1863" s="7" t="n">
        <v>24.6</v>
      </c>
      <c r="J1863" s="7" t="s">
        <v>28</v>
      </c>
      <c r="K1863" s="7" t="n">
        <v>224.6</v>
      </c>
      <c r="L1863" s="7" t="s">
        <v>29</v>
      </c>
      <c r="M1863" s="7" t="s">
        <v>30</v>
      </c>
    </row>
    <row r="1864" customFormat="false" ht="15" hidden="false" customHeight="true" outlineLevel="0" collapsed="false">
      <c r="A1864" s="7" t="n">
        <v>1262</v>
      </c>
      <c r="B1864" s="7" t="n">
        <v>38</v>
      </c>
      <c r="C1864" s="7" t="s">
        <v>33</v>
      </c>
      <c r="D1864" s="7" t="s">
        <v>41</v>
      </c>
      <c r="E1864" s="7" t="n">
        <v>1</v>
      </c>
      <c r="F1864" s="7" t="n">
        <v>4</v>
      </c>
      <c r="G1864" s="7" t="s">
        <v>34</v>
      </c>
      <c r="H1864" s="7" t="s">
        <v>32</v>
      </c>
      <c r="I1864" s="7" t="n">
        <v>33.1</v>
      </c>
      <c r="J1864" s="7" t="s">
        <v>28</v>
      </c>
      <c r="K1864" s="7" t="n">
        <v>250.1</v>
      </c>
      <c r="L1864" s="7" t="s">
        <v>29</v>
      </c>
      <c r="M1864" s="7" t="s">
        <v>30</v>
      </c>
    </row>
    <row r="1865" customFormat="false" ht="15" hidden="false" customHeight="true" outlineLevel="0" collapsed="false">
      <c r="A1865" s="7" t="n">
        <v>1280</v>
      </c>
      <c r="B1865" s="7" t="n">
        <v>23</v>
      </c>
      <c r="C1865" s="7" t="s">
        <v>33</v>
      </c>
      <c r="D1865" s="7" t="s">
        <v>41</v>
      </c>
      <c r="E1865" s="7" t="n">
        <v>13</v>
      </c>
      <c r="F1865" s="7" t="n">
        <v>1</v>
      </c>
      <c r="G1865" s="7" t="s">
        <v>26</v>
      </c>
      <c r="H1865" s="7" t="s">
        <v>27</v>
      </c>
      <c r="I1865" s="7" t="n">
        <v>21.9</v>
      </c>
      <c r="J1865" s="7" t="s">
        <v>28</v>
      </c>
      <c r="K1865" s="7" t="n">
        <v>169.6</v>
      </c>
      <c r="L1865" s="7" t="s">
        <v>29</v>
      </c>
      <c r="M1865" s="7" t="s">
        <v>30</v>
      </c>
    </row>
    <row r="1866" customFormat="false" ht="15" hidden="false" customHeight="true" outlineLevel="0" collapsed="false">
      <c r="A1866" s="7" t="n">
        <v>1318</v>
      </c>
      <c r="B1866" s="7" t="n">
        <v>41</v>
      </c>
      <c r="C1866" s="7" t="s">
        <v>33</v>
      </c>
      <c r="D1866" s="7" t="s">
        <v>41</v>
      </c>
      <c r="E1866" s="7" t="n">
        <v>11</v>
      </c>
      <c r="F1866" s="7" t="n">
        <v>13</v>
      </c>
      <c r="G1866" s="7" t="s">
        <v>26</v>
      </c>
      <c r="H1866" s="7" t="s">
        <v>32</v>
      </c>
      <c r="I1866" s="7" t="n">
        <v>35.9</v>
      </c>
      <c r="J1866" s="7" t="s">
        <v>28</v>
      </c>
      <c r="K1866" s="7" t="n">
        <v>173.5</v>
      </c>
      <c r="L1866" s="7" t="s">
        <v>29</v>
      </c>
      <c r="M1866" s="7" t="s">
        <v>30</v>
      </c>
    </row>
    <row r="1867" customFormat="false" ht="15" hidden="false" customHeight="true" outlineLevel="0" collapsed="false">
      <c r="A1867" s="7" t="n">
        <v>1325</v>
      </c>
      <c r="B1867" s="7" t="n">
        <v>66</v>
      </c>
      <c r="C1867" s="7" t="s">
        <v>33</v>
      </c>
      <c r="D1867" s="7" t="s">
        <v>41</v>
      </c>
      <c r="E1867" s="7" t="n">
        <v>18</v>
      </c>
      <c r="F1867" s="7" t="n">
        <v>12</v>
      </c>
      <c r="G1867" s="7" t="s">
        <v>26</v>
      </c>
      <c r="H1867" s="7" t="s">
        <v>27</v>
      </c>
      <c r="I1867" s="7" t="n">
        <v>20.7</v>
      </c>
      <c r="J1867" s="7" t="s">
        <v>28</v>
      </c>
      <c r="K1867" s="7" t="n">
        <v>250.6</v>
      </c>
      <c r="L1867" s="7" t="s">
        <v>29</v>
      </c>
      <c r="M1867" s="7" t="s">
        <v>30</v>
      </c>
    </row>
    <row r="1868" customFormat="false" ht="15" hidden="false" customHeight="true" outlineLevel="0" collapsed="false">
      <c r="A1868" s="7" t="n">
        <v>1328</v>
      </c>
      <c r="B1868" s="7" t="n">
        <v>49</v>
      </c>
      <c r="C1868" s="7" t="s">
        <v>33</v>
      </c>
      <c r="D1868" s="7" t="s">
        <v>41</v>
      </c>
      <c r="E1868" s="7" t="n">
        <v>14</v>
      </c>
      <c r="F1868" s="7" t="n">
        <v>14</v>
      </c>
      <c r="G1868" s="7" t="s">
        <v>36</v>
      </c>
      <c r="H1868" s="7" t="s">
        <v>32</v>
      </c>
      <c r="I1868" s="7" t="n">
        <v>40.3</v>
      </c>
      <c r="J1868" s="7" t="s">
        <v>28</v>
      </c>
      <c r="K1868" s="7" t="n">
        <v>145.8</v>
      </c>
      <c r="L1868" s="7" t="s">
        <v>29</v>
      </c>
      <c r="M1868" s="7" t="s">
        <v>30</v>
      </c>
    </row>
    <row r="1869" customFormat="false" ht="15" hidden="false" customHeight="true" outlineLevel="0" collapsed="false">
      <c r="A1869" s="7" t="n">
        <v>1367</v>
      </c>
      <c r="B1869" s="7" t="n">
        <v>45</v>
      </c>
      <c r="C1869" s="7" t="s">
        <v>24</v>
      </c>
      <c r="D1869" s="7" t="s">
        <v>41</v>
      </c>
      <c r="E1869" s="7" t="n">
        <v>2</v>
      </c>
      <c r="F1869" s="7" t="n">
        <v>1</v>
      </c>
      <c r="G1869" s="7" t="s">
        <v>26</v>
      </c>
      <c r="H1869" s="7" t="s">
        <v>27</v>
      </c>
      <c r="I1869" s="7" t="n">
        <v>31</v>
      </c>
      <c r="J1869" s="7" t="s">
        <v>28</v>
      </c>
      <c r="K1869" s="7" t="n">
        <v>295</v>
      </c>
      <c r="L1869" s="7" t="s">
        <v>29</v>
      </c>
      <c r="M1869" s="7" t="s">
        <v>30</v>
      </c>
    </row>
    <row r="1870" customFormat="false" ht="15" hidden="false" customHeight="true" outlineLevel="0" collapsed="false">
      <c r="A1870" s="7" t="n">
        <v>1370</v>
      </c>
      <c r="B1870" s="7" t="n">
        <v>51</v>
      </c>
      <c r="C1870" s="7" t="s">
        <v>33</v>
      </c>
      <c r="D1870" s="7" t="s">
        <v>41</v>
      </c>
      <c r="E1870" s="7" t="n">
        <v>2</v>
      </c>
      <c r="F1870" s="7" t="n">
        <v>11</v>
      </c>
      <c r="G1870" s="7" t="s">
        <v>36</v>
      </c>
      <c r="H1870" s="7" t="s">
        <v>27</v>
      </c>
      <c r="I1870" s="7" t="n">
        <v>24.1</v>
      </c>
      <c r="J1870" s="7" t="s">
        <v>28</v>
      </c>
      <c r="K1870" s="7" t="n">
        <v>120.1</v>
      </c>
      <c r="L1870" s="7" t="s">
        <v>29</v>
      </c>
      <c r="M1870" s="7" t="s">
        <v>30</v>
      </c>
    </row>
    <row r="1871" customFormat="false" ht="15" hidden="false" customHeight="true" outlineLevel="0" collapsed="false">
      <c r="A1871" s="7" t="n">
        <v>1414</v>
      </c>
      <c r="B1871" s="7" t="n">
        <v>40</v>
      </c>
      <c r="C1871" s="7" t="s">
        <v>24</v>
      </c>
      <c r="D1871" s="7" t="s">
        <v>41</v>
      </c>
      <c r="E1871" s="7" t="n">
        <v>15</v>
      </c>
      <c r="F1871" s="7" t="n">
        <v>4</v>
      </c>
      <c r="G1871" s="7" t="s">
        <v>36</v>
      </c>
      <c r="H1871" s="7" t="s">
        <v>27</v>
      </c>
      <c r="I1871" s="7" t="n">
        <v>22.4</v>
      </c>
      <c r="J1871" s="7" t="s">
        <v>28</v>
      </c>
      <c r="K1871" s="7" t="n">
        <v>256.1</v>
      </c>
      <c r="L1871" s="7" t="s">
        <v>29</v>
      </c>
      <c r="M1871" s="7" t="s">
        <v>30</v>
      </c>
    </row>
    <row r="1872" customFormat="false" ht="15" hidden="false" customHeight="true" outlineLevel="0" collapsed="false">
      <c r="A1872" s="7" t="n">
        <v>1416</v>
      </c>
      <c r="B1872" s="7" t="n">
        <v>32</v>
      </c>
      <c r="C1872" s="7" t="s">
        <v>24</v>
      </c>
      <c r="D1872" s="7" t="s">
        <v>41</v>
      </c>
      <c r="E1872" s="7" t="n">
        <v>11</v>
      </c>
      <c r="F1872" s="7" t="n">
        <v>5</v>
      </c>
      <c r="G1872" s="7" t="s">
        <v>34</v>
      </c>
      <c r="H1872" s="7" t="s">
        <v>32</v>
      </c>
      <c r="I1872" s="7" t="n">
        <v>17.2</v>
      </c>
      <c r="J1872" s="7" t="s">
        <v>28</v>
      </c>
      <c r="K1872" s="7" t="n">
        <v>138.7</v>
      </c>
      <c r="L1872" s="7" t="s">
        <v>29</v>
      </c>
      <c r="M1872" s="7" t="s">
        <v>30</v>
      </c>
    </row>
    <row r="1873" customFormat="false" ht="15" hidden="false" customHeight="true" outlineLevel="0" collapsed="false">
      <c r="A1873" s="7" t="n">
        <v>1443</v>
      </c>
      <c r="B1873" s="7" t="n">
        <v>46</v>
      </c>
      <c r="C1873" s="7" t="s">
        <v>33</v>
      </c>
      <c r="D1873" s="7" t="s">
        <v>41</v>
      </c>
      <c r="E1873" s="7" t="n">
        <v>12</v>
      </c>
      <c r="F1873" s="7" t="n">
        <v>9</v>
      </c>
      <c r="G1873" s="7" t="s">
        <v>26</v>
      </c>
      <c r="H1873" s="7" t="s">
        <v>27</v>
      </c>
      <c r="I1873" s="7" t="n">
        <v>32.7</v>
      </c>
      <c r="J1873" s="7" t="s">
        <v>28</v>
      </c>
      <c r="K1873" s="7" t="n">
        <v>231.8</v>
      </c>
      <c r="L1873" s="7" t="s">
        <v>29</v>
      </c>
      <c r="M1873" s="7" t="s">
        <v>30</v>
      </c>
    </row>
    <row r="1874" customFormat="false" ht="15" hidden="false" customHeight="true" outlineLevel="0" collapsed="false">
      <c r="A1874" s="7" t="n">
        <v>1459</v>
      </c>
      <c r="B1874" s="7" t="n">
        <v>39</v>
      </c>
      <c r="C1874" s="7" t="s">
        <v>33</v>
      </c>
      <c r="D1874" s="7" t="s">
        <v>41</v>
      </c>
      <c r="E1874" s="7" t="n">
        <v>6</v>
      </c>
      <c r="F1874" s="7" t="n">
        <v>12</v>
      </c>
      <c r="G1874" s="7" t="s">
        <v>34</v>
      </c>
      <c r="H1874" s="7" t="s">
        <v>27</v>
      </c>
      <c r="I1874" s="7" t="n">
        <v>22.5</v>
      </c>
      <c r="J1874" s="7" t="s">
        <v>28</v>
      </c>
      <c r="K1874" s="7" t="n">
        <v>127.6</v>
      </c>
      <c r="L1874" s="7" t="s">
        <v>29</v>
      </c>
      <c r="M1874" s="7" t="s">
        <v>30</v>
      </c>
    </row>
    <row r="1875" customFormat="false" ht="15" hidden="false" customHeight="true" outlineLevel="0" collapsed="false">
      <c r="A1875" s="7" t="n">
        <v>1475</v>
      </c>
      <c r="B1875" s="7" t="n">
        <v>86</v>
      </c>
      <c r="C1875" s="7" t="s">
        <v>24</v>
      </c>
      <c r="D1875" s="7" t="s">
        <v>41</v>
      </c>
      <c r="E1875" s="7" t="n">
        <v>7</v>
      </c>
      <c r="F1875" s="7" t="n">
        <v>7</v>
      </c>
      <c r="G1875" s="7" t="s">
        <v>36</v>
      </c>
      <c r="H1875" s="7" t="s">
        <v>27</v>
      </c>
      <c r="I1875" s="7" t="n">
        <v>27.8</v>
      </c>
      <c r="J1875" s="7" t="s">
        <v>28</v>
      </c>
      <c r="K1875" s="7" t="n">
        <v>238.1</v>
      </c>
      <c r="L1875" s="7" t="s">
        <v>29</v>
      </c>
      <c r="M1875" s="7" t="s">
        <v>30</v>
      </c>
    </row>
    <row r="1876" customFormat="false" ht="15" hidden="false" customHeight="true" outlineLevel="0" collapsed="false">
      <c r="A1876" s="7" t="n">
        <v>1488</v>
      </c>
      <c r="B1876" s="7" t="n">
        <v>27</v>
      </c>
      <c r="C1876" s="7" t="s">
        <v>24</v>
      </c>
      <c r="D1876" s="7" t="s">
        <v>41</v>
      </c>
      <c r="E1876" s="7" t="n">
        <v>16</v>
      </c>
      <c r="F1876" s="7" t="n">
        <v>5</v>
      </c>
      <c r="G1876" s="7" t="s">
        <v>35</v>
      </c>
      <c r="H1876" s="7" t="s">
        <v>27</v>
      </c>
      <c r="I1876" s="7" t="n">
        <v>33.9</v>
      </c>
      <c r="J1876" s="7" t="s">
        <v>28</v>
      </c>
      <c r="K1876" s="7" t="n">
        <v>142.3</v>
      </c>
      <c r="L1876" s="7" t="s">
        <v>29</v>
      </c>
      <c r="M1876" s="7" t="s">
        <v>30</v>
      </c>
    </row>
    <row r="1877" customFormat="false" ht="15" hidden="false" customHeight="true" outlineLevel="0" collapsed="false">
      <c r="A1877" s="7" t="n">
        <v>1494</v>
      </c>
      <c r="B1877" s="7" t="n">
        <v>25</v>
      </c>
      <c r="C1877" s="7" t="s">
        <v>33</v>
      </c>
      <c r="D1877" s="7" t="s">
        <v>41</v>
      </c>
      <c r="E1877" s="7" t="n">
        <v>5</v>
      </c>
      <c r="F1877" s="7" t="n">
        <v>7</v>
      </c>
      <c r="G1877" s="7" t="s">
        <v>31</v>
      </c>
      <c r="H1877" s="7" t="s">
        <v>27</v>
      </c>
      <c r="I1877" s="7" t="n">
        <v>40.4</v>
      </c>
      <c r="J1877" s="7" t="s">
        <v>28</v>
      </c>
      <c r="K1877" s="7" t="n">
        <v>143</v>
      </c>
      <c r="L1877" s="7" t="s">
        <v>29</v>
      </c>
      <c r="M1877" s="7" t="s">
        <v>30</v>
      </c>
    </row>
    <row r="1878" customFormat="false" ht="15" hidden="false" customHeight="true" outlineLevel="0" collapsed="false">
      <c r="A1878" s="7" t="n">
        <v>1510</v>
      </c>
      <c r="B1878" s="7" t="n">
        <v>65</v>
      </c>
      <c r="C1878" s="7" t="s">
        <v>24</v>
      </c>
      <c r="D1878" s="7" t="s">
        <v>41</v>
      </c>
      <c r="E1878" s="7" t="n">
        <v>18</v>
      </c>
      <c r="F1878" s="7" t="n">
        <v>4</v>
      </c>
      <c r="G1878" s="7" t="s">
        <v>35</v>
      </c>
      <c r="H1878" s="7" t="s">
        <v>27</v>
      </c>
      <c r="I1878" s="7" t="n">
        <v>25.6</v>
      </c>
      <c r="J1878" s="7" t="s">
        <v>28</v>
      </c>
      <c r="K1878" s="7" t="n">
        <v>235.1</v>
      </c>
      <c r="L1878" s="7" t="s">
        <v>29</v>
      </c>
      <c r="M1878" s="7" t="s">
        <v>30</v>
      </c>
    </row>
    <row r="1879" customFormat="false" ht="15" hidden="false" customHeight="true" outlineLevel="0" collapsed="false">
      <c r="A1879" s="7" t="n">
        <v>1527</v>
      </c>
      <c r="B1879" s="7" t="n">
        <v>80</v>
      </c>
      <c r="C1879" s="7" t="s">
        <v>33</v>
      </c>
      <c r="D1879" s="7" t="s">
        <v>41</v>
      </c>
      <c r="E1879" s="7" t="n">
        <v>5</v>
      </c>
      <c r="F1879" s="7" t="n">
        <v>10</v>
      </c>
      <c r="G1879" s="7" t="s">
        <v>31</v>
      </c>
      <c r="H1879" s="7" t="s">
        <v>27</v>
      </c>
      <c r="I1879" s="7" t="n">
        <v>18.8</v>
      </c>
      <c r="J1879" s="7" t="s">
        <v>28</v>
      </c>
      <c r="K1879" s="7" t="n">
        <v>263.1</v>
      </c>
      <c r="L1879" s="7" t="s">
        <v>29</v>
      </c>
      <c r="M1879" s="7" t="s">
        <v>30</v>
      </c>
    </row>
    <row r="1880" customFormat="false" ht="15" hidden="false" customHeight="true" outlineLevel="0" collapsed="false">
      <c r="A1880" s="7" t="n">
        <v>1549</v>
      </c>
      <c r="B1880" s="7" t="n">
        <v>68</v>
      </c>
      <c r="C1880" s="7" t="s">
        <v>24</v>
      </c>
      <c r="D1880" s="7" t="s">
        <v>41</v>
      </c>
      <c r="E1880" s="7" t="n">
        <v>17</v>
      </c>
      <c r="F1880" s="7" t="n">
        <v>2</v>
      </c>
      <c r="G1880" s="7" t="s">
        <v>31</v>
      </c>
      <c r="H1880" s="7" t="s">
        <v>27</v>
      </c>
      <c r="I1880" s="7" t="n">
        <v>33.8</v>
      </c>
      <c r="J1880" s="7" t="s">
        <v>28</v>
      </c>
      <c r="K1880" s="7" t="n">
        <v>136.1</v>
      </c>
      <c r="L1880" s="7" t="s">
        <v>29</v>
      </c>
      <c r="M1880" s="7" t="s">
        <v>30</v>
      </c>
    </row>
    <row r="1881" customFormat="false" ht="15" hidden="false" customHeight="true" outlineLevel="0" collapsed="false">
      <c r="A1881" s="7" t="n">
        <v>1564</v>
      </c>
      <c r="B1881" s="7" t="n">
        <v>37</v>
      </c>
      <c r="C1881" s="7" t="s">
        <v>33</v>
      </c>
      <c r="D1881" s="7" t="s">
        <v>41</v>
      </c>
      <c r="E1881" s="7" t="n">
        <v>3</v>
      </c>
      <c r="F1881" s="7" t="n">
        <v>5</v>
      </c>
      <c r="G1881" s="7" t="s">
        <v>35</v>
      </c>
      <c r="H1881" s="7" t="s">
        <v>27</v>
      </c>
      <c r="I1881" s="7" t="n">
        <v>32.6</v>
      </c>
      <c r="J1881" s="7" t="s">
        <v>28</v>
      </c>
      <c r="K1881" s="7" t="n">
        <v>186.1</v>
      </c>
      <c r="L1881" s="7" t="s">
        <v>29</v>
      </c>
      <c r="M1881" s="7" t="s">
        <v>30</v>
      </c>
    </row>
    <row r="1882" customFormat="false" ht="15" hidden="false" customHeight="true" outlineLevel="0" collapsed="false">
      <c r="A1882" s="7" t="n">
        <v>1565</v>
      </c>
      <c r="B1882" s="7" t="n">
        <v>61</v>
      </c>
      <c r="C1882" s="7" t="s">
        <v>24</v>
      </c>
      <c r="D1882" s="7" t="s">
        <v>41</v>
      </c>
      <c r="E1882" s="7" t="n">
        <v>14</v>
      </c>
      <c r="F1882" s="7" t="n">
        <v>12</v>
      </c>
      <c r="G1882" s="7" t="s">
        <v>35</v>
      </c>
      <c r="H1882" s="7" t="s">
        <v>32</v>
      </c>
      <c r="I1882" s="7" t="n">
        <v>35.8</v>
      </c>
      <c r="J1882" s="7" t="s">
        <v>28</v>
      </c>
      <c r="K1882" s="7" t="n">
        <v>197.3</v>
      </c>
      <c r="L1882" s="7" t="s">
        <v>29</v>
      </c>
      <c r="M1882" s="7" t="s">
        <v>30</v>
      </c>
    </row>
    <row r="1883" customFormat="false" ht="15" hidden="false" customHeight="true" outlineLevel="0" collapsed="false">
      <c r="A1883" s="7" t="n">
        <v>1575</v>
      </c>
      <c r="B1883" s="7" t="n">
        <v>62</v>
      </c>
      <c r="C1883" s="7" t="s">
        <v>24</v>
      </c>
      <c r="D1883" s="7" t="s">
        <v>41</v>
      </c>
      <c r="E1883" s="7" t="n">
        <v>18</v>
      </c>
      <c r="F1883" s="7" t="n">
        <v>5</v>
      </c>
      <c r="G1883" s="7" t="s">
        <v>36</v>
      </c>
      <c r="H1883" s="7" t="s">
        <v>27</v>
      </c>
      <c r="I1883" s="7" t="n">
        <v>27.1</v>
      </c>
      <c r="J1883" s="7" t="s">
        <v>28</v>
      </c>
      <c r="K1883" s="7" t="n">
        <v>285.2</v>
      </c>
      <c r="L1883" s="7" t="s">
        <v>29</v>
      </c>
      <c r="M1883" s="7" t="s">
        <v>30</v>
      </c>
    </row>
    <row r="1884" customFormat="false" ht="15" hidden="false" customHeight="true" outlineLevel="0" collapsed="false">
      <c r="A1884" s="7" t="n">
        <v>1611</v>
      </c>
      <c r="B1884" s="7" t="n">
        <v>49</v>
      </c>
      <c r="C1884" s="7" t="s">
        <v>24</v>
      </c>
      <c r="D1884" s="7" t="s">
        <v>41</v>
      </c>
      <c r="E1884" s="7" t="n">
        <v>6</v>
      </c>
      <c r="F1884" s="7" t="n">
        <v>5</v>
      </c>
      <c r="G1884" s="7" t="s">
        <v>36</v>
      </c>
      <c r="H1884" s="7" t="s">
        <v>32</v>
      </c>
      <c r="I1884" s="7" t="n">
        <v>38.7</v>
      </c>
      <c r="J1884" s="7" t="s">
        <v>28</v>
      </c>
      <c r="K1884" s="7" t="n">
        <v>178.9</v>
      </c>
      <c r="L1884" s="7" t="s">
        <v>29</v>
      </c>
      <c r="M1884" s="7" t="s">
        <v>30</v>
      </c>
    </row>
    <row r="1885" customFormat="false" ht="15" hidden="false" customHeight="true" outlineLevel="0" collapsed="false">
      <c r="A1885" s="7" t="n">
        <v>1615</v>
      </c>
      <c r="B1885" s="7" t="n">
        <v>27</v>
      </c>
      <c r="C1885" s="7" t="s">
        <v>33</v>
      </c>
      <c r="D1885" s="7" t="s">
        <v>41</v>
      </c>
      <c r="E1885" s="7" t="n">
        <v>1</v>
      </c>
      <c r="F1885" s="7" t="n">
        <v>13</v>
      </c>
      <c r="G1885" s="7" t="s">
        <v>35</v>
      </c>
      <c r="H1885" s="7" t="s">
        <v>27</v>
      </c>
      <c r="I1885" s="7" t="n">
        <v>41.3</v>
      </c>
      <c r="J1885" s="7" t="s">
        <v>28</v>
      </c>
      <c r="K1885" s="7" t="n">
        <v>140.1</v>
      </c>
      <c r="L1885" s="7" t="s">
        <v>29</v>
      </c>
      <c r="M1885" s="7" t="s">
        <v>30</v>
      </c>
    </row>
    <row r="1886" customFormat="false" ht="15" hidden="false" customHeight="true" outlineLevel="0" collapsed="false">
      <c r="A1886" s="7" t="n">
        <v>1626</v>
      </c>
      <c r="B1886" s="7" t="n">
        <v>22</v>
      </c>
      <c r="C1886" s="7" t="s">
        <v>33</v>
      </c>
      <c r="D1886" s="7" t="s">
        <v>41</v>
      </c>
      <c r="E1886" s="7" t="n">
        <v>15</v>
      </c>
      <c r="F1886" s="7" t="n">
        <v>9</v>
      </c>
      <c r="G1886" s="7" t="s">
        <v>31</v>
      </c>
      <c r="H1886" s="7" t="s">
        <v>27</v>
      </c>
      <c r="I1886" s="7" t="n">
        <v>38.3</v>
      </c>
      <c r="J1886" s="7" t="s">
        <v>28</v>
      </c>
      <c r="K1886" s="7" t="n">
        <v>227.7</v>
      </c>
      <c r="L1886" s="7" t="s">
        <v>29</v>
      </c>
      <c r="M1886" s="7" t="s">
        <v>30</v>
      </c>
    </row>
    <row r="1887" customFormat="false" ht="15" hidden="false" customHeight="true" outlineLevel="0" collapsed="false">
      <c r="A1887" s="7" t="n">
        <v>1680</v>
      </c>
      <c r="B1887" s="7" t="n">
        <v>51</v>
      </c>
      <c r="C1887" s="7" t="s">
        <v>33</v>
      </c>
      <c r="D1887" s="7" t="s">
        <v>41</v>
      </c>
      <c r="E1887" s="7" t="n">
        <v>10</v>
      </c>
      <c r="F1887" s="7" t="n">
        <v>12</v>
      </c>
      <c r="G1887" s="7" t="s">
        <v>35</v>
      </c>
      <c r="H1887" s="7" t="s">
        <v>27</v>
      </c>
      <c r="I1887" s="7" t="n">
        <v>39.7</v>
      </c>
      <c r="J1887" s="7" t="s">
        <v>28</v>
      </c>
      <c r="K1887" s="7" t="n">
        <v>176.6</v>
      </c>
      <c r="L1887" s="7" t="s">
        <v>29</v>
      </c>
      <c r="M1887" s="7" t="s">
        <v>30</v>
      </c>
    </row>
    <row r="1888" customFormat="false" ht="15" hidden="false" customHeight="true" outlineLevel="0" collapsed="false">
      <c r="A1888" s="7" t="n">
        <v>1710</v>
      </c>
      <c r="B1888" s="7" t="n">
        <v>82</v>
      </c>
      <c r="C1888" s="7" t="s">
        <v>24</v>
      </c>
      <c r="D1888" s="7" t="s">
        <v>41</v>
      </c>
      <c r="E1888" s="7" t="n">
        <v>5</v>
      </c>
      <c r="F1888" s="7" t="n">
        <v>12</v>
      </c>
      <c r="G1888" s="7" t="s">
        <v>34</v>
      </c>
      <c r="H1888" s="7" t="s">
        <v>32</v>
      </c>
      <c r="I1888" s="7" t="n">
        <v>32.5</v>
      </c>
      <c r="J1888" s="7" t="s">
        <v>28</v>
      </c>
      <c r="K1888" s="7" t="n">
        <v>241.8</v>
      </c>
      <c r="L1888" s="7" t="s">
        <v>29</v>
      </c>
      <c r="M1888" s="7" t="s">
        <v>30</v>
      </c>
    </row>
    <row r="1889" customFormat="false" ht="15" hidden="false" customHeight="true" outlineLevel="0" collapsed="false">
      <c r="A1889" s="7" t="n">
        <v>1737</v>
      </c>
      <c r="B1889" s="7" t="n">
        <v>80</v>
      </c>
      <c r="C1889" s="7" t="s">
        <v>33</v>
      </c>
      <c r="D1889" s="7" t="s">
        <v>41</v>
      </c>
      <c r="E1889" s="7" t="n">
        <v>6</v>
      </c>
      <c r="F1889" s="7" t="n">
        <v>5</v>
      </c>
      <c r="G1889" s="7" t="s">
        <v>36</v>
      </c>
      <c r="H1889" s="7" t="s">
        <v>27</v>
      </c>
      <c r="I1889" s="7" t="n">
        <v>33.5</v>
      </c>
      <c r="J1889" s="7" t="s">
        <v>28</v>
      </c>
      <c r="K1889" s="7" t="n">
        <v>245.5</v>
      </c>
      <c r="L1889" s="7" t="s">
        <v>29</v>
      </c>
      <c r="M1889" s="7" t="s">
        <v>30</v>
      </c>
    </row>
    <row r="1890" customFormat="false" ht="15" hidden="false" customHeight="true" outlineLevel="0" collapsed="false">
      <c r="A1890" s="7" t="n">
        <v>1773</v>
      </c>
      <c r="B1890" s="7" t="n">
        <v>23</v>
      </c>
      <c r="C1890" s="7" t="s">
        <v>33</v>
      </c>
      <c r="D1890" s="7" t="s">
        <v>41</v>
      </c>
      <c r="E1890" s="7" t="n">
        <v>4</v>
      </c>
      <c r="F1890" s="7" t="n">
        <v>10</v>
      </c>
      <c r="G1890" s="7" t="s">
        <v>26</v>
      </c>
      <c r="H1890" s="7" t="s">
        <v>27</v>
      </c>
      <c r="I1890" s="7" t="n">
        <v>41.3</v>
      </c>
      <c r="J1890" s="7" t="s">
        <v>28</v>
      </c>
      <c r="K1890" s="7" t="n">
        <v>122.8</v>
      </c>
      <c r="L1890" s="7" t="s">
        <v>29</v>
      </c>
      <c r="M1890" s="7" t="s">
        <v>30</v>
      </c>
    </row>
    <row r="1891" customFormat="false" ht="15" hidden="false" customHeight="true" outlineLevel="0" collapsed="false">
      <c r="A1891" s="7" t="n">
        <v>1804</v>
      </c>
      <c r="B1891" s="7" t="n">
        <v>38</v>
      </c>
      <c r="C1891" s="7" t="s">
        <v>33</v>
      </c>
      <c r="D1891" s="7" t="s">
        <v>41</v>
      </c>
      <c r="E1891" s="7" t="n">
        <v>12</v>
      </c>
      <c r="F1891" s="7" t="n">
        <v>8</v>
      </c>
      <c r="G1891" s="7" t="s">
        <v>26</v>
      </c>
      <c r="H1891" s="7" t="s">
        <v>27</v>
      </c>
      <c r="I1891" s="7" t="n">
        <v>40.3</v>
      </c>
      <c r="J1891" s="7" t="s">
        <v>28</v>
      </c>
      <c r="K1891" s="7" t="n">
        <v>294.2</v>
      </c>
      <c r="L1891" s="7" t="s">
        <v>29</v>
      </c>
      <c r="M1891" s="7" t="s">
        <v>30</v>
      </c>
    </row>
    <row r="1892" customFormat="false" ht="15" hidden="false" customHeight="true" outlineLevel="0" collapsed="false">
      <c r="A1892" s="7" t="n">
        <v>1841</v>
      </c>
      <c r="B1892" s="7" t="n">
        <v>61</v>
      </c>
      <c r="C1892" s="7" t="s">
        <v>33</v>
      </c>
      <c r="D1892" s="7" t="s">
        <v>41</v>
      </c>
      <c r="E1892" s="7" t="n">
        <v>15</v>
      </c>
      <c r="F1892" s="7" t="n">
        <v>4</v>
      </c>
      <c r="G1892" s="7" t="s">
        <v>35</v>
      </c>
      <c r="H1892" s="7" t="s">
        <v>32</v>
      </c>
      <c r="I1892" s="7" t="n">
        <v>37.8</v>
      </c>
      <c r="J1892" s="7" t="s">
        <v>28</v>
      </c>
      <c r="K1892" s="7" t="n">
        <v>239.2</v>
      </c>
      <c r="L1892" s="7" t="s">
        <v>29</v>
      </c>
      <c r="M1892" s="7" t="s">
        <v>30</v>
      </c>
    </row>
    <row r="1893" customFormat="false" ht="15" hidden="false" customHeight="true" outlineLevel="0" collapsed="false">
      <c r="A1893" s="7" t="n">
        <v>1845</v>
      </c>
      <c r="B1893" s="7" t="n">
        <v>34</v>
      </c>
      <c r="C1893" s="7" t="s">
        <v>33</v>
      </c>
      <c r="D1893" s="7" t="s">
        <v>41</v>
      </c>
      <c r="E1893" s="7" t="n">
        <v>4</v>
      </c>
      <c r="F1893" s="7" t="n">
        <v>12</v>
      </c>
      <c r="G1893" s="7" t="s">
        <v>34</v>
      </c>
      <c r="H1893" s="7" t="s">
        <v>27</v>
      </c>
      <c r="I1893" s="7" t="n">
        <v>37.8</v>
      </c>
      <c r="J1893" s="7" t="s">
        <v>28</v>
      </c>
      <c r="K1893" s="7" t="n">
        <v>293.3</v>
      </c>
      <c r="L1893" s="7" t="s">
        <v>29</v>
      </c>
      <c r="M1893" s="7" t="s">
        <v>30</v>
      </c>
    </row>
    <row r="1894" customFormat="false" ht="15" hidden="false" customHeight="true" outlineLevel="0" collapsed="false">
      <c r="A1894" s="7" t="n">
        <v>1852</v>
      </c>
      <c r="B1894" s="7" t="n">
        <v>35</v>
      </c>
      <c r="C1894" s="7" t="s">
        <v>33</v>
      </c>
      <c r="D1894" s="7" t="s">
        <v>41</v>
      </c>
      <c r="E1894" s="7" t="n">
        <v>2</v>
      </c>
      <c r="F1894" s="7" t="n">
        <v>13</v>
      </c>
      <c r="G1894" s="7" t="s">
        <v>26</v>
      </c>
      <c r="H1894" s="7" t="s">
        <v>27</v>
      </c>
      <c r="I1894" s="7" t="n">
        <v>19.8</v>
      </c>
      <c r="J1894" s="7" t="s">
        <v>28</v>
      </c>
      <c r="K1894" s="7" t="n">
        <v>299.6</v>
      </c>
      <c r="L1894" s="7" t="s">
        <v>29</v>
      </c>
      <c r="M1894" s="7" t="s">
        <v>30</v>
      </c>
    </row>
    <row r="1895" customFormat="false" ht="15" hidden="false" customHeight="true" outlineLevel="0" collapsed="false">
      <c r="A1895" s="7" t="n">
        <v>1899</v>
      </c>
      <c r="B1895" s="7" t="n">
        <v>25</v>
      </c>
      <c r="C1895" s="7" t="s">
        <v>24</v>
      </c>
      <c r="D1895" s="7" t="s">
        <v>41</v>
      </c>
      <c r="E1895" s="7" t="n">
        <v>3</v>
      </c>
      <c r="F1895" s="7" t="n">
        <v>9</v>
      </c>
      <c r="G1895" s="7" t="s">
        <v>35</v>
      </c>
      <c r="H1895" s="7" t="s">
        <v>27</v>
      </c>
      <c r="I1895" s="7" t="n">
        <v>33.7</v>
      </c>
      <c r="J1895" s="7" t="s">
        <v>28</v>
      </c>
      <c r="K1895" s="7" t="n">
        <v>214.1</v>
      </c>
      <c r="L1895" s="7" t="s">
        <v>29</v>
      </c>
      <c r="M1895" s="7" t="s">
        <v>30</v>
      </c>
    </row>
    <row r="1896" customFormat="false" ht="15" hidden="false" customHeight="true" outlineLevel="0" collapsed="false">
      <c r="A1896" s="7" t="n">
        <v>1915</v>
      </c>
      <c r="B1896" s="7" t="n">
        <v>75</v>
      </c>
      <c r="C1896" s="7" t="s">
        <v>33</v>
      </c>
      <c r="D1896" s="7" t="s">
        <v>41</v>
      </c>
      <c r="E1896" s="7" t="n">
        <v>12</v>
      </c>
      <c r="F1896" s="7" t="n">
        <v>11</v>
      </c>
      <c r="G1896" s="7" t="s">
        <v>26</v>
      </c>
      <c r="H1896" s="7" t="s">
        <v>32</v>
      </c>
      <c r="I1896" s="7" t="n">
        <v>41.3</v>
      </c>
      <c r="J1896" s="7" t="s">
        <v>28</v>
      </c>
      <c r="K1896" s="7" t="n">
        <v>242.9</v>
      </c>
      <c r="L1896" s="7" t="s">
        <v>29</v>
      </c>
      <c r="M1896" s="7" t="s">
        <v>30</v>
      </c>
    </row>
    <row r="1897" customFormat="false" ht="15" hidden="false" customHeight="true" outlineLevel="0" collapsed="false">
      <c r="A1897" s="7" t="n">
        <v>1935</v>
      </c>
      <c r="B1897" s="7" t="n">
        <v>89</v>
      </c>
      <c r="C1897" s="7" t="s">
        <v>24</v>
      </c>
      <c r="D1897" s="7" t="s">
        <v>41</v>
      </c>
      <c r="E1897" s="7" t="n">
        <v>3</v>
      </c>
      <c r="F1897" s="7" t="n">
        <v>13</v>
      </c>
      <c r="G1897" s="7" t="s">
        <v>26</v>
      </c>
      <c r="H1897" s="7" t="s">
        <v>32</v>
      </c>
      <c r="I1897" s="7" t="n">
        <v>22</v>
      </c>
      <c r="J1897" s="7" t="s">
        <v>28</v>
      </c>
      <c r="K1897" s="7" t="n">
        <v>241.9</v>
      </c>
      <c r="L1897" s="7" t="s">
        <v>29</v>
      </c>
      <c r="M1897" s="7" t="s">
        <v>30</v>
      </c>
    </row>
    <row r="1898" customFormat="false" ht="15" hidden="false" customHeight="true" outlineLevel="0" collapsed="false">
      <c r="A1898" s="7" t="n">
        <v>1976</v>
      </c>
      <c r="B1898" s="7" t="n">
        <v>52</v>
      </c>
      <c r="C1898" s="7" t="s">
        <v>24</v>
      </c>
      <c r="D1898" s="7" t="s">
        <v>41</v>
      </c>
      <c r="E1898" s="7" t="n">
        <v>12</v>
      </c>
      <c r="F1898" s="7" t="n">
        <v>14</v>
      </c>
      <c r="G1898" s="7" t="s">
        <v>26</v>
      </c>
      <c r="H1898" s="7" t="s">
        <v>27</v>
      </c>
      <c r="I1898" s="7" t="n">
        <v>25.5</v>
      </c>
      <c r="J1898" s="7" t="s">
        <v>28</v>
      </c>
      <c r="K1898" s="7" t="n">
        <v>173.2</v>
      </c>
      <c r="L1898" s="7" t="s">
        <v>29</v>
      </c>
      <c r="M1898" s="7" t="s">
        <v>30</v>
      </c>
    </row>
    <row r="1899" customFormat="false" ht="15" hidden="false" customHeight="true" outlineLevel="0" collapsed="false">
      <c r="A1899" s="7" t="n">
        <v>2004</v>
      </c>
      <c r="B1899" s="7" t="n">
        <v>58</v>
      </c>
      <c r="C1899" s="7" t="s">
        <v>33</v>
      </c>
      <c r="D1899" s="7" t="s">
        <v>41</v>
      </c>
      <c r="E1899" s="7" t="n">
        <v>6</v>
      </c>
      <c r="F1899" s="7" t="n">
        <v>2</v>
      </c>
      <c r="G1899" s="7" t="s">
        <v>35</v>
      </c>
      <c r="H1899" s="7" t="s">
        <v>32</v>
      </c>
      <c r="I1899" s="7" t="n">
        <v>34.8</v>
      </c>
      <c r="J1899" s="7" t="s">
        <v>28</v>
      </c>
      <c r="K1899" s="7" t="n">
        <v>229.2</v>
      </c>
      <c r="L1899" s="7" t="s">
        <v>29</v>
      </c>
      <c r="M1899" s="7" t="s">
        <v>30</v>
      </c>
    </row>
    <row r="1900" customFormat="false" ht="15" hidden="false" customHeight="true" outlineLevel="0" collapsed="false">
      <c r="A1900" s="7" t="n">
        <v>2047</v>
      </c>
      <c r="B1900" s="7" t="n">
        <v>70</v>
      </c>
      <c r="C1900" s="7" t="s">
        <v>33</v>
      </c>
      <c r="D1900" s="7" t="s">
        <v>41</v>
      </c>
      <c r="E1900" s="7" t="n">
        <v>2</v>
      </c>
      <c r="F1900" s="7" t="n">
        <v>2</v>
      </c>
      <c r="G1900" s="7" t="s">
        <v>26</v>
      </c>
      <c r="H1900" s="7" t="s">
        <v>32</v>
      </c>
      <c r="I1900" s="7" t="n">
        <v>20</v>
      </c>
      <c r="J1900" s="7" t="s">
        <v>28</v>
      </c>
      <c r="K1900" s="7" t="n">
        <v>280.4</v>
      </c>
      <c r="L1900" s="7" t="s">
        <v>29</v>
      </c>
      <c r="M1900" s="7" t="s">
        <v>30</v>
      </c>
    </row>
    <row r="1901" customFormat="false" ht="15" hidden="false" customHeight="true" outlineLevel="0" collapsed="false">
      <c r="A1901" s="7" t="n">
        <v>2051</v>
      </c>
      <c r="B1901" s="7" t="n">
        <v>49</v>
      </c>
      <c r="C1901" s="7" t="s">
        <v>24</v>
      </c>
      <c r="D1901" s="7" t="s">
        <v>41</v>
      </c>
      <c r="E1901" s="7" t="n">
        <v>9</v>
      </c>
      <c r="F1901" s="7" t="n">
        <v>12</v>
      </c>
      <c r="G1901" s="7" t="s">
        <v>35</v>
      </c>
      <c r="H1901" s="7" t="s">
        <v>32</v>
      </c>
      <c r="I1901" s="7" t="n">
        <v>19</v>
      </c>
      <c r="J1901" s="7" t="s">
        <v>28</v>
      </c>
      <c r="K1901" s="7" t="n">
        <v>237</v>
      </c>
      <c r="L1901" s="7" t="s">
        <v>29</v>
      </c>
      <c r="M1901" s="7" t="s">
        <v>30</v>
      </c>
    </row>
    <row r="1902" customFormat="false" ht="15" hidden="false" customHeight="true" outlineLevel="0" collapsed="false">
      <c r="A1902" s="7" t="n">
        <v>2058</v>
      </c>
      <c r="B1902" s="7" t="n">
        <v>30</v>
      </c>
      <c r="C1902" s="7" t="s">
        <v>24</v>
      </c>
      <c r="D1902" s="7" t="s">
        <v>41</v>
      </c>
      <c r="E1902" s="7" t="n">
        <v>16</v>
      </c>
      <c r="F1902" s="7" t="n">
        <v>1</v>
      </c>
      <c r="G1902" s="7" t="s">
        <v>35</v>
      </c>
      <c r="H1902" s="7" t="s">
        <v>27</v>
      </c>
      <c r="I1902" s="7" t="n">
        <v>40.6</v>
      </c>
      <c r="J1902" s="7" t="s">
        <v>28</v>
      </c>
      <c r="K1902" s="7" t="n">
        <v>260.9</v>
      </c>
      <c r="L1902" s="7" t="s">
        <v>29</v>
      </c>
      <c r="M1902" s="7" t="s">
        <v>30</v>
      </c>
    </row>
    <row r="1903" customFormat="false" ht="15" hidden="false" customHeight="true" outlineLevel="0" collapsed="false">
      <c r="A1903" s="7" t="n">
        <v>2078</v>
      </c>
      <c r="B1903" s="7" t="n">
        <v>89</v>
      </c>
      <c r="C1903" s="7" t="s">
        <v>33</v>
      </c>
      <c r="D1903" s="7" t="s">
        <v>41</v>
      </c>
      <c r="E1903" s="7" t="n">
        <v>16</v>
      </c>
      <c r="F1903" s="7" t="n">
        <v>5</v>
      </c>
      <c r="G1903" s="7" t="s">
        <v>34</v>
      </c>
      <c r="H1903" s="7" t="s">
        <v>27</v>
      </c>
      <c r="I1903" s="7" t="n">
        <v>20.1</v>
      </c>
      <c r="J1903" s="7" t="s">
        <v>28</v>
      </c>
      <c r="K1903" s="7" t="n">
        <v>173.5</v>
      </c>
      <c r="L1903" s="7" t="s">
        <v>29</v>
      </c>
      <c r="M1903" s="7" t="s">
        <v>30</v>
      </c>
    </row>
    <row r="1904" customFormat="false" ht="15" hidden="false" customHeight="true" outlineLevel="0" collapsed="false">
      <c r="A1904" s="7" t="n">
        <v>2082</v>
      </c>
      <c r="B1904" s="7" t="n">
        <v>32</v>
      </c>
      <c r="C1904" s="7" t="s">
        <v>24</v>
      </c>
      <c r="D1904" s="7" t="s">
        <v>41</v>
      </c>
      <c r="E1904" s="7" t="n">
        <v>3</v>
      </c>
      <c r="F1904" s="7" t="n">
        <v>10</v>
      </c>
      <c r="G1904" s="7" t="s">
        <v>34</v>
      </c>
      <c r="H1904" s="7" t="s">
        <v>27</v>
      </c>
      <c r="I1904" s="7" t="n">
        <v>37.4</v>
      </c>
      <c r="J1904" s="7" t="s">
        <v>28</v>
      </c>
      <c r="K1904" s="7" t="n">
        <v>285.3</v>
      </c>
      <c r="L1904" s="7" t="s">
        <v>29</v>
      </c>
      <c r="M1904" s="7" t="s">
        <v>30</v>
      </c>
    </row>
    <row r="1905" customFormat="false" ht="15" hidden="false" customHeight="true" outlineLevel="0" collapsed="false">
      <c r="A1905" s="7" t="n">
        <v>2099</v>
      </c>
      <c r="B1905" s="7" t="n">
        <v>34</v>
      </c>
      <c r="C1905" s="7" t="s">
        <v>24</v>
      </c>
      <c r="D1905" s="7" t="s">
        <v>41</v>
      </c>
      <c r="E1905" s="7" t="n">
        <v>1</v>
      </c>
      <c r="F1905" s="7" t="n">
        <v>6</v>
      </c>
      <c r="G1905" s="7" t="s">
        <v>35</v>
      </c>
      <c r="H1905" s="7" t="s">
        <v>27</v>
      </c>
      <c r="I1905" s="7" t="n">
        <v>38.4</v>
      </c>
      <c r="J1905" s="7" t="s">
        <v>28</v>
      </c>
      <c r="K1905" s="7" t="n">
        <v>247.8</v>
      </c>
      <c r="L1905" s="7" t="s">
        <v>29</v>
      </c>
      <c r="M1905" s="7" t="s">
        <v>30</v>
      </c>
    </row>
    <row r="1906" customFormat="false" ht="15" hidden="false" customHeight="true" outlineLevel="0" collapsed="false">
      <c r="A1906" s="7" t="n">
        <v>2114</v>
      </c>
      <c r="B1906" s="7" t="n">
        <v>36</v>
      </c>
      <c r="C1906" s="7" t="s">
        <v>33</v>
      </c>
      <c r="D1906" s="7" t="s">
        <v>41</v>
      </c>
      <c r="E1906" s="7" t="n">
        <v>2</v>
      </c>
      <c r="F1906" s="7" t="n">
        <v>14</v>
      </c>
      <c r="G1906" s="7" t="s">
        <v>34</v>
      </c>
      <c r="H1906" s="7" t="s">
        <v>32</v>
      </c>
      <c r="I1906" s="7" t="n">
        <v>18.3</v>
      </c>
      <c r="J1906" s="7" t="s">
        <v>28</v>
      </c>
      <c r="K1906" s="7" t="n">
        <v>179.8</v>
      </c>
      <c r="L1906" s="7" t="s">
        <v>29</v>
      </c>
      <c r="M1906" s="7" t="s">
        <v>30</v>
      </c>
    </row>
    <row r="1907" customFormat="false" ht="15" hidden="false" customHeight="true" outlineLevel="0" collapsed="false">
      <c r="A1907" s="7" t="n">
        <v>2117</v>
      </c>
      <c r="B1907" s="7" t="n">
        <v>46</v>
      </c>
      <c r="C1907" s="7" t="s">
        <v>24</v>
      </c>
      <c r="D1907" s="7" t="s">
        <v>41</v>
      </c>
      <c r="E1907" s="7" t="n">
        <v>5</v>
      </c>
      <c r="F1907" s="7" t="n">
        <v>12</v>
      </c>
      <c r="G1907" s="7" t="s">
        <v>31</v>
      </c>
      <c r="H1907" s="7" t="s">
        <v>32</v>
      </c>
      <c r="I1907" s="7" t="n">
        <v>18.2</v>
      </c>
      <c r="J1907" s="7" t="s">
        <v>28</v>
      </c>
      <c r="K1907" s="7" t="n">
        <v>194.2</v>
      </c>
      <c r="L1907" s="7" t="s">
        <v>29</v>
      </c>
      <c r="M1907" s="7" t="s">
        <v>30</v>
      </c>
    </row>
    <row r="1908" customFormat="false" ht="15" hidden="false" customHeight="true" outlineLevel="0" collapsed="false">
      <c r="A1908" s="7" t="n">
        <v>2153</v>
      </c>
      <c r="B1908" s="7" t="n">
        <v>45</v>
      </c>
      <c r="C1908" s="7" t="s">
        <v>33</v>
      </c>
      <c r="D1908" s="7" t="s">
        <v>41</v>
      </c>
      <c r="E1908" s="7" t="n">
        <v>18</v>
      </c>
      <c r="F1908" s="7" t="n">
        <v>3</v>
      </c>
      <c r="G1908" s="7" t="s">
        <v>31</v>
      </c>
      <c r="H1908" s="7" t="s">
        <v>32</v>
      </c>
      <c r="I1908" s="7" t="n">
        <v>39.2</v>
      </c>
      <c r="J1908" s="7" t="s">
        <v>28</v>
      </c>
      <c r="K1908" s="7" t="n">
        <v>211.4</v>
      </c>
      <c r="L1908" s="7" t="s">
        <v>29</v>
      </c>
      <c r="M1908" s="7" t="s">
        <v>30</v>
      </c>
    </row>
    <row r="1909" customFormat="false" ht="15" hidden="false" customHeight="true" outlineLevel="0" collapsed="false">
      <c r="A1909" s="7" t="n">
        <v>2164</v>
      </c>
      <c r="B1909" s="7" t="n">
        <v>44</v>
      </c>
      <c r="C1909" s="7" t="s">
        <v>24</v>
      </c>
      <c r="D1909" s="7" t="s">
        <v>41</v>
      </c>
      <c r="E1909" s="7" t="n">
        <v>5</v>
      </c>
      <c r="F1909" s="7" t="n">
        <v>11</v>
      </c>
      <c r="G1909" s="7" t="s">
        <v>36</v>
      </c>
      <c r="H1909" s="7" t="s">
        <v>27</v>
      </c>
      <c r="I1909" s="7" t="n">
        <v>31.6</v>
      </c>
      <c r="J1909" s="7" t="s">
        <v>28</v>
      </c>
      <c r="K1909" s="7" t="n">
        <v>279.1</v>
      </c>
      <c r="L1909" s="7" t="s">
        <v>29</v>
      </c>
      <c r="M1909" s="7" t="s">
        <v>30</v>
      </c>
    </row>
    <row r="1910" customFormat="false" ht="15" hidden="false" customHeight="true" outlineLevel="0" collapsed="false">
      <c r="A1910" s="7" t="n">
        <v>2217</v>
      </c>
      <c r="B1910" s="7" t="n">
        <v>43</v>
      </c>
      <c r="C1910" s="7" t="s">
        <v>33</v>
      </c>
      <c r="D1910" s="7" t="s">
        <v>41</v>
      </c>
      <c r="E1910" s="7" t="n">
        <v>1</v>
      </c>
      <c r="F1910" s="7" t="n">
        <v>11</v>
      </c>
      <c r="G1910" s="7" t="s">
        <v>34</v>
      </c>
      <c r="H1910" s="7" t="s">
        <v>27</v>
      </c>
      <c r="I1910" s="7" t="n">
        <v>27.2</v>
      </c>
      <c r="J1910" s="7" t="s">
        <v>28</v>
      </c>
      <c r="K1910" s="7" t="n">
        <v>286</v>
      </c>
      <c r="L1910" s="7" t="s">
        <v>29</v>
      </c>
      <c r="M1910" s="7" t="s">
        <v>30</v>
      </c>
    </row>
    <row r="1911" customFormat="false" ht="15" hidden="false" customHeight="true" outlineLevel="0" collapsed="false">
      <c r="A1911" s="7" t="n">
        <v>2247</v>
      </c>
      <c r="B1911" s="7" t="n">
        <v>42</v>
      </c>
      <c r="C1911" s="7" t="s">
        <v>24</v>
      </c>
      <c r="D1911" s="7" t="s">
        <v>41</v>
      </c>
      <c r="E1911" s="7" t="n">
        <v>17</v>
      </c>
      <c r="F1911" s="7" t="n">
        <v>3</v>
      </c>
      <c r="G1911" s="7" t="s">
        <v>31</v>
      </c>
      <c r="H1911" s="7" t="s">
        <v>32</v>
      </c>
      <c r="I1911" s="7" t="n">
        <v>37.3</v>
      </c>
      <c r="J1911" s="7" t="s">
        <v>28</v>
      </c>
      <c r="K1911" s="7" t="n">
        <v>131.1</v>
      </c>
      <c r="L1911" s="7" t="s">
        <v>29</v>
      </c>
      <c r="M1911" s="7" t="s">
        <v>30</v>
      </c>
    </row>
    <row r="1912" customFormat="false" ht="15" hidden="false" customHeight="true" outlineLevel="0" collapsed="false">
      <c r="A1912" s="7" t="n">
        <v>2267</v>
      </c>
      <c r="B1912" s="7" t="n">
        <v>74</v>
      </c>
      <c r="C1912" s="7" t="s">
        <v>24</v>
      </c>
      <c r="D1912" s="7" t="s">
        <v>41</v>
      </c>
      <c r="E1912" s="7" t="n">
        <v>17</v>
      </c>
      <c r="F1912" s="7" t="n">
        <v>4</v>
      </c>
      <c r="G1912" s="7" t="s">
        <v>35</v>
      </c>
      <c r="H1912" s="7" t="s">
        <v>32</v>
      </c>
      <c r="I1912" s="7" t="n">
        <v>23.4</v>
      </c>
      <c r="J1912" s="7" t="s">
        <v>28</v>
      </c>
      <c r="K1912" s="7" t="n">
        <v>282.3</v>
      </c>
      <c r="L1912" s="7" t="s">
        <v>29</v>
      </c>
      <c r="M1912" s="7" t="s">
        <v>30</v>
      </c>
    </row>
    <row r="1913" customFormat="false" ht="15" hidden="false" customHeight="true" outlineLevel="0" collapsed="false">
      <c r="A1913" s="7" t="n">
        <v>2291</v>
      </c>
      <c r="B1913" s="7" t="n">
        <v>26</v>
      </c>
      <c r="C1913" s="7" t="s">
        <v>24</v>
      </c>
      <c r="D1913" s="7" t="s">
        <v>41</v>
      </c>
      <c r="E1913" s="7" t="n">
        <v>6</v>
      </c>
      <c r="F1913" s="7" t="n">
        <v>6</v>
      </c>
      <c r="G1913" s="7" t="s">
        <v>26</v>
      </c>
      <c r="H1913" s="7" t="s">
        <v>32</v>
      </c>
      <c r="I1913" s="7" t="n">
        <v>27.7</v>
      </c>
      <c r="J1913" s="7" t="s">
        <v>28</v>
      </c>
      <c r="K1913" s="7" t="n">
        <v>269.3</v>
      </c>
      <c r="L1913" s="7" t="s">
        <v>29</v>
      </c>
      <c r="M1913" s="7" t="s">
        <v>30</v>
      </c>
    </row>
    <row r="1914" customFormat="false" ht="15" hidden="false" customHeight="true" outlineLevel="0" collapsed="false">
      <c r="A1914" s="7" t="n">
        <v>2294</v>
      </c>
      <c r="B1914" s="7" t="n">
        <v>74</v>
      </c>
      <c r="C1914" s="7" t="s">
        <v>24</v>
      </c>
      <c r="D1914" s="7" t="s">
        <v>41</v>
      </c>
      <c r="E1914" s="7" t="n">
        <v>8</v>
      </c>
      <c r="F1914" s="7" t="n">
        <v>12</v>
      </c>
      <c r="G1914" s="7" t="s">
        <v>36</v>
      </c>
      <c r="H1914" s="7" t="s">
        <v>32</v>
      </c>
      <c r="I1914" s="7" t="n">
        <v>32.8</v>
      </c>
      <c r="J1914" s="7" t="s">
        <v>28</v>
      </c>
      <c r="K1914" s="7" t="n">
        <v>180.5</v>
      </c>
      <c r="L1914" s="7" t="s">
        <v>29</v>
      </c>
      <c r="M1914" s="7" t="s">
        <v>30</v>
      </c>
    </row>
    <row r="1915" customFormat="false" ht="15" hidden="false" customHeight="true" outlineLevel="0" collapsed="false">
      <c r="A1915" s="7" t="n">
        <v>2295</v>
      </c>
      <c r="B1915" s="7" t="n">
        <v>18</v>
      </c>
      <c r="C1915" s="7" t="s">
        <v>33</v>
      </c>
      <c r="D1915" s="7" t="s">
        <v>41</v>
      </c>
      <c r="E1915" s="7" t="n">
        <v>9</v>
      </c>
      <c r="F1915" s="7" t="n">
        <v>9</v>
      </c>
      <c r="G1915" s="7" t="s">
        <v>31</v>
      </c>
      <c r="H1915" s="7" t="s">
        <v>27</v>
      </c>
      <c r="I1915" s="7" t="n">
        <v>22.4</v>
      </c>
      <c r="J1915" s="7" t="s">
        <v>28</v>
      </c>
      <c r="K1915" s="7" t="n">
        <v>131.2</v>
      </c>
      <c r="L1915" s="7" t="s">
        <v>29</v>
      </c>
      <c r="M1915" s="7" t="s">
        <v>30</v>
      </c>
    </row>
    <row r="1916" customFormat="false" ht="15" hidden="false" customHeight="true" outlineLevel="0" collapsed="false">
      <c r="A1916" s="7" t="n">
        <v>2308</v>
      </c>
      <c r="B1916" s="7" t="n">
        <v>22</v>
      </c>
      <c r="C1916" s="7" t="s">
        <v>24</v>
      </c>
      <c r="D1916" s="7" t="s">
        <v>41</v>
      </c>
      <c r="E1916" s="7" t="n">
        <v>11</v>
      </c>
      <c r="F1916" s="7" t="n">
        <v>12</v>
      </c>
      <c r="G1916" s="7" t="s">
        <v>31</v>
      </c>
      <c r="H1916" s="7" t="s">
        <v>27</v>
      </c>
      <c r="I1916" s="7" t="n">
        <v>32.8</v>
      </c>
      <c r="J1916" s="7" t="s">
        <v>28</v>
      </c>
      <c r="K1916" s="7" t="n">
        <v>236.6</v>
      </c>
      <c r="L1916" s="7" t="s">
        <v>29</v>
      </c>
      <c r="M1916" s="7" t="s">
        <v>30</v>
      </c>
    </row>
    <row r="1917" customFormat="false" ht="15" hidden="false" customHeight="true" outlineLevel="0" collapsed="false">
      <c r="A1917" s="7" t="n">
        <v>2326</v>
      </c>
      <c r="B1917" s="7" t="n">
        <v>28</v>
      </c>
      <c r="C1917" s="7" t="s">
        <v>33</v>
      </c>
      <c r="D1917" s="7" t="s">
        <v>41</v>
      </c>
      <c r="E1917" s="7" t="n">
        <v>19</v>
      </c>
      <c r="F1917" s="7" t="n">
        <v>11</v>
      </c>
      <c r="G1917" s="7" t="s">
        <v>35</v>
      </c>
      <c r="H1917" s="7" t="s">
        <v>27</v>
      </c>
      <c r="I1917" s="7" t="n">
        <v>21.9</v>
      </c>
      <c r="J1917" s="7" t="s">
        <v>28</v>
      </c>
      <c r="K1917" s="7" t="n">
        <v>277.2</v>
      </c>
      <c r="L1917" s="7" t="s">
        <v>29</v>
      </c>
      <c r="M1917" s="7" t="s">
        <v>30</v>
      </c>
    </row>
    <row r="1918" customFormat="false" ht="15" hidden="false" customHeight="true" outlineLevel="0" collapsed="false">
      <c r="A1918" s="7" t="n">
        <v>2350</v>
      </c>
      <c r="B1918" s="7" t="n">
        <v>45</v>
      </c>
      <c r="C1918" s="7" t="s">
        <v>24</v>
      </c>
      <c r="D1918" s="7" t="s">
        <v>41</v>
      </c>
      <c r="E1918" s="7" t="n">
        <v>4</v>
      </c>
      <c r="F1918" s="7" t="n">
        <v>8</v>
      </c>
      <c r="G1918" s="7" t="s">
        <v>31</v>
      </c>
      <c r="H1918" s="7" t="s">
        <v>32</v>
      </c>
      <c r="I1918" s="7" t="n">
        <v>36</v>
      </c>
      <c r="J1918" s="7" t="s">
        <v>28</v>
      </c>
      <c r="K1918" s="7" t="n">
        <v>250.9</v>
      </c>
      <c r="L1918" s="7" t="s">
        <v>29</v>
      </c>
      <c r="M1918" s="7" t="s">
        <v>30</v>
      </c>
    </row>
    <row r="1919" customFormat="false" ht="15" hidden="false" customHeight="true" outlineLevel="0" collapsed="false">
      <c r="A1919" s="7" t="n">
        <v>2352</v>
      </c>
      <c r="B1919" s="7" t="n">
        <v>48</v>
      </c>
      <c r="C1919" s="7" t="s">
        <v>33</v>
      </c>
      <c r="D1919" s="7" t="s">
        <v>41</v>
      </c>
      <c r="E1919" s="7" t="n">
        <v>19</v>
      </c>
      <c r="F1919" s="7" t="n">
        <v>9</v>
      </c>
      <c r="G1919" s="7" t="s">
        <v>31</v>
      </c>
      <c r="H1919" s="7" t="s">
        <v>27</v>
      </c>
      <c r="I1919" s="7" t="n">
        <v>31.7</v>
      </c>
      <c r="J1919" s="7" t="s">
        <v>28</v>
      </c>
      <c r="K1919" s="7" t="n">
        <v>178.8</v>
      </c>
      <c r="L1919" s="7" t="s">
        <v>29</v>
      </c>
      <c r="M1919" s="7" t="s">
        <v>30</v>
      </c>
    </row>
    <row r="1920" customFormat="false" ht="15" hidden="false" customHeight="true" outlineLevel="0" collapsed="false">
      <c r="A1920" s="7" t="n">
        <v>2371</v>
      </c>
      <c r="B1920" s="7" t="n">
        <v>76</v>
      </c>
      <c r="C1920" s="7" t="s">
        <v>33</v>
      </c>
      <c r="D1920" s="7" t="s">
        <v>41</v>
      </c>
      <c r="E1920" s="7" t="n">
        <v>13</v>
      </c>
      <c r="F1920" s="7" t="n">
        <v>12</v>
      </c>
      <c r="G1920" s="7" t="s">
        <v>34</v>
      </c>
      <c r="H1920" s="7" t="s">
        <v>27</v>
      </c>
      <c r="I1920" s="7" t="n">
        <v>19.9</v>
      </c>
      <c r="J1920" s="7" t="s">
        <v>28</v>
      </c>
      <c r="K1920" s="7" t="n">
        <v>155.4</v>
      </c>
      <c r="L1920" s="7" t="s">
        <v>29</v>
      </c>
      <c r="M1920" s="7" t="s">
        <v>30</v>
      </c>
    </row>
    <row r="1921" customFormat="false" ht="15" hidden="false" customHeight="true" outlineLevel="0" collapsed="false">
      <c r="A1921" s="7" t="n">
        <v>2385</v>
      </c>
      <c r="B1921" s="7" t="n">
        <v>18</v>
      </c>
      <c r="C1921" s="7" t="s">
        <v>24</v>
      </c>
      <c r="D1921" s="7" t="s">
        <v>41</v>
      </c>
      <c r="E1921" s="7" t="n">
        <v>3</v>
      </c>
      <c r="F1921" s="7" t="n">
        <v>3</v>
      </c>
      <c r="G1921" s="7" t="s">
        <v>34</v>
      </c>
      <c r="H1921" s="7" t="s">
        <v>27</v>
      </c>
      <c r="I1921" s="7" t="n">
        <v>36.8</v>
      </c>
      <c r="J1921" s="7" t="s">
        <v>28</v>
      </c>
      <c r="K1921" s="7" t="n">
        <v>144.3</v>
      </c>
      <c r="L1921" s="7" t="s">
        <v>29</v>
      </c>
      <c r="M1921" s="7" t="s">
        <v>30</v>
      </c>
    </row>
    <row r="1922" customFormat="false" ht="15" hidden="false" customHeight="true" outlineLevel="0" collapsed="false">
      <c r="A1922" s="7" t="n">
        <v>2391</v>
      </c>
      <c r="B1922" s="7" t="n">
        <v>62</v>
      </c>
      <c r="C1922" s="7" t="s">
        <v>33</v>
      </c>
      <c r="D1922" s="7" t="s">
        <v>41</v>
      </c>
      <c r="E1922" s="7" t="n">
        <v>6</v>
      </c>
      <c r="F1922" s="7" t="n">
        <v>1</v>
      </c>
      <c r="G1922" s="7" t="s">
        <v>36</v>
      </c>
      <c r="H1922" s="7" t="s">
        <v>27</v>
      </c>
      <c r="I1922" s="7" t="n">
        <v>34.5</v>
      </c>
      <c r="J1922" s="7" t="s">
        <v>28</v>
      </c>
      <c r="K1922" s="7" t="n">
        <v>257.2</v>
      </c>
      <c r="L1922" s="7" t="s">
        <v>29</v>
      </c>
      <c r="M1922" s="7" t="s">
        <v>30</v>
      </c>
    </row>
    <row r="1923" customFormat="false" ht="15" hidden="false" customHeight="true" outlineLevel="0" collapsed="false">
      <c r="A1923" s="7" t="n">
        <v>2399</v>
      </c>
      <c r="B1923" s="7" t="n">
        <v>77</v>
      </c>
      <c r="C1923" s="7" t="s">
        <v>33</v>
      </c>
      <c r="D1923" s="7" t="s">
        <v>41</v>
      </c>
      <c r="E1923" s="7" t="n">
        <v>12</v>
      </c>
      <c r="F1923" s="7" t="n">
        <v>2</v>
      </c>
      <c r="G1923" s="7" t="s">
        <v>26</v>
      </c>
      <c r="H1923" s="7" t="s">
        <v>32</v>
      </c>
      <c r="I1923" s="7" t="n">
        <v>27.8</v>
      </c>
      <c r="J1923" s="7" t="s">
        <v>28</v>
      </c>
      <c r="K1923" s="7" t="n">
        <v>201.1</v>
      </c>
      <c r="L1923" s="7" t="s">
        <v>29</v>
      </c>
      <c r="M1923" s="7" t="s">
        <v>30</v>
      </c>
    </row>
    <row r="1924" customFormat="false" ht="15" hidden="false" customHeight="true" outlineLevel="0" collapsed="false">
      <c r="A1924" s="7" t="n">
        <v>2465</v>
      </c>
      <c r="B1924" s="7" t="n">
        <v>24</v>
      </c>
      <c r="C1924" s="7" t="s">
        <v>24</v>
      </c>
      <c r="D1924" s="7" t="s">
        <v>41</v>
      </c>
      <c r="E1924" s="7" t="n">
        <v>9</v>
      </c>
      <c r="F1924" s="7" t="n">
        <v>8</v>
      </c>
      <c r="G1924" s="7" t="s">
        <v>36</v>
      </c>
      <c r="H1924" s="7" t="s">
        <v>27</v>
      </c>
      <c r="I1924" s="7" t="n">
        <v>41.5</v>
      </c>
      <c r="J1924" s="7" t="s">
        <v>28</v>
      </c>
      <c r="K1924" s="7" t="n">
        <v>290.8</v>
      </c>
      <c r="L1924" s="7" t="s">
        <v>29</v>
      </c>
      <c r="M1924" s="7" t="s">
        <v>30</v>
      </c>
    </row>
    <row r="1925" customFormat="false" ht="15" hidden="false" customHeight="true" outlineLevel="0" collapsed="false">
      <c r="A1925" s="7" t="n">
        <v>2479</v>
      </c>
      <c r="B1925" s="7" t="n">
        <v>27</v>
      </c>
      <c r="C1925" s="7" t="s">
        <v>33</v>
      </c>
      <c r="D1925" s="7" t="s">
        <v>41</v>
      </c>
      <c r="E1925" s="7" t="n">
        <v>11</v>
      </c>
      <c r="F1925" s="7" t="n">
        <v>6</v>
      </c>
      <c r="G1925" s="7" t="s">
        <v>26</v>
      </c>
      <c r="H1925" s="7" t="s">
        <v>32</v>
      </c>
      <c r="I1925" s="7" t="n">
        <v>30.6</v>
      </c>
      <c r="J1925" s="7" t="s">
        <v>28</v>
      </c>
      <c r="K1925" s="7" t="n">
        <v>183.9</v>
      </c>
      <c r="L1925" s="7" t="s">
        <v>29</v>
      </c>
      <c r="M1925" s="7" t="s">
        <v>30</v>
      </c>
    </row>
    <row r="1926" customFormat="false" ht="15" hidden="false" customHeight="true" outlineLevel="0" collapsed="false">
      <c r="A1926" s="7" t="n">
        <v>2480</v>
      </c>
      <c r="B1926" s="7" t="n">
        <v>44</v>
      </c>
      <c r="C1926" s="7" t="s">
        <v>24</v>
      </c>
      <c r="D1926" s="7" t="s">
        <v>41</v>
      </c>
      <c r="E1926" s="7" t="n">
        <v>15</v>
      </c>
      <c r="F1926" s="7" t="n">
        <v>11</v>
      </c>
      <c r="G1926" s="7" t="s">
        <v>34</v>
      </c>
      <c r="H1926" s="7" t="s">
        <v>32</v>
      </c>
      <c r="I1926" s="7" t="n">
        <v>32</v>
      </c>
      <c r="J1926" s="7" t="s">
        <v>28</v>
      </c>
      <c r="K1926" s="7" t="n">
        <v>205.6</v>
      </c>
      <c r="L1926" s="7" t="s">
        <v>29</v>
      </c>
      <c r="M1926" s="7" t="s">
        <v>30</v>
      </c>
    </row>
    <row r="1927" customFormat="false" ht="15" hidden="false" customHeight="true" outlineLevel="0" collapsed="false">
      <c r="A1927" s="7" t="n">
        <v>24</v>
      </c>
      <c r="B1927" s="7" t="n">
        <v>47</v>
      </c>
      <c r="C1927" s="7" t="s">
        <v>33</v>
      </c>
      <c r="D1927" s="7" t="s">
        <v>41</v>
      </c>
      <c r="E1927" s="7" t="n">
        <v>2</v>
      </c>
      <c r="F1927" s="7" t="n">
        <v>5</v>
      </c>
      <c r="G1927" s="7" t="s">
        <v>31</v>
      </c>
      <c r="H1927" s="7" t="s">
        <v>32</v>
      </c>
      <c r="I1927" s="7" t="n">
        <v>38.6</v>
      </c>
      <c r="J1927" s="7" t="s">
        <v>28</v>
      </c>
      <c r="K1927" s="7" t="n">
        <v>209.9</v>
      </c>
      <c r="L1927" s="7" t="s">
        <v>29</v>
      </c>
      <c r="M1927" s="7" t="s">
        <v>38</v>
      </c>
    </row>
    <row r="1928" customFormat="false" ht="15" hidden="false" customHeight="true" outlineLevel="0" collapsed="false">
      <c r="A1928" s="7" t="n">
        <v>26</v>
      </c>
      <c r="B1928" s="7" t="n">
        <v>80</v>
      </c>
      <c r="C1928" s="7" t="s">
        <v>33</v>
      </c>
      <c r="D1928" s="7" t="s">
        <v>41</v>
      </c>
      <c r="E1928" s="7" t="n">
        <v>1</v>
      </c>
      <c r="F1928" s="7" t="n">
        <v>4</v>
      </c>
      <c r="G1928" s="7" t="s">
        <v>26</v>
      </c>
      <c r="H1928" s="7" t="s">
        <v>27</v>
      </c>
      <c r="I1928" s="7" t="n">
        <v>23.7</v>
      </c>
      <c r="J1928" s="7" t="s">
        <v>28</v>
      </c>
      <c r="K1928" s="7" t="n">
        <v>187.1</v>
      </c>
      <c r="L1928" s="7" t="s">
        <v>29</v>
      </c>
      <c r="M1928" s="7" t="s">
        <v>38</v>
      </c>
    </row>
    <row r="1929" customFormat="false" ht="15" hidden="false" customHeight="true" outlineLevel="0" collapsed="false">
      <c r="A1929" s="7" t="n">
        <v>28</v>
      </c>
      <c r="B1929" s="7" t="n">
        <v>43</v>
      </c>
      <c r="C1929" s="7" t="s">
        <v>33</v>
      </c>
      <c r="D1929" s="7" t="s">
        <v>41</v>
      </c>
      <c r="E1929" s="7" t="n">
        <v>10</v>
      </c>
      <c r="F1929" s="7" t="n">
        <v>7</v>
      </c>
      <c r="G1929" s="7" t="s">
        <v>36</v>
      </c>
      <c r="H1929" s="7" t="s">
        <v>32</v>
      </c>
      <c r="I1929" s="7" t="n">
        <v>39.8</v>
      </c>
      <c r="J1929" s="7" t="s">
        <v>28</v>
      </c>
      <c r="K1929" s="7" t="n">
        <v>210.3</v>
      </c>
      <c r="L1929" s="7" t="s">
        <v>29</v>
      </c>
      <c r="M1929" s="7" t="s">
        <v>38</v>
      </c>
    </row>
    <row r="1930" customFormat="false" ht="15" hidden="false" customHeight="true" outlineLevel="0" collapsed="false">
      <c r="A1930" s="7" t="n">
        <v>39</v>
      </c>
      <c r="B1930" s="7" t="n">
        <v>46</v>
      </c>
      <c r="C1930" s="7" t="s">
        <v>24</v>
      </c>
      <c r="D1930" s="7" t="s">
        <v>41</v>
      </c>
      <c r="E1930" s="7" t="n">
        <v>18</v>
      </c>
      <c r="F1930" s="7" t="n">
        <v>13</v>
      </c>
      <c r="G1930" s="7" t="s">
        <v>31</v>
      </c>
      <c r="H1930" s="7" t="s">
        <v>27</v>
      </c>
      <c r="I1930" s="7" t="n">
        <v>41.2</v>
      </c>
      <c r="J1930" s="7" t="s">
        <v>28</v>
      </c>
      <c r="K1930" s="7" t="n">
        <v>196.2</v>
      </c>
      <c r="L1930" s="7" t="s">
        <v>29</v>
      </c>
      <c r="M1930" s="7" t="s">
        <v>38</v>
      </c>
    </row>
    <row r="1931" customFormat="false" ht="15" hidden="false" customHeight="true" outlineLevel="0" collapsed="false">
      <c r="A1931" s="7" t="n">
        <v>86</v>
      </c>
      <c r="B1931" s="7" t="n">
        <v>68</v>
      </c>
      <c r="C1931" s="7" t="s">
        <v>33</v>
      </c>
      <c r="D1931" s="7" t="s">
        <v>41</v>
      </c>
      <c r="E1931" s="7" t="n">
        <v>13</v>
      </c>
      <c r="F1931" s="7" t="n">
        <v>14</v>
      </c>
      <c r="G1931" s="7" t="s">
        <v>35</v>
      </c>
      <c r="H1931" s="7" t="s">
        <v>27</v>
      </c>
      <c r="I1931" s="7" t="n">
        <v>28.7</v>
      </c>
      <c r="J1931" s="7" t="s">
        <v>28</v>
      </c>
      <c r="K1931" s="7" t="n">
        <v>188</v>
      </c>
      <c r="L1931" s="7" t="s">
        <v>29</v>
      </c>
      <c r="M1931" s="7" t="s">
        <v>38</v>
      </c>
    </row>
    <row r="1932" customFormat="false" ht="15" hidden="false" customHeight="true" outlineLevel="0" collapsed="false">
      <c r="A1932" s="7" t="n">
        <v>89</v>
      </c>
      <c r="B1932" s="7" t="n">
        <v>84</v>
      </c>
      <c r="C1932" s="7" t="s">
        <v>24</v>
      </c>
      <c r="D1932" s="7" t="s">
        <v>41</v>
      </c>
      <c r="E1932" s="7" t="n">
        <v>1</v>
      </c>
      <c r="F1932" s="7" t="n">
        <v>9</v>
      </c>
      <c r="G1932" s="7" t="s">
        <v>35</v>
      </c>
      <c r="H1932" s="7" t="s">
        <v>27</v>
      </c>
      <c r="I1932" s="7" t="n">
        <v>31.9</v>
      </c>
      <c r="J1932" s="7" t="s">
        <v>28</v>
      </c>
      <c r="K1932" s="7" t="n">
        <v>222.5</v>
      </c>
      <c r="L1932" s="7" t="s">
        <v>29</v>
      </c>
      <c r="M1932" s="7" t="s">
        <v>38</v>
      </c>
    </row>
    <row r="1933" customFormat="false" ht="15" hidden="false" customHeight="true" outlineLevel="0" collapsed="false">
      <c r="A1933" s="7" t="n">
        <v>94</v>
      </c>
      <c r="B1933" s="7" t="n">
        <v>39</v>
      </c>
      <c r="C1933" s="7" t="s">
        <v>33</v>
      </c>
      <c r="D1933" s="7" t="s">
        <v>41</v>
      </c>
      <c r="E1933" s="7" t="n">
        <v>7</v>
      </c>
      <c r="F1933" s="7" t="n">
        <v>9</v>
      </c>
      <c r="G1933" s="7" t="s">
        <v>31</v>
      </c>
      <c r="H1933" s="7" t="s">
        <v>27</v>
      </c>
      <c r="I1933" s="7" t="n">
        <v>39.5</v>
      </c>
      <c r="J1933" s="7" t="s">
        <v>28</v>
      </c>
      <c r="K1933" s="7" t="n">
        <v>243</v>
      </c>
      <c r="L1933" s="7" t="s">
        <v>29</v>
      </c>
      <c r="M1933" s="7" t="s">
        <v>38</v>
      </c>
    </row>
    <row r="1934" customFormat="false" ht="15" hidden="false" customHeight="true" outlineLevel="0" collapsed="false">
      <c r="A1934" s="7" t="n">
        <v>99</v>
      </c>
      <c r="B1934" s="7" t="n">
        <v>57</v>
      </c>
      <c r="C1934" s="7" t="s">
        <v>33</v>
      </c>
      <c r="D1934" s="7" t="s">
        <v>41</v>
      </c>
      <c r="E1934" s="7" t="n">
        <v>2</v>
      </c>
      <c r="F1934" s="7" t="n">
        <v>5</v>
      </c>
      <c r="G1934" s="7" t="s">
        <v>34</v>
      </c>
      <c r="H1934" s="7" t="s">
        <v>27</v>
      </c>
      <c r="I1934" s="7" t="n">
        <v>34.2</v>
      </c>
      <c r="J1934" s="7" t="s">
        <v>28</v>
      </c>
      <c r="K1934" s="7" t="n">
        <v>164.4</v>
      </c>
      <c r="L1934" s="7" t="s">
        <v>29</v>
      </c>
      <c r="M1934" s="7" t="s">
        <v>38</v>
      </c>
    </row>
    <row r="1935" customFormat="false" ht="15" hidden="false" customHeight="true" outlineLevel="0" collapsed="false">
      <c r="A1935" s="7" t="n">
        <v>133</v>
      </c>
      <c r="B1935" s="7" t="n">
        <v>42</v>
      </c>
      <c r="C1935" s="7" t="s">
        <v>33</v>
      </c>
      <c r="D1935" s="7" t="s">
        <v>41</v>
      </c>
      <c r="E1935" s="7" t="n">
        <v>12</v>
      </c>
      <c r="F1935" s="7" t="n">
        <v>13</v>
      </c>
      <c r="G1935" s="7" t="s">
        <v>35</v>
      </c>
      <c r="H1935" s="7" t="s">
        <v>27</v>
      </c>
      <c r="I1935" s="7" t="n">
        <v>41.4</v>
      </c>
      <c r="J1935" s="7" t="s">
        <v>28</v>
      </c>
      <c r="K1935" s="7" t="n">
        <v>152.8</v>
      </c>
      <c r="L1935" s="7" t="s">
        <v>29</v>
      </c>
      <c r="M1935" s="7" t="s">
        <v>38</v>
      </c>
    </row>
    <row r="1936" customFormat="false" ht="15" hidden="false" customHeight="true" outlineLevel="0" collapsed="false">
      <c r="A1936" s="7" t="n">
        <v>145</v>
      </c>
      <c r="B1936" s="7" t="n">
        <v>40</v>
      </c>
      <c r="C1936" s="7" t="s">
        <v>24</v>
      </c>
      <c r="D1936" s="7" t="s">
        <v>41</v>
      </c>
      <c r="E1936" s="7" t="n">
        <v>12</v>
      </c>
      <c r="F1936" s="7" t="n">
        <v>6</v>
      </c>
      <c r="G1936" s="7" t="s">
        <v>26</v>
      </c>
      <c r="H1936" s="7" t="s">
        <v>27</v>
      </c>
      <c r="I1936" s="7" t="n">
        <v>40.5</v>
      </c>
      <c r="J1936" s="7" t="s">
        <v>28</v>
      </c>
      <c r="K1936" s="7" t="n">
        <v>149.2</v>
      </c>
      <c r="L1936" s="7" t="s">
        <v>37</v>
      </c>
      <c r="M1936" s="7" t="s">
        <v>38</v>
      </c>
    </row>
    <row r="1937" customFormat="false" ht="15" hidden="false" customHeight="true" outlineLevel="0" collapsed="false">
      <c r="A1937" s="7" t="n">
        <v>157</v>
      </c>
      <c r="B1937" s="7" t="n">
        <v>59</v>
      </c>
      <c r="C1937" s="7" t="s">
        <v>24</v>
      </c>
      <c r="D1937" s="7" t="s">
        <v>41</v>
      </c>
      <c r="E1937" s="7" t="n">
        <v>9</v>
      </c>
      <c r="F1937" s="7" t="n">
        <v>10</v>
      </c>
      <c r="G1937" s="7" t="s">
        <v>34</v>
      </c>
      <c r="H1937" s="7" t="s">
        <v>27</v>
      </c>
      <c r="I1937" s="7" t="n">
        <v>36.5</v>
      </c>
      <c r="J1937" s="7" t="s">
        <v>28</v>
      </c>
      <c r="K1937" s="7" t="n">
        <v>268.1</v>
      </c>
      <c r="L1937" s="7" t="s">
        <v>29</v>
      </c>
      <c r="M1937" s="7" t="s">
        <v>38</v>
      </c>
    </row>
    <row r="1938" customFormat="false" ht="15" hidden="false" customHeight="true" outlineLevel="0" collapsed="false">
      <c r="A1938" s="7" t="n">
        <v>166</v>
      </c>
      <c r="B1938" s="7" t="n">
        <v>31</v>
      </c>
      <c r="C1938" s="7" t="s">
        <v>24</v>
      </c>
      <c r="D1938" s="7" t="s">
        <v>41</v>
      </c>
      <c r="E1938" s="7" t="n">
        <v>12</v>
      </c>
      <c r="F1938" s="7" t="n">
        <v>6</v>
      </c>
      <c r="G1938" s="7" t="s">
        <v>34</v>
      </c>
      <c r="H1938" s="7" t="s">
        <v>27</v>
      </c>
      <c r="I1938" s="7" t="n">
        <v>25.5</v>
      </c>
      <c r="J1938" s="7" t="s">
        <v>28</v>
      </c>
      <c r="K1938" s="7" t="n">
        <v>182.3</v>
      </c>
      <c r="L1938" s="7" t="s">
        <v>37</v>
      </c>
      <c r="M1938" s="7" t="s">
        <v>38</v>
      </c>
    </row>
    <row r="1939" customFormat="false" ht="15" hidden="false" customHeight="true" outlineLevel="0" collapsed="false">
      <c r="A1939" s="7" t="n">
        <v>190</v>
      </c>
      <c r="B1939" s="7" t="n">
        <v>75</v>
      </c>
      <c r="C1939" s="7" t="s">
        <v>24</v>
      </c>
      <c r="D1939" s="7" t="s">
        <v>41</v>
      </c>
      <c r="E1939" s="7" t="n">
        <v>5</v>
      </c>
      <c r="F1939" s="7" t="n">
        <v>8</v>
      </c>
      <c r="G1939" s="7" t="s">
        <v>34</v>
      </c>
      <c r="H1939" s="7" t="s">
        <v>32</v>
      </c>
      <c r="I1939" s="7" t="n">
        <v>39</v>
      </c>
      <c r="J1939" s="7" t="s">
        <v>28</v>
      </c>
      <c r="K1939" s="7" t="n">
        <v>154.9</v>
      </c>
      <c r="L1939" s="7" t="s">
        <v>29</v>
      </c>
      <c r="M1939" s="7" t="s">
        <v>38</v>
      </c>
    </row>
    <row r="1940" customFormat="false" ht="15" hidden="false" customHeight="true" outlineLevel="0" collapsed="false">
      <c r="A1940" s="7" t="n">
        <v>219</v>
      </c>
      <c r="B1940" s="7" t="n">
        <v>87</v>
      </c>
      <c r="C1940" s="7" t="s">
        <v>33</v>
      </c>
      <c r="D1940" s="7" t="s">
        <v>41</v>
      </c>
      <c r="E1940" s="7" t="n">
        <v>15</v>
      </c>
      <c r="F1940" s="7" t="n">
        <v>7</v>
      </c>
      <c r="G1940" s="7" t="s">
        <v>31</v>
      </c>
      <c r="H1940" s="7" t="s">
        <v>27</v>
      </c>
      <c r="I1940" s="7" t="n">
        <v>37.9</v>
      </c>
      <c r="J1940" s="7" t="s">
        <v>28</v>
      </c>
      <c r="K1940" s="7" t="n">
        <v>235.7</v>
      </c>
      <c r="L1940" s="7" t="s">
        <v>29</v>
      </c>
      <c r="M1940" s="7" t="s">
        <v>38</v>
      </c>
    </row>
    <row r="1941" customFormat="false" ht="15" hidden="false" customHeight="true" outlineLevel="0" collapsed="false">
      <c r="A1941" s="7" t="n">
        <v>234</v>
      </c>
      <c r="B1941" s="7" t="n">
        <v>28</v>
      </c>
      <c r="C1941" s="7" t="s">
        <v>33</v>
      </c>
      <c r="D1941" s="7" t="s">
        <v>41</v>
      </c>
      <c r="E1941" s="7" t="n">
        <v>14</v>
      </c>
      <c r="F1941" s="7" t="n">
        <v>3</v>
      </c>
      <c r="G1941" s="7" t="s">
        <v>26</v>
      </c>
      <c r="H1941" s="7" t="s">
        <v>27</v>
      </c>
      <c r="I1941" s="7" t="n">
        <v>27.5</v>
      </c>
      <c r="J1941" s="7" t="s">
        <v>28</v>
      </c>
      <c r="K1941" s="7" t="n">
        <v>283.4</v>
      </c>
      <c r="L1941" s="7" t="s">
        <v>29</v>
      </c>
      <c r="M1941" s="7" t="s">
        <v>38</v>
      </c>
    </row>
    <row r="1942" customFormat="false" ht="15" hidden="false" customHeight="true" outlineLevel="0" collapsed="false">
      <c r="A1942" s="7" t="n">
        <v>247</v>
      </c>
      <c r="B1942" s="7" t="n">
        <v>70</v>
      </c>
      <c r="C1942" s="7" t="s">
        <v>33</v>
      </c>
      <c r="D1942" s="7" t="s">
        <v>41</v>
      </c>
      <c r="E1942" s="7" t="n">
        <v>2</v>
      </c>
      <c r="F1942" s="7" t="n">
        <v>13</v>
      </c>
      <c r="G1942" s="7" t="s">
        <v>35</v>
      </c>
      <c r="H1942" s="7" t="s">
        <v>27</v>
      </c>
      <c r="I1942" s="7" t="n">
        <v>37.7</v>
      </c>
      <c r="J1942" s="7" t="s">
        <v>28</v>
      </c>
      <c r="K1942" s="7" t="n">
        <v>151.9</v>
      </c>
      <c r="L1942" s="7" t="s">
        <v>29</v>
      </c>
      <c r="M1942" s="7" t="s">
        <v>38</v>
      </c>
    </row>
    <row r="1943" customFormat="false" ht="15" hidden="false" customHeight="true" outlineLevel="0" collapsed="false">
      <c r="A1943" s="7" t="n">
        <v>256</v>
      </c>
      <c r="B1943" s="7" t="n">
        <v>88</v>
      </c>
      <c r="C1943" s="7" t="s">
        <v>24</v>
      </c>
      <c r="D1943" s="7" t="s">
        <v>41</v>
      </c>
      <c r="E1943" s="7" t="n">
        <v>17</v>
      </c>
      <c r="F1943" s="7" t="n">
        <v>8</v>
      </c>
      <c r="G1943" s="7" t="s">
        <v>35</v>
      </c>
      <c r="H1943" s="7" t="s">
        <v>32</v>
      </c>
      <c r="I1943" s="7" t="n">
        <v>37.9</v>
      </c>
      <c r="J1943" s="7" t="s">
        <v>28</v>
      </c>
      <c r="K1943" s="7" t="n">
        <v>145.7</v>
      </c>
      <c r="L1943" s="7" t="s">
        <v>29</v>
      </c>
      <c r="M1943" s="7" t="s">
        <v>38</v>
      </c>
    </row>
    <row r="1944" customFormat="false" ht="15" hidden="false" customHeight="true" outlineLevel="0" collapsed="false">
      <c r="A1944" s="7" t="n">
        <v>257</v>
      </c>
      <c r="B1944" s="7" t="n">
        <v>52</v>
      </c>
      <c r="C1944" s="7" t="s">
        <v>24</v>
      </c>
      <c r="D1944" s="7" t="s">
        <v>41</v>
      </c>
      <c r="E1944" s="7" t="n">
        <v>1</v>
      </c>
      <c r="F1944" s="7" t="n">
        <v>4</v>
      </c>
      <c r="G1944" s="7" t="s">
        <v>34</v>
      </c>
      <c r="H1944" s="7" t="s">
        <v>32</v>
      </c>
      <c r="I1944" s="7" t="n">
        <v>24</v>
      </c>
      <c r="J1944" s="7" t="s">
        <v>28</v>
      </c>
      <c r="K1944" s="7" t="n">
        <v>124.4</v>
      </c>
      <c r="L1944" s="7" t="s">
        <v>29</v>
      </c>
      <c r="M1944" s="7" t="s">
        <v>38</v>
      </c>
    </row>
    <row r="1945" customFormat="false" ht="15" hidden="false" customHeight="true" outlineLevel="0" collapsed="false">
      <c r="A1945" s="7" t="n">
        <v>260</v>
      </c>
      <c r="B1945" s="7" t="n">
        <v>34</v>
      </c>
      <c r="C1945" s="7" t="s">
        <v>33</v>
      </c>
      <c r="D1945" s="7" t="s">
        <v>41</v>
      </c>
      <c r="E1945" s="7" t="n">
        <v>7</v>
      </c>
      <c r="F1945" s="7" t="n">
        <v>1</v>
      </c>
      <c r="G1945" s="7" t="s">
        <v>26</v>
      </c>
      <c r="H1945" s="7" t="s">
        <v>27</v>
      </c>
      <c r="I1945" s="7" t="n">
        <v>22.4</v>
      </c>
      <c r="J1945" s="7" t="s">
        <v>28</v>
      </c>
      <c r="K1945" s="7" t="n">
        <v>256.7</v>
      </c>
      <c r="L1945" s="7" t="s">
        <v>37</v>
      </c>
      <c r="M1945" s="7" t="s">
        <v>38</v>
      </c>
    </row>
    <row r="1946" customFormat="false" ht="15" hidden="false" customHeight="true" outlineLevel="0" collapsed="false">
      <c r="A1946" s="7" t="n">
        <v>265</v>
      </c>
      <c r="B1946" s="7" t="n">
        <v>30</v>
      </c>
      <c r="C1946" s="7" t="s">
        <v>33</v>
      </c>
      <c r="D1946" s="7" t="s">
        <v>41</v>
      </c>
      <c r="E1946" s="7" t="n">
        <v>18</v>
      </c>
      <c r="F1946" s="7" t="n">
        <v>3</v>
      </c>
      <c r="G1946" s="7" t="s">
        <v>34</v>
      </c>
      <c r="H1946" s="7" t="s">
        <v>27</v>
      </c>
      <c r="I1946" s="7" t="n">
        <v>40.4</v>
      </c>
      <c r="J1946" s="7" t="s">
        <v>28</v>
      </c>
      <c r="K1946" s="7" t="n">
        <v>140.9</v>
      </c>
      <c r="L1946" s="7" t="s">
        <v>37</v>
      </c>
      <c r="M1946" s="7" t="s">
        <v>38</v>
      </c>
    </row>
    <row r="1947" customFormat="false" ht="15" hidden="false" customHeight="true" outlineLevel="0" collapsed="false">
      <c r="A1947" s="7" t="n">
        <v>275</v>
      </c>
      <c r="B1947" s="7" t="n">
        <v>76</v>
      </c>
      <c r="C1947" s="7" t="s">
        <v>24</v>
      </c>
      <c r="D1947" s="7" t="s">
        <v>41</v>
      </c>
      <c r="E1947" s="7" t="n">
        <v>8</v>
      </c>
      <c r="F1947" s="7" t="n">
        <v>13</v>
      </c>
      <c r="G1947" s="7" t="s">
        <v>35</v>
      </c>
      <c r="H1947" s="7" t="s">
        <v>32</v>
      </c>
      <c r="I1947" s="7" t="n">
        <v>40.4</v>
      </c>
      <c r="J1947" s="7" t="s">
        <v>28</v>
      </c>
      <c r="K1947" s="7" t="n">
        <v>205.2</v>
      </c>
      <c r="L1947" s="7" t="s">
        <v>37</v>
      </c>
      <c r="M1947" s="7" t="s">
        <v>38</v>
      </c>
    </row>
    <row r="1948" customFormat="false" ht="15" hidden="false" customHeight="true" outlineLevel="0" collapsed="false">
      <c r="A1948" s="7" t="n">
        <v>296</v>
      </c>
      <c r="B1948" s="7" t="n">
        <v>27</v>
      </c>
      <c r="C1948" s="7" t="s">
        <v>24</v>
      </c>
      <c r="D1948" s="7" t="s">
        <v>41</v>
      </c>
      <c r="E1948" s="7" t="n">
        <v>17</v>
      </c>
      <c r="F1948" s="7" t="n">
        <v>11</v>
      </c>
      <c r="G1948" s="7" t="s">
        <v>34</v>
      </c>
      <c r="H1948" s="7" t="s">
        <v>27</v>
      </c>
      <c r="I1948" s="7" t="n">
        <v>40.7</v>
      </c>
      <c r="J1948" s="7" t="s">
        <v>28</v>
      </c>
      <c r="K1948" s="7" t="n">
        <v>143.4</v>
      </c>
      <c r="L1948" s="7" t="s">
        <v>29</v>
      </c>
      <c r="M1948" s="7" t="s">
        <v>38</v>
      </c>
    </row>
    <row r="1949" customFormat="false" ht="15" hidden="false" customHeight="true" outlineLevel="0" collapsed="false">
      <c r="A1949" s="7" t="n">
        <v>309</v>
      </c>
      <c r="B1949" s="7" t="n">
        <v>84</v>
      </c>
      <c r="C1949" s="7" t="s">
        <v>24</v>
      </c>
      <c r="D1949" s="7" t="s">
        <v>41</v>
      </c>
      <c r="E1949" s="7" t="n">
        <v>2</v>
      </c>
      <c r="F1949" s="7" t="n">
        <v>6</v>
      </c>
      <c r="G1949" s="7" t="s">
        <v>35</v>
      </c>
      <c r="H1949" s="7" t="s">
        <v>32</v>
      </c>
      <c r="I1949" s="7" t="n">
        <v>34.7</v>
      </c>
      <c r="J1949" s="7" t="s">
        <v>28</v>
      </c>
      <c r="K1949" s="7" t="n">
        <v>176.3</v>
      </c>
      <c r="L1949" s="7" t="s">
        <v>37</v>
      </c>
      <c r="M1949" s="7" t="s">
        <v>38</v>
      </c>
    </row>
    <row r="1950" customFormat="false" ht="15" hidden="false" customHeight="true" outlineLevel="0" collapsed="false">
      <c r="A1950" s="7" t="n">
        <v>363</v>
      </c>
      <c r="B1950" s="7" t="n">
        <v>69</v>
      </c>
      <c r="C1950" s="7" t="s">
        <v>33</v>
      </c>
      <c r="D1950" s="7" t="s">
        <v>41</v>
      </c>
      <c r="E1950" s="7" t="n">
        <v>5</v>
      </c>
      <c r="F1950" s="7" t="n">
        <v>14</v>
      </c>
      <c r="G1950" s="7" t="s">
        <v>34</v>
      </c>
      <c r="H1950" s="7" t="s">
        <v>27</v>
      </c>
      <c r="I1950" s="7" t="n">
        <v>30</v>
      </c>
      <c r="J1950" s="7" t="s">
        <v>28</v>
      </c>
      <c r="K1950" s="7" t="n">
        <v>226</v>
      </c>
      <c r="L1950" s="7" t="s">
        <v>29</v>
      </c>
      <c r="M1950" s="7" t="s">
        <v>38</v>
      </c>
    </row>
    <row r="1951" customFormat="false" ht="15" hidden="false" customHeight="true" outlineLevel="0" collapsed="false">
      <c r="A1951" s="7" t="n">
        <v>394</v>
      </c>
      <c r="B1951" s="7" t="n">
        <v>35</v>
      </c>
      <c r="C1951" s="7" t="s">
        <v>33</v>
      </c>
      <c r="D1951" s="7" t="s">
        <v>41</v>
      </c>
      <c r="E1951" s="7" t="n">
        <v>14</v>
      </c>
      <c r="F1951" s="7" t="n">
        <v>1</v>
      </c>
      <c r="G1951" s="7" t="s">
        <v>35</v>
      </c>
      <c r="H1951" s="7" t="s">
        <v>32</v>
      </c>
      <c r="I1951" s="7" t="n">
        <v>21.5</v>
      </c>
      <c r="J1951" s="7" t="s">
        <v>28</v>
      </c>
      <c r="K1951" s="7" t="n">
        <v>160.1</v>
      </c>
      <c r="L1951" s="7" t="s">
        <v>29</v>
      </c>
      <c r="M1951" s="7" t="s">
        <v>38</v>
      </c>
    </row>
    <row r="1952" customFormat="false" ht="15" hidden="false" customHeight="true" outlineLevel="0" collapsed="false">
      <c r="A1952" s="7" t="n">
        <v>415</v>
      </c>
      <c r="B1952" s="7" t="n">
        <v>49</v>
      </c>
      <c r="C1952" s="7" t="s">
        <v>33</v>
      </c>
      <c r="D1952" s="7" t="s">
        <v>41</v>
      </c>
      <c r="E1952" s="7" t="n">
        <v>7</v>
      </c>
      <c r="F1952" s="7" t="n">
        <v>14</v>
      </c>
      <c r="G1952" s="7" t="s">
        <v>31</v>
      </c>
      <c r="H1952" s="7" t="s">
        <v>32</v>
      </c>
      <c r="I1952" s="7" t="n">
        <v>28.5</v>
      </c>
      <c r="J1952" s="7" t="s">
        <v>28</v>
      </c>
      <c r="K1952" s="7" t="n">
        <v>177.3</v>
      </c>
      <c r="L1952" s="7" t="s">
        <v>29</v>
      </c>
      <c r="M1952" s="7" t="s">
        <v>38</v>
      </c>
    </row>
    <row r="1953" customFormat="false" ht="15" hidden="false" customHeight="true" outlineLevel="0" collapsed="false">
      <c r="A1953" s="7" t="n">
        <v>431</v>
      </c>
      <c r="B1953" s="7" t="n">
        <v>47</v>
      </c>
      <c r="C1953" s="7" t="s">
        <v>24</v>
      </c>
      <c r="D1953" s="7" t="s">
        <v>41</v>
      </c>
      <c r="E1953" s="7" t="n">
        <v>4</v>
      </c>
      <c r="F1953" s="7" t="n">
        <v>14</v>
      </c>
      <c r="G1953" s="7" t="s">
        <v>35</v>
      </c>
      <c r="H1953" s="7" t="s">
        <v>32</v>
      </c>
      <c r="I1953" s="7" t="n">
        <v>39.9</v>
      </c>
      <c r="J1953" s="7" t="s">
        <v>28</v>
      </c>
      <c r="K1953" s="7" t="n">
        <v>175.3</v>
      </c>
      <c r="L1953" s="7" t="s">
        <v>37</v>
      </c>
      <c r="M1953" s="7" t="s">
        <v>38</v>
      </c>
    </row>
    <row r="1954" customFormat="false" ht="15" hidden="false" customHeight="true" outlineLevel="0" collapsed="false">
      <c r="A1954" s="7" t="n">
        <v>433</v>
      </c>
      <c r="B1954" s="7" t="n">
        <v>44</v>
      </c>
      <c r="C1954" s="7" t="s">
        <v>33</v>
      </c>
      <c r="D1954" s="7" t="s">
        <v>41</v>
      </c>
      <c r="E1954" s="7" t="n">
        <v>5</v>
      </c>
      <c r="F1954" s="7" t="n">
        <v>12</v>
      </c>
      <c r="G1954" s="7" t="s">
        <v>34</v>
      </c>
      <c r="H1954" s="7" t="s">
        <v>32</v>
      </c>
      <c r="I1954" s="7" t="n">
        <v>17.3</v>
      </c>
      <c r="J1954" s="7" t="s">
        <v>28</v>
      </c>
      <c r="K1954" s="7" t="n">
        <v>222</v>
      </c>
      <c r="L1954" s="7" t="s">
        <v>29</v>
      </c>
      <c r="M1954" s="7" t="s">
        <v>38</v>
      </c>
    </row>
    <row r="1955" customFormat="false" ht="15" hidden="false" customHeight="true" outlineLevel="0" collapsed="false">
      <c r="A1955" s="7" t="n">
        <v>451</v>
      </c>
      <c r="B1955" s="7" t="n">
        <v>62</v>
      </c>
      <c r="C1955" s="7" t="s">
        <v>33</v>
      </c>
      <c r="D1955" s="7" t="s">
        <v>41</v>
      </c>
      <c r="E1955" s="7" t="n">
        <v>6</v>
      </c>
      <c r="F1955" s="7" t="n">
        <v>6</v>
      </c>
      <c r="G1955" s="7" t="s">
        <v>36</v>
      </c>
      <c r="H1955" s="7" t="s">
        <v>32</v>
      </c>
      <c r="I1955" s="7" t="n">
        <v>21.4</v>
      </c>
      <c r="J1955" s="7" t="s">
        <v>28</v>
      </c>
      <c r="K1955" s="7" t="n">
        <v>136.5</v>
      </c>
      <c r="L1955" s="7" t="s">
        <v>29</v>
      </c>
      <c r="M1955" s="7" t="s">
        <v>38</v>
      </c>
    </row>
    <row r="1956" customFormat="false" ht="15" hidden="false" customHeight="true" outlineLevel="0" collapsed="false">
      <c r="A1956" s="7" t="n">
        <v>460</v>
      </c>
      <c r="B1956" s="7" t="n">
        <v>75</v>
      </c>
      <c r="C1956" s="7" t="s">
        <v>33</v>
      </c>
      <c r="D1956" s="7" t="s">
        <v>41</v>
      </c>
      <c r="E1956" s="7" t="n">
        <v>6</v>
      </c>
      <c r="F1956" s="7" t="n">
        <v>3</v>
      </c>
      <c r="G1956" s="7" t="s">
        <v>36</v>
      </c>
      <c r="H1956" s="7" t="s">
        <v>27</v>
      </c>
      <c r="I1956" s="7" t="n">
        <v>24.8</v>
      </c>
      <c r="J1956" s="7" t="s">
        <v>28</v>
      </c>
      <c r="K1956" s="7" t="n">
        <v>191.7</v>
      </c>
      <c r="L1956" s="7" t="s">
        <v>37</v>
      </c>
      <c r="M1956" s="7" t="s">
        <v>38</v>
      </c>
    </row>
    <row r="1957" customFormat="false" ht="15" hidden="false" customHeight="true" outlineLevel="0" collapsed="false">
      <c r="A1957" s="7" t="n">
        <v>471</v>
      </c>
      <c r="B1957" s="7" t="n">
        <v>33</v>
      </c>
      <c r="C1957" s="7" t="s">
        <v>24</v>
      </c>
      <c r="D1957" s="7" t="s">
        <v>41</v>
      </c>
      <c r="E1957" s="7" t="n">
        <v>3</v>
      </c>
      <c r="F1957" s="7" t="n">
        <v>5</v>
      </c>
      <c r="G1957" s="7" t="s">
        <v>36</v>
      </c>
      <c r="H1957" s="7" t="s">
        <v>32</v>
      </c>
      <c r="I1957" s="7" t="n">
        <v>20.4</v>
      </c>
      <c r="J1957" s="7" t="s">
        <v>28</v>
      </c>
      <c r="K1957" s="7" t="n">
        <v>128.3</v>
      </c>
      <c r="L1957" s="7" t="s">
        <v>29</v>
      </c>
      <c r="M1957" s="7" t="s">
        <v>38</v>
      </c>
    </row>
    <row r="1958" customFormat="false" ht="15" hidden="false" customHeight="true" outlineLevel="0" collapsed="false">
      <c r="A1958" s="7" t="n">
        <v>483</v>
      </c>
      <c r="B1958" s="7" t="n">
        <v>67</v>
      </c>
      <c r="C1958" s="7" t="s">
        <v>33</v>
      </c>
      <c r="D1958" s="7" t="s">
        <v>41</v>
      </c>
      <c r="E1958" s="7" t="n">
        <v>2</v>
      </c>
      <c r="F1958" s="7" t="n">
        <v>10</v>
      </c>
      <c r="G1958" s="7" t="s">
        <v>34</v>
      </c>
      <c r="H1958" s="7" t="s">
        <v>27</v>
      </c>
      <c r="I1958" s="7" t="n">
        <v>36.9</v>
      </c>
      <c r="J1958" s="7" t="s">
        <v>28</v>
      </c>
      <c r="K1958" s="7" t="n">
        <v>236.2</v>
      </c>
      <c r="L1958" s="7" t="s">
        <v>37</v>
      </c>
      <c r="M1958" s="7" t="s">
        <v>38</v>
      </c>
    </row>
    <row r="1959" customFormat="false" ht="15" hidden="false" customHeight="true" outlineLevel="0" collapsed="false">
      <c r="A1959" s="7" t="n">
        <v>485</v>
      </c>
      <c r="B1959" s="7" t="n">
        <v>19</v>
      </c>
      <c r="C1959" s="7" t="s">
        <v>33</v>
      </c>
      <c r="D1959" s="7" t="s">
        <v>41</v>
      </c>
      <c r="E1959" s="7" t="n">
        <v>5</v>
      </c>
      <c r="F1959" s="7" t="n">
        <v>13</v>
      </c>
      <c r="G1959" s="7" t="s">
        <v>36</v>
      </c>
      <c r="H1959" s="7" t="s">
        <v>27</v>
      </c>
      <c r="I1959" s="7" t="n">
        <v>41.5</v>
      </c>
      <c r="J1959" s="7" t="s">
        <v>28</v>
      </c>
      <c r="K1959" s="7" t="n">
        <v>259.5</v>
      </c>
      <c r="L1959" s="7" t="s">
        <v>29</v>
      </c>
      <c r="M1959" s="7" t="s">
        <v>38</v>
      </c>
    </row>
    <row r="1960" customFormat="false" ht="15" hidden="false" customHeight="true" outlineLevel="0" collapsed="false">
      <c r="A1960" s="7" t="n">
        <v>525</v>
      </c>
      <c r="B1960" s="7" t="n">
        <v>48</v>
      </c>
      <c r="C1960" s="7" t="s">
        <v>33</v>
      </c>
      <c r="D1960" s="7" t="s">
        <v>41</v>
      </c>
      <c r="E1960" s="7" t="n">
        <v>2</v>
      </c>
      <c r="F1960" s="7" t="n">
        <v>1</v>
      </c>
      <c r="G1960" s="7" t="s">
        <v>35</v>
      </c>
      <c r="H1960" s="7" t="s">
        <v>27</v>
      </c>
      <c r="I1960" s="7" t="n">
        <v>38.4</v>
      </c>
      <c r="J1960" s="7" t="s">
        <v>28</v>
      </c>
      <c r="K1960" s="7" t="n">
        <v>184.7</v>
      </c>
      <c r="L1960" s="7" t="s">
        <v>29</v>
      </c>
      <c r="M1960" s="7" t="s">
        <v>38</v>
      </c>
    </row>
    <row r="1961" customFormat="false" ht="15" hidden="false" customHeight="true" outlineLevel="0" collapsed="false">
      <c r="A1961" s="7" t="n">
        <v>544</v>
      </c>
      <c r="B1961" s="7" t="n">
        <v>51</v>
      </c>
      <c r="C1961" s="7" t="s">
        <v>24</v>
      </c>
      <c r="D1961" s="7" t="s">
        <v>41</v>
      </c>
      <c r="E1961" s="7" t="n">
        <v>19</v>
      </c>
      <c r="F1961" s="7" t="n">
        <v>12</v>
      </c>
      <c r="G1961" s="7" t="s">
        <v>36</v>
      </c>
      <c r="H1961" s="7" t="s">
        <v>27</v>
      </c>
      <c r="I1961" s="7" t="n">
        <v>35.5</v>
      </c>
      <c r="J1961" s="7" t="s">
        <v>28</v>
      </c>
      <c r="K1961" s="7" t="n">
        <v>271.5</v>
      </c>
      <c r="L1961" s="7" t="s">
        <v>37</v>
      </c>
      <c r="M1961" s="7" t="s">
        <v>38</v>
      </c>
    </row>
    <row r="1962" customFormat="false" ht="15" hidden="false" customHeight="true" outlineLevel="0" collapsed="false">
      <c r="A1962" s="7" t="n">
        <v>552</v>
      </c>
      <c r="B1962" s="7" t="n">
        <v>34</v>
      </c>
      <c r="C1962" s="7" t="s">
        <v>33</v>
      </c>
      <c r="D1962" s="7" t="s">
        <v>41</v>
      </c>
      <c r="E1962" s="7" t="n">
        <v>7</v>
      </c>
      <c r="F1962" s="7" t="n">
        <v>7</v>
      </c>
      <c r="G1962" s="7" t="s">
        <v>35</v>
      </c>
      <c r="H1962" s="7" t="s">
        <v>27</v>
      </c>
      <c r="I1962" s="7" t="n">
        <v>24.6</v>
      </c>
      <c r="J1962" s="7" t="s">
        <v>28</v>
      </c>
      <c r="K1962" s="7" t="n">
        <v>174.3</v>
      </c>
      <c r="L1962" s="7" t="s">
        <v>29</v>
      </c>
      <c r="M1962" s="7" t="s">
        <v>38</v>
      </c>
    </row>
    <row r="1963" customFormat="false" ht="15" hidden="false" customHeight="true" outlineLevel="0" collapsed="false">
      <c r="A1963" s="7" t="n">
        <v>574</v>
      </c>
      <c r="B1963" s="7" t="n">
        <v>69</v>
      </c>
      <c r="C1963" s="7" t="s">
        <v>33</v>
      </c>
      <c r="D1963" s="7" t="s">
        <v>41</v>
      </c>
      <c r="E1963" s="7" t="n">
        <v>4</v>
      </c>
      <c r="F1963" s="7" t="n">
        <v>4</v>
      </c>
      <c r="G1963" s="7" t="s">
        <v>36</v>
      </c>
      <c r="H1963" s="7" t="s">
        <v>27</v>
      </c>
      <c r="I1963" s="7" t="n">
        <v>33.4</v>
      </c>
      <c r="J1963" s="7" t="s">
        <v>28</v>
      </c>
      <c r="K1963" s="7" t="n">
        <v>241.9</v>
      </c>
      <c r="L1963" s="7" t="s">
        <v>29</v>
      </c>
      <c r="M1963" s="7" t="s">
        <v>38</v>
      </c>
    </row>
    <row r="1964" customFormat="false" ht="15" hidden="false" customHeight="true" outlineLevel="0" collapsed="false">
      <c r="A1964" s="7" t="n">
        <v>588</v>
      </c>
      <c r="B1964" s="7" t="n">
        <v>46</v>
      </c>
      <c r="C1964" s="7" t="s">
        <v>33</v>
      </c>
      <c r="D1964" s="7" t="s">
        <v>41</v>
      </c>
      <c r="E1964" s="7" t="n">
        <v>18</v>
      </c>
      <c r="F1964" s="7" t="n">
        <v>10</v>
      </c>
      <c r="G1964" s="7" t="s">
        <v>31</v>
      </c>
      <c r="H1964" s="7" t="s">
        <v>32</v>
      </c>
      <c r="I1964" s="7" t="n">
        <v>28.1</v>
      </c>
      <c r="J1964" s="7" t="s">
        <v>28</v>
      </c>
      <c r="K1964" s="7" t="n">
        <v>161.9</v>
      </c>
      <c r="L1964" s="7" t="s">
        <v>29</v>
      </c>
      <c r="M1964" s="7" t="s">
        <v>38</v>
      </c>
    </row>
    <row r="1965" customFormat="false" ht="15" hidden="false" customHeight="true" outlineLevel="0" collapsed="false">
      <c r="A1965" s="7" t="n">
        <v>600</v>
      </c>
      <c r="B1965" s="7" t="n">
        <v>77</v>
      </c>
      <c r="C1965" s="7" t="s">
        <v>33</v>
      </c>
      <c r="D1965" s="7" t="s">
        <v>41</v>
      </c>
      <c r="E1965" s="7" t="n">
        <v>5</v>
      </c>
      <c r="F1965" s="7" t="n">
        <v>3</v>
      </c>
      <c r="G1965" s="7" t="s">
        <v>35</v>
      </c>
      <c r="H1965" s="7" t="s">
        <v>27</v>
      </c>
      <c r="I1965" s="7" t="n">
        <v>17.4</v>
      </c>
      <c r="J1965" s="7" t="s">
        <v>28</v>
      </c>
      <c r="K1965" s="7" t="n">
        <v>287.8</v>
      </c>
      <c r="L1965" s="7" t="s">
        <v>29</v>
      </c>
      <c r="M1965" s="7" t="s">
        <v>38</v>
      </c>
    </row>
    <row r="1966" customFormat="false" ht="15" hidden="false" customHeight="true" outlineLevel="0" collapsed="false">
      <c r="A1966" s="7" t="n">
        <v>607</v>
      </c>
      <c r="B1966" s="7" t="n">
        <v>74</v>
      </c>
      <c r="C1966" s="7" t="s">
        <v>33</v>
      </c>
      <c r="D1966" s="7" t="s">
        <v>41</v>
      </c>
      <c r="E1966" s="7" t="n">
        <v>17</v>
      </c>
      <c r="F1966" s="7" t="n">
        <v>7</v>
      </c>
      <c r="G1966" s="7" t="s">
        <v>34</v>
      </c>
      <c r="H1966" s="7" t="s">
        <v>27</v>
      </c>
      <c r="I1966" s="7" t="n">
        <v>30.2</v>
      </c>
      <c r="J1966" s="7" t="s">
        <v>28</v>
      </c>
      <c r="K1966" s="7" t="n">
        <v>263.4</v>
      </c>
      <c r="L1966" s="7" t="s">
        <v>29</v>
      </c>
      <c r="M1966" s="7" t="s">
        <v>38</v>
      </c>
    </row>
    <row r="1967" customFormat="false" ht="15" hidden="false" customHeight="true" outlineLevel="0" collapsed="false">
      <c r="A1967" s="7" t="n">
        <v>633</v>
      </c>
      <c r="B1967" s="7" t="n">
        <v>25</v>
      </c>
      <c r="C1967" s="7" t="s">
        <v>24</v>
      </c>
      <c r="D1967" s="7" t="s">
        <v>41</v>
      </c>
      <c r="E1967" s="7" t="n">
        <v>14</v>
      </c>
      <c r="F1967" s="7" t="n">
        <v>6</v>
      </c>
      <c r="G1967" s="7" t="s">
        <v>26</v>
      </c>
      <c r="H1967" s="7" t="s">
        <v>27</v>
      </c>
      <c r="I1967" s="7" t="n">
        <v>26.2</v>
      </c>
      <c r="J1967" s="7" t="s">
        <v>28</v>
      </c>
      <c r="K1967" s="7" t="n">
        <v>265.6</v>
      </c>
      <c r="L1967" s="7" t="s">
        <v>29</v>
      </c>
      <c r="M1967" s="7" t="s">
        <v>38</v>
      </c>
    </row>
    <row r="1968" customFormat="false" ht="15" hidden="false" customHeight="true" outlineLevel="0" collapsed="false">
      <c r="A1968" s="7" t="n">
        <v>634</v>
      </c>
      <c r="B1968" s="7" t="n">
        <v>26</v>
      </c>
      <c r="C1968" s="7" t="s">
        <v>33</v>
      </c>
      <c r="D1968" s="7" t="s">
        <v>41</v>
      </c>
      <c r="E1968" s="7" t="n">
        <v>16</v>
      </c>
      <c r="F1968" s="7" t="n">
        <v>13</v>
      </c>
      <c r="G1968" s="7" t="s">
        <v>31</v>
      </c>
      <c r="H1968" s="7" t="s">
        <v>27</v>
      </c>
      <c r="I1968" s="7" t="n">
        <v>31</v>
      </c>
      <c r="J1968" s="7" t="s">
        <v>28</v>
      </c>
      <c r="K1968" s="7" t="n">
        <v>135.2</v>
      </c>
      <c r="L1968" s="7" t="s">
        <v>29</v>
      </c>
      <c r="M1968" s="7" t="s">
        <v>38</v>
      </c>
    </row>
    <row r="1969" customFormat="false" ht="15" hidden="false" customHeight="true" outlineLevel="0" collapsed="false">
      <c r="A1969" s="7" t="n">
        <v>645</v>
      </c>
      <c r="B1969" s="7" t="n">
        <v>33</v>
      </c>
      <c r="C1969" s="7" t="s">
        <v>24</v>
      </c>
      <c r="D1969" s="7" t="s">
        <v>41</v>
      </c>
      <c r="E1969" s="7" t="n">
        <v>5</v>
      </c>
      <c r="F1969" s="7" t="n">
        <v>2</v>
      </c>
      <c r="G1969" s="7" t="s">
        <v>34</v>
      </c>
      <c r="H1969" s="7" t="s">
        <v>27</v>
      </c>
      <c r="I1969" s="7" t="n">
        <v>31.8</v>
      </c>
      <c r="J1969" s="7" t="s">
        <v>28</v>
      </c>
      <c r="K1969" s="7" t="n">
        <v>289.4</v>
      </c>
      <c r="L1969" s="7" t="s">
        <v>29</v>
      </c>
      <c r="M1969" s="7" t="s">
        <v>38</v>
      </c>
    </row>
    <row r="1970" customFormat="false" ht="15" hidden="false" customHeight="true" outlineLevel="0" collapsed="false">
      <c r="A1970" s="7" t="n">
        <v>656</v>
      </c>
      <c r="B1970" s="7" t="n">
        <v>75</v>
      </c>
      <c r="C1970" s="7" t="s">
        <v>24</v>
      </c>
      <c r="D1970" s="7" t="s">
        <v>41</v>
      </c>
      <c r="E1970" s="7" t="n">
        <v>19</v>
      </c>
      <c r="F1970" s="7" t="n">
        <v>4</v>
      </c>
      <c r="G1970" s="7" t="s">
        <v>34</v>
      </c>
      <c r="H1970" s="7" t="s">
        <v>27</v>
      </c>
      <c r="I1970" s="7" t="n">
        <v>25.4</v>
      </c>
      <c r="J1970" s="7" t="s">
        <v>28</v>
      </c>
      <c r="K1970" s="7" t="n">
        <v>296.3</v>
      </c>
      <c r="L1970" s="7" t="s">
        <v>29</v>
      </c>
      <c r="M1970" s="7" t="s">
        <v>38</v>
      </c>
    </row>
    <row r="1971" customFormat="false" ht="15" hidden="false" customHeight="true" outlineLevel="0" collapsed="false">
      <c r="A1971" s="7" t="n">
        <v>760</v>
      </c>
      <c r="B1971" s="7" t="n">
        <v>54</v>
      </c>
      <c r="C1971" s="7" t="s">
        <v>24</v>
      </c>
      <c r="D1971" s="7" t="s">
        <v>41</v>
      </c>
      <c r="E1971" s="7" t="n">
        <v>4</v>
      </c>
      <c r="F1971" s="7" t="n">
        <v>6</v>
      </c>
      <c r="G1971" s="7" t="s">
        <v>34</v>
      </c>
      <c r="H1971" s="7" t="s">
        <v>27</v>
      </c>
      <c r="I1971" s="7" t="n">
        <v>26.8</v>
      </c>
      <c r="J1971" s="7" t="s">
        <v>28</v>
      </c>
      <c r="K1971" s="7" t="n">
        <v>269.8</v>
      </c>
      <c r="L1971" s="7" t="s">
        <v>37</v>
      </c>
      <c r="M1971" s="7" t="s">
        <v>38</v>
      </c>
    </row>
    <row r="1972" customFormat="false" ht="15" hidden="false" customHeight="true" outlineLevel="0" collapsed="false">
      <c r="A1972" s="7" t="n">
        <v>776</v>
      </c>
      <c r="B1972" s="7" t="n">
        <v>57</v>
      </c>
      <c r="C1972" s="7" t="s">
        <v>24</v>
      </c>
      <c r="D1972" s="7" t="s">
        <v>41</v>
      </c>
      <c r="E1972" s="7" t="n">
        <v>19</v>
      </c>
      <c r="F1972" s="7" t="n">
        <v>1</v>
      </c>
      <c r="G1972" s="7" t="s">
        <v>26</v>
      </c>
      <c r="H1972" s="7" t="s">
        <v>32</v>
      </c>
      <c r="I1972" s="7" t="n">
        <v>18.4</v>
      </c>
      <c r="J1972" s="7" t="s">
        <v>28</v>
      </c>
      <c r="K1972" s="7" t="n">
        <v>247.4</v>
      </c>
      <c r="L1972" s="7" t="s">
        <v>29</v>
      </c>
      <c r="M1972" s="7" t="s">
        <v>38</v>
      </c>
    </row>
    <row r="1973" customFormat="false" ht="15" hidden="false" customHeight="true" outlineLevel="0" collapsed="false">
      <c r="A1973" s="7" t="n">
        <v>828</v>
      </c>
      <c r="B1973" s="7" t="n">
        <v>21</v>
      </c>
      <c r="C1973" s="7" t="s">
        <v>24</v>
      </c>
      <c r="D1973" s="7" t="s">
        <v>41</v>
      </c>
      <c r="E1973" s="7" t="n">
        <v>5</v>
      </c>
      <c r="F1973" s="7" t="n">
        <v>14</v>
      </c>
      <c r="G1973" s="7" t="s">
        <v>36</v>
      </c>
      <c r="H1973" s="7" t="s">
        <v>27</v>
      </c>
      <c r="I1973" s="7" t="n">
        <v>25.2</v>
      </c>
      <c r="J1973" s="7" t="s">
        <v>28</v>
      </c>
      <c r="K1973" s="7" t="n">
        <v>251.5</v>
      </c>
      <c r="L1973" s="7" t="s">
        <v>29</v>
      </c>
      <c r="M1973" s="7" t="s">
        <v>38</v>
      </c>
    </row>
    <row r="1974" customFormat="false" ht="15" hidden="false" customHeight="true" outlineLevel="0" collapsed="false">
      <c r="A1974" s="7" t="n">
        <v>838</v>
      </c>
      <c r="B1974" s="7" t="n">
        <v>31</v>
      </c>
      <c r="C1974" s="7" t="s">
        <v>33</v>
      </c>
      <c r="D1974" s="7" t="s">
        <v>41</v>
      </c>
      <c r="E1974" s="7" t="n">
        <v>6</v>
      </c>
      <c r="F1974" s="7" t="n">
        <v>5</v>
      </c>
      <c r="G1974" s="7" t="s">
        <v>26</v>
      </c>
      <c r="H1974" s="7" t="s">
        <v>27</v>
      </c>
      <c r="I1974" s="7" t="n">
        <v>27</v>
      </c>
      <c r="J1974" s="7" t="s">
        <v>28</v>
      </c>
      <c r="K1974" s="7" t="n">
        <v>150.6</v>
      </c>
      <c r="L1974" s="7" t="s">
        <v>29</v>
      </c>
      <c r="M1974" s="7" t="s">
        <v>38</v>
      </c>
    </row>
    <row r="1975" customFormat="false" ht="15" hidden="false" customHeight="true" outlineLevel="0" collapsed="false">
      <c r="A1975" s="7" t="n">
        <v>874</v>
      </c>
      <c r="B1975" s="7" t="n">
        <v>54</v>
      </c>
      <c r="C1975" s="7" t="s">
        <v>33</v>
      </c>
      <c r="D1975" s="7" t="s">
        <v>41</v>
      </c>
      <c r="E1975" s="7" t="n">
        <v>6</v>
      </c>
      <c r="F1975" s="7" t="n">
        <v>9</v>
      </c>
      <c r="G1975" s="7" t="s">
        <v>35</v>
      </c>
      <c r="H1975" s="7" t="s">
        <v>32</v>
      </c>
      <c r="I1975" s="7" t="n">
        <v>33.9</v>
      </c>
      <c r="J1975" s="7" t="s">
        <v>28</v>
      </c>
      <c r="K1975" s="7" t="n">
        <v>234.8</v>
      </c>
      <c r="L1975" s="7" t="s">
        <v>29</v>
      </c>
      <c r="M1975" s="7" t="s">
        <v>38</v>
      </c>
    </row>
    <row r="1976" customFormat="false" ht="15" hidden="false" customHeight="true" outlineLevel="0" collapsed="false">
      <c r="A1976" s="7" t="n">
        <v>884</v>
      </c>
      <c r="B1976" s="7" t="n">
        <v>58</v>
      </c>
      <c r="C1976" s="7" t="s">
        <v>24</v>
      </c>
      <c r="D1976" s="7" t="s">
        <v>41</v>
      </c>
      <c r="E1976" s="7" t="n">
        <v>14</v>
      </c>
      <c r="F1976" s="7" t="n">
        <v>5</v>
      </c>
      <c r="G1976" s="7" t="s">
        <v>36</v>
      </c>
      <c r="H1976" s="7" t="s">
        <v>27</v>
      </c>
      <c r="I1976" s="7" t="n">
        <v>22.1</v>
      </c>
      <c r="J1976" s="7" t="s">
        <v>28</v>
      </c>
      <c r="K1976" s="7" t="n">
        <v>272.2</v>
      </c>
      <c r="L1976" s="7" t="s">
        <v>29</v>
      </c>
      <c r="M1976" s="7" t="s">
        <v>38</v>
      </c>
    </row>
    <row r="1977" customFormat="false" ht="15" hidden="false" customHeight="true" outlineLevel="0" collapsed="false">
      <c r="A1977" s="7" t="n">
        <v>937</v>
      </c>
      <c r="B1977" s="7" t="n">
        <v>87</v>
      </c>
      <c r="C1977" s="7" t="s">
        <v>33</v>
      </c>
      <c r="D1977" s="7" t="s">
        <v>41</v>
      </c>
      <c r="E1977" s="7" t="n">
        <v>18</v>
      </c>
      <c r="F1977" s="7" t="n">
        <v>3</v>
      </c>
      <c r="G1977" s="7" t="s">
        <v>36</v>
      </c>
      <c r="H1977" s="7" t="s">
        <v>27</v>
      </c>
      <c r="I1977" s="7" t="n">
        <v>37.2</v>
      </c>
      <c r="J1977" s="7" t="s">
        <v>28</v>
      </c>
      <c r="K1977" s="7" t="n">
        <v>257.8</v>
      </c>
      <c r="L1977" s="7" t="s">
        <v>29</v>
      </c>
      <c r="M1977" s="7" t="s">
        <v>38</v>
      </c>
    </row>
    <row r="1978" customFormat="false" ht="15" hidden="false" customHeight="true" outlineLevel="0" collapsed="false">
      <c r="A1978" s="7" t="n">
        <v>982</v>
      </c>
      <c r="B1978" s="7" t="n">
        <v>37</v>
      </c>
      <c r="C1978" s="7" t="s">
        <v>33</v>
      </c>
      <c r="D1978" s="7" t="s">
        <v>41</v>
      </c>
      <c r="E1978" s="7" t="n">
        <v>6</v>
      </c>
      <c r="F1978" s="7" t="n">
        <v>5</v>
      </c>
      <c r="G1978" s="7" t="s">
        <v>35</v>
      </c>
      <c r="H1978" s="7" t="s">
        <v>27</v>
      </c>
      <c r="I1978" s="7" t="n">
        <v>37.6</v>
      </c>
      <c r="J1978" s="7" t="s">
        <v>28</v>
      </c>
      <c r="K1978" s="7" t="n">
        <v>153.3</v>
      </c>
      <c r="L1978" s="7" t="s">
        <v>29</v>
      </c>
      <c r="M1978" s="7" t="s">
        <v>38</v>
      </c>
    </row>
    <row r="1979" customFormat="false" ht="15" hidden="false" customHeight="true" outlineLevel="0" collapsed="false">
      <c r="A1979" s="7" t="n">
        <v>995</v>
      </c>
      <c r="B1979" s="7" t="n">
        <v>53</v>
      </c>
      <c r="C1979" s="7" t="s">
        <v>33</v>
      </c>
      <c r="D1979" s="7" t="s">
        <v>41</v>
      </c>
      <c r="E1979" s="7" t="n">
        <v>9</v>
      </c>
      <c r="F1979" s="7" t="n">
        <v>13</v>
      </c>
      <c r="G1979" s="7" t="s">
        <v>35</v>
      </c>
      <c r="H1979" s="7" t="s">
        <v>27</v>
      </c>
      <c r="I1979" s="7" t="n">
        <v>40.2</v>
      </c>
      <c r="J1979" s="7" t="s">
        <v>28</v>
      </c>
      <c r="K1979" s="7" t="n">
        <v>293.4</v>
      </c>
      <c r="L1979" s="7" t="s">
        <v>29</v>
      </c>
      <c r="M1979" s="7" t="s">
        <v>38</v>
      </c>
    </row>
    <row r="1980" customFormat="false" ht="15" hidden="false" customHeight="true" outlineLevel="0" collapsed="false">
      <c r="A1980" s="7" t="n">
        <v>1002</v>
      </c>
      <c r="B1980" s="7" t="n">
        <v>48</v>
      </c>
      <c r="C1980" s="7" t="s">
        <v>33</v>
      </c>
      <c r="D1980" s="7" t="s">
        <v>41</v>
      </c>
      <c r="E1980" s="7" t="n">
        <v>2</v>
      </c>
      <c r="F1980" s="7" t="n">
        <v>5</v>
      </c>
      <c r="G1980" s="7" t="s">
        <v>35</v>
      </c>
      <c r="H1980" s="7" t="s">
        <v>27</v>
      </c>
      <c r="I1980" s="7" t="n">
        <v>32.1</v>
      </c>
      <c r="J1980" s="7" t="s">
        <v>28</v>
      </c>
      <c r="K1980" s="7" t="n">
        <v>283.8</v>
      </c>
      <c r="L1980" s="7" t="s">
        <v>29</v>
      </c>
      <c r="M1980" s="7" t="s">
        <v>38</v>
      </c>
    </row>
    <row r="1981" customFormat="false" ht="15" hidden="false" customHeight="true" outlineLevel="0" collapsed="false">
      <c r="A1981" s="7" t="n">
        <v>1026</v>
      </c>
      <c r="B1981" s="7" t="n">
        <v>67</v>
      </c>
      <c r="C1981" s="7" t="s">
        <v>33</v>
      </c>
      <c r="D1981" s="7" t="s">
        <v>41</v>
      </c>
      <c r="E1981" s="7" t="n">
        <v>17</v>
      </c>
      <c r="F1981" s="7" t="n">
        <v>11</v>
      </c>
      <c r="G1981" s="7" t="s">
        <v>34</v>
      </c>
      <c r="H1981" s="7" t="s">
        <v>27</v>
      </c>
      <c r="I1981" s="7" t="n">
        <v>29.8</v>
      </c>
      <c r="J1981" s="7" t="s">
        <v>28</v>
      </c>
      <c r="K1981" s="7" t="n">
        <v>274.9</v>
      </c>
      <c r="L1981" s="7" t="s">
        <v>29</v>
      </c>
      <c r="M1981" s="7" t="s">
        <v>38</v>
      </c>
    </row>
    <row r="1982" customFormat="false" ht="15" hidden="false" customHeight="true" outlineLevel="0" collapsed="false">
      <c r="A1982" s="7" t="n">
        <v>1027</v>
      </c>
      <c r="B1982" s="7" t="n">
        <v>35</v>
      </c>
      <c r="C1982" s="7" t="s">
        <v>24</v>
      </c>
      <c r="D1982" s="7" t="s">
        <v>41</v>
      </c>
      <c r="E1982" s="7" t="n">
        <v>19</v>
      </c>
      <c r="F1982" s="7" t="n">
        <v>13</v>
      </c>
      <c r="G1982" s="7" t="s">
        <v>34</v>
      </c>
      <c r="H1982" s="7" t="s">
        <v>27</v>
      </c>
      <c r="I1982" s="7" t="n">
        <v>26.1</v>
      </c>
      <c r="J1982" s="7" t="s">
        <v>28</v>
      </c>
      <c r="K1982" s="7" t="n">
        <v>211.1</v>
      </c>
      <c r="L1982" s="7" t="s">
        <v>29</v>
      </c>
      <c r="M1982" s="7" t="s">
        <v>38</v>
      </c>
    </row>
    <row r="1983" customFormat="false" ht="15" hidden="false" customHeight="true" outlineLevel="0" collapsed="false">
      <c r="A1983" s="7" t="n">
        <v>1032</v>
      </c>
      <c r="B1983" s="7" t="n">
        <v>29</v>
      </c>
      <c r="C1983" s="7" t="s">
        <v>24</v>
      </c>
      <c r="D1983" s="7" t="s">
        <v>41</v>
      </c>
      <c r="E1983" s="7" t="n">
        <v>6</v>
      </c>
      <c r="F1983" s="7" t="n">
        <v>11</v>
      </c>
      <c r="G1983" s="7" t="s">
        <v>36</v>
      </c>
      <c r="H1983" s="7" t="s">
        <v>32</v>
      </c>
      <c r="I1983" s="7" t="n">
        <v>36.6</v>
      </c>
      <c r="J1983" s="7" t="s">
        <v>28</v>
      </c>
      <c r="K1983" s="7" t="n">
        <v>147.8</v>
      </c>
      <c r="L1983" s="7" t="s">
        <v>37</v>
      </c>
      <c r="M1983" s="7" t="s">
        <v>38</v>
      </c>
    </row>
    <row r="1984" customFormat="false" ht="15" hidden="false" customHeight="true" outlineLevel="0" collapsed="false">
      <c r="A1984" s="7" t="n">
        <v>1055</v>
      </c>
      <c r="B1984" s="7" t="n">
        <v>18</v>
      </c>
      <c r="C1984" s="7" t="s">
        <v>24</v>
      </c>
      <c r="D1984" s="7" t="s">
        <v>41</v>
      </c>
      <c r="E1984" s="7" t="n">
        <v>6</v>
      </c>
      <c r="F1984" s="7" t="n">
        <v>12</v>
      </c>
      <c r="G1984" s="7" t="s">
        <v>35</v>
      </c>
      <c r="H1984" s="7" t="s">
        <v>32</v>
      </c>
      <c r="I1984" s="7" t="n">
        <v>32.6</v>
      </c>
      <c r="J1984" s="7" t="s">
        <v>28</v>
      </c>
      <c r="K1984" s="7" t="n">
        <v>158</v>
      </c>
      <c r="L1984" s="7" t="s">
        <v>29</v>
      </c>
      <c r="M1984" s="7" t="s">
        <v>38</v>
      </c>
    </row>
    <row r="1985" customFormat="false" ht="15" hidden="false" customHeight="true" outlineLevel="0" collapsed="false">
      <c r="A1985" s="7" t="n">
        <v>1064</v>
      </c>
      <c r="B1985" s="7" t="n">
        <v>64</v>
      </c>
      <c r="C1985" s="7" t="s">
        <v>33</v>
      </c>
      <c r="D1985" s="7" t="s">
        <v>41</v>
      </c>
      <c r="E1985" s="7" t="n">
        <v>9</v>
      </c>
      <c r="F1985" s="7" t="n">
        <v>4</v>
      </c>
      <c r="G1985" s="7" t="s">
        <v>34</v>
      </c>
      <c r="H1985" s="7" t="s">
        <v>27</v>
      </c>
      <c r="I1985" s="7" t="n">
        <v>29.1</v>
      </c>
      <c r="J1985" s="7" t="s">
        <v>28</v>
      </c>
      <c r="K1985" s="7" t="n">
        <v>215.1</v>
      </c>
      <c r="L1985" s="7" t="s">
        <v>37</v>
      </c>
      <c r="M1985" s="7" t="s">
        <v>38</v>
      </c>
    </row>
    <row r="1986" customFormat="false" ht="15" hidden="false" customHeight="true" outlineLevel="0" collapsed="false">
      <c r="A1986" s="7" t="n">
        <v>1082</v>
      </c>
      <c r="B1986" s="7" t="n">
        <v>89</v>
      </c>
      <c r="C1986" s="7" t="s">
        <v>24</v>
      </c>
      <c r="D1986" s="7" t="s">
        <v>41</v>
      </c>
      <c r="E1986" s="7" t="n">
        <v>13</v>
      </c>
      <c r="F1986" s="7" t="n">
        <v>5</v>
      </c>
      <c r="G1986" s="7" t="s">
        <v>31</v>
      </c>
      <c r="H1986" s="7" t="s">
        <v>32</v>
      </c>
      <c r="I1986" s="7" t="n">
        <v>20.4</v>
      </c>
      <c r="J1986" s="7" t="s">
        <v>28</v>
      </c>
      <c r="K1986" s="7" t="n">
        <v>139.2</v>
      </c>
      <c r="L1986" s="7" t="s">
        <v>29</v>
      </c>
      <c r="M1986" s="7" t="s">
        <v>38</v>
      </c>
    </row>
    <row r="1987" customFormat="false" ht="15" hidden="false" customHeight="true" outlineLevel="0" collapsed="false">
      <c r="A1987" s="7" t="n">
        <v>1089</v>
      </c>
      <c r="B1987" s="7" t="n">
        <v>61</v>
      </c>
      <c r="C1987" s="7" t="s">
        <v>33</v>
      </c>
      <c r="D1987" s="7" t="s">
        <v>41</v>
      </c>
      <c r="E1987" s="7" t="n">
        <v>6</v>
      </c>
      <c r="F1987" s="7" t="n">
        <v>4</v>
      </c>
      <c r="G1987" s="7" t="s">
        <v>35</v>
      </c>
      <c r="H1987" s="7" t="s">
        <v>27</v>
      </c>
      <c r="I1987" s="7" t="n">
        <v>22.9</v>
      </c>
      <c r="J1987" s="7" t="s">
        <v>28</v>
      </c>
      <c r="K1987" s="7" t="n">
        <v>166.2</v>
      </c>
      <c r="L1987" s="7" t="s">
        <v>37</v>
      </c>
      <c r="M1987" s="7" t="s">
        <v>38</v>
      </c>
    </row>
    <row r="1988" customFormat="false" ht="15" hidden="false" customHeight="true" outlineLevel="0" collapsed="false">
      <c r="A1988" s="7" t="n">
        <v>1099</v>
      </c>
      <c r="B1988" s="7" t="n">
        <v>57</v>
      </c>
      <c r="C1988" s="7" t="s">
        <v>24</v>
      </c>
      <c r="D1988" s="7" t="s">
        <v>41</v>
      </c>
      <c r="E1988" s="7" t="n">
        <v>12</v>
      </c>
      <c r="F1988" s="7" t="n">
        <v>13</v>
      </c>
      <c r="G1988" s="7" t="s">
        <v>31</v>
      </c>
      <c r="H1988" s="7" t="s">
        <v>27</v>
      </c>
      <c r="I1988" s="7" t="n">
        <v>31.3</v>
      </c>
      <c r="J1988" s="7" t="s">
        <v>28</v>
      </c>
      <c r="K1988" s="7" t="n">
        <v>264.2</v>
      </c>
      <c r="L1988" s="7" t="s">
        <v>37</v>
      </c>
      <c r="M1988" s="7" t="s">
        <v>38</v>
      </c>
    </row>
    <row r="1989" customFormat="false" ht="15" hidden="false" customHeight="true" outlineLevel="0" collapsed="false">
      <c r="A1989" s="7" t="n">
        <v>1108</v>
      </c>
      <c r="B1989" s="7" t="n">
        <v>26</v>
      </c>
      <c r="C1989" s="7" t="s">
        <v>33</v>
      </c>
      <c r="D1989" s="7" t="s">
        <v>41</v>
      </c>
      <c r="E1989" s="7" t="n">
        <v>4</v>
      </c>
      <c r="F1989" s="7" t="n">
        <v>3</v>
      </c>
      <c r="G1989" s="7" t="s">
        <v>26</v>
      </c>
      <c r="H1989" s="7" t="s">
        <v>32</v>
      </c>
      <c r="I1989" s="7" t="n">
        <v>41.9</v>
      </c>
      <c r="J1989" s="7" t="s">
        <v>28</v>
      </c>
      <c r="K1989" s="7" t="n">
        <v>188.7</v>
      </c>
      <c r="L1989" s="7" t="s">
        <v>29</v>
      </c>
      <c r="M1989" s="7" t="s">
        <v>38</v>
      </c>
    </row>
    <row r="1990" customFormat="false" ht="15" hidden="false" customHeight="true" outlineLevel="0" collapsed="false">
      <c r="A1990" s="7" t="n">
        <v>1139</v>
      </c>
      <c r="B1990" s="7" t="n">
        <v>78</v>
      </c>
      <c r="C1990" s="7" t="s">
        <v>24</v>
      </c>
      <c r="D1990" s="7" t="s">
        <v>41</v>
      </c>
      <c r="E1990" s="7" t="n">
        <v>1</v>
      </c>
      <c r="F1990" s="7" t="n">
        <v>8</v>
      </c>
      <c r="G1990" s="7" t="s">
        <v>34</v>
      </c>
      <c r="H1990" s="7" t="s">
        <v>32</v>
      </c>
      <c r="I1990" s="7" t="n">
        <v>41.7</v>
      </c>
      <c r="J1990" s="7" t="s">
        <v>28</v>
      </c>
      <c r="K1990" s="7" t="n">
        <v>122</v>
      </c>
      <c r="L1990" s="7" t="s">
        <v>37</v>
      </c>
      <c r="M1990" s="7" t="s">
        <v>38</v>
      </c>
    </row>
    <row r="1991" customFormat="false" ht="15" hidden="false" customHeight="true" outlineLevel="0" collapsed="false">
      <c r="A1991" s="7" t="n">
        <v>1144</v>
      </c>
      <c r="B1991" s="7" t="n">
        <v>65</v>
      </c>
      <c r="C1991" s="7" t="s">
        <v>24</v>
      </c>
      <c r="D1991" s="7" t="s">
        <v>41</v>
      </c>
      <c r="E1991" s="7" t="n">
        <v>15</v>
      </c>
      <c r="F1991" s="7" t="n">
        <v>2</v>
      </c>
      <c r="G1991" s="7" t="s">
        <v>26</v>
      </c>
      <c r="H1991" s="7" t="s">
        <v>27</v>
      </c>
      <c r="I1991" s="7" t="n">
        <v>19.9</v>
      </c>
      <c r="J1991" s="7" t="s">
        <v>28</v>
      </c>
      <c r="K1991" s="7" t="n">
        <v>292.8</v>
      </c>
      <c r="L1991" s="7" t="s">
        <v>29</v>
      </c>
      <c r="M1991" s="7" t="s">
        <v>38</v>
      </c>
    </row>
    <row r="1992" customFormat="false" ht="15" hidden="false" customHeight="true" outlineLevel="0" collapsed="false">
      <c r="A1992" s="7" t="n">
        <v>1191</v>
      </c>
      <c r="B1992" s="7" t="n">
        <v>75</v>
      </c>
      <c r="C1992" s="7" t="s">
        <v>24</v>
      </c>
      <c r="D1992" s="7" t="s">
        <v>41</v>
      </c>
      <c r="E1992" s="7" t="n">
        <v>5</v>
      </c>
      <c r="F1992" s="7" t="n">
        <v>14</v>
      </c>
      <c r="G1992" s="7" t="s">
        <v>31</v>
      </c>
      <c r="H1992" s="7" t="s">
        <v>27</v>
      </c>
      <c r="I1992" s="7" t="n">
        <v>18.2</v>
      </c>
      <c r="J1992" s="7" t="s">
        <v>28</v>
      </c>
      <c r="K1992" s="7" t="n">
        <v>163.7</v>
      </c>
      <c r="L1992" s="7" t="s">
        <v>29</v>
      </c>
      <c r="M1992" s="7" t="s">
        <v>38</v>
      </c>
    </row>
    <row r="1993" customFormat="false" ht="15" hidden="false" customHeight="true" outlineLevel="0" collapsed="false">
      <c r="A1993" s="7" t="n">
        <v>1197</v>
      </c>
      <c r="B1993" s="7" t="n">
        <v>83</v>
      </c>
      <c r="C1993" s="7" t="s">
        <v>24</v>
      </c>
      <c r="D1993" s="7" t="s">
        <v>41</v>
      </c>
      <c r="E1993" s="7" t="n">
        <v>11</v>
      </c>
      <c r="F1993" s="7" t="n">
        <v>1</v>
      </c>
      <c r="G1993" s="7" t="s">
        <v>34</v>
      </c>
      <c r="H1993" s="7" t="s">
        <v>32</v>
      </c>
      <c r="I1993" s="7" t="n">
        <v>28.7</v>
      </c>
      <c r="J1993" s="7" t="s">
        <v>28</v>
      </c>
      <c r="K1993" s="7" t="n">
        <v>145.5</v>
      </c>
      <c r="L1993" s="7" t="s">
        <v>37</v>
      </c>
      <c r="M1993" s="7" t="s">
        <v>38</v>
      </c>
    </row>
    <row r="1994" customFormat="false" ht="15" hidden="false" customHeight="true" outlineLevel="0" collapsed="false">
      <c r="A1994" s="7" t="n">
        <v>1214</v>
      </c>
      <c r="B1994" s="7" t="n">
        <v>27</v>
      </c>
      <c r="C1994" s="7" t="s">
        <v>24</v>
      </c>
      <c r="D1994" s="7" t="s">
        <v>41</v>
      </c>
      <c r="E1994" s="7" t="n">
        <v>9</v>
      </c>
      <c r="F1994" s="7" t="n">
        <v>5</v>
      </c>
      <c r="G1994" s="7" t="s">
        <v>36</v>
      </c>
      <c r="H1994" s="7" t="s">
        <v>32</v>
      </c>
      <c r="I1994" s="7" t="n">
        <v>22.2</v>
      </c>
      <c r="J1994" s="7" t="s">
        <v>28</v>
      </c>
      <c r="K1994" s="7" t="n">
        <v>148.1</v>
      </c>
      <c r="L1994" s="7" t="s">
        <v>29</v>
      </c>
      <c r="M1994" s="7" t="s">
        <v>38</v>
      </c>
    </row>
    <row r="1995" customFormat="false" ht="15" hidden="false" customHeight="true" outlineLevel="0" collapsed="false">
      <c r="A1995" s="7" t="n">
        <v>1228</v>
      </c>
      <c r="B1995" s="7" t="n">
        <v>21</v>
      </c>
      <c r="C1995" s="7" t="s">
        <v>24</v>
      </c>
      <c r="D1995" s="7" t="s">
        <v>41</v>
      </c>
      <c r="E1995" s="7" t="n">
        <v>7</v>
      </c>
      <c r="F1995" s="7" t="n">
        <v>12</v>
      </c>
      <c r="G1995" s="7" t="s">
        <v>36</v>
      </c>
      <c r="H1995" s="7" t="s">
        <v>32</v>
      </c>
      <c r="I1995" s="7" t="n">
        <v>25.5</v>
      </c>
      <c r="J1995" s="7" t="s">
        <v>28</v>
      </c>
      <c r="K1995" s="7" t="n">
        <v>279.8</v>
      </c>
      <c r="L1995" s="7" t="s">
        <v>29</v>
      </c>
      <c r="M1995" s="7" t="s">
        <v>38</v>
      </c>
    </row>
    <row r="1996" customFormat="false" ht="15" hidden="false" customHeight="true" outlineLevel="0" collapsed="false">
      <c r="A1996" s="7" t="n">
        <v>1240</v>
      </c>
      <c r="B1996" s="7" t="n">
        <v>53</v>
      </c>
      <c r="C1996" s="7" t="s">
        <v>33</v>
      </c>
      <c r="D1996" s="7" t="s">
        <v>41</v>
      </c>
      <c r="E1996" s="7" t="n">
        <v>18</v>
      </c>
      <c r="F1996" s="7" t="n">
        <v>2</v>
      </c>
      <c r="G1996" s="7" t="s">
        <v>31</v>
      </c>
      <c r="H1996" s="7" t="s">
        <v>27</v>
      </c>
      <c r="I1996" s="7" t="n">
        <v>31.4</v>
      </c>
      <c r="J1996" s="7" t="s">
        <v>28</v>
      </c>
      <c r="K1996" s="7" t="n">
        <v>141.7</v>
      </c>
      <c r="L1996" s="7" t="s">
        <v>37</v>
      </c>
      <c r="M1996" s="7" t="s">
        <v>38</v>
      </c>
    </row>
    <row r="1997" customFormat="false" ht="15" hidden="false" customHeight="true" outlineLevel="0" collapsed="false">
      <c r="A1997" s="7" t="n">
        <v>1275</v>
      </c>
      <c r="B1997" s="7" t="n">
        <v>66</v>
      </c>
      <c r="C1997" s="7" t="s">
        <v>33</v>
      </c>
      <c r="D1997" s="7" t="s">
        <v>41</v>
      </c>
      <c r="E1997" s="7" t="n">
        <v>1</v>
      </c>
      <c r="F1997" s="7" t="n">
        <v>10</v>
      </c>
      <c r="G1997" s="7" t="s">
        <v>36</v>
      </c>
      <c r="H1997" s="7" t="s">
        <v>27</v>
      </c>
      <c r="I1997" s="7" t="n">
        <v>19.4</v>
      </c>
      <c r="J1997" s="7" t="s">
        <v>28</v>
      </c>
      <c r="K1997" s="7" t="n">
        <v>123.5</v>
      </c>
      <c r="L1997" s="7" t="s">
        <v>37</v>
      </c>
      <c r="M1997" s="7" t="s">
        <v>38</v>
      </c>
    </row>
    <row r="1998" customFormat="false" ht="15" hidden="false" customHeight="true" outlineLevel="0" collapsed="false">
      <c r="A1998" s="7" t="n">
        <v>1277</v>
      </c>
      <c r="B1998" s="7" t="n">
        <v>69</v>
      </c>
      <c r="C1998" s="7" t="s">
        <v>24</v>
      </c>
      <c r="D1998" s="7" t="s">
        <v>41</v>
      </c>
      <c r="E1998" s="7" t="n">
        <v>5</v>
      </c>
      <c r="F1998" s="7" t="n">
        <v>5</v>
      </c>
      <c r="G1998" s="7" t="s">
        <v>35</v>
      </c>
      <c r="H1998" s="7" t="s">
        <v>27</v>
      </c>
      <c r="I1998" s="7" t="n">
        <v>40.4</v>
      </c>
      <c r="J1998" s="7" t="s">
        <v>28</v>
      </c>
      <c r="K1998" s="7" t="n">
        <v>184.6</v>
      </c>
      <c r="L1998" s="7" t="s">
        <v>29</v>
      </c>
      <c r="M1998" s="7" t="s">
        <v>38</v>
      </c>
    </row>
    <row r="1999" customFormat="false" ht="15" hidden="false" customHeight="true" outlineLevel="0" collapsed="false">
      <c r="A1999" s="7" t="n">
        <v>1312</v>
      </c>
      <c r="B1999" s="7" t="n">
        <v>41</v>
      </c>
      <c r="C1999" s="7" t="s">
        <v>33</v>
      </c>
      <c r="D1999" s="7" t="s">
        <v>41</v>
      </c>
      <c r="E1999" s="7" t="n">
        <v>3</v>
      </c>
      <c r="F1999" s="7" t="n">
        <v>14</v>
      </c>
      <c r="G1999" s="7" t="s">
        <v>36</v>
      </c>
      <c r="H1999" s="7" t="s">
        <v>27</v>
      </c>
      <c r="I1999" s="7" t="n">
        <v>25.3</v>
      </c>
      <c r="J1999" s="7" t="s">
        <v>28</v>
      </c>
      <c r="K1999" s="7" t="n">
        <v>292.6</v>
      </c>
      <c r="L1999" s="7" t="s">
        <v>37</v>
      </c>
      <c r="M1999" s="7" t="s">
        <v>38</v>
      </c>
    </row>
    <row r="2000" customFormat="false" ht="15" hidden="false" customHeight="true" outlineLevel="0" collapsed="false">
      <c r="A2000" s="7" t="n">
        <v>1336</v>
      </c>
      <c r="B2000" s="7" t="n">
        <v>76</v>
      </c>
      <c r="C2000" s="7" t="s">
        <v>33</v>
      </c>
      <c r="D2000" s="7" t="s">
        <v>41</v>
      </c>
      <c r="E2000" s="7" t="n">
        <v>2</v>
      </c>
      <c r="F2000" s="7" t="n">
        <v>13</v>
      </c>
      <c r="G2000" s="7" t="s">
        <v>31</v>
      </c>
      <c r="H2000" s="7" t="s">
        <v>27</v>
      </c>
      <c r="I2000" s="7" t="n">
        <v>20.3</v>
      </c>
      <c r="J2000" s="7" t="s">
        <v>28</v>
      </c>
      <c r="K2000" s="7" t="n">
        <v>161.5</v>
      </c>
      <c r="L2000" s="7" t="s">
        <v>29</v>
      </c>
      <c r="M2000" s="7" t="s">
        <v>38</v>
      </c>
    </row>
    <row r="2001" customFormat="false" ht="15" hidden="false" customHeight="true" outlineLevel="0" collapsed="false">
      <c r="A2001" s="7" t="n">
        <v>1389</v>
      </c>
      <c r="B2001" s="7" t="n">
        <v>70</v>
      </c>
      <c r="C2001" s="7" t="s">
        <v>24</v>
      </c>
      <c r="D2001" s="7" t="s">
        <v>41</v>
      </c>
      <c r="E2001" s="7" t="n">
        <v>11</v>
      </c>
      <c r="F2001" s="7" t="n">
        <v>13</v>
      </c>
      <c r="G2001" s="7" t="s">
        <v>34</v>
      </c>
      <c r="H2001" s="7" t="s">
        <v>32</v>
      </c>
      <c r="I2001" s="7" t="n">
        <v>23.6</v>
      </c>
      <c r="J2001" s="7" t="s">
        <v>28</v>
      </c>
      <c r="K2001" s="7" t="n">
        <v>194.3</v>
      </c>
      <c r="L2001" s="7" t="s">
        <v>37</v>
      </c>
      <c r="M2001" s="7" t="s">
        <v>38</v>
      </c>
    </row>
    <row r="2002" customFormat="false" ht="15" hidden="false" customHeight="true" outlineLevel="0" collapsed="false">
      <c r="A2002" s="7" t="n">
        <v>1506</v>
      </c>
      <c r="B2002" s="7" t="n">
        <v>18</v>
      </c>
      <c r="C2002" s="7" t="s">
        <v>33</v>
      </c>
      <c r="D2002" s="7" t="s">
        <v>41</v>
      </c>
      <c r="E2002" s="7" t="n">
        <v>7</v>
      </c>
      <c r="F2002" s="7" t="n">
        <v>2</v>
      </c>
      <c r="G2002" s="7" t="s">
        <v>31</v>
      </c>
      <c r="H2002" s="7" t="s">
        <v>32</v>
      </c>
      <c r="I2002" s="7" t="n">
        <v>28.3</v>
      </c>
      <c r="J2002" s="7" t="s">
        <v>28</v>
      </c>
      <c r="K2002" s="7" t="n">
        <v>217.1</v>
      </c>
      <c r="L2002" s="7" t="s">
        <v>37</v>
      </c>
      <c r="M2002" s="7" t="s">
        <v>38</v>
      </c>
    </row>
    <row r="2003" customFormat="false" ht="15" hidden="false" customHeight="true" outlineLevel="0" collapsed="false">
      <c r="A2003" s="7" t="n">
        <v>1511</v>
      </c>
      <c r="B2003" s="7" t="n">
        <v>49</v>
      </c>
      <c r="C2003" s="7" t="s">
        <v>24</v>
      </c>
      <c r="D2003" s="7" t="s">
        <v>41</v>
      </c>
      <c r="E2003" s="7" t="n">
        <v>15</v>
      </c>
      <c r="F2003" s="7" t="n">
        <v>11</v>
      </c>
      <c r="G2003" s="7" t="s">
        <v>26</v>
      </c>
      <c r="H2003" s="7" t="s">
        <v>32</v>
      </c>
      <c r="I2003" s="7" t="n">
        <v>17.7</v>
      </c>
      <c r="J2003" s="7" t="s">
        <v>28</v>
      </c>
      <c r="K2003" s="7" t="n">
        <v>130.4</v>
      </c>
      <c r="L2003" s="7" t="s">
        <v>37</v>
      </c>
      <c r="M2003" s="7" t="s">
        <v>38</v>
      </c>
    </row>
    <row r="2004" customFormat="false" ht="15" hidden="false" customHeight="true" outlineLevel="0" collapsed="false">
      <c r="A2004" s="7" t="n">
        <v>1543</v>
      </c>
      <c r="B2004" s="7" t="n">
        <v>25</v>
      </c>
      <c r="C2004" s="7" t="s">
        <v>24</v>
      </c>
      <c r="D2004" s="7" t="s">
        <v>41</v>
      </c>
      <c r="E2004" s="7" t="n">
        <v>15</v>
      </c>
      <c r="F2004" s="7" t="n">
        <v>14</v>
      </c>
      <c r="G2004" s="7" t="s">
        <v>35</v>
      </c>
      <c r="H2004" s="7" t="s">
        <v>27</v>
      </c>
      <c r="I2004" s="7" t="n">
        <v>18.1</v>
      </c>
      <c r="J2004" s="7" t="s">
        <v>28</v>
      </c>
      <c r="K2004" s="7" t="n">
        <v>143.5</v>
      </c>
      <c r="L2004" s="7" t="s">
        <v>29</v>
      </c>
      <c r="M2004" s="7" t="s">
        <v>38</v>
      </c>
    </row>
    <row r="2005" customFormat="false" ht="15" hidden="false" customHeight="true" outlineLevel="0" collapsed="false">
      <c r="A2005" s="7" t="n">
        <v>1546</v>
      </c>
      <c r="B2005" s="7" t="n">
        <v>76</v>
      </c>
      <c r="C2005" s="7" t="s">
        <v>33</v>
      </c>
      <c r="D2005" s="7" t="s">
        <v>41</v>
      </c>
      <c r="E2005" s="7" t="n">
        <v>16</v>
      </c>
      <c r="F2005" s="7" t="n">
        <v>9</v>
      </c>
      <c r="G2005" s="7" t="s">
        <v>35</v>
      </c>
      <c r="H2005" s="7" t="s">
        <v>27</v>
      </c>
      <c r="I2005" s="7" t="n">
        <v>26</v>
      </c>
      <c r="J2005" s="7" t="s">
        <v>28</v>
      </c>
      <c r="K2005" s="7" t="n">
        <v>162.8</v>
      </c>
      <c r="L2005" s="7" t="s">
        <v>29</v>
      </c>
      <c r="M2005" s="7" t="s">
        <v>38</v>
      </c>
    </row>
    <row r="2006" customFormat="false" ht="15" hidden="false" customHeight="true" outlineLevel="0" collapsed="false">
      <c r="A2006" s="7" t="n">
        <v>1556</v>
      </c>
      <c r="B2006" s="7" t="n">
        <v>46</v>
      </c>
      <c r="C2006" s="7" t="s">
        <v>33</v>
      </c>
      <c r="D2006" s="7" t="s">
        <v>41</v>
      </c>
      <c r="E2006" s="7" t="n">
        <v>3</v>
      </c>
      <c r="F2006" s="7" t="n">
        <v>1</v>
      </c>
      <c r="G2006" s="7" t="s">
        <v>34</v>
      </c>
      <c r="H2006" s="7" t="s">
        <v>32</v>
      </c>
      <c r="I2006" s="7" t="n">
        <v>35.9</v>
      </c>
      <c r="J2006" s="7" t="s">
        <v>28</v>
      </c>
      <c r="K2006" s="7" t="n">
        <v>150.3</v>
      </c>
      <c r="L2006" s="7" t="s">
        <v>29</v>
      </c>
      <c r="M2006" s="7" t="s">
        <v>38</v>
      </c>
    </row>
    <row r="2007" customFormat="false" ht="15" hidden="false" customHeight="true" outlineLevel="0" collapsed="false">
      <c r="A2007" s="7" t="n">
        <v>1585</v>
      </c>
      <c r="B2007" s="7" t="n">
        <v>64</v>
      </c>
      <c r="C2007" s="7" t="s">
        <v>33</v>
      </c>
      <c r="D2007" s="7" t="s">
        <v>41</v>
      </c>
      <c r="E2007" s="7" t="n">
        <v>17</v>
      </c>
      <c r="F2007" s="7" t="n">
        <v>13</v>
      </c>
      <c r="G2007" s="7" t="s">
        <v>35</v>
      </c>
      <c r="H2007" s="7" t="s">
        <v>27</v>
      </c>
      <c r="I2007" s="7" t="n">
        <v>40.3</v>
      </c>
      <c r="J2007" s="7" t="s">
        <v>28</v>
      </c>
      <c r="K2007" s="7" t="n">
        <v>185.8</v>
      </c>
      <c r="L2007" s="7" t="s">
        <v>37</v>
      </c>
      <c r="M2007" s="7" t="s">
        <v>38</v>
      </c>
    </row>
    <row r="2008" customFormat="false" ht="15" hidden="false" customHeight="true" outlineLevel="0" collapsed="false">
      <c r="A2008" s="7" t="n">
        <v>1600</v>
      </c>
      <c r="B2008" s="7" t="n">
        <v>66</v>
      </c>
      <c r="C2008" s="7" t="s">
        <v>33</v>
      </c>
      <c r="D2008" s="7" t="s">
        <v>41</v>
      </c>
      <c r="E2008" s="7" t="n">
        <v>5</v>
      </c>
      <c r="F2008" s="7" t="n">
        <v>7</v>
      </c>
      <c r="G2008" s="7" t="s">
        <v>34</v>
      </c>
      <c r="H2008" s="7" t="s">
        <v>32</v>
      </c>
      <c r="I2008" s="7" t="n">
        <v>31.2</v>
      </c>
      <c r="J2008" s="7" t="s">
        <v>28</v>
      </c>
      <c r="K2008" s="7" t="n">
        <v>159.7</v>
      </c>
      <c r="L2008" s="7" t="s">
        <v>29</v>
      </c>
      <c r="M2008" s="7" t="s">
        <v>38</v>
      </c>
    </row>
    <row r="2009" customFormat="false" ht="15" hidden="false" customHeight="true" outlineLevel="0" collapsed="false">
      <c r="A2009" s="7" t="n">
        <v>1628</v>
      </c>
      <c r="B2009" s="7" t="n">
        <v>75</v>
      </c>
      <c r="C2009" s="7" t="s">
        <v>24</v>
      </c>
      <c r="D2009" s="7" t="s">
        <v>41</v>
      </c>
      <c r="E2009" s="7" t="n">
        <v>16</v>
      </c>
      <c r="F2009" s="7" t="n">
        <v>7</v>
      </c>
      <c r="G2009" s="7" t="s">
        <v>35</v>
      </c>
      <c r="H2009" s="7" t="s">
        <v>32</v>
      </c>
      <c r="I2009" s="7" t="n">
        <v>31.5</v>
      </c>
      <c r="J2009" s="7" t="s">
        <v>28</v>
      </c>
      <c r="K2009" s="7" t="n">
        <v>180.7</v>
      </c>
      <c r="L2009" s="7" t="s">
        <v>29</v>
      </c>
      <c r="M2009" s="7" t="s">
        <v>38</v>
      </c>
    </row>
    <row r="2010" customFormat="false" ht="15" hidden="false" customHeight="true" outlineLevel="0" collapsed="false">
      <c r="A2010" s="7" t="n">
        <v>1630</v>
      </c>
      <c r="B2010" s="7" t="n">
        <v>54</v>
      </c>
      <c r="C2010" s="7" t="s">
        <v>24</v>
      </c>
      <c r="D2010" s="7" t="s">
        <v>41</v>
      </c>
      <c r="E2010" s="7" t="n">
        <v>2</v>
      </c>
      <c r="F2010" s="7" t="n">
        <v>8</v>
      </c>
      <c r="G2010" s="7" t="s">
        <v>34</v>
      </c>
      <c r="H2010" s="7" t="s">
        <v>32</v>
      </c>
      <c r="I2010" s="7" t="n">
        <v>36.9</v>
      </c>
      <c r="J2010" s="7" t="s">
        <v>28</v>
      </c>
      <c r="K2010" s="7" t="n">
        <v>144.4</v>
      </c>
      <c r="L2010" s="7" t="s">
        <v>29</v>
      </c>
      <c r="M2010" s="7" t="s">
        <v>38</v>
      </c>
    </row>
    <row r="2011" customFormat="false" ht="15" hidden="false" customHeight="true" outlineLevel="0" collapsed="false">
      <c r="A2011" s="7" t="n">
        <v>1678</v>
      </c>
      <c r="B2011" s="7" t="n">
        <v>40</v>
      </c>
      <c r="C2011" s="7" t="s">
        <v>24</v>
      </c>
      <c r="D2011" s="7" t="s">
        <v>41</v>
      </c>
      <c r="E2011" s="7" t="n">
        <v>15</v>
      </c>
      <c r="F2011" s="7" t="n">
        <v>13</v>
      </c>
      <c r="G2011" s="7" t="s">
        <v>26</v>
      </c>
      <c r="H2011" s="7" t="s">
        <v>32</v>
      </c>
      <c r="I2011" s="7" t="n">
        <v>20.8</v>
      </c>
      <c r="J2011" s="7" t="s">
        <v>28</v>
      </c>
      <c r="K2011" s="7" t="n">
        <v>206</v>
      </c>
      <c r="L2011" s="7" t="s">
        <v>29</v>
      </c>
      <c r="M2011" s="7" t="s">
        <v>38</v>
      </c>
    </row>
    <row r="2012" customFormat="false" ht="15" hidden="false" customHeight="true" outlineLevel="0" collapsed="false">
      <c r="A2012" s="7" t="n">
        <v>1685</v>
      </c>
      <c r="B2012" s="7" t="n">
        <v>45</v>
      </c>
      <c r="C2012" s="7" t="s">
        <v>24</v>
      </c>
      <c r="D2012" s="7" t="s">
        <v>41</v>
      </c>
      <c r="E2012" s="7" t="n">
        <v>16</v>
      </c>
      <c r="F2012" s="7" t="n">
        <v>8</v>
      </c>
      <c r="G2012" s="7" t="s">
        <v>36</v>
      </c>
      <c r="H2012" s="7" t="s">
        <v>27</v>
      </c>
      <c r="I2012" s="7" t="n">
        <v>30.7</v>
      </c>
      <c r="J2012" s="7" t="s">
        <v>28</v>
      </c>
      <c r="K2012" s="7" t="n">
        <v>125.2</v>
      </c>
      <c r="L2012" s="7" t="s">
        <v>29</v>
      </c>
      <c r="M2012" s="7" t="s">
        <v>38</v>
      </c>
    </row>
    <row r="2013" customFormat="false" ht="15" hidden="false" customHeight="true" outlineLevel="0" collapsed="false">
      <c r="A2013" s="7" t="n">
        <v>1724</v>
      </c>
      <c r="B2013" s="7" t="n">
        <v>43</v>
      </c>
      <c r="C2013" s="7" t="s">
        <v>33</v>
      </c>
      <c r="D2013" s="7" t="s">
        <v>41</v>
      </c>
      <c r="E2013" s="7" t="n">
        <v>3</v>
      </c>
      <c r="F2013" s="7" t="n">
        <v>2</v>
      </c>
      <c r="G2013" s="7" t="s">
        <v>31</v>
      </c>
      <c r="H2013" s="7" t="s">
        <v>27</v>
      </c>
      <c r="I2013" s="7" t="n">
        <v>23</v>
      </c>
      <c r="J2013" s="7" t="s">
        <v>28</v>
      </c>
      <c r="K2013" s="7" t="n">
        <v>163.3</v>
      </c>
      <c r="L2013" s="7" t="s">
        <v>37</v>
      </c>
      <c r="M2013" s="7" t="s">
        <v>38</v>
      </c>
    </row>
    <row r="2014" customFormat="false" ht="15" hidden="false" customHeight="true" outlineLevel="0" collapsed="false">
      <c r="A2014" s="7" t="n">
        <v>1726</v>
      </c>
      <c r="B2014" s="7" t="n">
        <v>67</v>
      </c>
      <c r="C2014" s="7" t="s">
        <v>24</v>
      </c>
      <c r="D2014" s="7" t="s">
        <v>41</v>
      </c>
      <c r="E2014" s="7" t="n">
        <v>4</v>
      </c>
      <c r="F2014" s="7" t="n">
        <v>11</v>
      </c>
      <c r="G2014" s="7" t="s">
        <v>36</v>
      </c>
      <c r="H2014" s="7" t="s">
        <v>27</v>
      </c>
      <c r="I2014" s="7" t="n">
        <v>30.4</v>
      </c>
      <c r="J2014" s="7" t="s">
        <v>28</v>
      </c>
      <c r="K2014" s="7" t="n">
        <v>160.6</v>
      </c>
      <c r="L2014" s="7" t="s">
        <v>29</v>
      </c>
      <c r="M2014" s="7" t="s">
        <v>38</v>
      </c>
    </row>
    <row r="2015" customFormat="false" ht="15" hidden="false" customHeight="true" outlineLevel="0" collapsed="false">
      <c r="A2015" s="7" t="n">
        <v>1763</v>
      </c>
      <c r="B2015" s="7" t="n">
        <v>35</v>
      </c>
      <c r="C2015" s="7" t="s">
        <v>24</v>
      </c>
      <c r="D2015" s="7" t="s">
        <v>41</v>
      </c>
      <c r="E2015" s="7" t="n">
        <v>17</v>
      </c>
      <c r="F2015" s="7" t="n">
        <v>13</v>
      </c>
      <c r="G2015" s="7" t="s">
        <v>36</v>
      </c>
      <c r="H2015" s="7" t="s">
        <v>27</v>
      </c>
      <c r="I2015" s="7" t="n">
        <v>35.4</v>
      </c>
      <c r="J2015" s="7" t="s">
        <v>28</v>
      </c>
      <c r="K2015" s="7" t="n">
        <v>297.5</v>
      </c>
      <c r="L2015" s="7" t="s">
        <v>29</v>
      </c>
      <c r="M2015" s="7" t="s">
        <v>38</v>
      </c>
    </row>
    <row r="2016" customFormat="false" ht="15" hidden="false" customHeight="true" outlineLevel="0" collapsed="false">
      <c r="A2016" s="7" t="n">
        <v>1776</v>
      </c>
      <c r="B2016" s="7" t="n">
        <v>61</v>
      </c>
      <c r="C2016" s="7" t="s">
        <v>33</v>
      </c>
      <c r="D2016" s="7" t="s">
        <v>41</v>
      </c>
      <c r="E2016" s="7" t="n">
        <v>11</v>
      </c>
      <c r="F2016" s="7" t="n">
        <v>13</v>
      </c>
      <c r="G2016" s="7" t="s">
        <v>26</v>
      </c>
      <c r="H2016" s="7" t="s">
        <v>27</v>
      </c>
      <c r="I2016" s="7" t="n">
        <v>21.5</v>
      </c>
      <c r="J2016" s="7" t="s">
        <v>28</v>
      </c>
      <c r="K2016" s="7" t="n">
        <v>238.5</v>
      </c>
      <c r="L2016" s="7" t="s">
        <v>29</v>
      </c>
      <c r="M2016" s="7" t="s">
        <v>38</v>
      </c>
    </row>
    <row r="2017" customFormat="false" ht="15" hidden="false" customHeight="true" outlineLevel="0" collapsed="false">
      <c r="A2017" s="7" t="n">
        <v>1816</v>
      </c>
      <c r="B2017" s="7" t="n">
        <v>35</v>
      </c>
      <c r="C2017" s="7" t="s">
        <v>33</v>
      </c>
      <c r="D2017" s="7" t="s">
        <v>41</v>
      </c>
      <c r="E2017" s="7" t="n">
        <v>9</v>
      </c>
      <c r="F2017" s="7" t="n">
        <v>12</v>
      </c>
      <c r="G2017" s="7" t="s">
        <v>31</v>
      </c>
      <c r="H2017" s="7" t="s">
        <v>27</v>
      </c>
      <c r="I2017" s="7" t="n">
        <v>21.9</v>
      </c>
      <c r="J2017" s="7" t="s">
        <v>28</v>
      </c>
      <c r="K2017" s="7" t="n">
        <v>265.9</v>
      </c>
      <c r="L2017" s="7" t="s">
        <v>29</v>
      </c>
      <c r="M2017" s="7" t="s">
        <v>38</v>
      </c>
    </row>
    <row r="2018" customFormat="false" ht="15" hidden="false" customHeight="true" outlineLevel="0" collapsed="false">
      <c r="A2018" s="7" t="n">
        <v>1840</v>
      </c>
      <c r="B2018" s="7" t="n">
        <v>81</v>
      </c>
      <c r="C2018" s="7" t="s">
        <v>33</v>
      </c>
      <c r="D2018" s="7" t="s">
        <v>41</v>
      </c>
      <c r="E2018" s="7" t="n">
        <v>17</v>
      </c>
      <c r="F2018" s="7" t="n">
        <v>9</v>
      </c>
      <c r="G2018" s="7" t="s">
        <v>26</v>
      </c>
      <c r="H2018" s="7" t="s">
        <v>27</v>
      </c>
      <c r="I2018" s="7" t="n">
        <v>35.8</v>
      </c>
      <c r="J2018" s="7" t="s">
        <v>28</v>
      </c>
      <c r="K2018" s="7" t="n">
        <v>147.6</v>
      </c>
      <c r="L2018" s="7" t="s">
        <v>37</v>
      </c>
      <c r="M2018" s="7" t="s">
        <v>38</v>
      </c>
    </row>
    <row r="2019" customFormat="false" ht="15" hidden="false" customHeight="true" outlineLevel="0" collapsed="false">
      <c r="A2019" s="7" t="n">
        <v>1846</v>
      </c>
      <c r="B2019" s="7" t="n">
        <v>46</v>
      </c>
      <c r="C2019" s="7" t="s">
        <v>33</v>
      </c>
      <c r="D2019" s="7" t="s">
        <v>41</v>
      </c>
      <c r="E2019" s="7" t="n">
        <v>12</v>
      </c>
      <c r="F2019" s="7" t="n">
        <v>3</v>
      </c>
      <c r="G2019" s="7" t="s">
        <v>36</v>
      </c>
      <c r="H2019" s="7" t="s">
        <v>27</v>
      </c>
      <c r="I2019" s="7" t="n">
        <v>35.2</v>
      </c>
      <c r="J2019" s="7" t="s">
        <v>28</v>
      </c>
      <c r="K2019" s="7" t="n">
        <v>263.1</v>
      </c>
      <c r="L2019" s="7" t="s">
        <v>37</v>
      </c>
      <c r="M2019" s="7" t="s">
        <v>38</v>
      </c>
    </row>
    <row r="2020" customFormat="false" ht="15" hidden="false" customHeight="true" outlineLevel="0" collapsed="false">
      <c r="A2020" s="7" t="n">
        <v>1847</v>
      </c>
      <c r="B2020" s="7" t="n">
        <v>80</v>
      </c>
      <c r="C2020" s="7" t="s">
        <v>33</v>
      </c>
      <c r="D2020" s="7" t="s">
        <v>41</v>
      </c>
      <c r="E2020" s="7" t="n">
        <v>15</v>
      </c>
      <c r="F2020" s="7" t="n">
        <v>7</v>
      </c>
      <c r="G2020" s="7" t="s">
        <v>26</v>
      </c>
      <c r="H2020" s="7" t="s">
        <v>27</v>
      </c>
      <c r="I2020" s="7" t="n">
        <v>38.1</v>
      </c>
      <c r="J2020" s="7" t="s">
        <v>28</v>
      </c>
      <c r="K2020" s="7" t="n">
        <v>257.7</v>
      </c>
      <c r="L2020" s="7" t="s">
        <v>37</v>
      </c>
      <c r="M2020" s="7" t="s">
        <v>38</v>
      </c>
    </row>
    <row r="2021" customFormat="false" ht="15" hidden="false" customHeight="true" outlineLevel="0" collapsed="false">
      <c r="A2021" s="7" t="n">
        <v>1857</v>
      </c>
      <c r="B2021" s="7" t="n">
        <v>76</v>
      </c>
      <c r="C2021" s="7" t="s">
        <v>24</v>
      </c>
      <c r="D2021" s="7" t="s">
        <v>41</v>
      </c>
      <c r="E2021" s="7" t="n">
        <v>12</v>
      </c>
      <c r="F2021" s="7" t="n">
        <v>3</v>
      </c>
      <c r="G2021" s="7" t="s">
        <v>36</v>
      </c>
      <c r="H2021" s="7" t="s">
        <v>32</v>
      </c>
      <c r="I2021" s="7" t="n">
        <v>41.1</v>
      </c>
      <c r="J2021" s="7" t="s">
        <v>28</v>
      </c>
      <c r="K2021" s="7" t="n">
        <v>230.9</v>
      </c>
      <c r="L2021" s="7" t="s">
        <v>29</v>
      </c>
      <c r="M2021" s="7" t="s">
        <v>38</v>
      </c>
    </row>
    <row r="2022" customFormat="false" ht="15" hidden="false" customHeight="true" outlineLevel="0" collapsed="false">
      <c r="A2022" s="7" t="n">
        <v>1878</v>
      </c>
      <c r="B2022" s="7" t="n">
        <v>68</v>
      </c>
      <c r="C2022" s="7" t="s">
        <v>33</v>
      </c>
      <c r="D2022" s="7" t="s">
        <v>41</v>
      </c>
      <c r="E2022" s="7" t="n">
        <v>15</v>
      </c>
      <c r="F2022" s="7" t="n">
        <v>13</v>
      </c>
      <c r="G2022" s="7" t="s">
        <v>26</v>
      </c>
      <c r="H2022" s="7" t="s">
        <v>27</v>
      </c>
      <c r="I2022" s="7" t="n">
        <v>27.8</v>
      </c>
      <c r="J2022" s="7" t="s">
        <v>28</v>
      </c>
      <c r="K2022" s="7" t="n">
        <v>279.2</v>
      </c>
      <c r="L2022" s="7" t="s">
        <v>29</v>
      </c>
      <c r="M2022" s="7" t="s">
        <v>38</v>
      </c>
    </row>
    <row r="2023" customFormat="false" ht="15" hidden="false" customHeight="true" outlineLevel="0" collapsed="false">
      <c r="A2023" s="7" t="n">
        <v>1881</v>
      </c>
      <c r="B2023" s="7" t="n">
        <v>52</v>
      </c>
      <c r="C2023" s="7" t="s">
        <v>24</v>
      </c>
      <c r="D2023" s="7" t="s">
        <v>41</v>
      </c>
      <c r="E2023" s="7" t="n">
        <v>8</v>
      </c>
      <c r="F2023" s="7" t="n">
        <v>1</v>
      </c>
      <c r="G2023" s="7" t="s">
        <v>31</v>
      </c>
      <c r="H2023" s="7" t="s">
        <v>27</v>
      </c>
      <c r="I2023" s="7" t="n">
        <v>36.4</v>
      </c>
      <c r="J2023" s="7" t="s">
        <v>28</v>
      </c>
      <c r="K2023" s="7" t="n">
        <v>294.2</v>
      </c>
      <c r="L2023" s="7" t="s">
        <v>37</v>
      </c>
      <c r="M2023" s="7" t="s">
        <v>38</v>
      </c>
    </row>
    <row r="2024" customFormat="false" ht="15" hidden="false" customHeight="true" outlineLevel="0" collapsed="false">
      <c r="A2024" s="7" t="n">
        <v>1882</v>
      </c>
      <c r="B2024" s="7" t="n">
        <v>19</v>
      </c>
      <c r="C2024" s="7" t="s">
        <v>24</v>
      </c>
      <c r="D2024" s="7" t="s">
        <v>41</v>
      </c>
      <c r="E2024" s="7" t="n">
        <v>18</v>
      </c>
      <c r="F2024" s="7" t="n">
        <v>13</v>
      </c>
      <c r="G2024" s="7" t="s">
        <v>36</v>
      </c>
      <c r="H2024" s="7" t="s">
        <v>27</v>
      </c>
      <c r="I2024" s="7" t="n">
        <v>37.8</v>
      </c>
      <c r="J2024" s="7" t="s">
        <v>28</v>
      </c>
      <c r="K2024" s="7" t="n">
        <v>196</v>
      </c>
      <c r="L2024" s="7" t="s">
        <v>37</v>
      </c>
      <c r="M2024" s="7" t="s">
        <v>38</v>
      </c>
    </row>
    <row r="2025" customFormat="false" ht="15" hidden="false" customHeight="true" outlineLevel="0" collapsed="false">
      <c r="A2025" s="7" t="n">
        <v>1919</v>
      </c>
      <c r="B2025" s="7" t="n">
        <v>25</v>
      </c>
      <c r="C2025" s="7" t="s">
        <v>33</v>
      </c>
      <c r="D2025" s="7" t="s">
        <v>41</v>
      </c>
      <c r="E2025" s="7" t="n">
        <v>4</v>
      </c>
      <c r="F2025" s="7" t="n">
        <v>12</v>
      </c>
      <c r="G2025" s="7" t="s">
        <v>35</v>
      </c>
      <c r="H2025" s="7" t="s">
        <v>32</v>
      </c>
      <c r="I2025" s="7" t="n">
        <v>26.6</v>
      </c>
      <c r="J2025" s="7" t="s">
        <v>28</v>
      </c>
      <c r="K2025" s="7" t="n">
        <v>229.5</v>
      </c>
      <c r="L2025" s="7" t="s">
        <v>29</v>
      </c>
      <c r="M2025" s="7" t="s">
        <v>38</v>
      </c>
    </row>
    <row r="2026" customFormat="false" ht="15" hidden="false" customHeight="true" outlineLevel="0" collapsed="false">
      <c r="A2026" s="7" t="n">
        <v>1923</v>
      </c>
      <c r="B2026" s="7" t="n">
        <v>46</v>
      </c>
      <c r="C2026" s="7" t="s">
        <v>24</v>
      </c>
      <c r="D2026" s="7" t="s">
        <v>41</v>
      </c>
      <c r="E2026" s="7" t="n">
        <v>13</v>
      </c>
      <c r="F2026" s="7" t="n">
        <v>11</v>
      </c>
      <c r="G2026" s="7" t="s">
        <v>34</v>
      </c>
      <c r="H2026" s="7" t="s">
        <v>27</v>
      </c>
      <c r="I2026" s="7" t="n">
        <v>21.1</v>
      </c>
      <c r="J2026" s="7" t="s">
        <v>28</v>
      </c>
      <c r="K2026" s="7" t="n">
        <v>209</v>
      </c>
      <c r="L2026" s="7" t="s">
        <v>37</v>
      </c>
      <c r="M2026" s="7" t="s">
        <v>38</v>
      </c>
    </row>
    <row r="2027" customFormat="false" ht="15" hidden="false" customHeight="true" outlineLevel="0" collapsed="false">
      <c r="A2027" s="7" t="n">
        <v>1941</v>
      </c>
      <c r="B2027" s="7" t="n">
        <v>82</v>
      </c>
      <c r="C2027" s="7" t="s">
        <v>33</v>
      </c>
      <c r="D2027" s="7" t="s">
        <v>41</v>
      </c>
      <c r="E2027" s="7" t="n">
        <v>13</v>
      </c>
      <c r="F2027" s="7" t="n">
        <v>5</v>
      </c>
      <c r="G2027" s="7" t="s">
        <v>35</v>
      </c>
      <c r="H2027" s="7" t="s">
        <v>27</v>
      </c>
      <c r="I2027" s="7" t="n">
        <v>20.7</v>
      </c>
      <c r="J2027" s="7" t="s">
        <v>28</v>
      </c>
      <c r="K2027" s="7" t="n">
        <v>211.4</v>
      </c>
      <c r="L2027" s="7" t="s">
        <v>29</v>
      </c>
      <c r="M2027" s="7" t="s">
        <v>38</v>
      </c>
    </row>
    <row r="2028" customFormat="false" ht="15" hidden="false" customHeight="true" outlineLevel="0" collapsed="false">
      <c r="A2028" s="7" t="n">
        <v>1954</v>
      </c>
      <c r="B2028" s="7" t="n">
        <v>70</v>
      </c>
      <c r="C2028" s="7" t="s">
        <v>24</v>
      </c>
      <c r="D2028" s="7" t="s">
        <v>41</v>
      </c>
      <c r="E2028" s="7" t="n">
        <v>11</v>
      </c>
      <c r="F2028" s="7" t="n">
        <v>1</v>
      </c>
      <c r="G2028" s="7" t="s">
        <v>35</v>
      </c>
      <c r="H2028" s="7" t="s">
        <v>32</v>
      </c>
      <c r="I2028" s="7" t="n">
        <v>22.4</v>
      </c>
      <c r="J2028" s="7" t="s">
        <v>28</v>
      </c>
      <c r="K2028" s="7" t="n">
        <v>277.4</v>
      </c>
      <c r="L2028" s="7" t="s">
        <v>37</v>
      </c>
      <c r="M2028" s="7" t="s">
        <v>38</v>
      </c>
    </row>
    <row r="2029" customFormat="false" ht="15" hidden="false" customHeight="true" outlineLevel="0" collapsed="false">
      <c r="A2029" s="7" t="n">
        <v>1973</v>
      </c>
      <c r="B2029" s="7" t="n">
        <v>64</v>
      </c>
      <c r="C2029" s="7" t="s">
        <v>33</v>
      </c>
      <c r="D2029" s="7" t="s">
        <v>41</v>
      </c>
      <c r="E2029" s="7" t="n">
        <v>6</v>
      </c>
      <c r="F2029" s="7" t="n">
        <v>3</v>
      </c>
      <c r="G2029" s="7" t="s">
        <v>31</v>
      </c>
      <c r="H2029" s="7" t="s">
        <v>32</v>
      </c>
      <c r="I2029" s="7" t="n">
        <v>21.3</v>
      </c>
      <c r="J2029" s="7" t="s">
        <v>28</v>
      </c>
      <c r="K2029" s="7" t="n">
        <v>203.5</v>
      </c>
      <c r="L2029" s="7" t="s">
        <v>29</v>
      </c>
      <c r="M2029" s="7" t="s">
        <v>38</v>
      </c>
    </row>
    <row r="2030" customFormat="false" ht="15" hidden="false" customHeight="true" outlineLevel="0" collapsed="false">
      <c r="A2030" s="7" t="n">
        <v>1975</v>
      </c>
      <c r="B2030" s="7" t="n">
        <v>42</v>
      </c>
      <c r="C2030" s="7" t="s">
        <v>33</v>
      </c>
      <c r="D2030" s="7" t="s">
        <v>41</v>
      </c>
      <c r="E2030" s="7" t="n">
        <v>8</v>
      </c>
      <c r="F2030" s="7" t="n">
        <v>8</v>
      </c>
      <c r="G2030" s="7" t="s">
        <v>34</v>
      </c>
      <c r="H2030" s="7" t="s">
        <v>32</v>
      </c>
      <c r="I2030" s="7" t="n">
        <v>26</v>
      </c>
      <c r="J2030" s="7" t="s">
        <v>28</v>
      </c>
      <c r="K2030" s="7" t="n">
        <v>136.5</v>
      </c>
      <c r="L2030" s="7" t="s">
        <v>29</v>
      </c>
      <c r="M2030" s="7" t="s">
        <v>38</v>
      </c>
    </row>
    <row r="2031" customFormat="false" ht="15" hidden="false" customHeight="true" outlineLevel="0" collapsed="false">
      <c r="A2031" s="7" t="n">
        <v>1983</v>
      </c>
      <c r="B2031" s="7" t="n">
        <v>55</v>
      </c>
      <c r="C2031" s="7" t="s">
        <v>24</v>
      </c>
      <c r="D2031" s="7" t="s">
        <v>41</v>
      </c>
      <c r="E2031" s="7" t="n">
        <v>1</v>
      </c>
      <c r="F2031" s="7" t="n">
        <v>5</v>
      </c>
      <c r="G2031" s="7" t="s">
        <v>35</v>
      </c>
      <c r="H2031" s="7" t="s">
        <v>32</v>
      </c>
      <c r="I2031" s="7" t="n">
        <v>21.7</v>
      </c>
      <c r="J2031" s="7" t="s">
        <v>28</v>
      </c>
      <c r="K2031" s="7" t="n">
        <v>162.3</v>
      </c>
      <c r="L2031" s="7" t="s">
        <v>29</v>
      </c>
      <c r="M2031" s="7" t="s">
        <v>38</v>
      </c>
    </row>
    <row r="2032" customFormat="false" ht="15" hidden="false" customHeight="true" outlineLevel="0" collapsed="false">
      <c r="A2032" s="7" t="n">
        <v>2009</v>
      </c>
      <c r="B2032" s="7" t="n">
        <v>87</v>
      </c>
      <c r="C2032" s="7" t="s">
        <v>33</v>
      </c>
      <c r="D2032" s="7" t="s">
        <v>41</v>
      </c>
      <c r="E2032" s="7" t="n">
        <v>7</v>
      </c>
      <c r="F2032" s="7" t="n">
        <v>7</v>
      </c>
      <c r="G2032" s="7" t="s">
        <v>36</v>
      </c>
      <c r="H2032" s="7" t="s">
        <v>27</v>
      </c>
      <c r="I2032" s="7" t="n">
        <v>18.7</v>
      </c>
      <c r="J2032" s="7" t="s">
        <v>28</v>
      </c>
      <c r="K2032" s="7" t="n">
        <v>209.9</v>
      </c>
      <c r="L2032" s="7" t="s">
        <v>29</v>
      </c>
      <c r="M2032" s="7" t="s">
        <v>38</v>
      </c>
    </row>
    <row r="2033" customFormat="false" ht="15" hidden="false" customHeight="true" outlineLevel="0" collapsed="false">
      <c r="A2033" s="7" t="n">
        <v>2041</v>
      </c>
      <c r="B2033" s="7" t="n">
        <v>34</v>
      </c>
      <c r="C2033" s="7" t="s">
        <v>33</v>
      </c>
      <c r="D2033" s="7" t="s">
        <v>41</v>
      </c>
      <c r="E2033" s="7" t="n">
        <v>5</v>
      </c>
      <c r="F2033" s="7" t="n">
        <v>10</v>
      </c>
      <c r="G2033" s="7" t="s">
        <v>36</v>
      </c>
      <c r="H2033" s="7" t="s">
        <v>27</v>
      </c>
      <c r="I2033" s="7" t="n">
        <v>19.8</v>
      </c>
      <c r="J2033" s="7" t="s">
        <v>28</v>
      </c>
      <c r="K2033" s="7" t="n">
        <v>238.7</v>
      </c>
      <c r="L2033" s="7" t="s">
        <v>29</v>
      </c>
      <c r="M2033" s="7" t="s">
        <v>38</v>
      </c>
    </row>
    <row r="2034" customFormat="false" ht="15" hidden="false" customHeight="true" outlineLevel="0" collapsed="false">
      <c r="A2034" s="7" t="n">
        <v>2074</v>
      </c>
      <c r="B2034" s="7" t="n">
        <v>23</v>
      </c>
      <c r="C2034" s="7" t="s">
        <v>33</v>
      </c>
      <c r="D2034" s="7" t="s">
        <v>41</v>
      </c>
      <c r="E2034" s="7" t="n">
        <v>4</v>
      </c>
      <c r="F2034" s="7" t="n">
        <v>11</v>
      </c>
      <c r="G2034" s="7" t="s">
        <v>31</v>
      </c>
      <c r="H2034" s="7" t="s">
        <v>27</v>
      </c>
      <c r="I2034" s="7" t="n">
        <v>23.5</v>
      </c>
      <c r="J2034" s="7" t="s">
        <v>28</v>
      </c>
      <c r="K2034" s="7" t="n">
        <v>276.1</v>
      </c>
      <c r="L2034" s="7" t="s">
        <v>29</v>
      </c>
      <c r="M2034" s="7" t="s">
        <v>38</v>
      </c>
    </row>
    <row r="2035" customFormat="false" ht="15" hidden="false" customHeight="true" outlineLevel="0" collapsed="false">
      <c r="A2035" s="7" t="n">
        <v>2133</v>
      </c>
      <c r="B2035" s="7" t="n">
        <v>33</v>
      </c>
      <c r="C2035" s="7" t="s">
        <v>24</v>
      </c>
      <c r="D2035" s="7" t="s">
        <v>41</v>
      </c>
      <c r="E2035" s="7" t="n">
        <v>9</v>
      </c>
      <c r="F2035" s="7" t="n">
        <v>2</v>
      </c>
      <c r="G2035" s="7" t="s">
        <v>35</v>
      </c>
      <c r="H2035" s="7" t="s">
        <v>27</v>
      </c>
      <c r="I2035" s="7" t="n">
        <v>30.8</v>
      </c>
      <c r="J2035" s="7" t="s">
        <v>28</v>
      </c>
      <c r="K2035" s="7" t="n">
        <v>174.4</v>
      </c>
      <c r="L2035" s="7" t="s">
        <v>29</v>
      </c>
      <c r="M2035" s="7" t="s">
        <v>38</v>
      </c>
    </row>
    <row r="2036" customFormat="false" ht="15" hidden="false" customHeight="true" outlineLevel="0" collapsed="false">
      <c r="A2036" s="7" t="n">
        <v>2142</v>
      </c>
      <c r="B2036" s="7" t="n">
        <v>48</v>
      </c>
      <c r="C2036" s="7" t="s">
        <v>24</v>
      </c>
      <c r="D2036" s="7" t="s">
        <v>41</v>
      </c>
      <c r="E2036" s="7" t="n">
        <v>15</v>
      </c>
      <c r="F2036" s="7" t="n">
        <v>14</v>
      </c>
      <c r="G2036" s="7" t="s">
        <v>26</v>
      </c>
      <c r="H2036" s="7" t="s">
        <v>32</v>
      </c>
      <c r="I2036" s="7" t="n">
        <v>38.7</v>
      </c>
      <c r="J2036" s="7" t="s">
        <v>28</v>
      </c>
      <c r="K2036" s="7" t="n">
        <v>285.2</v>
      </c>
      <c r="L2036" s="7" t="s">
        <v>29</v>
      </c>
      <c r="M2036" s="7" t="s">
        <v>38</v>
      </c>
    </row>
    <row r="2037" customFormat="false" ht="15" hidden="false" customHeight="true" outlineLevel="0" collapsed="false">
      <c r="A2037" s="7" t="n">
        <v>2194</v>
      </c>
      <c r="B2037" s="7" t="n">
        <v>31</v>
      </c>
      <c r="C2037" s="7" t="s">
        <v>24</v>
      </c>
      <c r="D2037" s="7" t="s">
        <v>41</v>
      </c>
      <c r="E2037" s="7" t="n">
        <v>16</v>
      </c>
      <c r="F2037" s="7" t="n">
        <v>1</v>
      </c>
      <c r="G2037" s="7" t="s">
        <v>26</v>
      </c>
      <c r="H2037" s="7" t="s">
        <v>32</v>
      </c>
      <c r="I2037" s="7" t="n">
        <v>18.9</v>
      </c>
      <c r="J2037" s="7" t="s">
        <v>28</v>
      </c>
      <c r="K2037" s="7" t="n">
        <v>163</v>
      </c>
      <c r="L2037" s="7" t="s">
        <v>29</v>
      </c>
      <c r="M2037" s="7" t="s">
        <v>38</v>
      </c>
    </row>
    <row r="2038" customFormat="false" ht="15" hidden="false" customHeight="true" outlineLevel="0" collapsed="false">
      <c r="A2038" s="7" t="n">
        <v>2214</v>
      </c>
      <c r="B2038" s="7" t="n">
        <v>22</v>
      </c>
      <c r="C2038" s="7" t="s">
        <v>24</v>
      </c>
      <c r="D2038" s="7" t="s">
        <v>41</v>
      </c>
      <c r="E2038" s="7" t="n">
        <v>1</v>
      </c>
      <c r="F2038" s="7" t="n">
        <v>4</v>
      </c>
      <c r="G2038" s="7" t="s">
        <v>35</v>
      </c>
      <c r="H2038" s="7" t="s">
        <v>27</v>
      </c>
      <c r="I2038" s="7" t="n">
        <v>18.2</v>
      </c>
      <c r="J2038" s="7" t="s">
        <v>28</v>
      </c>
      <c r="K2038" s="7" t="n">
        <v>131.5</v>
      </c>
      <c r="L2038" s="7" t="s">
        <v>29</v>
      </c>
      <c r="M2038" s="7" t="s">
        <v>38</v>
      </c>
    </row>
    <row r="2039" customFormat="false" ht="15" hidden="false" customHeight="true" outlineLevel="0" collapsed="false">
      <c r="A2039" s="7" t="n">
        <v>2242</v>
      </c>
      <c r="B2039" s="7" t="n">
        <v>81</v>
      </c>
      <c r="C2039" s="7" t="s">
        <v>24</v>
      </c>
      <c r="D2039" s="7" t="s">
        <v>41</v>
      </c>
      <c r="E2039" s="7" t="n">
        <v>13</v>
      </c>
      <c r="F2039" s="7" t="n">
        <v>2</v>
      </c>
      <c r="G2039" s="7" t="s">
        <v>35</v>
      </c>
      <c r="H2039" s="7" t="s">
        <v>27</v>
      </c>
      <c r="I2039" s="7" t="n">
        <v>24.9</v>
      </c>
      <c r="J2039" s="7" t="s">
        <v>28</v>
      </c>
      <c r="K2039" s="7" t="n">
        <v>180.2</v>
      </c>
      <c r="L2039" s="7" t="s">
        <v>29</v>
      </c>
      <c r="M2039" s="7" t="s">
        <v>38</v>
      </c>
    </row>
    <row r="2040" customFormat="false" ht="15" hidden="false" customHeight="true" outlineLevel="0" collapsed="false">
      <c r="A2040" s="7" t="n">
        <v>2257</v>
      </c>
      <c r="B2040" s="7" t="n">
        <v>77</v>
      </c>
      <c r="C2040" s="7" t="s">
        <v>33</v>
      </c>
      <c r="D2040" s="7" t="s">
        <v>41</v>
      </c>
      <c r="E2040" s="7" t="n">
        <v>5</v>
      </c>
      <c r="F2040" s="7" t="n">
        <v>5</v>
      </c>
      <c r="G2040" s="7" t="s">
        <v>35</v>
      </c>
      <c r="H2040" s="7" t="s">
        <v>27</v>
      </c>
      <c r="I2040" s="7" t="n">
        <v>34.5</v>
      </c>
      <c r="J2040" s="7" t="s">
        <v>28</v>
      </c>
      <c r="K2040" s="7" t="n">
        <v>213.2</v>
      </c>
      <c r="L2040" s="7" t="s">
        <v>29</v>
      </c>
      <c r="M2040" s="7" t="s">
        <v>38</v>
      </c>
    </row>
    <row r="2041" customFormat="false" ht="15" hidden="false" customHeight="true" outlineLevel="0" collapsed="false">
      <c r="A2041" s="7" t="n">
        <v>2333</v>
      </c>
      <c r="B2041" s="7" t="n">
        <v>68</v>
      </c>
      <c r="C2041" s="7" t="s">
        <v>33</v>
      </c>
      <c r="D2041" s="7" t="s">
        <v>41</v>
      </c>
      <c r="E2041" s="7" t="n">
        <v>4</v>
      </c>
      <c r="F2041" s="7" t="n">
        <v>9</v>
      </c>
      <c r="G2041" s="7" t="s">
        <v>36</v>
      </c>
      <c r="H2041" s="7" t="s">
        <v>27</v>
      </c>
      <c r="I2041" s="7" t="n">
        <v>26.9</v>
      </c>
      <c r="J2041" s="7" t="s">
        <v>28</v>
      </c>
      <c r="K2041" s="7" t="n">
        <v>199.2</v>
      </c>
      <c r="L2041" s="7" t="s">
        <v>29</v>
      </c>
      <c r="M2041" s="7" t="s">
        <v>38</v>
      </c>
    </row>
    <row r="2042" customFormat="false" ht="15" hidden="false" customHeight="true" outlineLevel="0" collapsed="false">
      <c r="A2042" s="7" t="n">
        <v>2360</v>
      </c>
      <c r="B2042" s="7" t="n">
        <v>80</v>
      </c>
      <c r="C2042" s="7" t="s">
        <v>24</v>
      </c>
      <c r="D2042" s="7" t="s">
        <v>41</v>
      </c>
      <c r="E2042" s="7" t="n">
        <v>19</v>
      </c>
      <c r="F2042" s="7" t="n">
        <v>3</v>
      </c>
      <c r="G2042" s="7" t="s">
        <v>26</v>
      </c>
      <c r="H2042" s="7" t="s">
        <v>27</v>
      </c>
      <c r="I2042" s="7" t="n">
        <v>28.5</v>
      </c>
      <c r="J2042" s="7" t="s">
        <v>28</v>
      </c>
      <c r="K2042" s="7" t="n">
        <v>265.9</v>
      </c>
      <c r="L2042" s="7" t="s">
        <v>29</v>
      </c>
      <c r="M2042" s="7" t="s">
        <v>38</v>
      </c>
    </row>
    <row r="2043" customFormat="false" ht="15" hidden="false" customHeight="true" outlineLevel="0" collapsed="false">
      <c r="A2043" s="7" t="n">
        <v>2374</v>
      </c>
      <c r="B2043" s="7" t="n">
        <v>22</v>
      </c>
      <c r="C2043" s="7" t="s">
        <v>33</v>
      </c>
      <c r="D2043" s="7" t="s">
        <v>41</v>
      </c>
      <c r="E2043" s="7" t="n">
        <v>8</v>
      </c>
      <c r="F2043" s="7" t="n">
        <v>8</v>
      </c>
      <c r="G2043" s="7" t="s">
        <v>31</v>
      </c>
      <c r="H2043" s="7" t="s">
        <v>27</v>
      </c>
      <c r="I2043" s="7" t="n">
        <v>29.1</v>
      </c>
      <c r="J2043" s="7" t="s">
        <v>28</v>
      </c>
      <c r="K2043" s="7" t="n">
        <v>284.6</v>
      </c>
      <c r="L2043" s="7" t="s">
        <v>37</v>
      </c>
      <c r="M2043" s="7" t="s">
        <v>38</v>
      </c>
    </row>
    <row r="2044" customFormat="false" ht="15" hidden="false" customHeight="true" outlineLevel="0" collapsed="false">
      <c r="A2044" s="7" t="n">
        <v>2376</v>
      </c>
      <c r="B2044" s="7" t="n">
        <v>76</v>
      </c>
      <c r="C2044" s="7" t="s">
        <v>24</v>
      </c>
      <c r="D2044" s="7" t="s">
        <v>41</v>
      </c>
      <c r="E2044" s="7" t="n">
        <v>5</v>
      </c>
      <c r="F2044" s="7" t="n">
        <v>13</v>
      </c>
      <c r="G2044" s="7" t="s">
        <v>36</v>
      </c>
      <c r="H2044" s="7" t="s">
        <v>32</v>
      </c>
      <c r="I2044" s="7" t="n">
        <v>19.6</v>
      </c>
      <c r="J2044" s="7" t="s">
        <v>28</v>
      </c>
      <c r="K2044" s="7" t="n">
        <v>268.4</v>
      </c>
      <c r="L2044" s="7" t="s">
        <v>29</v>
      </c>
      <c r="M2044" s="7" t="s">
        <v>38</v>
      </c>
    </row>
    <row r="2045" customFormat="false" ht="15" hidden="false" customHeight="true" outlineLevel="0" collapsed="false">
      <c r="A2045" s="7" t="n">
        <v>2388</v>
      </c>
      <c r="B2045" s="7" t="n">
        <v>59</v>
      </c>
      <c r="C2045" s="7" t="s">
        <v>33</v>
      </c>
      <c r="D2045" s="7" t="s">
        <v>41</v>
      </c>
      <c r="E2045" s="7" t="n">
        <v>3</v>
      </c>
      <c r="F2045" s="7" t="n">
        <v>10</v>
      </c>
      <c r="G2045" s="7" t="s">
        <v>34</v>
      </c>
      <c r="H2045" s="7" t="s">
        <v>27</v>
      </c>
      <c r="I2045" s="7" t="n">
        <v>22.2</v>
      </c>
      <c r="J2045" s="7" t="s">
        <v>28</v>
      </c>
      <c r="K2045" s="7" t="n">
        <v>229.2</v>
      </c>
      <c r="L2045" s="7" t="s">
        <v>29</v>
      </c>
      <c r="M2045" s="7" t="s">
        <v>38</v>
      </c>
    </row>
    <row r="2046" customFormat="false" ht="15" hidden="false" customHeight="true" outlineLevel="0" collapsed="false">
      <c r="A2046" s="7" t="n">
        <v>2410</v>
      </c>
      <c r="B2046" s="7" t="n">
        <v>87</v>
      </c>
      <c r="C2046" s="7" t="s">
        <v>33</v>
      </c>
      <c r="D2046" s="7" t="s">
        <v>41</v>
      </c>
      <c r="E2046" s="7" t="n">
        <v>1</v>
      </c>
      <c r="F2046" s="7" t="n">
        <v>6</v>
      </c>
      <c r="G2046" s="7" t="s">
        <v>36</v>
      </c>
      <c r="H2046" s="7" t="s">
        <v>27</v>
      </c>
      <c r="I2046" s="7" t="n">
        <v>28.4</v>
      </c>
      <c r="J2046" s="7" t="s">
        <v>28</v>
      </c>
      <c r="K2046" s="7" t="n">
        <v>281.7</v>
      </c>
      <c r="L2046" s="7" t="s">
        <v>29</v>
      </c>
      <c r="M2046" s="7" t="s">
        <v>38</v>
      </c>
    </row>
    <row r="2047" customFormat="false" ht="15" hidden="false" customHeight="true" outlineLevel="0" collapsed="false">
      <c r="A2047" s="7" t="n">
        <v>2447</v>
      </c>
      <c r="B2047" s="7" t="n">
        <v>53</v>
      </c>
      <c r="C2047" s="7" t="s">
        <v>24</v>
      </c>
      <c r="D2047" s="7" t="s">
        <v>41</v>
      </c>
      <c r="E2047" s="7" t="n">
        <v>5</v>
      </c>
      <c r="F2047" s="7" t="n">
        <v>9</v>
      </c>
      <c r="G2047" s="7" t="s">
        <v>35</v>
      </c>
      <c r="H2047" s="7" t="s">
        <v>27</v>
      </c>
      <c r="I2047" s="7" t="n">
        <v>38.5</v>
      </c>
      <c r="J2047" s="7" t="s">
        <v>28</v>
      </c>
      <c r="K2047" s="7" t="n">
        <v>127.2</v>
      </c>
      <c r="L2047" s="7" t="s">
        <v>37</v>
      </c>
      <c r="M2047" s="7" t="s">
        <v>38</v>
      </c>
    </row>
    <row r="2048" customFormat="false" ht="15" hidden="false" customHeight="true" outlineLevel="0" collapsed="false">
      <c r="A2048" s="7" t="n">
        <v>101</v>
      </c>
      <c r="B2048" s="7" t="n">
        <v>38</v>
      </c>
      <c r="C2048" s="7" t="s">
        <v>33</v>
      </c>
      <c r="D2048" s="7" t="s">
        <v>41</v>
      </c>
      <c r="E2048" s="7" t="n">
        <v>19</v>
      </c>
      <c r="F2048" s="7" t="n">
        <v>8</v>
      </c>
      <c r="G2048" s="7" t="s">
        <v>26</v>
      </c>
      <c r="H2048" s="7" t="s">
        <v>32</v>
      </c>
      <c r="I2048" s="7" t="n">
        <v>38.2</v>
      </c>
      <c r="J2048" s="7" t="s">
        <v>28</v>
      </c>
      <c r="K2048" s="7" t="n">
        <v>208.1</v>
      </c>
      <c r="L2048" s="7" t="s">
        <v>37</v>
      </c>
      <c r="M2048" s="7" t="s">
        <v>39</v>
      </c>
    </row>
    <row r="2049" customFormat="false" ht="15" hidden="false" customHeight="true" outlineLevel="0" collapsed="false">
      <c r="A2049" s="7" t="n">
        <v>364</v>
      </c>
      <c r="B2049" s="7" t="n">
        <v>71</v>
      </c>
      <c r="C2049" s="7" t="s">
        <v>24</v>
      </c>
      <c r="D2049" s="7" t="s">
        <v>41</v>
      </c>
      <c r="E2049" s="7" t="n">
        <v>17</v>
      </c>
      <c r="F2049" s="7" t="n">
        <v>4</v>
      </c>
      <c r="G2049" s="7" t="s">
        <v>34</v>
      </c>
      <c r="H2049" s="7" t="s">
        <v>27</v>
      </c>
      <c r="I2049" s="7" t="n">
        <v>22</v>
      </c>
      <c r="J2049" s="7" t="s">
        <v>28</v>
      </c>
      <c r="K2049" s="7" t="n">
        <v>162.7</v>
      </c>
      <c r="L2049" s="7" t="s">
        <v>29</v>
      </c>
      <c r="M2049" s="7" t="s">
        <v>39</v>
      </c>
    </row>
    <row r="2050" customFormat="false" ht="15" hidden="false" customHeight="true" outlineLevel="0" collapsed="false">
      <c r="A2050" s="7" t="n">
        <v>402</v>
      </c>
      <c r="B2050" s="7" t="n">
        <v>47</v>
      </c>
      <c r="C2050" s="7" t="s">
        <v>33</v>
      </c>
      <c r="D2050" s="7" t="s">
        <v>41</v>
      </c>
      <c r="E2050" s="7" t="n">
        <v>5</v>
      </c>
      <c r="F2050" s="7" t="n">
        <v>6</v>
      </c>
      <c r="G2050" s="7" t="s">
        <v>35</v>
      </c>
      <c r="H2050" s="7" t="s">
        <v>32</v>
      </c>
      <c r="I2050" s="7" t="n">
        <v>21.8</v>
      </c>
      <c r="J2050" s="7" t="s">
        <v>28</v>
      </c>
      <c r="K2050" s="7" t="n">
        <v>166.8</v>
      </c>
      <c r="L2050" s="7" t="s">
        <v>29</v>
      </c>
      <c r="M2050" s="7" t="s">
        <v>39</v>
      </c>
    </row>
    <row r="2051" customFormat="false" ht="15" hidden="false" customHeight="true" outlineLevel="0" collapsed="false">
      <c r="A2051" s="7" t="n">
        <v>536</v>
      </c>
      <c r="B2051" s="7" t="n">
        <v>34</v>
      </c>
      <c r="C2051" s="7" t="s">
        <v>33</v>
      </c>
      <c r="D2051" s="7" t="s">
        <v>41</v>
      </c>
      <c r="E2051" s="7" t="n">
        <v>4</v>
      </c>
      <c r="F2051" s="7" t="n">
        <v>3</v>
      </c>
      <c r="G2051" s="7" t="s">
        <v>36</v>
      </c>
      <c r="H2051" s="7" t="s">
        <v>27</v>
      </c>
      <c r="I2051" s="7" t="n">
        <v>30.5</v>
      </c>
      <c r="J2051" s="7" t="s">
        <v>28</v>
      </c>
      <c r="K2051" s="7" t="n">
        <v>193</v>
      </c>
      <c r="L2051" s="7" t="s">
        <v>37</v>
      </c>
      <c r="M2051" s="7" t="s">
        <v>39</v>
      </c>
    </row>
    <row r="2052" customFormat="false" ht="15" hidden="false" customHeight="true" outlineLevel="0" collapsed="false">
      <c r="A2052" s="7" t="n">
        <v>661</v>
      </c>
      <c r="B2052" s="7" t="n">
        <v>30</v>
      </c>
      <c r="C2052" s="7" t="s">
        <v>33</v>
      </c>
      <c r="D2052" s="7" t="s">
        <v>41</v>
      </c>
      <c r="E2052" s="7" t="n">
        <v>14</v>
      </c>
      <c r="F2052" s="7" t="n">
        <v>1</v>
      </c>
      <c r="G2052" s="7" t="s">
        <v>26</v>
      </c>
      <c r="H2052" s="7" t="s">
        <v>27</v>
      </c>
      <c r="I2052" s="7" t="n">
        <v>36.8</v>
      </c>
      <c r="J2052" s="7" t="s">
        <v>28</v>
      </c>
      <c r="K2052" s="7" t="n">
        <v>174.3</v>
      </c>
      <c r="L2052" s="7" t="s">
        <v>29</v>
      </c>
      <c r="M2052" s="7" t="s">
        <v>39</v>
      </c>
    </row>
    <row r="2053" customFormat="false" ht="15" hidden="false" customHeight="true" outlineLevel="0" collapsed="false">
      <c r="A2053" s="7" t="n">
        <v>786</v>
      </c>
      <c r="B2053" s="7" t="n">
        <v>80</v>
      </c>
      <c r="C2053" s="7" t="s">
        <v>24</v>
      </c>
      <c r="D2053" s="7" t="s">
        <v>41</v>
      </c>
      <c r="E2053" s="7" t="n">
        <v>11</v>
      </c>
      <c r="F2053" s="7" t="n">
        <v>11</v>
      </c>
      <c r="G2053" s="7" t="s">
        <v>36</v>
      </c>
      <c r="H2053" s="7" t="s">
        <v>27</v>
      </c>
      <c r="I2053" s="7" t="n">
        <v>27.3</v>
      </c>
      <c r="J2053" s="7" t="s">
        <v>28</v>
      </c>
      <c r="K2053" s="7" t="n">
        <v>201.3</v>
      </c>
      <c r="L2053" s="7" t="s">
        <v>29</v>
      </c>
      <c r="M2053" s="7" t="s">
        <v>39</v>
      </c>
    </row>
    <row r="2054" customFormat="false" ht="15" hidden="false" customHeight="true" outlineLevel="0" collapsed="false">
      <c r="A2054" s="7" t="n">
        <v>788</v>
      </c>
      <c r="B2054" s="7" t="n">
        <v>79</v>
      </c>
      <c r="C2054" s="7" t="s">
        <v>33</v>
      </c>
      <c r="D2054" s="7" t="s">
        <v>41</v>
      </c>
      <c r="E2054" s="7" t="n">
        <v>17</v>
      </c>
      <c r="F2054" s="7" t="n">
        <v>14</v>
      </c>
      <c r="G2054" s="7" t="s">
        <v>36</v>
      </c>
      <c r="H2054" s="7" t="s">
        <v>32</v>
      </c>
      <c r="I2054" s="7" t="n">
        <v>20.3</v>
      </c>
      <c r="J2054" s="7" t="s">
        <v>28</v>
      </c>
      <c r="K2054" s="7" t="n">
        <v>271.6</v>
      </c>
      <c r="L2054" s="7" t="s">
        <v>37</v>
      </c>
      <c r="M2054" s="7" t="s">
        <v>39</v>
      </c>
    </row>
    <row r="2055" customFormat="false" ht="15" hidden="false" customHeight="true" outlineLevel="0" collapsed="false">
      <c r="A2055" s="7" t="n">
        <v>855</v>
      </c>
      <c r="B2055" s="7" t="n">
        <v>68</v>
      </c>
      <c r="C2055" s="7" t="s">
        <v>24</v>
      </c>
      <c r="D2055" s="7" t="s">
        <v>41</v>
      </c>
      <c r="E2055" s="7" t="n">
        <v>17</v>
      </c>
      <c r="F2055" s="7" t="n">
        <v>5</v>
      </c>
      <c r="G2055" s="7" t="s">
        <v>35</v>
      </c>
      <c r="H2055" s="7" t="s">
        <v>32</v>
      </c>
      <c r="I2055" s="7" t="n">
        <v>34.2</v>
      </c>
      <c r="J2055" s="7" t="s">
        <v>28</v>
      </c>
      <c r="K2055" s="7" t="n">
        <v>165.4</v>
      </c>
      <c r="L2055" s="7" t="s">
        <v>29</v>
      </c>
      <c r="M2055" s="7" t="s">
        <v>39</v>
      </c>
    </row>
    <row r="2056" customFormat="false" ht="15" hidden="false" customHeight="true" outlineLevel="0" collapsed="false">
      <c r="A2056" s="7" t="n">
        <v>936</v>
      </c>
      <c r="B2056" s="7" t="n">
        <v>41</v>
      </c>
      <c r="C2056" s="7" t="s">
        <v>33</v>
      </c>
      <c r="D2056" s="7" t="s">
        <v>41</v>
      </c>
      <c r="E2056" s="7" t="n">
        <v>10</v>
      </c>
      <c r="F2056" s="7" t="n">
        <v>4</v>
      </c>
      <c r="G2056" s="7" t="s">
        <v>35</v>
      </c>
      <c r="H2056" s="7" t="s">
        <v>32</v>
      </c>
      <c r="I2056" s="7" t="n">
        <v>26.2</v>
      </c>
      <c r="J2056" s="7" t="s">
        <v>28</v>
      </c>
      <c r="K2056" s="7" t="n">
        <v>250.6</v>
      </c>
      <c r="L2056" s="7" t="s">
        <v>37</v>
      </c>
      <c r="M2056" s="7" t="s">
        <v>39</v>
      </c>
    </row>
    <row r="2057" customFormat="false" ht="15" hidden="false" customHeight="true" outlineLevel="0" collapsed="false">
      <c r="A2057" s="7" t="n">
        <v>947</v>
      </c>
      <c r="B2057" s="7" t="n">
        <v>47</v>
      </c>
      <c r="C2057" s="7" t="s">
        <v>33</v>
      </c>
      <c r="D2057" s="7" t="s">
        <v>41</v>
      </c>
      <c r="E2057" s="7" t="n">
        <v>17</v>
      </c>
      <c r="F2057" s="7" t="n">
        <v>13</v>
      </c>
      <c r="G2057" s="7" t="s">
        <v>26</v>
      </c>
      <c r="H2057" s="7" t="s">
        <v>32</v>
      </c>
      <c r="I2057" s="7" t="n">
        <v>32.6</v>
      </c>
      <c r="J2057" s="7" t="s">
        <v>28</v>
      </c>
      <c r="K2057" s="7" t="n">
        <v>130.7</v>
      </c>
      <c r="L2057" s="7" t="s">
        <v>37</v>
      </c>
      <c r="M2057" s="7" t="s">
        <v>39</v>
      </c>
    </row>
    <row r="2058" customFormat="false" ht="15" hidden="false" customHeight="true" outlineLevel="0" collapsed="false">
      <c r="A2058" s="7" t="n">
        <v>984</v>
      </c>
      <c r="B2058" s="7" t="n">
        <v>26</v>
      </c>
      <c r="C2058" s="7" t="s">
        <v>24</v>
      </c>
      <c r="D2058" s="7" t="s">
        <v>41</v>
      </c>
      <c r="E2058" s="7" t="n">
        <v>17</v>
      </c>
      <c r="F2058" s="7" t="n">
        <v>9</v>
      </c>
      <c r="G2058" s="7" t="s">
        <v>26</v>
      </c>
      <c r="H2058" s="7" t="s">
        <v>27</v>
      </c>
      <c r="I2058" s="7" t="n">
        <v>18</v>
      </c>
      <c r="J2058" s="7" t="s">
        <v>28</v>
      </c>
      <c r="K2058" s="7" t="n">
        <v>248.2</v>
      </c>
      <c r="L2058" s="7" t="s">
        <v>29</v>
      </c>
      <c r="M2058" s="7" t="s">
        <v>39</v>
      </c>
    </row>
    <row r="2059" customFormat="false" ht="15" hidden="false" customHeight="true" outlineLevel="0" collapsed="false">
      <c r="A2059" s="7" t="n">
        <v>1017</v>
      </c>
      <c r="B2059" s="7" t="n">
        <v>21</v>
      </c>
      <c r="C2059" s="7" t="s">
        <v>33</v>
      </c>
      <c r="D2059" s="7" t="s">
        <v>41</v>
      </c>
      <c r="E2059" s="7" t="n">
        <v>4</v>
      </c>
      <c r="F2059" s="7" t="n">
        <v>12</v>
      </c>
      <c r="G2059" s="7" t="s">
        <v>31</v>
      </c>
      <c r="H2059" s="7" t="s">
        <v>32</v>
      </c>
      <c r="I2059" s="7" t="n">
        <v>18.6</v>
      </c>
      <c r="J2059" s="7" t="s">
        <v>28</v>
      </c>
      <c r="K2059" s="7" t="n">
        <v>171.8</v>
      </c>
      <c r="L2059" s="7" t="s">
        <v>29</v>
      </c>
      <c r="M2059" s="7" t="s">
        <v>39</v>
      </c>
    </row>
    <row r="2060" customFormat="false" ht="15" hidden="false" customHeight="true" outlineLevel="0" collapsed="false">
      <c r="A2060" s="7" t="n">
        <v>1028</v>
      </c>
      <c r="B2060" s="7" t="n">
        <v>54</v>
      </c>
      <c r="C2060" s="7" t="s">
        <v>33</v>
      </c>
      <c r="D2060" s="7" t="s">
        <v>41</v>
      </c>
      <c r="E2060" s="7" t="n">
        <v>9</v>
      </c>
      <c r="F2060" s="7" t="n">
        <v>4</v>
      </c>
      <c r="G2060" s="7" t="s">
        <v>26</v>
      </c>
      <c r="H2060" s="7" t="s">
        <v>32</v>
      </c>
      <c r="I2060" s="7" t="n">
        <v>40.3</v>
      </c>
      <c r="J2060" s="7" t="s">
        <v>28</v>
      </c>
      <c r="K2060" s="7" t="n">
        <v>286.7</v>
      </c>
      <c r="L2060" s="7" t="s">
        <v>29</v>
      </c>
      <c r="M2060" s="7" t="s">
        <v>39</v>
      </c>
    </row>
    <row r="2061" customFormat="false" ht="15" hidden="false" customHeight="true" outlineLevel="0" collapsed="false">
      <c r="A2061" s="7" t="n">
        <v>1045</v>
      </c>
      <c r="B2061" s="7" t="n">
        <v>51</v>
      </c>
      <c r="C2061" s="7" t="s">
        <v>24</v>
      </c>
      <c r="D2061" s="7" t="s">
        <v>41</v>
      </c>
      <c r="E2061" s="7" t="n">
        <v>11</v>
      </c>
      <c r="F2061" s="7" t="n">
        <v>13</v>
      </c>
      <c r="G2061" s="7" t="s">
        <v>35</v>
      </c>
      <c r="H2061" s="7" t="s">
        <v>27</v>
      </c>
      <c r="I2061" s="7" t="n">
        <v>28.4</v>
      </c>
      <c r="J2061" s="7" t="s">
        <v>28</v>
      </c>
      <c r="K2061" s="7" t="n">
        <v>244.9</v>
      </c>
      <c r="L2061" s="7" t="s">
        <v>29</v>
      </c>
      <c r="M2061" s="7" t="s">
        <v>39</v>
      </c>
    </row>
    <row r="2062" customFormat="false" ht="15" hidden="false" customHeight="true" outlineLevel="0" collapsed="false">
      <c r="A2062" s="7" t="n">
        <v>1056</v>
      </c>
      <c r="B2062" s="7" t="n">
        <v>44</v>
      </c>
      <c r="C2062" s="7" t="s">
        <v>24</v>
      </c>
      <c r="D2062" s="7" t="s">
        <v>41</v>
      </c>
      <c r="E2062" s="7" t="n">
        <v>7</v>
      </c>
      <c r="F2062" s="7" t="n">
        <v>4</v>
      </c>
      <c r="G2062" s="7" t="s">
        <v>36</v>
      </c>
      <c r="H2062" s="7" t="s">
        <v>27</v>
      </c>
      <c r="I2062" s="7" t="n">
        <v>31.2</v>
      </c>
      <c r="J2062" s="7" t="s">
        <v>28</v>
      </c>
      <c r="K2062" s="7" t="n">
        <v>121.6</v>
      </c>
      <c r="L2062" s="7" t="s">
        <v>37</v>
      </c>
      <c r="M2062" s="7" t="s">
        <v>39</v>
      </c>
    </row>
    <row r="2063" customFormat="false" ht="15" hidden="false" customHeight="true" outlineLevel="0" collapsed="false">
      <c r="A2063" s="7" t="n">
        <v>1113</v>
      </c>
      <c r="B2063" s="7" t="n">
        <v>23</v>
      </c>
      <c r="C2063" s="7" t="s">
        <v>33</v>
      </c>
      <c r="D2063" s="7" t="s">
        <v>41</v>
      </c>
      <c r="E2063" s="7" t="n">
        <v>19</v>
      </c>
      <c r="F2063" s="7" t="n">
        <v>5</v>
      </c>
      <c r="G2063" s="7" t="s">
        <v>34</v>
      </c>
      <c r="H2063" s="7" t="s">
        <v>32</v>
      </c>
      <c r="I2063" s="7" t="n">
        <v>29.7</v>
      </c>
      <c r="J2063" s="7" t="s">
        <v>28</v>
      </c>
      <c r="K2063" s="7" t="n">
        <v>275.9</v>
      </c>
      <c r="L2063" s="7" t="s">
        <v>29</v>
      </c>
      <c r="M2063" s="7" t="s">
        <v>39</v>
      </c>
    </row>
    <row r="2064" customFormat="false" ht="15" hidden="false" customHeight="true" outlineLevel="0" collapsed="false">
      <c r="A2064" s="7" t="n">
        <v>1190</v>
      </c>
      <c r="B2064" s="7" t="n">
        <v>61</v>
      </c>
      <c r="C2064" s="7" t="s">
        <v>24</v>
      </c>
      <c r="D2064" s="7" t="s">
        <v>41</v>
      </c>
      <c r="E2064" s="7" t="n">
        <v>5</v>
      </c>
      <c r="F2064" s="7" t="n">
        <v>13</v>
      </c>
      <c r="G2064" s="7" t="s">
        <v>35</v>
      </c>
      <c r="H2064" s="7" t="s">
        <v>32</v>
      </c>
      <c r="I2064" s="7" t="n">
        <v>36.5</v>
      </c>
      <c r="J2064" s="7" t="s">
        <v>28</v>
      </c>
      <c r="K2064" s="7" t="n">
        <v>197.4</v>
      </c>
      <c r="L2064" s="7" t="s">
        <v>37</v>
      </c>
      <c r="M2064" s="7" t="s">
        <v>39</v>
      </c>
    </row>
    <row r="2065" customFormat="false" ht="15" hidden="false" customHeight="true" outlineLevel="0" collapsed="false">
      <c r="A2065" s="7" t="n">
        <v>1225</v>
      </c>
      <c r="B2065" s="7" t="n">
        <v>38</v>
      </c>
      <c r="C2065" s="7" t="s">
        <v>33</v>
      </c>
      <c r="D2065" s="7" t="s">
        <v>41</v>
      </c>
      <c r="E2065" s="7" t="n">
        <v>1</v>
      </c>
      <c r="F2065" s="7" t="n">
        <v>7</v>
      </c>
      <c r="G2065" s="7" t="s">
        <v>34</v>
      </c>
      <c r="H2065" s="7" t="s">
        <v>27</v>
      </c>
      <c r="I2065" s="7" t="n">
        <v>24.9</v>
      </c>
      <c r="J2065" s="7" t="s">
        <v>28</v>
      </c>
      <c r="K2065" s="7" t="n">
        <v>216</v>
      </c>
      <c r="L2065" s="7" t="s">
        <v>29</v>
      </c>
      <c r="M2065" s="7" t="s">
        <v>39</v>
      </c>
    </row>
    <row r="2066" customFormat="false" ht="15" hidden="false" customHeight="true" outlineLevel="0" collapsed="false">
      <c r="A2066" s="7" t="n">
        <v>1354</v>
      </c>
      <c r="B2066" s="7" t="n">
        <v>36</v>
      </c>
      <c r="C2066" s="7" t="s">
        <v>24</v>
      </c>
      <c r="D2066" s="7" t="s">
        <v>41</v>
      </c>
      <c r="E2066" s="7" t="n">
        <v>4</v>
      </c>
      <c r="F2066" s="7" t="n">
        <v>3</v>
      </c>
      <c r="G2066" s="7" t="s">
        <v>31</v>
      </c>
      <c r="H2066" s="7" t="s">
        <v>27</v>
      </c>
      <c r="I2066" s="7" t="n">
        <v>41.8</v>
      </c>
      <c r="J2066" s="7" t="s">
        <v>28</v>
      </c>
      <c r="K2066" s="7" t="n">
        <v>143.6</v>
      </c>
      <c r="L2066" s="7" t="s">
        <v>29</v>
      </c>
      <c r="M2066" s="7" t="s">
        <v>39</v>
      </c>
    </row>
    <row r="2067" customFormat="false" ht="15" hidden="false" customHeight="true" outlineLevel="0" collapsed="false">
      <c r="A2067" s="7" t="n">
        <v>1498</v>
      </c>
      <c r="B2067" s="7" t="n">
        <v>57</v>
      </c>
      <c r="C2067" s="7" t="s">
        <v>33</v>
      </c>
      <c r="D2067" s="7" t="s">
        <v>41</v>
      </c>
      <c r="E2067" s="7" t="n">
        <v>15</v>
      </c>
      <c r="F2067" s="7" t="n">
        <v>3</v>
      </c>
      <c r="G2067" s="7" t="s">
        <v>26</v>
      </c>
      <c r="H2067" s="7" t="s">
        <v>32</v>
      </c>
      <c r="I2067" s="7" t="n">
        <v>27.8</v>
      </c>
      <c r="J2067" s="7" t="s">
        <v>28</v>
      </c>
      <c r="K2067" s="7" t="n">
        <v>194</v>
      </c>
      <c r="L2067" s="7" t="s">
        <v>29</v>
      </c>
      <c r="M2067" s="7" t="s">
        <v>39</v>
      </c>
    </row>
    <row r="2068" customFormat="false" ht="15" hidden="false" customHeight="true" outlineLevel="0" collapsed="false">
      <c r="A2068" s="7" t="n">
        <v>1582</v>
      </c>
      <c r="B2068" s="7" t="n">
        <v>29</v>
      </c>
      <c r="C2068" s="7" t="s">
        <v>24</v>
      </c>
      <c r="D2068" s="7" t="s">
        <v>41</v>
      </c>
      <c r="E2068" s="7" t="n">
        <v>2</v>
      </c>
      <c r="F2068" s="7" t="n">
        <v>14</v>
      </c>
      <c r="G2068" s="7" t="s">
        <v>34</v>
      </c>
      <c r="H2068" s="7" t="s">
        <v>27</v>
      </c>
      <c r="I2068" s="7" t="n">
        <v>31.6</v>
      </c>
      <c r="J2068" s="7" t="s">
        <v>28</v>
      </c>
      <c r="K2068" s="7" t="n">
        <v>182</v>
      </c>
      <c r="L2068" s="7" t="s">
        <v>29</v>
      </c>
      <c r="M2068" s="7" t="s">
        <v>39</v>
      </c>
    </row>
    <row r="2069" customFormat="false" ht="15" hidden="false" customHeight="true" outlineLevel="0" collapsed="false">
      <c r="A2069" s="7" t="n">
        <v>1688</v>
      </c>
      <c r="B2069" s="7" t="n">
        <v>19</v>
      </c>
      <c r="C2069" s="7" t="s">
        <v>33</v>
      </c>
      <c r="D2069" s="7" t="s">
        <v>41</v>
      </c>
      <c r="E2069" s="7" t="n">
        <v>17</v>
      </c>
      <c r="F2069" s="7" t="n">
        <v>9</v>
      </c>
      <c r="G2069" s="7" t="s">
        <v>34</v>
      </c>
      <c r="H2069" s="7" t="s">
        <v>27</v>
      </c>
      <c r="I2069" s="7" t="n">
        <v>34.7</v>
      </c>
      <c r="J2069" s="7" t="s">
        <v>28</v>
      </c>
      <c r="K2069" s="7" t="n">
        <v>138.2</v>
      </c>
      <c r="L2069" s="7" t="s">
        <v>29</v>
      </c>
      <c r="M2069" s="7" t="s">
        <v>39</v>
      </c>
    </row>
    <row r="2070" customFormat="false" ht="15" hidden="false" customHeight="true" outlineLevel="0" collapsed="false">
      <c r="A2070" s="7" t="n">
        <v>1858</v>
      </c>
      <c r="B2070" s="7" t="n">
        <v>25</v>
      </c>
      <c r="C2070" s="7" t="s">
        <v>33</v>
      </c>
      <c r="D2070" s="7" t="s">
        <v>41</v>
      </c>
      <c r="E2070" s="7" t="n">
        <v>6</v>
      </c>
      <c r="F2070" s="7" t="n">
        <v>6</v>
      </c>
      <c r="G2070" s="7" t="s">
        <v>36</v>
      </c>
      <c r="H2070" s="7" t="s">
        <v>32</v>
      </c>
      <c r="I2070" s="7" t="n">
        <v>38.3</v>
      </c>
      <c r="J2070" s="7" t="s">
        <v>28</v>
      </c>
      <c r="K2070" s="7" t="n">
        <v>208.2</v>
      </c>
      <c r="L2070" s="7" t="s">
        <v>29</v>
      </c>
      <c r="M2070" s="7" t="s">
        <v>39</v>
      </c>
    </row>
    <row r="2071" customFormat="false" ht="15" hidden="false" customHeight="true" outlineLevel="0" collapsed="false">
      <c r="A2071" s="7" t="n">
        <v>1947</v>
      </c>
      <c r="B2071" s="7" t="n">
        <v>53</v>
      </c>
      <c r="C2071" s="7" t="s">
        <v>24</v>
      </c>
      <c r="D2071" s="7" t="s">
        <v>41</v>
      </c>
      <c r="E2071" s="7" t="n">
        <v>7</v>
      </c>
      <c r="F2071" s="7" t="n">
        <v>7</v>
      </c>
      <c r="G2071" s="7" t="s">
        <v>34</v>
      </c>
      <c r="H2071" s="7" t="s">
        <v>32</v>
      </c>
      <c r="I2071" s="7" t="n">
        <v>39.2</v>
      </c>
      <c r="J2071" s="7" t="s">
        <v>28</v>
      </c>
      <c r="K2071" s="7" t="n">
        <v>182.7</v>
      </c>
      <c r="L2071" s="7" t="s">
        <v>29</v>
      </c>
      <c r="M2071" s="7" t="s">
        <v>39</v>
      </c>
    </row>
    <row r="2072" customFormat="false" ht="15" hidden="false" customHeight="true" outlineLevel="0" collapsed="false">
      <c r="A2072" s="7" t="n">
        <v>2061</v>
      </c>
      <c r="B2072" s="7" t="n">
        <v>52</v>
      </c>
      <c r="C2072" s="7" t="s">
        <v>24</v>
      </c>
      <c r="D2072" s="7" t="s">
        <v>41</v>
      </c>
      <c r="E2072" s="7" t="n">
        <v>9</v>
      </c>
      <c r="F2072" s="7" t="n">
        <v>2</v>
      </c>
      <c r="G2072" s="7" t="s">
        <v>26</v>
      </c>
      <c r="H2072" s="7" t="s">
        <v>27</v>
      </c>
      <c r="I2072" s="7" t="n">
        <v>37.7</v>
      </c>
      <c r="J2072" s="7" t="s">
        <v>28</v>
      </c>
      <c r="K2072" s="7" t="n">
        <v>185.6</v>
      </c>
      <c r="L2072" s="7" t="s">
        <v>29</v>
      </c>
      <c r="M2072" s="7" t="s">
        <v>39</v>
      </c>
    </row>
    <row r="2073" customFormat="false" ht="15" hidden="false" customHeight="true" outlineLevel="0" collapsed="false">
      <c r="A2073" s="7" t="n">
        <v>2152</v>
      </c>
      <c r="B2073" s="7" t="n">
        <v>75</v>
      </c>
      <c r="C2073" s="7" t="s">
        <v>33</v>
      </c>
      <c r="D2073" s="7" t="s">
        <v>41</v>
      </c>
      <c r="E2073" s="7" t="n">
        <v>10</v>
      </c>
      <c r="F2073" s="7" t="n">
        <v>5</v>
      </c>
      <c r="G2073" s="7" t="s">
        <v>35</v>
      </c>
      <c r="H2073" s="7" t="s">
        <v>27</v>
      </c>
      <c r="I2073" s="7" t="n">
        <v>35.2</v>
      </c>
      <c r="J2073" s="7" t="s">
        <v>28</v>
      </c>
      <c r="K2073" s="7" t="n">
        <v>210.8</v>
      </c>
      <c r="L2073" s="7" t="s">
        <v>29</v>
      </c>
      <c r="M2073" s="7" t="s">
        <v>39</v>
      </c>
    </row>
    <row r="2074" customFormat="false" ht="15" hidden="false" customHeight="true" outlineLevel="0" collapsed="false">
      <c r="A2074" s="7" t="n">
        <v>2182</v>
      </c>
      <c r="B2074" s="7" t="n">
        <v>69</v>
      </c>
      <c r="C2074" s="7" t="s">
        <v>24</v>
      </c>
      <c r="D2074" s="7" t="s">
        <v>41</v>
      </c>
      <c r="E2074" s="7" t="n">
        <v>1</v>
      </c>
      <c r="F2074" s="7" t="n">
        <v>12</v>
      </c>
      <c r="G2074" s="7" t="s">
        <v>31</v>
      </c>
      <c r="H2074" s="7" t="s">
        <v>27</v>
      </c>
      <c r="I2074" s="7" t="n">
        <v>24.7</v>
      </c>
      <c r="J2074" s="7" t="s">
        <v>28</v>
      </c>
      <c r="K2074" s="7" t="n">
        <v>299.9</v>
      </c>
      <c r="L2074" s="7" t="s">
        <v>29</v>
      </c>
      <c r="M2074" s="7" t="s">
        <v>39</v>
      </c>
    </row>
    <row r="2075" customFormat="false" ht="15" hidden="false" customHeight="true" outlineLevel="0" collapsed="false">
      <c r="A2075" s="7" t="n">
        <v>2243</v>
      </c>
      <c r="B2075" s="7" t="n">
        <v>67</v>
      </c>
      <c r="C2075" s="7" t="s">
        <v>24</v>
      </c>
      <c r="D2075" s="7" t="s">
        <v>41</v>
      </c>
      <c r="E2075" s="7" t="n">
        <v>17</v>
      </c>
      <c r="F2075" s="7" t="n">
        <v>8</v>
      </c>
      <c r="G2075" s="7" t="s">
        <v>34</v>
      </c>
      <c r="H2075" s="7" t="s">
        <v>32</v>
      </c>
      <c r="I2075" s="7" t="n">
        <v>32.1</v>
      </c>
      <c r="J2075" s="7" t="s">
        <v>28</v>
      </c>
      <c r="K2075" s="7" t="n">
        <v>160.1</v>
      </c>
      <c r="L2075" s="7" t="s">
        <v>29</v>
      </c>
      <c r="M2075" s="7" t="s">
        <v>39</v>
      </c>
    </row>
    <row r="2076" customFormat="false" ht="15" hidden="false" customHeight="true" outlineLevel="0" collapsed="false">
      <c r="A2076" s="7" t="n">
        <v>2280</v>
      </c>
      <c r="B2076" s="7" t="n">
        <v>78</v>
      </c>
      <c r="C2076" s="7" t="s">
        <v>33</v>
      </c>
      <c r="D2076" s="7" t="s">
        <v>41</v>
      </c>
      <c r="E2076" s="7" t="n">
        <v>19</v>
      </c>
      <c r="F2076" s="7" t="n">
        <v>7</v>
      </c>
      <c r="G2076" s="7" t="s">
        <v>26</v>
      </c>
      <c r="H2076" s="7" t="s">
        <v>27</v>
      </c>
      <c r="I2076" s="7" t="n">
        <v>18.5</v>
      </c>
      <c r="J2076" s="7" t="s">
        <v>28</v>
      </c>
      <c r="K2076" s="7" t="n">
        <v>146.7</v>
      </c>
      <c r="L2076" s="7" t="s">
        <v>37</v>
      </c>
      <c r="M2076" s="7" t="s">
        <v>39</v>
      </c>
    </row>
    <row r="2077" customFormat="false" ht="15" hidden="false" customHeight="true" outlineLevel="0" collapsed="false">
      <c r="A2077" s="7" t="n">
        <v>2302</v>
      </c>
      <c r="B2077" s="7" t="n">
        <v>55</v>
      </c>
      <c r="C2077" s="7" t="s">
        <v>33</v>
      </c>
      <c r="D2077" s="7" t="s">
        <v>41</v>
      </c>
      <c r="E2077" s="7" t="n">
        <v>14</v>
      </c>
      <c r="F2077" s="7" t="n">
        <v>11</v>
      </c>
      <c r="G2077" s="7" t="s">
        <v>26</v>
      </c>
      <c r="H2077" s="7" t="s">
        <v>27</v>
      </c>
      <c r="I2077" s="7" t="n">
        <v>26.1</v>
      </c>
      <c r="J2077" s="7" t="s">
        <v>28</v>
      </c>
      <c r="K2077" s="7" t="n">
        <v>180.7</v>
      </c>
      <c r="L2077" s="7" t="s">
        <v>29</v>
      </c>
      <c r="M2077" s="7" t="s">
        <v>39</v>
      </c>
    </row>
    <row r="2078" customFormat="false" ht="15" hidden="false" customHeight="true" outlineLevel="0" collapsed="false">
      <c r="A2078" s="7" t="n">
        <v>2323</v>
      </c>
      <c r="B2078" s="7" t="n">
        <v>32</v>
      </c>
      <c r="C2078" s="7" t="s">
        <v>24</v>
      </c>
      <c r="D2078" s="7" t="s">
        <v>41</v>
      </c>
      <c r="E2078" s="7" t="n">
        <v>17</v>
      </c>
      <c r="F2078" s="7" t="n">
        <v>2</v>
      </c>
      <c r="G2078" s="7" t="s">
        <v>26</v>
      </c>
      <c r="H2078" s="7" t="s">
        <v>32</v>
      </c>
      <c r="I2078" s="7" t="n">
        <v>38.7</v>
      </c>
      <c r="J2078" s="7" t="s">
        <v>28</v>
      </c>
      <c r="K2078" s="7" t="n">
        <v>195.7</v>
      </c>
      <c r="L2078" s="7" t="s">
        <v>37</v>
      </c>
      <c r="M2078" s="7" t="s">
        <v>39</v>
      </c>
    </row>
    <row r="2079" customFormat="false" ht="15" hidden="false" customHeight="true" outlineLevel="0" collapsed="false">
      <c r="A2079" s="7" t="n">
        <v>2347</v>
      </c>
      <c r="B2079" s="7" t="n">
        <v>40</v>
      </c>
      <c r="C2079" s="7" t="s">
        <v>33</v>
      </c>
      <c r="D2079" s="7" t="s">
        <v>41</v>
      </c>
      <c r="E2079" s="7" t="n">
        <v>14</v>
      </c>
      <c r="F2079" s="7" t="n">
        <v>4</v>
      </c>
      <c r="G2079" s="7" t="s">
        <v>34</v>
      </c>
      <c r="H2079" s="7" t="s">
        <v>32</v>
      </c>
      <c r="I2079" s="7" t="n">
        <v>41.4</v>
      </c>
      <c r="J2079" s="7" t="s">
        <v>28</v>
      </c>
      <c r="K2079" s="7" t="n">
        <v>212.5</v>
      </c>
      <c r="L2079" s="7" t="s">
        <v>29</v>
      </c>
      <c r="M2079" s="7" t="s">
        <v>39</v>
      </c>
    </row>
    <row r="2080" customFormat="false" ht="15" hidden="false" customHeight="true" outlineLevel="0" collapsed="false">
      <c r="A2080" s="7" t="n">
        <v>2373</v>
      </c>
      <c r="B2080" s="7" t="n">
        <v>78</v>
      </c>
      <c r="C2080" s="7" t="s">
        <v>24</v>
      </c>
      <c r="D2080" s="7" t="s">
        <v>41</v>
      </c>
      <c r="E2080" s="7" t="n">
        <v>6</v>
      </c>
      <c r="F2080" s="7" t="n">
        <v>8</v>
      </c>
      <c r="G2080" s="7" t="s">
        <v>31</v>
      </c>
      <c r="H2080" s="7" t="s">
        <v>32</v>
      </c>
      <c r="I2080" s="7" t="n">
        <v>40.3</v>
      </c>
      <c r="J2080" s="7" t="s">
        <v>28</v>
      </c>
      <c r="K2080" s="7" t="n">
        <v>271.3</v>
      </c>
      <c r="L2080" s="7" t="s">
        <v>37</v>
      </c>
      <c r="M2080" s="7" t="s">
        <v>39</v>
      </c>
    </row>
    <row r="2081" customFormat="false" ht="15" hidden="false" customHeight="true" outlineLevel="0" collapsed="false">
      <c r="A2081" s="7" t="n">
        <v>47</v>
      </c>
      <c r="B2081" s="7" t="n">
        <v>79</v>
      </c>
      <c r="C2081" s="7" t="s">
        <v>33</v>
      </c>
      <c r="D2081" s="7" t="s">
        <v>40</v>
      </c>
      <c r="E2081" s="7" t="n">
        <v>7</v>
      </c>
      <c r="F2081" s="7" t="n">
        <v>17</v>
      </c>
      <c r="G2081" s="7" t="s">
        <v>31</v>
      </c>
      <c r="H2081" s="7" t="s">
        <v>27</v>
      </c>
      <c r="I2081" s="7" t="n">
        <v>38.7</v>
      </c>
      <c r="J2081" s="7" t="s">
        <v>28</v>
      </c>
      <c r="K2081" s="7" t="n">
        <v>293.4</v>
      </c>
      <c r="L2081" s="7" t="s">
        <v>37</v>
      </c>
      <c r="M2081" s="7" t="s">
        <v>39</v>
      </c>
    </row>
    <row r="2082" customFormat="false" ht="15" hidden="false" customHeight="true" outlineLevel="0" collapsed="false">
      <c r="A2082" s="7" t="n">
        <v>79</v>
      </c>
      <c r="B2082" s="7" t="n">
        <v>37</v>
      </c>
      <c r="C2082" s="7" t="s">
        <v>33</v>
      </c>
      <c r="D2082" s="7" t="s">
        <v>40</v>
      </c>
      <c r="E2082" s="7" t="n">
        <v>31</v>
      </c>
      <c r="F2082" s="7" t="n">
        <v>9</v>
      </c>
      <c r="G2082" s="7" t="s">
        <v>36</v>
      </c>
      <c r="H2082" s="7" t="s">
        <v>27</v>
      </c>
      <c r="I2082" s="7" t="n">
        <v>22.7</v>
      </c>
      <c r="J2082" s="7" t="s">
        <v>28</v>
      </c>
      <c r="K2082" s="7" t="n">
        <v>171.8</v>
      </c>
      <c r="L2082" s="7" t="s">
        <v>29</v>
      </c>
      <c r="M2082" s="7" t="s">
        <v>39</v>
      </c>
    </row>
    <row r="2083" customFormat="false" ht="15" hidden="false" customHeight="true" outlineLevel="0" collapsed="false">
      <c r="A2083" s="7" t="n">
        <v>92</v>
      </c>
      <c r="B2083" s="7" t="n">
        <v>29</v>
      </c>
      <c r="C2083" s="7" t="s">
        <v>24</v>
      </c>
      <c r="D2083" s="7" t="s">
        <v>40</v>
      </c>
      <c r="E2083" s="7" t="n">
        <v>7</v>
      </c>
      <c r="F2083" s="7" t="n">
        <v>27</v>
      </c>
      <c r="G2083" s="7" t="s">
        <v>26</v>
      </c>
      <c r="H2083" s="7" t="s">
        <v>27</v>
      </c>
      <c r="I2083" s="7" t="n">
        <v>36.3</v>
      </c>
      <c r="J2083" s="7" t="s">
        <v>28</v>
      </c>
      <c r="K2083" s="7" t="n">
        <v>275</v>
      </c>
      <c r="L2083" s="7" t="s">
        <v>37</v>
      </c>
      <c r="M2083" s="7" t="s">
        <v>39</v>
      </c>
    </row>
    <row r="2084" customFormat="false" ht="15" hidden="false" customHeight="true" outlineLevel="0" collapsed="false">
      <c r="A2084" s="7" t="n">
        <v>104</v>
      </c>
      <c r="B2084" s="7" t="n">
        <v>56</v>
      </c>
      <c r="C2084" s="7" t="s">
        <v>33</v>
      </c>
      <c r="D2084" s="7" t="s">
        <v>40</v>
      </c>
      <c r="E2084" s="7" t="n">
        <v>30</v>
      </c>
      <c r="F2084" s="7" t="n">
        <v>27</v>
      </c>
      <c r="G2084" s="7" t="s">
        <v>34</v>
      </c>
      <c r="H2084" s="7" t="s">
        <v>27</v>
      </c>
      <c r="I2084" s="7" t="n">
        <v>33.5</v>
      </c>
      <c r="J2084" s="7" t="s">
        <v>28</v>
      </c>
      <c r="K2084" s="7" t="n">
        <v>213.6</v>
      </c>
      <c r="L2084" s="7" t="s">
        <v>29</v>
      </c>
      <c r="M2084" s="7" t="s">
        <v>39</v>
      </c>
    </row>
    <row r="2085" customFormat="false" ht="15" hidden="false" customHeight="true" outlineLevel="0" collapsed="false">
      <c r="A2085" s="7" t="n">
        <v>181</v>
      </c>
      <c r="B2085" s="7" t="n">
        <v>41</v>
      </c>
      <c r="C2085" s="7" t="s">
        <v>33</v>
      </c>
      <c r="D2085" s="7" t="s">
        <v>40</v>
      </c>
      <c r="E2085" s="7" t="n">
        <v>28</v>
      </c>
      <c r="F2085" s="7" t="n">
        <v>7</v>
      </c>
      <c r="G2085" s="7" t="s">
        <v>26</v>
      </c>
      <c r="H2085" s="7" t="s">
        <v>27</v>
      </c>
      <c r="I2085" s="7" t="n">
        <v>26.7</v>
      </c>
      <c r="J2085" s="7" t="s">
        <v>28</v>
      </c>
      <c r="K2085" s="7" t="n">
        <v>298.5</v>
      </c>
      <c r="L2085" s="7" t="s">
        <v>29</v>
      </c>
      <c r="M2085" s="7" t="s">
        <v>39</v>
      </c>
    </row>
    <row r="2086" customFormat="false" ht="15" hidden="false" customHeight="true" outlineLevel="0" collapsed="false">
      <c r="A2086" s="7" t="n">
        <v>280</v>
      </c>
      <c r="B2086" s="7" t="n">
        <v>63</v>
      </c>
      <c r="C2086" s="7" t="s">
        <v>33</v>
      </c>
      <c r="D2086" s="7" t="s">
        <v>40</v>
      </c>
      <c r="E2086" s="7" t="n">
        <v>22</v>
      </c>
      <c r="F2086" s="7" t="n">
        <v>18</v>
      </c>
      <c r="G2086" s="7" t="s">
        <v>35</v>
      </c>
      <c r="H2086" s="7" t="s">
        <v>27</v>
      </c>
      <c r="I2086" s="7" t="n">
        <v>28.1</v>
      </c>
      <c r="J2086" s="7" t="s">
        <v>28</v>
      </c>
      <c r="K2086" s="7" t="n">
        <v>129</v>
      </c>
      <c r="L2086" s="7" t="s">
        <v>29</v>
      </c>
      <c r="M2086" s="7" t="s">
        <v>39</v>
      </c>
    </row>
    <row r="2087" customFormat="false" ht="15" hidden="false" customHeight="true" outlineLevel="0" collapsed="false">
      <c r="A2087" s="7" t="n">
        <v>290</v>
      </c>
      <c r="B2087" s="7" t="n">
        <v>25</v>
      </c>
      <c r="C2087" s="7" t="s">
        <v>33</v>
      </c>
      <c r="D2087" s="7" t="s">
        <v>40</v>
      </c>
      <c r="E2087" s="7" t="n">
        <v>24</v>
      </c>
      <c r="F2087" s="7" t="n">
        <v>19</v>
      </c>
      <c r="G2087" s="7" t="s">
        <v>35</v>
      </c>
      <c r="H2087" s="7" t="s">
        <v>27</v>
      </c>
      <c r="I2087" s="7" t="n">
        <v>17.8</v>
      </c>
      <c r="J2087" s="7" t="s">
        <v>28</v>
      </c>
      <c r="K2087" s="7" t="n">
        <v>185.6</v>
      </c>
      <c r="L2087" s="7" t="s">
        <v>37</v>
      </c>
      <c r="M2087" s="7" t="s">
        <v>39</v>
      </c>
    </row>
    <row r="2088" customFormat="false" ht="15" hidden="false" customHeight="true" outlineLevel="0" collapsed="false">
      <c r="A2088" s="7" t="n">
        <v>304</v>
      </c>
      <c r="B2088" s="7" t="n">
        <v>76</v>
      </c>
      <c r="C2088" s="7" t="s">
        <v>33</v>
      </c>
      <c r="D2088" s="7" t="s">
        <v>40</v>
      </c>
      <c r="E2088" s="7" t="n">
        <v>18</v>
      </c>
      <c r="F2088" s="7" t="n">
        <v>9</v>
      </c>
      <c r="G2088" s="7" t="s">
        <v>36</v>
      </c>
      <c r="H2088" s="7" t="s">
        <v>27</v>
      </c>
      <c r="I2088" s="7" t="n">
        <v>34.1</v>
      </c>
      <c r="J2088" s="7" t="s">
        <v>28</v>
      </c>
      <c r="K2088" s="7" t="n">
        <v>130.2</v>
      </c>
      <c r="L2088" s="7" t="s">
        <v>29</v>
      </c>
      <c r="M2088" s="7" t="s">
        <v>39</v>
      </c>
    </row>
    <row r="2089" customFormat="false" ht="15" hidden="false" customHeight="true" outlineLevel="0" collapsed="false">
      <c r="A2089" s="7" t="n">
        <v>371</v>
      </c>
      <c r="B2089" s="7" t="n">
        <v>66</v>
      </c>
      <c r="C2089" s="7" t="s">
        <v>33</v>
      </c>
      <c r="D2089" s="7" t="s">
        <v>40</v>
      </c>
      <c r="E2089" s="7" t="n">
        <v>8</v>
      </c>
      <c r="F2089" s="7" t="n">
        <v>26</v>
      </c>
      <c r="G2089" s="7" t="s">
        <v>31</v>
      </c>
      <c r="H2089" s="7" t="s">
        <v>32</v>
      </c>
      <c r="I2089" s="7" t="n">
        <v>17.3</v>
      </c>
      <c r="J2089" s="7" t="s">
        <v>28</v>
      </c>
      <c r="K2089" s="7" t="n">
        <v>247.1</v>
      </c>
      <c r="L2089" s="7" t="s">
        <v>29</v>
      </c>
      <c r="M2089" s="7" t="s">
        <v>39</v>
      </c>
    </row>
    <row r="2090" customFormat="false" ht="15" hidden="false" customHeight="true" outlineLevel="0" collapsed="false">
      <c r="A2090" s="7" t="n">
        <v>411</v>
      </c>
      <c r="B2090" s="7" t="n">
        <v>68</v>
      </c>
      <c r="C2090" s="7" t="s">
        <v>24</v>
      </c>
      <c r="D2090" s="7" t="s">
        <v>40</v>
      </c>
      <c r="E2090" s="7" t="n">
        <v>6</v>
      </c>
      <c r="F2090" s="7" t="n">
        <v>5</v>
      </c>
      <c r="G2090" s="7" t="s">
        <v>31</v>
      </c>
      <c r="H2090" s="7" t="s">
        <v>27</v>
      </c>
      <c r="I2090" s="7" t="n">
        <v>24.4</v>
      </c>
      <c r="J2090" s="7" t="s">
        <v>28</v>
      </c>
      <c r="K2090" s="7" t="n">
        <v>293.8</v>
      </c>
      <c r="L2090" s="7" t="s">
        <v>37</v>
      </c>
      <c r="M2090" s="7" t="s">
        <v>39</v>
      </c>
    </row>
    <row r="2091" customFormat="false" ht="15" hidden="false" customHeight="true" outlineLevel="0" collapsed="false">
      <c r="A2091" s="7" t="n">
        <v>470</v>
      </c>
      <c r="B2091" s="7" t="n">
        <v>88</v>
      </c>
      <c r="C2091" s="7" t="s">
        <v>33</v>
      </c>
      <c r="D2091" s="7" t="s">
        <v>40</v>
      </c>
      <c r="E2091" s="7" t="n">
        <v>19</v>
      </c>
      <c r="F2091" s="7" t="n">
        <v>16</v>
      </c>
      <c r="G2091" s="7" t="s">
        <v>26</v>
      </c>
      <c r="H2091" s="7" t="s">
        <v>27</v>
      </c>
      <c r="I2091" s="7" t="n">
        <v>18.6</v>
      </c>
      <c r="J2091" s="7" t="s">
        <v>28</v>
      </c>
      <c r="K2091" s="7" t="n">
        <v>205.3</v>
      </c>
      <c r="L2091" s="7" t="s">
        <v>29</v>
      </c>
      <c r="M2091" s="7" t="s">
        <v>39</v>
      </c>
    </row>
    <row r="2092" customFormat="false" ht="15" hidden="false" customHeight="true" outlineLevel="0" collapsed="false">
      <c r="A2092" s="7" t="n">
        <v>476</v>
      </c>
      <c r="B2092" s="7" t="n">
        <v>75</v>
      </c>
      <c r="C2092" s="7" t="s">
        <v>24</v>
      </c>
      <c r="D2092" s="7" t="s">
        <v>40</v>
      </c>
      <c r="E2092" s="7" t="n">
        <v>34</v>
      </c>
      <c r="F2092" s="7" t="n">
        <v>6</v>
      </c>
      <c r="G2092" s="7" t="s">
        <v>35</v>
      </c>
      <c r="H2092" s="7" t="s">
        <v>32</v>
      </c>
      <c r="I2092" s="7" t="n">
        <v>25</v>
      </c>
      <c r="J2092" s="7" t="s">
        <v>28</v>
      </c>
      <c r="K2092" s="7" t="n">
        <v>170.3</v>
      </c>
      <c r="L2092" s="7" t="s">
        <v>29</v>
      </c>
      <c r="M2092" s="7" t="s">
        <v>39</v>
      </c>
    </row>
    <row r="2093" customFormat="false" ht="15" hidden="false" customHeight="true" outlineLevel="0" collapsed="false">
      <c r="A2093" s="7" t="n">
        <v>493</v>
      </c>
      <c r="B2093" s="7" t="n">
        <v>64</v>
      </c>
      <c r="C2093" s="7" t="s">
        <v>33</v>
      </c>
      <c r="D2093" s="7" t="s">
        <v>40</v>
      </c>
      <c r="E2093" s="7" t="n">
        <v>24</v>
      </c>
      <c r="F2093" s="7" t="n">
        <v>28</v>
      </c>
      <c r="G2093" s="7" t="s">
        <v>31</v>
      </c>
      <c r="H2093" s="7" t="s">
        <v>27</v>
      </c>
      <c r="I2093" s="7" t="n">
        <v>23.4</v>
      </c>
      <c r="J2093" s="7" t="s">
        <v>28</v>
      </c>
      <c r="K2093" s="7" t="n">
        <v>160.9</v>
      </c>
      <c r="L2093" s="7" t="s">
        <v>29</v>
      </c>
      <c r="M2093" s="7" t="s">
        <v>39</v>
      </c>
    </row>
    <row r="2094" customFormat="false" ht="15" hidden="false" customHeight="true" outlineLevel="0" collapsed="false">
      <c r="A2094" s="7" t="n">
        <v>591</v>
      </c>
      <c r="B2094" s="7" t="n">
        <v>44</v>
      </c>
      <c r="C2094" s="7" t="s">
        <v>33</v>
      </c>
      <c r="D2094" s="7" t="s">
        <v>40</v>
      </c>
      <c r="E2094" s="7" t="n">
        <v>28</v>
      </c>
      <c r="F2094" s="7" t="n">
        <v>22</v>
      </c>
      <c r="G2094" s="7" t="s">
        <v>31</v>
      </c>
      <c r="H2094" s="7" t="s">
        <v>27</v>
      </c>
      <c r="I2094" s="7" t="n">
        <v>28.6</v>
      </c>
      <c r="J2094" s="7" t="s">
        <v>28</v>
      </c>
      <c r="K2094" s="7" t="n">
        <v>284.7</v>
      </c>
      <c r="L2094" s="7" t="s">
        <v>29</v>
      </c>
      <c r="M2094" s="7" t="s">
        <v>39</v>
      </c>
    </row>
    <row r="2095" customFormat="false" ht="15" hidden="false" customHeight="true" outlineLevel="0" collapsed="false">
      <c r="A2095" s="7" t="n">
        <v>639</v>
      </c>
      <c r="B2095" s="7" t="n">
        <v>30</v>
      </c>
      <c r="C2095" s="7" t="s">
        <v>33</v>
      </c>
      <c r="D2095" s="7" t="s">
        <v>40</v>
      </c>
      <c r="E2095" s="7" t="n">
        <v>21</v>
      </c>
      <c r="F2095" s="7" t="n">
        <v>6</v>
      </c>
      <c r="G2095" s="7" t="s">
        <v>26</v>
      </c>
      <c r="H2095" s="7" t="s">
        <v>27</v>
      </c>
      <c r="I2095" s="7" t="n">
        <v>37</v>
      </c>
      <c r="J2095" s="7" t="s">
        <v>28</v>
      </c>
      <c r="K2095" s="7" t="n">
        <v>210.6</v>
      </c>
      <c r="L2095" s="7" t="s">
        <v>37</v>
      </c>
      <c r="M2095" s="7" t="s">
        <v>39</v>
      </c>
    </row>
    <row r="2096" customFormat="false" ht="15" hidden="false" customHeight="true" outlineLevel="0" collapsed="false">
      <c r="A2096" s="7" t="n">
        <v>660</v>
      </c>
      <c r="B2096" s="7" t="n">
        <v>33</v>
      </c>
      <c r="C2096" s="7" t="s">
        <v>24</v>
      </c>
      <c r="D2096" s="7" t="s">
        <v>40</v>
      </c>
      <c r="E2096" s="7" t="n">
        <v>25</v>
      </c>
      <c r="F2096" s="7" t="n">
        <v>18</v>
      </c>
      <c r="G2096" s="7" t="s">
        <v>31</v>
      </c>
      <c r="H2096" s="7" t="s">
        <v>27</v>
      </c>
      <c r="I2096" s="7" t="n">
        <v>40.1</v>
      </c>
      <c r="J2096" s="7" t="s">
        <v>28</v>
      </c>
      <c r="K2096" s="7" t="n">
        <v>239.2</v>
      </c>
      <c r="L2096" s="7" t="s">
        <v>29</v>
      </c>
      <c r="M2096" s="7" t="s">
        <v>39</v>
      </c>
    </row>
    <row r="2097" customFormat="false" ht="15" hidden="false" customHeight="true" outlineLevel="0" collapsed="false">
      <c r="A2097" s="7" t="n">
        <v>684</v>
      </c>
      <c r="B2097" s="7" t="n">
        <v>86</v>
      </c>
      <c r="C2097" s="7" t="s">
        <v>24</v>
      </c>
      <c r="D2097" s="7" t="s">
        <v>40</v>
      </c>
      <c r="E2097" s="7" t="n">
        <v>17</v>
      </c>
      <c r="F2097" s="7" t="n">
        <v>22</v>
      </c>
      <c r="G2097" s="7" t="s">
        <v>34</v>
      </c>
      <c r="H2097" s="7" t="s">
        <v>32</v>
      </c>
      <c r="I2097" s="7" t="n">
        <v>37.2</v>
      </c>
      <c r="J2097" s="7" t="s">
        <v>28</v>
      </c>
      <c r="K2097" s="7" t="n">
        <v>129.8</v>
      </c>
      <c r="L2097" s="7" t="s">
        <v>29</v>
      </c>
      <c r="M2097" s="7" t="s">
        <v>39</v>
      </c>
    </row>
    <row r="2098" customFormat="false" ht="15" hidden="false" customHeight="true" outlineLevel="0" collapsed="false">
      <c r="A2098" s="7" t="n">
        <v>740</v>
      </c>
      <c r="B2098" s="7" t="n">
        <v>60</v>
      </c>
      <c r="C2098" s="7" t="s">
        <v>33</v>
      </c>
      <c r="D2098" s="7" t="s">
        <v>40</v>
      </c>
      <c r="E2098" s="7" t="n">
        <v>5</v>
      </c>
      <c r="F2098" s="7" t="n">
        <v>16</v>
      </c>
      <c r="G2098" s="7" t="s">
        <v>36</v>
      </c>
      <c r="H2098" s="7" t="s">
        <v>27</v>
      </c>
      <c r="I2098" s="7" t="n">
        <v>26.3</v>
      </c>
      <c r="J2098" s="7" t="s">
        <v>28</v>
      </c>
      <c r="K2098" s="7" t="n">
        <v>224.2</v>
      </c>
      <c r="L2098" s="7" t="s">
        <v>37</v>
      </c>
      <c r="M2098" s="7" t="s">
        <v>39</v>
      </c>
    </row>
    <row r="2099" customFormat="false" ht="15" hidden="false" customHeight="true" outlineLevel="0" collapsed="false">
      <c r="A2099" s="7" t="n">
        <v>820</v>
      </c>
      <c r="B2099" s="7" t="n">
        <v>51</v>
      </c>
      <c r="C2099" s="7" t="s">
        <v>24</v>
      </c>
      <c r="D2099" s="7" t="s">
        <v>40</v>
      </c>
      <c r="E2099" s="7" t="n">
        <v>39</v>
      </c>
      <c r="F2099" s="7" t="n">
        <v>14</v>
      </c>
      <c r="G2099" s="7" t="s">
        <v>35</v>
      </c>
      <c r="H2099" s="7" t="s">
        <v>32</v>
      </c>
      <c r="I2099" s="7" t="n">
        <v>31.3</v>
      </c>
      <c r="J2099" s="7" t="s">
        <v>28</v>
      </c>
      <c r="K2099" s="7" t="n">
        <v>208.5</v>
      </c>
      <c r="L2099" s="7" t="s">
        <v>29</v>
      </c>
      <c r="M2099" s="7" t="s">
        <v>39</v>
      </c>
    </row>
    <row r="2100" customFormat="false" ht="15" hidden="false" customHeight="true" outlineLevel="0" collapsed="false">
      <c r="A2100" s="7" t="n">
        <v>960</v>
      </c>
      <c r="B2100" s="7" t="n">
        <v>35</v>
      </c>
      <c r="C2100" s="7" t="s">
        <v>24</v>
      </c>
      <c r="D2100" s="7" t="s">
        <v>40</v>
      </c>
      <c r="E2100" s="7" t="n">
        <v>5</v>
      </c>
      <c r="F2100" s="7" t="n">
        <v>7</v>
      </c>
      <c r="G2100" s="7" t="s">
        <v>36</v>
      </c>
      <c r="H2100" s="7" t="s">
        <v>27</v>
      </c>
      <c r="I2100" s="7" t="n">
        <v>33.1</v>
      </c>
      <c r="J2100" s="7" t="s">
        <v>28</v>
      </c>
      <c r="K2100" s="7" t="n">
        <v>211.3</v>
      </c>
      <c r="L2100" s="7" t="s">
        <v>29</v>
      </c>
      <c r="M2100" s="7" t="s">
        <v>39</v>
      </c>
    </row>
    <row r="2101" customFormat="false" ht="15" hidden="false" customHeight="true" outlineLevel="0" collapsed="false">
      <c r="A2101" s="7" t="n">
        <v>967</v>
      </c>
      <c r="B2101" s="7" t="n">
        <v>38</v>
      </c>
      <c r="C2101" s="7" t="s">
        <v>24</v>
      </c>
      <c r="D2101" s="7" t="s">
        <v>40</v>
      </c>
      <c r="E2101" s="7" t="n">
        <v>28</v>
      </c>
      <c r="F2101" s="7" t="n">
        <v>11</v>
      </c>
      <c r="G2101" s="7" t="s">
        <v>35</v>
      </c>
      <c r="H2101" s="7" t="s">
        <v>27</v>
      </c>
      <c r="I2101" s="7" t="n">
        <v>35.5</v>
      </c>
      <c r="J2101" s="7" t="s">
        <v>28</v>
      </c>
      <c r="K2101" s="7" t="n">
        <v>179.5</v>
      </c>
      <c r="L2101" s="7" t="s">
        <v>29</v>
      </c>
      <c r="M2101" s="7" t="s">
        <v>39</v>
      </c>
    </row>
    <row r="2102" customFormat="false" ht="15" hidden="false" customHeight="true" outlineLevel="0" collapsed="false">
      <c r="A2102" s="7" t="n">
        <v>970</v>
      </c>
      <c r="B2102" s="7" t="n">
        <v>54</v>
      </c>
      <c r="C2102" s="7" t="s">
        <v>33</v>
      </c>
      <c r="D2102" s="7" t="s">
        <v>40</v>
      </c>
      <c r="E2102" s="7" t="n">
        <v>33</v>
      </c>
      <c r="F2102" s="7" t="n">
        <v>25</v>
      </c>
      <c r="G2102" s="7" t="s">
        <v>34</v>
      </c>
      <c r="H2102" s="7" t="s">
        <v>27</v>
      </c>
      <c r="I2102" s="7" t="n">
        <v>23.2</v>
      </c>
      <c r="J2102" s="7" t="s">
        <v>28</v>
      </c>
      <c r="K2102" s="7" t="n">
        <v>213.5</v>
      </c>
      <c r="L2102" s="7" t="s">
        <v>29</v>
      </c>
      <c r="M2102" s="7" t="s">
        <v>39</v>
      </c>
    </row>
    <row r="2103" customFormat="false" ht="15" hidden="false" customHeight="true" outlineLevel="0" collapsed="false">
      <c r="A2103" s="7" t="n">
        <v>1005</v>
      </c>
      <c r="B2103" s="7" t="n">
        <v>89</v>
      </c>
      <c r="C2103" s="7" t="s">
        <v>24</v>
      </c>
      <c r="D2103" s="7" t="s">
        <v>40</v>
      </c>
      <c r="E2103" s="7" t="n">
        <v>8</v>
      </c>
      <c r="F2103" s="7" t="n">
        <v>21</v>
      </c>
      <c r="G2103" s="7" t="s">
        <v>35</v>
      </c>
      <c r="H2103" s="7" t="s">
        <v>27</v>
      </c>
      <c r="I2103" s="7" t="n">
        <v>32.6</v>
      </c>
      <c r="J2103" s="7" t="s">
        <v>28</v>
      </c>
      <c r="K2103" s="7" t="n">
        <v>220.8</v>
      </c>
      <c r="L2103" s="7" t="s">
        <v>29</v>
      </c>
      <c r="M2103" s="7" t="s">
        <v>39</v>
      </c>
    </row>
    <row r="2104" customFormat="false" ht="15" hidden="false" customHeight="true" outlineLevel="0" collapsed="false">
      <c r="A2104" s="7" t="n">
        <v>1081</v>
      </c>
      <c r="B2104" s="7" t="n">
        <v>55</v>
      </c>
      <c r="C2104" s="7" t="s">
        <v>33</v>
      </c>
      <c r="D2104" s="7" t="s">
        <v>40</v>
      </c>
      <c r="E2104" s="7" t="n">
        <v>38</v>
      </c>
      <c r="F2104" s="7" t="n">
        <v>16</v>
      </c>
      <c r="G2104" s="7" t="s">
        <v>36</v>
      </c>
      <c r="H2104" s="7" t="s">
        <v>32</v>
      </c>
      <c r="I2104" s="7" t="n">
        <v>25</v>
      </c>
      <c r="J2104" s="7" t="s">
        <v>28</v>
      </c>
      <c r="K2104" s="7" t="n">
        <v>166.1</v>
      </c>
      <c r="L2104" s="7" t="s">
        <v>37</v>
      </c>
      <c r="M2104" s="7" t="s">
        <v>39</v>
      </c>
    </row>
    <row r="2105" customFormat="false" ht="15" hidden="false" customHeight="true" outlineLevel="0" collapsed="false">
      <c r="A2105" s="7" t="n">
        <v>1292</v>
      </c>
      <c r="B2105" s="7" t="n">
        <v>77</v>
      </c>
      <c r="C2105" s="7" t="s">
        <v>33</v>
      </c>
      <c r="D2105" s="7" t="s">
        <v>40</v>
      </c>
      <c r="E2105" s="7" t="n">
        <v>30</v>
      </c>
      <c r="F2105" s="7" t="n">
        <v>7</v>
      </c>
      <c r="G2105" s="7" t="s">
        <v>35</v>
      </c>
      <c r="H2105" s="7" t="s">
        <v>27</v>
      </c>
      <c r="I2105" s="7" t="n">
        <v>40.5</v>
      </c>
      <c r="J2105" s="7" t="s">
        <v>28</v>
      </c>
      <c r="K2105" s="7" t="n">
        <v>236.2</v>
      </c>
      <c r="L2105" s="7" t="s">
        <v>29</v>
      </c>
      <c r="M2105" s="7" t="s">
        <v>39</v>
      </c>
    </row>
    <row r="2106" customFormat="false" ht="15" hidden="false" customHeight="true" outlineLevel="0" collapsed="false">
      <c r="A2106" s="7" t="n">
        <v>1409</v>
      </c>
      <c r="B2106" s="7" t="n">
        <v>69</v>
      </c>
      <c r="C2106" s="7" t="s">
        <v>24</v>
      </c>
      <c r="D2106" s="7" t="s">
        <v>40</v>
      </c>
      <c r="E2106" s="7" t="n">
        <v>21</v>
      </c>
      <c r="F2106" s="7" t="n">
        <v>19</v>
      </c>
      <c r="G2106" s="7" t="s">
        <v>34</v>
      </c>
      <c r="H2106" s="7" t="s">
        <v>27</v>
      </c>
      <c r="I2106" s="7" t="n">
        <v>25.1</v>
      </c>
      <c r="J2106" s="7" t="s">
        <v>28</v>
      </c>
      <c r="K2106" s="7" t="n">
        <v>153.7</v>
      </c>
      <c r="L2106" s="7" t="s">
        <v>29</v>
      </c>
      <c r="M2106" s="7" t="s">
        <v>39</v>
      </c>
    </row>
    <row r="2107" customFormat="false" ht="15" hidden="false" customHeight="true" outlineLevel="0" collapsed="false">
      <c r="A2107" s="7" t="n">
        <v>1448</v>
      </c>
      <c r="B2107" s="7" t="n">
        <v>33</v>
      </c>
      <c r="C2107" s="7" t="s">
        <v>33</v>
      </c>
      <c r="D2107" s="7" t="s">
        <v>40</v>
      </c>
      <c r="E2107" s="7" t="n">
        <v>11</v>
      </c>
      <c r="F2107" s="7" t="n">
        <v>22</v>
      </c>
      <c r="G2107" s="7" t="s">
        <v>26</v>
      </c>
      <c r="H2107" s="7" t="s">
        <v>27</v>
      </c>
      <c r="I2107" s="7" t="n">
        <v>39.6</v>
      </c>
      <c r="J2107" s="7" t="s">
        <v>28</v>
      </c>
      <c r="K2107" s="7" t="n">
        <v>158.7</v>
      </c>
      <c r="L2107" s="7" t="s">
        <v>29</v>
      </c>
      <c r="M2107" s="7" t="s">
        <v>39</v>
      </c>
    </row>
    <row r="2108" customFormat="false" ht="15" hidden="false" customHeight="true" outlineLevel="0" collapsed="false">
      <c r="A2108" s="7" t="n">
        <v>1492</v>
      </c>
      <c r="B2108" s="7" t="n">
        <v>18</v>
      </c>
      <c r="C2108" s="7" t="s">
        <v>33</v>
      </c>
      <c r="D2108" s="7" t="s">
        <v>40</v>
      </c>
      <c r="E2108" s="7" t="n">
        <v>16</v>
      </c>
      <c r="F2108" s="7" t="n">
        <v>26</v>
      </c>
      <c r="G2108" s="7" t="s">
        <v>36</v>
      </c>
      <c r="H2108" s="7" t="s">
        <v>27</v>
      </c>
      <c r="I2108" s="7" t="n">
        <v>30.6</v>
      </c>
      <c r="J2108" s="7" t="s">
        <v>28</v>
      </c>
      <c r="K2108" s="7" t="n">
        <v>219.2</v>
      </c>
      <c r="L2108" s="7" t="s">
        <v>37</v>
      </c>
      <c r="M2108" s="7" t="s">
        <v>39</v>
      </c>
    </row>
    <row r="2109" customFormat="false" ht="15" hidden="false" customHeight="true" outlineLevel="0" collapsed="false">
      <c r="A2109" s="7" t="n">
        <v>1554</v>
      </c>
      <c r="B2109" s="7" t="n">
        <v>70</v>
      </c>
      <c r="C2109" s="7" t="s">
        <v>24</v>
      </c>
      <c r="D2109" s="7" t="s">
        <v>40</v>
      </c>
      <c r="E2109" s="7" t="n">
        <v>21</v>
      </c>
      <c r="F2109" s="7" t="n">
        <v>8</v>
      </c>
      <c r="G2109" s="7" t="s">
        <v>36</v>
      </c>
      <c r="H2109" s="7" t="s">
        <v>32</v>
      </c>
      <c r="I2109" s="7" t="n">
        <v>30.2</v>
      </c>
      <c r="J2109" s="7" t="s">
        <v>28</v>
      </c>
      <c r="K2109" s="7" t="n">
        <v>135.7</v>
      </c>
      <c r="L2109" s="7" t="s">
        <v>29</v>
      </c>
      <c r="M2109" s="7" t="s">
        <v>39</v>
      </c>
    </row>
    <row r="2110" customFormat="false" ht="15" hidden="false" customHeight="true" outlineLevel="0" collapsed="false">
      <c r="A2110" s="7" t="n">
        <v>1558</v>
      </c>
      <c r="B2110" s="7" t="n">
        <v>27</v>
      </c>
      <c r="C2110" s="7" t="s">
        <v>24</v>
      </c>
      <c r="D2110" s="7" t="s">
        <v>40</v>
      </c>
      <c r="E2110" s="7" t="n">
        <v>32</v>
      </c>
      <c r="F2110" s="7" t="n">
        <v>18</v>
      </c>
      <c r="G2110" s="7" t="s">
        <v>35</v>
      </c>
      <c r="H2110" s="7" t="s">
        <v>27</v>
      </c>
      <c r="I2110" s="7" t="n">
        <v>20.9</v>
      </c>
      <c r="J2110" s="7" t="s">
        <v>28</v>
      </c>
      <c r="K2110" s="7" t="n">
        <v>277.3</v>
      </c>
      <c r="L2110" s="7" t="s">
        <v>29</v>
      </c>
      <c r="M2110" s="7" t="s">
        <v>39</v>
      </c>
    </row>
    <row r="2111" customFormat="false" ht="15" hidden="false" customHeight="true" outlineLevel="0" collapsed="false">
      <c r="A2111" s="7" t="n">
        <v>1563</v>
      </c>
      <c r="B2111" s="7" t="n">
        <v>66</v>
      </c>
      <c r="C2111" s="7" t="s">
        <v>24</v>
      </c>
      <c r="D2111" s="7" t="s">
        <v>40</v>
      </c>
      <c r="E2111" s="7" t="n">
        <v>33</v>
      </c>
      <c r="F2111" s="7" t="n">
        <v>10</v>
      </c>
      <c r="G2111" s="7" t="s">
        <v>35</v>
      </c>
      <c r="H2111" s="7" t="s">
        <v>27</v>
      </c>
      <c r="I2111" s="7" t="n">
        <v>28.6</v>
      </c>
      <c r="J2111" s="7" t="s">
        <v>28</v>
      </c>
      <c r="K2111" s="7" t="n">
        <v>215.7</v>
      </c>
      <c r="L2111" s="7" t="s">
        <v>37</v>
      </c>
      <c r="M2111" s="7" t="s">
        <v>39</v>
      </c>
    </row>
    <row r="2112" customFormat="false" ht="15" hidden="false" customHeight="true" outlineLevel="0" collapsed="false">
      <c r="A2112" s="7" t="n">
        <v>1576</v>
      </c>
      <c r="B2112" s="7" t="n">
        <v>37</v>
      </c>
      <c r="C2112" s="7" t="s">
        <v>33</v>
      </c>
      <c r="D2112" s="7" t="s">
        <v>40</v>
      </c>
      <c r="E2112" s="7" t="n">
        <v>25</v>
      </c>
      <c r="F2112" s="7" t="n">
        <v>13</v>
      </c>
      <c r="G2112" s="7" t="s">
        <v>36</v>
      </c>
      <c r="H2112" s="7" t="s">
        <v>27</v>
      </c>
      <c r="I2112" s="7" t="n">
        <v>19.2</v>
      </c>
      <c r="J2112" s="7" t="s">
        <v>28</v>
      </c>
      <c r="K2112" s="7" t="n">
        <v>231.2</v>
      </c>
      <c r="L2112" s="7" t="s">
        <v>29</v>
      </c>
      <c r="M2112" s="7" t="s">
        <v>39</v>
      </c>
    </row>
    <row r="2113" customFormat="false" ht="15" hidden="false" customHeight="true" outlineLevel="0" collapsed="false">
      <c r="A2113" s="7" t="n">
        <v>1584</v>
      </c>
      <c r="B2113" s="7" t="n">
        <v>86</v>
      </c>
      <c r="C2113" s="7" t="s">
        <v>33</v>
      </c>
      <c r="D2113" s="7" t="s">
        <v>40</v>
      </c>
      <c r="E2113" s="7" t="n">
        <v>28</v>
      </c>
      <c r="F2113" s="7" t="n">
        <v>8</v>
      </c>
      <c r="G2113" s="7" t="s">
        <v>26</v>
      </c>
      <c r="H2113" s="7" t="s">
        <v>27</v>
      </c>
      <c r="I2113" s="7" t="n">
        <v>38.6</v>
      </c>
      <c r="J2113" s="7" t="s">
        <v>28</v>
      </c>
      <c r="K2113" s="7" t="n">
        <v>164.3</v>
      </c>
      <c r="L2113" s="7" t="s">
        <v>29</v>
      </c>
      <c r="M2113" s="7" t="s">
        <v>39</v>
      </c>
    </row>
    <row r="2114" customFormat="false" ht="15" hidden="false" customHeight="true" outlineLevel="0" collapsed="false">
      <c r="A2114" s="7" t="n">
        <v>1605</v>
      </c>
      <c r="B2114" s="7" t="n">
        <v>65</v>
      </c>
      <c r="C2114" s="7" t="s">
        <v>33</v>
      </c>
      <c r="D2114" s="7" t="s">
        <v>40</v>
      </c>
      <c r="E2114" s="7" t="n">
        <v>28</v>
      </c>
      <c r="F2114" s="7" t="n">
        <v>8</v>
      </c>
      <c r="G2114" s="7" t="s">
        <v>36</v>
      </c>
      <c r="H2114" s="7" t="s">
        <v>27</v>
      </c>
      <c r="I2114" s="7" t="n">
        <v>37.2</v>
      </c>
      <c r="J2114" s="7" t="s">
        <v>28</v>
      </c>
      <c r="K2114" s="7" t="n">
        <v>190.3</v>
      </c>
      <c r="L2114" s="7" t="s">
        <v>37</v>
      </c>
      <c r="M2114" s="7" t="s">
        <v>39</v>
      </c>
    </row>
    <row r="2115" customFormat="false" ht="15" hidden="false" customHeight="true" outlineLevel="0" collapsed="false">
      <c r="A2115" s="7" t="n">
        <v>1619</v>
      </c>
      <c r="B2115" s="7" t="n">
        <v>38</v>
      </c>
      <c r="C2115" s="7" t="s">
        <v>33</v>
      </c>
      <c r="D2115" s="7" t="s">
        <v>40</v>
      </c>
      <c r="E2115" s="7" t="n">
        <v>30</v>
      </c>
      <c r="F2115" s="7" t="n">
        <v>12</v>
      </c>
      <c r="G2115" s="7" t="s">
        <v>34</v>
      </c>
      <c r="H2115" s="7" t="s">
        <v>27</v>
      </c>
      <c r="I2115" s="7" t="n">
        <v>37.6</v>
      </c>
      <c r="J2115" s="7" t="s">
        <v>28</v>
      </c>
      <c r="K2115" s="7" t="n">
        <v>247.6</v>
      </c>
      <c r="L2115" s="7" t="s">
        <v>29</v>
      </c>
      <c r="M2115" s="7" t="s">
        <v>39</v>
      </c>
    </row>
    <row r="2116" customFormat="false" ht="15" hidden="false" customHeight="true" outlineLevel="0" collapsed="false">
      <c r="A2116" s="7" t="n">
        <v>1623</v>
      </c>
      <c r="B2116" s="7" t="n">
        <v>25</v>
      </c>
      <c r="C2116" s="7" t="s">
        <v>24</v>
      </c>
      <c r="D2116" s="7" t="s">
        <v>40</v>
      </c>
      <c r="E2116" s="7" t="n">
        <v>12</v>
      </c>
      <c r="F2116" s="7" t="n">
        <v>15</v>
      </c>
      <c r="G2116" s="7" t="s">
        <v>36</v>
      </c>
      <c r="H2116" s="7" t="s">
        <v>27</v>
      </c>
      <c r="I2116" s="7" t="n">
        <v>20.3</v>
      </c>
      <c r="J2116" s="7" t="s">
        <v>28</v>
      </c>
      <c r="K2116" s="7" t="n">
        <v>296.5</v>
      </c>
      <c r="L2116" s="7" t="s">
        <v>29</v>
      </c>
      <c r="M2116" s="7" t="s">
        <v>39</v>
      </c>
    </row>
    <row r="2117" customFormat="false" ht="15" hidden="false" customHeight="true" outlineLevel="0" collapsed="false">
      <c r="A2117" s="7" t="n">
        <v>1715</v>
      </c>
      <c r="B2117" s="7" t="n">
        <v>28</v>
      </c>
      <c r="C2117" s="7" t="s">
        <v>24</v>
      </c>
      <c r="D2117" s="7" t="s">
        <v>40</v>
      </c>
      <c r="E2117" s="7" t="n">
        <v>11</v>
      </c>
      <c r="F2117" s="7" t="n">
        <v>15</v>
      </c>
      <c r="G2117" s="7" t="s">
        <v>31</v>
      </c>
      <c r="H2117" s="7" t="s">
        <v>32</v>
      </c>
      <c r="I2117" s="7" t="n">
        <v>36.3</v>
      </c>
      <c r="J2117" s="7" t="s">
        <v>28</v>
      </c>
      <c r="K2117" s="7" t="n">
        <v>230.9</v>
      </c>
      <c r="L2117" s="7" t="s">
        <v>37</v>
      </c>
      <c r="M2117" s="7" t="s">
        <v>39</v>
      </c>
    </row>
    <row r="2118" customFormat="false" ht="15" hidden="false" customHeight="true" outlineLevel="0" collapsed="false">
      <c r="A2118" s="7" t="n">
        <v>1718</v>
      </c>
      <c r="B2118" s="7" t="n">
        <v>71</v>
      </c>
      <c r="C2118" s="7" t="s">
        <v>33</v>
      </c>
      <c r="D2118" s="7" t="s">
        <v>40</v>
      </c>
      <c r="E2118" s="7" t="n">
        <v>12</v>
      </c>
      <c r="F2118" s="7" t="n">
        <v>17</v>
      </c>
      <c r="G2118" s="7" t="s">
        <v>31</v>
      </c>
      <c r="H2118" s="7" t="s">
        <v>32</v>
      </c>
      <c r="I2118" s="7" t="n">
        <v>24.4</v>
      </c>
      <c r="J2118" s="7" t="s">
        <v>28</v>
      </c>
      <c r="K2118" s="7" t="n">
        <v>234.1</v>
      </c>
      <c r="L2118" s="7" t="s">
        <v>29</v>
      </c>
      <c r="M2118" s="7" t="s">
        <v>39</v>
      </c>
    </row>
    <row r="2119" customFormat="false" ht="15" hidden="false" customHeight="true" outlineLevel="0" collapsed="false">
      <c r="A2119" s="7" t="n">
        <v>1728</v>
      </c>
      <c r="B2119" s="7" t="n">
        <v>25</v>
      </c>
      <c r="C2119" s="7" t="s">
        <v>24</v>
      </c>
      <c r="D2119" s="7" t="s">
        <v>40</v>
      </c>
      <c r="E2119" s="7" t="n">
        <v>7</v>
      </c>
      <c r="F2119" s="7" t="n">
        <v>13</v>
      </c>
      <c r="G2119" s="7" t="s">
        <v>35</v>
      </c>
      <c r="H2119" s="7" t="s">
        <v>32</v>
      </c>
      <c r="I2119" s="7" t="n">
        <v>36</v>
      </c>
      <c r="J2119" s="7" t="s">
        <v>28</v>
      </c>
      <c r="K2119" s="7" t="n">
        <v>255.3</v>
      </c>
      <c r="L2119" s="7" t="s">
        <v>29</v>
      </c>
      <c r="M2119" s="7" t="s">
        <v>39</v>
      </c>
    </row>
    <row r="2120" customFormat="false" ht="15" hidden="false" customHeight="true" outlineLevel="0" collapsed="false">
      <c r="A2120" s="7" t="n">
        <v>1750</v>
      </c>
      <c r="B2120" s="7" t="n">
        <v>52</v>
      </c>
      <c r="C2120" s="7" t="s">
        <v>24</v>
      </c>
      <c r="D2120" s="7" t="s">
        <v>40</v>
      </c>
      <c r="E2120" s="7" t="n">
        <v>15</v>
      </c>
      <c r="F2120" s="7" t="n">
        <v>29</v>
      </c>
      <c r="G2120" s="7" t="s">
        <v>31</v>
      </c>
      <c r="H2120" s="7" t="s">
        <v>27</v>
      </c>
      <c r="I2120" s="7" t="n">
        <v>39.2</v>
      </c>
      <c r="J2120" s="7" t="s">
        <v>28</v>
      </c>
      <c r="K2120" s="7" t="n">
        <v>146.2</v>
      </c>
      <c r="L2120" s="7" t="s">
        <v>29</v>
      </c>
      <c r="M2120" s="7" t="s">
        <v>39</v>
      </c>
    </row>
    <row r="2121" customFormat="false" ht="15" hidden="false" customHeight="true" outlineLevel="0" collapsed="false">
      <c r="A2121" s="7" t="n">
        <v>1799</v>
      </c>
      <c r="B2121" s="7" t="n">
        <v>83</v>
      </c>
      <c r="C2121" s="7" t="s">
        <v>24</v>
      </c>
      <c r="D2121" s="7" t="s">
        <v>40</v>
      </c>
      <c r="E2121" s="7" t="n">
        <v>37</v>
      </c>
      <c r="F2121" s="7" t="n">
        <v>8</v>
      </c>
      <c r="G2121" s="7" t="s">
        <v>31</v>
      </c>
      <c r="H2121" s="7" t="s">
        <v>32</v>
      </c>
      <c r="I2121" s="7" t="n">
        <v>35.9</v>
      </c>
      <c r="J2121" s="7" t="s">
        <v>28</v>
      </c>
      <c r="K2121" s="7" t="n">
        <v>288.9</v>
      </c>
      <c r="L2121" s="7" t="s">
        <v>37</v>
      </c>
      <c r="M2121" s="7" t="s">
        <v>39</v>
      </c>
    </row>
    <row r="2122" customFormat="false" ht="15" hidden="false" customHeight="true" outlineLevel="0" collapsed="false">
      <c r="A2122" s="7" t="n">
        <v>1818</v>
      </c>
      <c r="B2122" s="7" t="n">
        <v>62</v>
      </c>
      <c r="C2122" s="7" t="s">
        <v>33</v>
      </c>
      <c r="D2122" s="7" t="s">
        <v>40</v>
      </c>
      <c r="E2122" s="7" t="n">
        <v>25</v>
      </c>
      <c r="F2122" s="7" t="n">
        <v>17</v>
      </c>
      <c r="G2122" s="7" t="s">
        <v>34</v>
      </c>
      <c r="H2122" s="7" t="s">
        <v>32</v>
      </c>
      <c r="I2122" s="7" t="n">
        <v>25.2</v>
      </c>
      <c r="J2122" s="7" t="s">
        <v>28</v>
      </c>
      <c r="K2122" s="7" t="n">
        <v>238.8</v>
      </c>
      <c r="L2122" s="7" t="s">
        <v>29</v>
      </c>
      <c r="M2122" s="7" t="s">
        <v>39</v>
      </c>
    </row>
    <row r="2123" customFormat="false" ht="15" hidden="false" customHeight="true" outlineLevel="0" collapsed="false">
      <c r="A2123" s="7" t="n">
        <v>1829</v>
      </c>
      <c r="B2123" s="7" t="n">
        <v>19</v>
      </c>
      <c r="C2123" s="7" t="s">
        <v>33</v>
      </c>
      <c r="D2123" s="7" t="s">
        <v>40</v>
      </c>
      <c r="E2123" s="7" t="n">
        <v>21</v>
      </c>
      <c r="F2123" s="7" t="n">
        <v>15</v>
      </c>
      <c r="G2123" s="7" t="s">
        <v>36</v>
      </c>
      <c r="H2123" s="7" t="s">
        <v>32</v>
      </c>
      <c r="I2123" s="7" t="n">
        <v>29</v>
      </c>
      <c r="J2123" s="7" t="s">
        <v>28</v>
      </c>
      <c r="K2123" s="7" t="n">
        <v>249.5</v>
      </c>
      <c r="L2123" s="7" t="s">
        <v>29</v>
      </c>
      <c r="M2123" s="7" t="s">
        <v>39</v>
      </c>
    </row>
    <row r="2124" customFormat="false" ht="15" hidden="false" customHeight="true" outlineLevel="0" collapsed="false">
      <c r="A2124" s="7" t="n">
        <v>1844</v>
      </c>
      <c r="B2124" s="7" t="n">
        <v>61</v>
      </c>
      <c r="C2124" s="7" t="s">
        <v>33</v>
      </c>
      <c r="D2124" s="7" t="s">
        <v>40</v>
      </c>
      <c r="E2124" s="7" t="n">
        <v>10</v>
      </c>
      <c r="F2124" s="7" t="n">
        <v>7</v>
      </c>
      <c r="G2124" s="7" t="s">
        <v>35</v>
      </c>
      <c r="H2124" s="7" t="s">
        <v>27</v>
      </c>
      <c r="I2124" s="7" t="n">
        <v>33.2</v>
      </c>
      <c r="J2124" s="7" t="s">
        <v>28</v>
      </c>
      <c r="K2124" s="7" t="n">
        <v>187</v>
      </c>
      <c r="L2124" s="7" t="s">
        <v>37</v>
      </c>
      <c r="M2124" s="7" t="s">
        <v>39</v>
      </c>
    </row>
    <row r="2125" customFormat="false" ht="15" hidden="false" customHeight="true" outlineLevel="0" collapsed="false">
      <c r="A2125" s="7" t="n">
        <v>1849</v>
      </c>
      <c r="B2125" s="7" t="n">
        <v>40</v>
      </c>
      <c r="C2125" s="7" t="s">
        <v>24</v>
      </c>
      <c r="D2125" s="7" t="s">
        <v>40</v>
      </c>
      <c r="E2125" s="7" t="n">
        <v>25</v>
      </c>
      <c r="F2125" s="7" t="n">
        <v>7</v>
      </c>
      <c r="G2125" s="7" t="s">
        <v>35</v>
      </c>
      <c r="H2125" s="7" t="s">
        <v>32</v>
      </c>
      <c r="I2125" s="7" t="n">
        <v>25.2</v>
      </c>
      <c r="J2125" s="7" t="s">
        <v>28</v>
      </c>
      <c r="K2125" s="7" t="n">
        <v>274.8</v>
      </c>
      <c r="L2125" s="7" t="s">
        <v>29</v>
      </c>
      <c r="M2125" s="7" t="s">
        <v>39</v>
      </c>
    </row>
    <row r="2126" customFormat="false" ht="15" hidden="false" customHeight="true" outlineLevel="0" collapsed="false">
      <c r="A2126" s="7" t="n">
        <v>1854</v>
      </c>
      <c r="B2126" s="7" t="n">
        <v>34</v>
      </c>
      <c r="C2126" s="7" t="s">
        <v>33</v>
      </c>
      <c r="D2126" s="7" t="s">
        <v>40</v>
      </c>
      <c r="E2126" s="7" t="n">
        <v>8</v>
      </c>
      <c r="F2126" s="7" t="n">
        <v>13</v>
      </c>
      <c r="G2126" s="7" t="s">
        <v>31</v>
      </c>
      <c r="H2126" s="7" t="s">
        <v>27</v>
      </c>
      <c r="I2126" s="7" t="n">
        <v>19.2</v>
      </c>
      <c r="J2126" s="7" t="s">
        <v>28</v>
      </c>
      <c r="K2126" s="7" t="n">
        <v>218.2</v>
      </c>
      <c r="L2126" s="7" t="s">
        <v>29</v>
      </c>
      <c r="M2126" s="7" t="s">
        <v>39</v>
      </c>
    </row>
    <row r="2127" customFormat="false" ht="15" hidden="false" customHeight="true" outlineLevel="0" collapsed="false">
      <c r="A2127" s="7" t="n">
        <v>1866</v>
      </c>
      <c r="B2127" s="7" t="n">
        <v>81</v>
      </c>
      <c r="C2127" s="7" t="s">
        <v>24</v>
      </c>
      <c r="D2127" s="7" t="s">
        <v>40</v>
      </c>
      <c r="E2127" s="7" t="n">
        <v>19</v>
      </c>
      <c r="F2127" s="7" t="n">
        <v>18</v>
      </c>
      <c r="G2127" s="7" t="s">
        <v>35</v>
      </c>
      <c r="H2127" s="7" t="s">
        <v>27</v>
      </c>
      <c r="I2127" s="7" t="n">
        <v>32.7</v>
      </c>
      <c r="J2127" s="7" t="s">
        <v>28</v>
      </c>
      <c r="K2127" s="7" t="n">
        <v>268.9</v>
      </c>
      <c r="L2127" s="7" t="s">
        <v>29</v>
      </c>
      <c r="M2127" s="7" t="s">
        <v>39</v>
      </c>
    </row>
    <row r="2128" customFormat="false" ht="15" hidden="false" customHeight="true" outlineLevel="0" collapsed="false">
      <c r="A2128" s="7" t="n">
        <v>1868</v>
      </c>
      <c r="B2128" s="7" t="n">
        <v>32</v>
      </c>
      <c r="C2128" s="7" t="s">
        <v>33</v>
      </c>
      <c r="D2128" s="7" t="s">
        <v>40</v>
      </c>
      <c r="E2128" s="7" t="n">
        <v>33</v>
      </c>
      <c r="F2128" s="7" t="n">
        <v>7</v>
      </c>
      <c r="G2128" s="7" t="s">
        <v>35</v>
      </c>
      <c r="H2128" s="7" t="s">
        <v>32</v>
      </c>
      <c r="I2128" s="7" t="n">
        <v>36</v>
      </c>
      <c r="J2128" s="7" t="s">
        <v>28</v>
      </c>
      <c r="K2128" s="7" t="n">
        <v>293</v>
      </c>
      <c r="L2128" s="7" t="s">
        <v>37</v>
      </c>
      <c r="M2128" s="7" t="s">
        <v>39</v>
      </c>
    </row>
    <row r="2129" customFormat="false" ht="15" hidden="false" customHeight="true" outlineLevel="0" collapsed="false">
      <c r="A2129" s="7" t="n">
        <v>1873</v>
      </c>
      <c r="B2129" s="7" t="n">
        <v>80</v>
      </c>
      <c r="C2129" s="7" t="s">
        <v>33</v>
      </c>
      <c r="D2129" s="7" t="s">
        <v>40</v>
      </c>
      <c r="E2129" s="7" t="n">
        <v>37</v>
      </c>
      <c r="F2129" s="7" t="n">
        <v>7</v>
      </c>
      <c r="G2129" s="7" t="s">
        <v>31</v>
      </c>
      <c r="H2129" s="7" t="s">
        <v>32</v>
      </c>
      <c r="I2129" s="7" t="n">
        <v>41.2</v>
      </c>
      <c r="J2129" s="7" t="s">
        <v>28</v>
      </c>
      <c r="K2129" s="7" t="n">
        <v>268.5</v>
      </c>
      <c r="L2129" s="7" t="s">
        <v>29</v>
      </c>
      <c r="M2129" s="7" t="s">
        <v>39</v>
      </c>
    </row>
    <row r="2130" customFormat="false" ht="15" hidden="false" customHeight="true" outlineLevel="0" collapsed="false">
      <c r="A2130" s="7" t="n">
        <v>1904</v>
      </c>
      <c r="B2130" s="7" t="n">
        <v>59</v>
      </c>
      <c r="C2130" s="7" t="s">
        <v>24</v>
      </c>
      <c r="D2130" s="7" t="s">
        <v>40</v>
      </c>
      <c r="E2130" s="7" t="n">
        <v>37</v>
      </c>
      <c r="F2130" s="7" t="n">
        <v>18</v>
      </c>
      <c r="G2130" s="7" t="s">
        <v>31</v>
      </c>
      <c r="H2130" s="7" t="s">
        <v>27</v>
      </c>
      <c r="I2130" s="7" t="n">
        <v>29.7</v>
      </c>
      <c r="J2130" s="7" t="s">
        <v>28</v>
      </c>
      <c r="K2130" s="7" t="n">
        <v>167.4</v>
      </c>
      <c r="L2130" s="7" t="s">
        <v>29</v>
      </c>
      <c r="M2130" s="7" t="s">
        <v>39</v>
      </c>
    </row>
    <row r="2131" customFormat="false" ht="15" hidden="false" customHeight="true" outlineLevel="0" collapsed="false">
      <c r="A2131" s="7" t="n">
        <v>1914</v>
      </c>
      <c r="B2131" s="7" t="n">
        <v>85</v>
      </c>
      <c r="C2131" s="7" t="s">
        <v>24</v>
      </c>
      <c r="D2131" s="7" t="s">
        <v>40</v>
      </c>
      <c r="E2131" s="7" t="n">
        <v>13</v>
      </c>
      <c r="F2131" s="7" t="n">
        <v>5</v>
      </c>
      <c r="G2131" s="7" t="s">
        <v>35</v>
      </c>
      <c r="H2131" s="7" t="s">
        <v>27</v>
      </c>
      <c r="I2131" s="7" t="n">
        <v>24.4</v>
      </c>
      <c r="J2131" s="7" t="s">
        <v>28</v>
      </c>
      <c r="K2131" s="7" t="n">
        <v>284.2</v>
      </c>
      <c r="L2131" s="7" t="s">
        <v>29</v>
      </c>
      <c r="M2131" s="7" t="s">
        <v>39</v>
      </c>
    </row>
    <row r="2132" customFormat="false" ht="15" hidden="false" customHeight="true" outlineLevel="0" collapsed="false">
      <c r="A2132" s="7" t="n">
        <v>1922</v>
      </c>
      <c r="B2132" s="7" t="n">
        <v>49</v>
      </c>
      <c r="C2132" s="7" t="s">
        <v>24</v>
      </c>
      <c r="D2132" s="7" t="s">
        <v>40</v>
      </c>
      <c r="E2132" s="7" t="n">
        <v>19</v>
      </c>
      <c r="F2132" s="7" t="n">
        <v>23</v>
      </c>
      <c r="G2132" s="7" t="s">
        <v>26</v>
      </c>
      <c r="H2132" s="7" t="s">
        <v>27</v>
      </c>
      <c r="I2132" s="7" t="n">
        <v>37.3</v>
      </c>
      <c r="J2132" s="7" t="s">
        <v>28</v>
      </c>
      <c r="K2132" s="7" t="n">
        <v>180.5</v>
      </c>
      <c r="L2132" s="7" t="s">
        <v>29</v>
      </c>
      <c r="M2132" s="7" t="s">
        <v>39</v>
      </c>
    </row>
    <row r="2133" customFormat="false" ht="15" hidden="false" customHeight="true" outlineLevel="0" collapsed="false">
      <c r="A2133" s="7" t="n">
        <v>2085</v>
      </c>
      <c r="B2133" s="7" t="n">
        <v>82</v>
      </c>
      <c r="C2133" s="7" t="s">
        <v>24</v>
      </c>
      <c r="D2133" s="7" t="s">
        <v>40</v>
      </c>
      <c r="E2133" s="7" t="n">
        <v>8</v>
      </c>
      <c r="F2133" s="7" t="n">
        <v>19</v>
      </c>
      <c r="G2133" s="7" t="s">
        <v>35</v>
      </c>
      <c r="H2133" s="7" t="s">
        <v>32</v>
      </c>
      <c r="I2133" s="7" t="n">
        <v>40</v>
      </c>
      <c r="J2133" s="7" t="s">
        <v>28</v>
      </c>
      <c r="K2133" s="7" t="n">
        <v>212.8</v>
      </c>
      <c r="L2133" s="7" t="s">
        <v>29</v>
      </c>
      <c r="M2133" s="7" t="s">
        <v>39</v>
      </c>
    </row>
    <row r="2134" customFormat="false" ht="15" hidden="false" customHeight="true" outlineLevel="0" collapsed="false">
      <c r="A2134" s="7" t="n">
        <v>2087</v>
      </c>
      <c r="B2134" s="7" t="n">
        <v>45</v>
      </c>
      <c r="C2134" s="7" t="s">
        <v>24</v>
      </c>
      <c r="D2134" s="7" t="s">
        <v>40</v>
      </c>
      <c r="E2134" s="7" t="n">
        <v>19</v>
      </c>
      <c r="F2134" s="7" t="n">
        <v>9</v>
      </c>
      <c r="G2134" s="7" t="s">
        <v>31</v>
      </c>
      <c r="H2134" s="7" t="s">
        <v>27</v>
      </c>
      <c r="I2134" s="7" t="n">
        <v>17.3</v>
      </c>
      <c r="J2134" s="7" t="s">
        <v>28</v>
      </c>
      <c r="K2134" s="7" t="n">
        <v>287.8</v>
      </c>
      <c r="L2134" s="7" t="s">
        <v>29</v>
      </c>
      <c r="M2134" s="7" t="s">
        <v>39</v>
      </c>
    </row>
    <row r="2135" customFormat="false" ht="15" hidden="false" customHeight="true" outlineLevel="0" collapsed="false">
      <c r="A2135" s="7" t="n">
        <v>2139</v>
      </c>
      <c r="B2135" s="7" t="n">
        <v>47</v>
      </c>
      <c r="C2135" s="7" t="s">
        <v>33</v>
      </c>
      <c r="D2135" s="7" t="s">
        <v>40</v>
      </c>
      <c r="E2135" s="7" t="n">
        <v>7</v>
      </c>
      <c r="F2135" s="7" t="n">
        <v>17</v>
      </c>
      <c r="G2135" s="7" t="s">
        <v>31</v>
      </c>
      <c r="H2135" s="7" t="s">
        <v>32</v>
      </c>
      <c r="I2135" s="7" t="n">
        <v>41.5</v>
      </c>
      <c r="J2135" s="7" t="s">
        <v>28</v>
      </c>
      <c r="K2135" s="7" t="n">
        <v>290.7</v>
      </c>
      <c r="L2135" s="7" t="s">
        <v>29</v>
      </c>
      <c r="M2135" s="7" t="s">
        <v>39</v>
      </c>
    </row>
    <row r="2136" customFormat="false" ht="15" hidden="false" customHeight="true" outlineLevel="0" collapsed="false">
      <c r="A2136" s="7" t="n">
        <v>2159</v>
      </c>
      <c r="B2136" s="7" t="n">
        <v>43</v>
      </c>
      <c r="C2136" s="7" t="s">
        <v>24</v>
      </c>
      <c r="D2136" s="7" t="s">
        <v>40</v>
      </c>
      <c r="E2136" s="7" t="n">
        <v>30</v>
      </c>
      <c r="F2136" s="7" t="n">
        <v>29</v>
      </c>
      <c r="G2136" s="7" t="s">
        <v>36</v>
      </c>
      <c r="H2136" s="7" t="s">
        <v>32</v>
      </c>
      <c r="I2136" s="7" t="n">
        <v>35.6</v>
      </c>
      <c r="J2136" s="7" t="s">
        <v>28</v>
      </c>
      <c r="K2136" s="7" t="n">
        <v>180.7</v>
      </c>
      <c r="L2136" s="7" t="s">
        <v>29</v>
      </c>
      <c r="M2136" s="7" t="s">
        <v>39</v>
      </c>
    </row>
    <row r="2137" customFormat="false" ht="15" hidden="false" customHeight="true" outlineLevel="0" collapsed="false">
      <c r="A2137" s="7" t="n">
        <v>2188</v>
      </c>
      <c r="B2137" s="7" t="n">
        <v>77</v>
      </c>
      <c r="C2137" s="7" t="s">
        <v>33</v>
      </c>
      <c r="D2137" s="7" t="s">
        <v>40</v>
      </c>
      <c r="E2137" s="7" t="n">
        <v>16</v>
      </c>
      <c r="F2137" s="7" t="n">
        <v>22</v>
      </c>
      <c r="G2137" s="7" t="s">
        <v>34</v>
      </c>
      <c r="H2137" s="7" t="s">
        <v>32</v>
      </c>
      <c r="I2137" s="7" t="n">
        <v>29.7</v>
      </c>
      <c r="J2137" s="7" t="s">
        <v>28</v>
      </c>
      <c r="K2137" s="7" t="n">
        <v>163</v>
      </c>
      <c r="L2137" s="7" t="s">
        <v>29</v>
      </c>
      <c r="M2137" s="7" t="s">
        <v>39</v>
      </c>
    </row>
    <row r="2138" customFormat="false" ht="15" hidden="false" customHeight="true" outlineLevel="0" collapsed="false">
      <c r="A2138" s="7" t="n">
        <v>2211</v>
      </c>
      <c r="B2138" s="7" t="n">
        <v>44</v>
      </c>
      <c r="C2138" s="7" t="s">
        <v>33</v>
      </c>
      <c r="D2138" s="7" t="s">
        <v>40</v>
      </c>
      <c r="E2138" s="7" t="n">
        <v>13</v>
      </c>
      <c r="F2138" s="7" t="n">
        <v>18</v>
      </c>
      <c r="G2138" s="7" t="s">
        <v>31</v>
      </c>
      <c r="H2138" s="7" t="s">
        <v>27</v>
      </c>
      <c r="I2138" s="7" t="n">
        <v>27.9</v>
      </c>
      <c r="J2138" s="7" t="s">
        <v>28</v>
      </c>
      <c r="K2138" s="7" t="n">
        <v>169.4</v>
      </c>
      <c r="L2138" s="7" t="s">
        <v>37</v>
      </c>
      <c r="M2138" s="7" t="s">
        <v>39</v>
      </c>
    </row>
    <row r="2139" customFormat="false" ht="15" hidden="false" customHeight="true" outlineLevel="0" collapsed="false">
      <c r="A2139" s="7" t="n">
        <v>2228</v>
      </c>
      <c r="B2139" s="7" t="n">
        <v>74</v>
      </c>
      <c r="C2139" s="7" t="s">
        <v>33</v>
      </c>
      <c r="D2139" s="7" t="s">
        <v>40</v>
      </c>
      <c r="E2139" s="7" t="n">
        <v>26</v>
      </c>
      <c r="F2139" s="7" t="n">
        <v>5</v>
      </c>
      <c r="G2139" s="7" t="s">
        <v>36</v>
      </c>
      <c r="H2139" s="7" t="s">
        <v>32</v>
      </c>
      <c r="I2139" s="7" t="n">
        <v>25.1</v>
      </c>
      <c r="J2139" s="7" t="s">
        <v>28</v>
      </c>
      <c r="K2139" s="7" t="n">
        <v>236.3</v>
      </c>
      <c r="L2139" s="7" t="s">
        <v>37</v>
      </c>
      <c r="M2139" s="7" t="s">
        <v>39</v>
      </c>
    </row>
    <row r="2140" customFormat="false" ht="15" hidden="false" customHeight="true" outlineLevel="0" collapsed="false">
      <c r="A2140" s="7" t="n">
        <v>2289</v>
      </c>
      <c r="B2140" s="7" t="n">
        <v>76</v>
      </c>
      <c r="C2140" s="7" t="s">
        <v>24</v>
      </c>
      <c r="D2140" s="7" t="s">
        <v>40</v>
      </c>
      <c r="E2140" s="7" t="n">
        <v>17</v>
      </c>
      <c r="F2140" s="7" t="n">
        <v>28</v>
      </c>
      <c r="G2140" s="7" t="s">
        <v>35</v>
      </c>
      <c r="H2140" s="7" t="s">
        <v>27</v>
      </c>
      <c r="I2140" s="7" t="n">
        <v>17.2</v>
      </c>
      <c r="J2140" s="7" t="s">
        <v>28</v>
      </c>
      <c r="K2140" s="7" t="n">
        <v>140.4</v>
      </c>
      <c r="L2140" s="7" t="s">
        <v>29</v>
      </c>
      <c r="M2140" s="7" t="s">
        <v>39</v>
      </c>
    </row>
    <row r="2141" customFormat="false" ht="15" hidden="false" customHeight="true" outlineLevel="0" collapsed="false">
      <c r="A2141" s="7" t="n">
        <v>2452</v>
      </c>
      <c r="B2141" s="7" t="n">
        <v>70</v>
      </c>
      <c r="C2141" s="7" t="s">
        <v>24</v>
      </c>
      <c r="D2141" s="7" t="s">
        <v>40</v>
      </c>
      <c r="E2141" s="7" t="n">
        <v>12</v>
      </c>
      <c r="F2141" s="7" t="n">
        <v>7</v>
      </c>
      <c r="G2141" s="7" t="s">
        <v>26</v>
      </c>
      <c r="H2141" s="7" t="s">
        <v>32</v>
      </c>
      <c r="I2141" s="7" t="n">
        <v>34.1</v>
      </c>
      <c r="J2141" s="7" t="s">
        <v>28</v>
      </c>
      <c r="K2141" s="7" t="n">
        <v>127.2</v>
      </c>
      <c r="L2141" s="7" t="s">
        <v>37</v>
      </c>
      <c r="M2141" s="7" t="s">
        <v>39</v>
      </c>
    </row>
    <row r="2142" customFormat="false" ht="15" hidden="false" customHeight="true" outlineLevel="0" collapsed="false">
      <c r="A2142" s="7" t="n">
        <v>5</v>
      </c>
      <c r="B2142" s="7" t="n">
        <v>53</v>
      </c>
      <c r="C2142" s="7" t="s">
        <v>24</v>
      </c>
      <c r="D2142" s="7" t="s">
        <v>40</v>
      </c>
      <c r="E2142" s="7" t="n">
        <v>39</v>
      </c>
      <c r="F2142" s="7" t="n">
        <v>18</v>
      </c>
      <c r="G2142" s="7" t="s">
        <v>31</v>
      </c>
      <c r="H2142" s="7" t="s">
        <v>27</v>
      </c>
      <c r="I2142" s="7" t="n">
        <v>30</v>
      </c>
      <c r="J2142" s="7" t="s">
        <v>28</v>
      </c>
      <c r="K2142" s="7" t="n">
        <v>153.3</v>
      </c>
      <c r="L2142" s="7" t="s">
        <v>29</v>
      </c>
      <c r="M2142" s="7" t="s">
        <v>38</v>
      </c>
    </row>
    <row r="2143" customFormat="false" ht="15" hidden="false" customHeight="true" outlineLevel="0" collapsed="false">
      <c r="A2143" s="7" t="n">
        <v>27</v>
      </c>
      <c r="B2143" s="7" t="n">
        <v>49</v>
      </c>
      <c r="C2143" s="7" t="s">
        <v>33</v>
      </c>
      <c r="D2143" s="7" t="s">
        <v>40</v>
      </c>
      <c r="E2143" s="7" t="n">
        <v>28</v>
      </c>
      <c r="F2143" s="7" t="n">
        <v>22</v>
      </c>
      <c r="G2143" s="7" t="s">
        <v>36</v>
      </c>
      <c r="H2143" s="7" t="s">
        <v>27</v>
      </c>
      <c r="I2143" s="7" t="n">
        <v>24.4</v>
      </c>
      <c r="J2143" s="7" t="s">
        <v>28</v>
      </c>
      <c r="K2143" s="7" t="n">
        <v>272.8</v>
      </c>
      <c r="L2143" s="7" t="s">
        <v>37</v>
      </c>
      <c r="M2143" s="7" t="s">
        <v>38</v>
      </c>
    </row>
    <row r="2144" customFormat="false" ht="15" hidden="false" customHeight="true" outlineLevel="0" collapsed="false">
      <c r="A2144" s="7" t="n">
        <v>40</v>
      </c>
      <c r="B2144" s="7" t="n">
        <v>41</v>
      </c>
      <c r="C2144" s="7" t="s">
        <v>33</v>
      </c>
      <c r="D2144" s="7" t="s">
        <v>40</v>
      </c>
      <c r="E2144" s="7" t="n">
        <v>22</v>
      </c>
      <c r="F2144" s="7" t="n">
        <v>21</v>
      </c>
      <c r="G2144" s="7" t="s">
        <v>26</v>
      </c>
      <c r="H2144" s="7" t="s">
        <v>27</v>
      </c>
      <c r="I2144" s="7" t="n">
        <v>34</v>
      </c>
      <c r="J2144" s="7" t="s">
        <v>28</v>
      </c>
      <c r="K2144" s="7" t="n">
        <v>162.9</v>
      </c>
      <c r="L2144" s="7" t="s">
        <v>29</v>
      </c>
      <c r="M2144" s="7" t="s">
        <v>38</v>
      </c>
    </row>
    <row r="2145" customFormat="false" ht="15" hidden="false" customHeight="true" outlineLevel="0" collapsed="false">
      <c r="A2145" s="7" t="n">
        <v>45</v>
      </c>
      <c r="B2145" s="7" t="n">
        <v>34</v>
      </c>
      <c r="C2145" s="7" t="s">
        <v>33</v>
      </c>
      <c r="D2145" s="7" t="s">
        <v>40</v>
      </c>
      <c r="E2145" s="7" t="n">
        <v>26</v>
      </c>
      <c r="F2145" s="7" t="n">
        <v>24</v>
      </c>
      <c r="G2145" s="7" t="s">
        <v>34</v>
      </c>
      <c r="H2145" s="7" t="s">
        <v>27</v>
      </c>
      <c r="I2145" s="7" t="n">
        <v>25.8</v>
      </c>
      <c r="J2145" s="7" t="s">
        <v>28</v>
      </c>
      <c r="K2145" s="7" t="n">
        <v>206.7</v>
      </c>
      <c r="L2145" s="7" t="s">
        <v>29</v>
      </c>
      <c r="M2145" s="7" t="s">
        <v>38</v>
      </c>
    </row>
    <row r="2146" customFormat="false" ht="15" hidden="false" customHeight="true" outlineLevel="0" collapsed="false">
      <c r="A2146" s="7" t="n">
        <v>52</v>
      </c>
      <c r="B2146" s="7" t="n">
        <v>50</v>
      </c>
      <c r="C2146" s="7" t="s">
        <v>24</v>
      </c>
      <c r="D2146" s="7" t="s">
        <v>40</v>
      </c>
      <c r="E2146" s="7" t="n">
        <v>9</v>
      </c>
      <c r="F2146" s="7" t="n">
        <v>27</v>
      </c>
      <c r="G2146" s="7" t="s">
        <v>34</v>
      </c>
      <c r="H2146" s="7" t="s">
        <v>27</v>
      </c>
      <c r="I2146" s="7" t="n">
        <v>41.6</v>
      </c>
      <c r="J2146" s="7" t="s">
        <v>28</v>
      </c>
      <c r="K2146" s="7" t="n">
        <v>254.9</v>
      </c>
      <c r="L2146" s="7" t="s">
        <v>29</v>
      </c>
      <c r="M2146" s="7" t="s">
        <v>38</v>
      </c>
    </row>
    <row r="2147" customFormat="false" ht="15" hidden="false" customHeight="true" outlineLevel="0" collapsed="false">
      <c r="A2147" s="7" t="n">
        <v>62</v>
      </c>
      <c r="B2147" s="7" t="n">
        <v>18</v>
      </c>
      <c r="C2147" s="7" t="s">
        <v>24</v>
      </c>
      <c r="D2147" s="7" t="s">
        <v>40</v>
      </c>
      <c r="E2147" s="7" t="n">
        <v>21</v>
      </c>
      <c r="F2147" s="7" t="n">
        <v>8</v>
      </c>
      <c r="G2147" s="7" t="s">
        <v>34</v>
      </c>
      <c r="H2147" s="7" t="s">
        <v>27</v>
      </c>
      <c r="I2147" s="7" t="n">
        <v>41.7</v>
      </c>
      <c r="J2147" s="7" t="s">
        <v>28</v>
      </c>
      <c r="K2147" s="7" t="n">
        <v>286.3</v>
      </c>
      <c r="L2147" s="7" t="s">
        <v>37</v>
      </c>
      <c r="M2147" s="7" t="s">
        <v>38</v>
      </c>
    </row>
    <row r="2148" customFormat="false" ht="15" hidden="false" customHeight="true" outlineLevel="0" collapsed="false">
      <c r="A2148" s="7" t="n">
        <v>93</v>
      </c>
      <c r="B2148" s="7" t="n">
        <v>47</v>
      </c>
      <c r="C2148" s="7" t="s">
        <v>24</v>
      </c>
      <c r="D2148" s="7" t="s">
        <v>40</v>
      </c>
      <c r="E2148" s="7" t="n">
        <v>21</v>
      </c>
      <c r="F2148" s="7" t="n">
        <v>14</v>
      </c>
      <c r="G2148" s="7" t="s">
        <v>35</v>
      </c>
      <c r="H2148" s="7" t="s">
        <v>32</v>
      </c>
      <c r="I2148" s="7" t="n">
        <v>37</v>
      </c>
      <c r="J2148" s="7" t="s">
        <v>28</v>
      </c>
      <c r="K2148" s="7" t="n">
        <v>124</v>
      </c>
      <c r="L2148" s="7" t="s">
        <v>37</v>
      </c>
      <c r="M2148" s="7" t="s">
        <v>38</v>
      </c>
    </row>
    <row r="2149" customFormat="false" ht="15" hidden="false" customHeight="true" outlineLevel="0" collapsed="false">
      <c r="A2149" s="7" t="n">
        <v>97</v>
      </c>
      <c r="B2149" s="7" t="n">
        <v>28</v>
      </c>
      <c r="C2149" s="7" t="s">
        <v>24</v>
      </c>
      <c r="D2149" s="7" t="s">
        <v>40</v>
      </c>
      <c r="E2149" s="7" t="n">
        <v>30</v>
      </c>
      <c r="F2149" s="7" t="n">
        <v>25</v>
      </c>
      <c r="G2149" s="7" t="s">
        <v>35</v>
      </c>
      <c r="H2149" s="7" t="s">
        <v>27</v>
      </c>
      <c r="I2149" s="7" t="n">
        <v>35</v>
      </c>
      <c r="J2149" s="7" t="s">
        <v>28</v>
      </c>
      <c r="K2149" s="7" t="n">
        <v>222</v>
      </c>
      <c r="L2149" s="7" t="s">
        <v>29</v>
      </c>
      <c r="M2149" s="7" t="s">
        <v>38</v>
      </c>
    </row>
    <row r="2150" customFormat="false" ht="15" hidden="false" customHeight="true" outlineLevel="0" collapsed="false">
      <c r="A2150" s="7" t="n">
        <v>111</v>
      </c>
      <c r="B2150" s="7" t="n">
        <v>79</v>
      </c>
      <c r="C2150" s="7" t="s">
        <v>33</v>
      </c>
      <c r="D2150" s="7" t="s">
        <v>40</v>
      </c>
      <c r="E2150" s="7" t="n">
        <v>39</v>
      </c>
      <c r="F2150" s="7" t="n">
        <v>22</v>
      </c>
      <c r="G2150" s="7" t="s">
        <v>35</v>
      </c>
      <c r="H2150" s="7" t="s">
        <v>32</v>
      </c>
      <c r="I2150" s="7" t="n">
        <v>22.6</v>
      </c>
      <c r="J2150" s="7" t="s">
        <v>28</v>
      </c>
      <c r="K2150" s="7" t="n">
        <v>216.7</v>
      </c>
      <c r="L2150" s="7" t="s">
        <v>29</v>
      </c>
      <c r="M2150" s="7" t="s">
        <v>38</v>
      </c>
    </row>
    <row r="2151" customFormat="false" ht="15" hidden="false" customHeight="true" outlineLevel="0" collapsed="false">
      <c r="A2151" s="7" t="n">
        <v>131</v>
      </c>
      <c r="B2151" s="7" t="n">
        <v>23</v>
      </c>
      <c r="C2151" s="7" t="s">
        <v>33</v>
      </c>
      <c r="D2151" s="7" t="s">
        <v>40</v>
      </c>
      <c r="E2151" s="7" t="n">
        <v>10</v>
      </c>
      <c r="F2151" s="7" t="n">
        <v>13</v>
      </c>
      <c r="G2151" s="7" t="s">
        <v>34</v>
      </c>
      <c r="H2151" s="7" t="s">
        <v>32</v>
      </c>
      <c r="I2151" s="7" t="n">
        <v>38.8</v>
      </c>
      <c r="J2151" s="7" t="s">
        <v>28</v>
      </c>
      <c r="K2151" s="7" t="n">
        <v>264.3</v>
      </c>
      <c r="L2151" s="7" t="s">
        <v>29</v>
      </c>
      <c r="M2151" s="7" t="s">
        <v>38</v>
      </c>
    </row>
    <row r="2152" customFormat="false" ht="15" hidden="false" customHeight="true" outlineLevel="0" collapsed="false">
      <c r="A2152" s="7" t="n">
        <v>174</v>
      </c>
      <c r="B2152" s="7" t="n">
        <v>69</v>
      </c>
      <c r="C2152" s="7" t="s">
        <v>33</v>
      </c>
      <c r="D2152" s="7" t="s">
        <v>40</v>
      </c>
      <c r="E2152" s="7" t="n">
        <v>21</v>
      </c>
      <c r="F2152" s="7" t="n">
        <v>9</v>
      </c>
      <c r="G2152" s="7" t="s">
        <v>31</v>
      </c>
      <c r="H2152" s="7" t="s">
        <v>32</v>
      </c>
      <c r="I2152" s="7" t="n">
        <v>38.2</v>
      </c>
      <c r="J2152" s="7" t="s">
        <v>28</v>
      </c>
      <c r="K2152" s="7" t="n">
        <v>262.6</v>
      </c>
      <c r="L2152" s="7" t="s">
        <v>29</v>
      </c>
      <c r="M2152" s="7" t="s">
        <v>38</v>
      </c>
    </row>
    <row r="2153" customFormat="false" ht="15" hidden="false" customHeight="true" outlineLevel="0" collapsed="false">
      <c r="A2153" s="7" t="n">
        <v>196</v>
      </c>
      <c r="B2153" s="7" t="n">
        <v>81</v>
      </c>
      <c r="C2153" s="7" t="s">
        <v>33</v>
      </c>
      <c r="D2153" s="7" t="s">
        <v>40</v>
      </c>
      <c r="E2153" s="7" t="n">
        <v>35</v>
      </c>
      <c r="F2153" s="7" t="n">
        <v>8</v>
      </c>
      <c r="G2153" s="7" t="s">
        <v>26</v>
      </c>
      <c r="H2153" s="7" t="s">
        <v>27</v>
      </c>
      <c r="I2153" s="7" t="n">
        <v>25.2</v>
      </c>
      <c r="J2153" s="7" t="s">
        <v>28</v>
      </c>
      <c r="K2153" s="7" t="n">
        <v>135.9</v>
      </c>
      <c r="L2153" s="7" t="s">
        <v>37</v>
      </c>
      <c r="M2153" s="7" t="s">
        <v>38</v>
      </c>
    </row>
    <row r="2154" customFormat="false" ht="15" hidden="false" customHeight="true" outlineLevel="0" collapsed="false">
      <c r="A2154" s="7" t="n">
        <v>231</v>
      </c>
      <c r="B2154" s="7" t="n">
        <v>82</v>
      </c>
      <c r="C2154" s="7" t="s">
        <v>33</v>
      </c>
      <c r="D2154" s="7" t="s">
        <v>40</v>
      </c>
      <c r="E2154" s="7" t="n">
        <v>23</v>
      </c>
      <c r="F2154" s="7" t="n">
        <v>14</v>
      </c>
      <c r="G2154" s="7" t="s">
        <v>26</v>
      </c>
      <c r="H2154" s="7" t="s">
        <v>27</v>
      </c>
      <c r="I2154" s="7" t="n">
        <v>32.6</v>
      </c>
      <c r="J2154" s="7" t="s">
        <v>28</v>
      </c>
      <c r="K2154" s="7" t="n">
        <v>200.5</v>
      </c>
      <c r="L2154" s="7" t="s">
        <v>29</v>
      </c>
      <c r="M2154" s="7" t="s">
        <v>38</v>
      </c>
    </row>
    <row r="2155" customFormat="false" ht="15" hidden="false" customHeight="true" outlineLevel="0" collapsed="false">
      <c r="A2155" s="7" t="n">
        <v>241</v>
      </c>
      <c r="B2155" s="7" t="n">
        <v>45</v>
      </c>
      <c r="C2155" s="7" t="s">
        <v>24</v>
      </c>
      <c r="D2155" s="7" t="s">
        <v>40</v>
      </c>
      <c r="E2155" s="7" t="n">
        <v>7</v>
      </c>
      <c r="F2155" s="7" t="n">
        <v>7</v>
      </c>
      <c r="G2155" s="7" t="s">
        <v>34</v>
      </c>
      <c r="H2155" s="7" t="s">
        <v>27</v>
      </c>
      <c r="I2155" s="7" t="n">
        <v>25</v>
      </c>
      <c r="J2155" s="7" t="s">
        <v>28</v>
      </c>
      <c r="K2155" s="7" t="n">
        <v>186.8</v>
      </c>
      <c r="L2155" s="7" t="s">
        <v>29</v>
      </c>
      <c r="M2155" s="7" t="s">
        <v>38</v>
      </c>
    </row>
    <row r="2156" customFormat="false" ht="15" hidden="false" customHeight="true" outlineLevel="0" collapsed="false">
      <c r="A2156" s="7" t="n">
        <v>250</v>
      </c>
      <c r="B2156" s="7" t="n">
        <v>28</v>
      </c>
      <c r="C2156" s="7" t="s">
        <v>24</v>
      </c>
      <c r="D2156" s="7" t="s">
        <v>40</v>
      </c>
      <c r="E2156" s="7" t="n">
        <v>23</v>
      </c>
      <c r="F2156" s="7" t="n">
        <v>25</v>
      </c>
      <c r="G2156" s="7" t="s">
        <v>26</v>
      </c>
      <c r="H2156" s="7" t="s">
        <v>27</v>
      </c>
      <c r="I2156" s="7" t="n">
        <v>17.9</v>
      </c>
      <c r="J2156" s="7" t="s">
        <v>28</v>
      </c>
      <c r="K2156" s="7" t="n">
        <v>218.9</v>
      </c>
      <c r="L2156" s="7" t="s">
        <v>37</v>
      </c>
      <c r="M2156" s="7" t="s">
        <v>38</v>
      </c>
    </row>
    <row r="2157" customFormat="false" ht="15" hidden="false" customHeight="true" outlineLevel="0" collapsed="false">
      <c r="A2157" s="7" t="n">
        <v>326</v>
      </c>
      <c r="B2157" s="7" t="n">
        <v>57</v>
      </c>
      <c r="C2157" s="7" t="s">
        <v>33</v>
      </c>
      <c r="D2157" s="7" t="s">
        <v>40</v>
      </c>
      <c r="E2157" s="7" t="n">
        <v>7</v>
      </c>
      <c r="F2157" s="7" t="n">
        <v>14</v>
      </c>
      <c r="G2157" s="7" t="s">
        <v>36</v>
      </c>
      <c r="H2157" s="7" t="s">
        <v>27</v>
      </c>
      <c r="I2157" s="7" t="n">
        <v>29.5</v>
      </c>
      <c r="J2157" s="7" t="s">
        <v>28</v>
      </c>
      <c r="K2157" s="7" t="n">
        <v>276.7</v>
      </c>
      <c r="L2157" s="7" t="s">
        <v>29</v>
      </c>
      <c r="M2157" s="7" t="s">
        <v>38</v>
      </c>
    </row>
    <row r="2158" customFormat="false" ht="15" hidden="false" customHeight="true" outlineLevel="0" collapsed="false">
      <c r="A2158" s="7" t="n">
        <v>346</v>
      </c>
      <c r="B2158" s="7" t="n">
        <v>49</v>
      </c>
      <c r="C2158" s="7" t="s">
        <v>33</v>
      </c>
      <c r="D2158" s="7" t="s">
        <v>40</v>
      </c>
      <c r="E2158" s="7" t="n">
        <v>18</v>
      </c>
      <c r="F2158" s="7" t="n">
        <v>15</v>
      </c>
      <c r="G2158" s="7" t="s">
        <v>26</v>
      </c>
      <c r="H2158" s="7" t="s">
        <v>32</v>
      </c>
      <c r="I2158" s="7" t="n">
        <v>33.9</v>
      </c>
      <c r="J2158" s="7" t="s">
        <v>28</v>
      </c>
      <c r="K2158" s="7" t="n">
        <v>289.5</v>
      </c>
      <c r="L2158" s="7" t="s">
        <v>37</v>
      </c>
      <c r="M2158" s="7" t="s">
        <v>38</v>
      </c>
    </row>
    <row r="2159" customFormat="false" ht="15" hidden="false" customHeight="true" outlineLevel="0" collapsed="false">
      <c r="A2159" s="7" t="n">
        <v>351</v>
      </c>
      <c r="B2159" s="7" t="n">
        <v>52</v>
      </c>
      <c r="C2159" s="7" t="s">
        <v>33</v>
      </c>
      <c r="D2159" s="7" t="s">
        <v>40</v>
      </c>
      <c r="E2159" s="7" t="n">
        <v>31</v>
      </c>
      <c r="F2159" s="7" t="n">
        <v>25</v>
      </c>
      <c r="G2159" s="7" t="s">
        <v>31</v>
      </c>
      <c r="H2159" s="7" t="s">
        <v>27</v>
      </c>
      <c r="I2159" s="7" t="n">
        <v>34.3</v>
      </c>
      <c r="J2159" s="7" t="s">
        <v>28</v>
      </c>
      <c r="K2159" s="7" t="n">
        <v>231.4</v>
      </c>
      <c r="L2159" s="7" t="s">
        <v>29</v>
      </c>
      <c r="M2159" s="7" t="s">
        <v>38</v>
      </c>
    </row>
    <row r="2160" customFormat="false" ht="15" hidden="false" customHeight="true" outlineLevel="0" collapsed="false">
      <c r="A2160" s="7" t="n">
        <v>398</v>
      </c>
      <c r="B2160" s="7" t="n">
        <v>21</v>
      </c>
      <c r="C2160" s="7" t="s">
        <v>33</v>
      </c>
      <c r="D2160" s="7" t="s">
        <v>40</v>
      </c>
      <c r="E2160" s="7" t="n">
        <v>16</v>
      </c>
      <c r="F2160" s="7" t="n">
        <v>17</v>
      </c>
      <c r="G2160" s="7" t="s">
        <v>36</v>
      </c>
      <c r="H2160" s="7" t="s">
        <v>27</v>
      </c>
      <c r="I2160" s="7" t="n">
        <v>30.4</v>
      </c>
      <c r="J2160" s="7" t="s">
        <v>28</v>
      </c>
      <c r="K2160" s="7" t="n">
        <v>255.3</v>
      </c>
      <c r="L2160" s="7" t="s">
        <v>37</v>
      </c>
      <c r="M2160" s="7" t="s">
        <v>38</v>
      </c>
    </row>
    <row r="2161" customFormat="false" ht="15" hidden="false" customHeight="true" outlineLevel="0" collapsed="false">
      <c r="A2161" s="7" t="n">
        <v>424</v>
      </c>
      <c r="B2161" s="7" t="n">
        <v>29</v>
      </c>
      <c r="C2161" s="7" t="s">
        <v>33</v>
      </c>
      <c r="D2161" s="7" t="s">
        <v>40</v>
      </c>
      <c r="E2161" s="7" t="n">
        <v>16</v>
      </c>
      <c r="F2161" s="7" t="n">
        <v>10</v>
      </c>
      <c r="G2161" s="7" t="s">
        <v>35</v>
      </c>
      <c r="H2161" s="7" t="s">
        <v>32</v>
      </c>
      <c r="I2161" s="7" t="n">
        <v>17.5</v>
      </c>
      <c r="J2161" s="7" t="s">
        <v>28</v>
      </c>
      <c r="K2161" s="7" t="n">
        <v>130.2</v>
      </c>
      <c r="L2161" s="7" t="s">
        <v>29</v>
      </c>
      <c r="M2161" s="7" t="s">
        <v>38</v>
      </c>
    </row>
    <row r="2162" customFormat="false" ht="15" hidden="false" customHeight="true" outlineLevel="0" collapsed="false">
      <c r="A2162" s="7" t="n">
        <v>439</v>
      </c>
      <c r="B2162" s="7" t="n">
        <v>88</v>
      </c>
      <c r="C2162" s="7" t="s">
        <v>33</v>
      </c>
      <c r="D2162" s="7" t="s">
        <v>40</v>
      </c>
      <c r="E2162" s="7" t="n">
        <v>18</v>
      </c>
      <c r="F2162" s="7" t="n">
        <v>17</v>
      </c>
      <c r="G2162" s="7" t="s">
        <v>36</v>
      </c>
      <c r="H2162" s="7" t="s">
        <v>27</v>
      </c>
      <c r="I2162" s="7" t="n">
        <v>30.5</v>
      </c>
      <c r="J2162" s="7" t="s">
        <v>28</v>
      </c>
      <c r="K2162" s="7" t="n">
        <v>128.2</v>
      </c>
      <c r="L2162" s="7" t="s">
        <v>29</v>
      </c>
      <c r="M2162" s="7" t="s">
        <v>38</v>
      </c>
    </row>
    <row r="2163" customFormat="false" ht="15" hidden="false" customHeight="true" outlineLevel="0" collapsed="false">
      <c r="A2163" s="7" t="n">
        <v>448</v>
      </c>
      <c r="B2163" s="7" t="n">
        <v>35</v>
      </c>
      <c r="C2163" s="7" t="s">
        <v>33</v>
      </c>
      <c r="D2163" s="7" t="s">
        <v>40</v>
      </c>
      <c r="E2163" s="7" t="n">
        <v>36</v>
      </c>
      <c r="F2163" s="7" t="n">
        <v>17</v>
      </c>
      <c r="G2163" s="7" t="s">
        <v>34</v>
      </c>
      <c r="H2163" s="7" t="s">
        <v>32</v>
      </c>
      <c r="I2163" s="7" t="n">
        <v>22</v>
      </c>
      <c r="J2163" s="7" t="s">
        <v>28</v>
      </c>
      <c r="K2163" s="7" t="n">
        <v>160.4</v>
      </c>
      <c r="L2163" s="7" t="s">
        <v>37</v>
      </c>
      <c r="M2163" s="7" t="s">
        <v>38</v>
      </c>
    </row>
    <row r="2164" customFormat="false" ht="15" hidden="false" customHeight="true" outlineLevel="0" collapsed="false">
      <c r="A2164" s="7" t="n">
        <v>500</v>
      </c>
      <c r="B2164" s="7" t="n">
        <v>20</v>
      </c>
      <c r="C2164" s="7" t="s">
        <v>33</v>
      </c>
      <c r="D2164" s="7" t="s">
        <v>40</v>
      </c>
      <c r="E2164" s="7" t="n">
        <v>24</v>
      </c>
      <c r="F2164" s="7" t="n">
        <v>18</v>
      </c>
      <c r="G2164" s="7" t="s">
        <v>31</v>
      </c>
      <c r="H2164" s="7" t="s">
        <v>32</v>
      </c>
      <c r="I2164" s="7" t="n">
        <v>38.4</v>
      </c>
      <c r="J2164" s="7" t="s">
        <v>28</v>
      </c>
      <c r="K2164" s="7" t="n">
        <v>175.7</v>
      </c>
      <c r="L2164" s="7" t="s">
        <v>29</v>
      </c>
      <c r="M2164" s="7" t="s">
        <v>38</v>
      </c>
    </row>
    <row r="2165" customFormat="false" ht="15" hidden="false" customHeight="true" outlineLevel="0" collapsed="false">
      <c r="A2165" s="7" t="n">
        <v>539</v>
      </c>
      <c r="B2165" s="7" t="n">
        <v>18</v>
      </c>
      <c r="C2165" s="7" t="s">
        <v>24</v>
      </c>
      <c r="D2165" s="7" t="s">
        <v>40</v>
      </c>
      <c r="E2165" s="7" t="n">
        <v>25</v>
      </c>
      <c r="F2165" s="7" t="n">
        <v>21</v>
      </c>
      <c r="G2165" s="7" t="s">
        <v>35</v>
      </c>
      <c r="H2165" s="7" t="s">
        <v>27</v>
      </c>
      <c r="I2165" s="7" t="n">
        <v>33.2</v>
      </c>
      <c r="J2165" s="7" t="s">
        <v>28</v>
      </c>
      <c r="K2165" s="7" t="n">
        <v>200.2</v>
      </c>
      <c r="L2165" s="7" t="s">
        <v>29</v>
      </c>
      <c r="M2165" s="7" t="s">
        <v>38</v>
      </c>
    </row>
    <row r="2166" customFormat="false" ht="15" hidden="false" customHeight="true" outlineLevel="0" collapsed="false">
      <c r="A2166" s="7" t="n">
        <v>550</v>
      </c>
      <c r="B2166" s="7" t="n">
        <v>57</v>
      </c>
      <c r="C2166" s="7" t="s">
        <v>24</v>
      </c>
      <c r="D2166" s="7" t="s">
        <v>40</v>
      </c>
      <c r="E2166" s="7" t="n">
        <v>37</v>
      </c>
      <c r="F2166" s="7" t="n">
        <v>29</v>
      </c>
      <c r="G2166" s="7" t="s">
        <v>26</v>
      </c>
      <c r="H2166" s="7" t="s">
        <v>27</v>
      </c>
      <c r="I2166" s="7" t="n">
        <v>23.5</v>
      </c>
      <c r="J2166" s="7" t="s">
        <v>28</v>
      </c>
      <c r="K2166" s="7" t="n">
        <v>250</v>
      </c>
      <c r="L2166" s="7" t="s">
        <v>37</v>
      </c>
      <c r="M2166" s="7" t="s">
        <v>38</v>
      </c>
    </row>
    <row r="2167" customFormat="false" ht="15" hidden="false" customHeight="true" outlineLevel="0" collapsed="false">
      <c r="A2167" s="7" t="n">
        <v>560</v>
      </c>
      <c r="B2167" s="7" t="n">
        <v>53</v>
      </c>
      <c r="C2167" s="7" t="s">
        <v>24</v>
      </c>
      <c r="D2167" s="7" t="s">
        <v>40</v>
      </c>
      <c r="E2167" s="7" t="n">
        <v>14</v>
      </c>
      <c r="F2167" s="7" t="n">
        <v>22</v>
      </c>
      <c r="G2167" s="7" t="s">
        <v>26</v>
      </c>
      <c r="H2167" s="7" t="s">
        <v>27</v>
      </c>
      <c r="I2167" s="7" t="n">
        <v>41.3</v>
      </c>
      <c r="J2167" s="7" t="s">
        <v>28</v>
      </c>
      <c r="K2167" s="7" t="n">
        <v>206</v>
      </c>
      <c r="L2167" s="7" t="s">
        <v>29</v>
      </c>
      <c r="M2167" s="7" t="s">
        <v>38</v>
      </c>
    </row>
    <row r="2168" customFormat="false" ht="15" hidden="false" customHeight="true" outlineLevel="0" collapsed="false">
      <c r="A2168" s="7" t="n">
        <v>578</v>
      </c>
      <c r="B2168" s="7" t="n">
        <v>35</v>
      </c>
      <c r="C2168" s="7" t="s">
        <v>33</v>
      </c>
      <c r="D2168" s="7" t="s">
        <v>40</v>
      </c>
      <c r="E2168" s="7" t="n">
        <v>37</v>
      </c>
      <c r="F2168" s="7" t="n">
        <v>8</v>
      </c>
      <c r="G2168" s="7" t="s">
        <v>34</v>
      </c>
      <c r="H2168" s="7" t="s">
        <v>27</v>
      </c>
      <c r="I2168" s="7" t="n">
        <v>21.1</v>
      </c>
      <c r="J2168" s="7" t="s">
        <v>28</v>
      </c>
      <c r="K2168" s="7" t="n">
        <v>176.8</v>
      </c>
      <c r="L2168" s="7" t="s">
        <v>29</v>
      </c>
      <c r="M2168" s="7" t="s">
        <v>38</v>
      </c>
    </row>
    <row r="2169" customFormat="false" ht="15" hidden="false" customHeight="true" outlineLevel="0" collapsed="false">
      <c r="A2169" s="7" t="n">
        <v>605</v>
      </c>
      <c r="B2169" s="7" t="n">
        <v>67</v>
      </c>
      <c r="C2169" s="7" t="s">
        <v>33</v>
      </c>
      <c r="D2169" s="7" t="s">
        <v>40</v>
      </c>
      <c r="E2169" s="7" t="n">
        <v>13</v>
      </c>
      <c r="F2169" s="7" t="n">
        <v>12</v>
      </c>
      <c r="G2169" s="7" t="s">
        <v>31</v>
      </c>
      <c r="H2169" s="7" t="s">
        <v>27</v>
      </c>
      <c r="I2169" s="7" t="n">
        <v>36.7</v>
      </c>
      <c r="J2169" s="7" t="s">
        <v>28</v>
      </c>
      <c r="K2169" s="7" t="n">
        <v>235.1</v>
      </c>
      <c r="L2169" s="7" t="s">
        <v>37</v>
      </c>
      <c r="M2169" s="7" t="s">
        <v>38</v>
      </c>
    </row>
    <row r="2170" customFormat="false" ht="15" hidden="false" customHeight="true" outlineLevel="0" collapsed="false">
      <c r="A2170" s="7" t="n">
        <v>649</v>
      </c>
      <c r="B2170" s="7" t="n">
        <v>76</v>
      </c>
      <c r="C2170" s="7" t="s">
        <v>24</v>
      </c>
      <c r="D2170" s="7" t="s">
        <v>40</v>
      </c>
      <c r="E2170" s="7" t="n">
        <v>22</v>
      </c>
      <c r="F2170" s="7" t="n">
        <v>17</v>
      </c>
      <c r="G2170" s="7" t="s">
        <v>35</v>
      </c>
      <c r="H2170" s="7" t="s">
        <v>32</v>
      </c>
      <c r="I2170" s="7" t="n">
        <v>35.2</v>
      </c>
      <c r="J2170" s="7" t="s">
        <v>28</v>
      </c>
      <c r="K2170" s="7" t="n">
        <v>200.8</v>
      </c>
      <c r="L2170" s="7" t="s">
        <v>29</v>
      </c>
      <c r="M2170" s="7" t="s">
        <v>38</v>
      </c>
    </row>
    <row r="2171" customFormat="false" ht="15" hidden="false" customHeight="true" outlineLevel="0" collapsed="false">
      <c r="A2171" s="7" t="n">
        <v>662</v>
      </c>
      <c r="B2171" s="7" t="n">
        <v>45</v>
      </c>
      <c r="C2171" s="7" t="s">
        <v>24</v>
      </c>
      <c r="D2171" s="7" t="s">
        <v>40</v>
      </c>
      <c r="E2171" s="7" t="n">
        <v>18</v>
      </c>
      <c r="F2171" s="7" t="n">
        <v>16</v>
      </c>
      <c r="G2171" s="7" t="s">
        <v>26</v>
      </c>
      <c r="H2171" s="7" t="s">
        <v>32</v>
      </c>
      <c r="I2171" s="7" t="n">
        <v>28.2</v>
      </c>
      <c r="J2171" s="7" t="s">
        <v>28</v>
      </c>
      <c r="K2171" s="7" t="n">
        <v>290</v>
      </c>
      <c r="L2171" s="7" t="s">
        <v>37</v>
      </c>
      <c r="M2171" s="7" t="s">
        <v>38</v>
      </c>
    </row>
    <row r="2172" customFormat="false" ht="15" hidden="false" customHeight="true" outlineLevel="0" collapsed="false">
      <c r="A2172" s="7" t="n">
        <v>694</v>
      </c>
      <c r="B2172" s="7" t="n">
        <v>54</v>
      </c>
      <c r="C2172" s="7" t="s">
        <v>24</v>
      </c>
      <c r="D2172" s="7" t="s">
        <v>40</v>
      </c>
      <c r="E2172" s="7" t="n">
        <v>13</v>
      </c>
      <c r="F2172" s="7" t="n">
        <v>25</v>
      </c>
      <c r="G2172" s="7" t="s">
        <v>35</v>
      </c>
      <c r="H2172" s="7" t="s">
        <v>32</v>
      </c>
      <c r="I2172" s="7" t="n">
        <v>33.2</v>
      </c>
      <c r="J2172" s="7" t="s">
        <v>28</v>
      </c>
      <c r="K2172" s="7" t="n">
        <v>255.9</v>
      </c>
      <c r="L2172" s="7" t="s">
        <v>29</v>
      </c>
      <c r="M2172" s="7" t="s">
        <v>38</v>
      </c>
    </row>
    <row r="2173" customFormat="false" ht="15" hidden="false" customHeight="true" outlineLevel="0" collapsed="false">
      <c r="A2173" s="7" t="n">
        <v>698</v>
      </c>
      <c r="B2173" s="7" t="n">
        <v>60</v>
      </c>
      <c r="C2173" s="7" t="s">
        <v>24</v>
      </c>
      <c r="D2173" s="7" t="s">
        <v>40</v>
      </c>
      <c r="E2173" s="7" t="n">
        <v>20</v>
      </c>
      <c r="F2173" s="7" t="n">
        <v>6</v>
      </c>
      <c r="G2173" s="7" t="s">
        <v>31</v>
      </c>
      <c r="H2173" s="7" t="s">
        <v>27</v>
      </c>
      <c r="I2173" s="7" t="n">
        <v>37.5</v>
      </c>
      <c r="J2173" s="7" t="s">
        <v>28</v>
      </c>
      <c r="K2173" s="7" t="n">
        <v>217.3</v>
      </c>
      <c r="L2173" s="7" t="s">
        <v>29</v>
      </c>
      <c r="M2173" s="7" t="s">
        <v>38</v>
      </c>
    </row>
    <row r="2174" customFormat="false" ht="15" hidden="false" customHeight="true" outlineLevel="0" collapsed="false">
      <c r="A2174" s="7" t="n">
        <v>728</v>
      </c>
      <c r="B2174" s="7" t="n">
        <v>80</v>
      </c>
      <c r="C2174" s="7" t="s">
        <v>33</v>
      </c>
      <c r="D2174" s="7" t="s">
        <v>40</v>
      </c>
      <c r="E2174" s="7" t="n">
        <v>34</v>
      </c>
      <c r="F2174" s="7" t="n">
        <v>11</v>
      </c>
      <c r="G2174" s="7" t="s">
        <v>36</v>
      </c>
      <c r="H2174" s="7" t="s">
        <v>27</v>
      </c>
      <c r="I2174" s="7" t="n">
        <v>25.1</v>
      </c>
      <c r="J2174" s="7" t="s">
        <v>28</v>
      </c>
      <c r="K2174" s="7" t="n">
        <v>270</v>
      </c>
      <c r="L2174" s="7" t="s">
        <v>29</v>
      </c>
      <c r="M2174" s="7" t="s">
        <v>38</v>
      </c>
    </row>
    <row r="2175" customFormat="false" ht="15" hidden="false" customHeight="true" outlineLevel="0" collapsed="false">
      <c r="A2175" s="7" t="n">
        <v>746</v>
      </c>
      <c r="B2175" s="7" t="n">
        <v>85</v>
      </c>
      <c r="C2175" s="7" t="s">
        <v>24</v>
      </c>
      <c r="D2175" s="7" t="s">
        <v>40</v>
      </c>
      <c r="E2175" s="7" t="n">
        <v>19</v>
      </c>
      <c r="F2175" s="7" t="n">
        <v>9</v>
      </c>
      <c r="G2175" s="7" t="s">
        <v>31</v>
      </c>
      <c r="H2175" s="7" t="s">
        <v>27</v>
      </c>
      <c r="I2175" s="7" t="n">
        <v>28.7</v>
      </c>
      <c r="J2175" s="7" t="s">
        <v>28</v>
      </c>
      <c r="K2175" s="7" t="n">
        <v>138.1</v>
      </c>
      <c r="L2175" s="7" t="s">
        <v>29</v>
      </c>
      <c r="M2175" s="7" t="s">
        <v>38</v>
      </c>
    </row>
    <row r="2176" customFormat="false" ht="15" hidden="false" customHeight="true" outlineLevel="0" collapsed="false">
      <c r="A2176" s="7" t="n">
        <v>762</v>
      </c>
      <c r="B2176" s="7" t="n">
        <v>39</v>
      </c>
      <c r="C2176" s="7" t="s">
        <v>33</v>
      </c>
      <c r="D2176" s="7" t="s">
        <v>40</v>
      </c>
      <c r="E2176" s="7" t="n">
        <v>23</v>
      </c>
      <c r="F2176" s="7" t="n">
        <v>25</v>
      </c>
      <c r="G2176" s="7" t="s">
        <v>34</v>
      </c>
      <c r="H2176" s="7" t="s">
        <v>27</v>
      </c>
      <c r="I2176" s="7" t="n">
        <v>30.4</v>
      </c>
      <c r="J2176" s="7" t="s">
        <v>28</v>
      </c>
      <c r="K2176" s="7" t="n">
        <v>195.1</v>
      </c>
      <c r="L2176" s="7" t="s">
        <v>29</v>
      </c>
      <c r="M2176" s="7" t="s">
        <v>38</v>
      </c>
    </row>
    <row r="2177" customFormat="false" ht="15" hidden="false" customHeight="true" outlineLevel="0" collapsed="false">
      <c r="A2177" s="7" t="n">
        <v>772</v>
      </c>
      <c r="B2177" s="7" t="n">
        <v>52</v>
      </c>
      <c r="C2177" s="7" t="s">
        <v>33</v>
      </c>
      <c r="D2177" s="7" t="s">
        <v>40</v>
      </c>
      <c r="E2177" s="7" t="n">
        <v>11</v>
      </c>
      <c r="F2177" s="7" t="n">
        <v>8</v>
      </c>
      <c r="G2177" s="7" t="s">
        <v>35</v>
      </c>
      <c r="H2177" s="7" t="s">
        <v>27</v>
      </c>
      <c r="I2177" s="7" t="n">
        <v>36.2</v>
      </c>
      <c r="J2177" s="7" t="s">
        <v>28</v>
      </c>
      <c r="K2177" s="7" t="n">
        <v>176.1</v>
      </c>
      <c r="L2177" s="7" t="s">
        <v>29</v>
      </c>
      <c r="M2177" s="7" t="s">
        <v>38</v>
      </c>
    </row>
    <row r="2178" customFormat="false" ht="15" hidden="false" customHeight="true" outlineLevel="0" collapsed="false">
      <c r="A2178" s="7" t="n">
        <v>779</v>
      </c>
      <c r="B2178" s="7" t="n">
        <v>53</v>
      </c>
      <c r="C2178" s="7" t="s">
        <v>33</v>
      </c>
      <c r="D2178" s="7" t="s">
        <v>40</v>
      </c>
      <c r="E2178" s="7" t="n">
        <v>16</v>
      </c>
      <c r="F2178" s="7" t="n">
        <v>13</v>
      </c>
      <c r="G2178" s="7" t="s">
        <v>31</v>
      </c>
      <c r="H2178" s="7" t="s">
        <v>27</v>
      </c>
      <c r="I2178" s="7" t="n">
        <v>31.1</v>
      </c>
      <c r="J2178" s="7" t="s">
        <v>28</v>
      </c>
      <c r="K2178" s="7" t="n">
        <v>293</v>
      </c>
      <c r="L2178" s="7" t="s">
        <v>29</v>
      </c>
      <c r="M2178" s="7" t="s">
        <v>38</v>
      </c>
    </row>
    <row r="2179" customFormat="false" ht="15" hidden="false" customHeight="true" outlineLevel="0" collapsed="false">
      <c r="A2179" s="7" t="n">
        <v>827</v>
      </c>
      <c r="B2179" s="7" t="n">
        <v>42</v>
      </c>
      <c r="C2179" s="7" t="s">
        <v>24</v>
      </c>
      <c r="D2179" s="7" t="s">
        <v>40</v>
      </c>
      <c r="E2179" s="7" t="n">
        <v>5</v>
      </c>
      <c r="F2179" s="7" t="n">
        <v>7</v>
      </c>
      <c r="G2179" s="7" t="s">
        <v>35</v>
      </c>
      <c r="H2179" s="7" t="s">
        <v>27</v>
      </c>
      <c r="I2179" s="7" t="n">
        <v>31.7</v>
      </c>
      <c r="J2179" s="7" t="s">
        <v>28</v>
      </c>
      <c r="K2179" s="7" t="n">
        <v>156.5</v>
      </c>
      <c r="L2179" s="7" t="s">
        <v>29</v>
      </c>
      <c r="M2179" s="7" t="s">
        <v>38</v>
      </c>
    </row>
    <row r="2180" customFormat="false" ht="15" hidden="false" customHeight="true" outlineLevel="0" collapsed="false">
      <c r="A2180" s="7" t="n">
        <v>851</v>
      </c>
      <c r="B2180" s="7" t="n">
        <v>35</v>
      </c>
      <c r="C2180" s="7" t="s">
        <v>24</v>
      </c>
      <c r="D2180" s="7" t="s">
        <v>40</v>
      </c>
      <c r="E2180" s="7" t="n">
        <v>37</v>
      </c>
      <c r="F2180" s="7" t="n">
        <v>16</v>
      </c>
      <c r="G2180" s="7" t="s">
        <v>31</v>
      </c>
      <c r="H2180" s="7" t="s">
        <v>27</v>
      </c>
      <c r="I2180" s="7" t="n">
        <v>39.7</v>
      </c>
      <c r="J2180" s="7" t="s">
        <v>28</v>
      </c>
      <c r="K2180" s="7" t="n">
        <v>241.9</v>
      </c>
      <c r="L2180" s="7" t="s">
        <v>29</v>
      </c>
      <c r="M2180" s="7" t="s">
        <v>38</v>
      </c>
    </row>
    <row r="2181" customFormat="false" ht="15" hidden="false" customHeight="true" outlineLevel="0" collapsed="false">
      <c r="A2181" s="7" t="n">
        <v>865</v>
      </c>
      <c r="B2181" s="7" t="n">
        <v>63</v>
      </c>
      <c r="C2181" s="7" t="s">
        <v>33</v>
      </c>
      <c r="D2181" s="7" t="s">
        <v>40</v>
      </c>
      <c r="E2181" s="7" t="n">
        <v>16</v>
      </c>
      <c r="F2181" s="7" t="n">
        <v>19</v>
      </c>
      <c r="G2181" s="7" t="s">
        <v>26</v>
      </c>
      <c r="H2181" s="7" t="s">
        <v>32</v>
      </c>
      <c r="I2181" s="7" t="n">
        <v>21.5</v>
      </c>
      <c r="J2181" s="7" t="s">
        <v>28</v>
      </c>
      <c r="K2181" s="7" t="n">
        <v>272.7</v>
      </c>
      <c r="L2181" s="7" t="s">
        <v>37</v>
      </c>
      <c r="M2181" s="7" t="s">
        <v>38</v>
      </c>
    </row>
    <row r="2182" customFormat="false" ht="15" hidden="false" customHeight="true" outlineLevel="0" collapsed="false">
      <c r="A2182" s="7" t="n">
        <v>872</v>
      </c>
      <c r="B2182" s="7" t="n">
        <v>67</v>
      </c>
      <c r="C2182" s="7" t="s">
        <v>24</v>
      </c>
      <c r="D2182" s="7" t="s">
        <v>40</v>
      </c>
      <c r="E2182" s="7" t="n">
        <v>21</v>
      </c>
      <c r="F2182" s="7" t="n">
        <v>26</v>
      </c>
      <c r="G2182" s="7" t="s">
        <v>35</v>
      </c>
      <c r="H2182" s="7" t="s">
        <v>27</v>
      </c>
      <c r="I2182" s="7" t="n">
        <v>19.2</v>
      </c>
      <c r="J2182" s="7" t="s">
        <v>28</v>
      </c>
      <c r="K2182" s="7" t="n">
        <v>153.9</v>
      </c>
      <c r="L2182" s="7" t="s">
        <v>29</v>
      </c>
      <c r="M2182" s="7" t="s">
        <v>38</v>
      </c>
    </row>
    <row r="2183" customFormat="false" ht="15" hidden="false" customHeight="true" outlineLevel="0" collapsed="false">
      <c r="A2183" s="7" t="n">
        <v>876</v>
      </c>
      <c r="B2183" s="7" t="n">
        <v>61</v>
      </c>
      <c r="C2183" s="7" t="s">
        <v>24</v>
      </c>
      <c r="D2183" s="7" t="s">
        <v>40</v>
      </c>
      <c r="E2183" s="7" t="n">
        <v>34</v>
      </c>
      <c r="F2183" s="7" t="n">
        <v>16</v>
      </c>
      <c r="G2183" s="7" t="s">
        <v>35</v>
      </c>
      <c r="H2183" s="7" t="s">
        <v>27</v>
      </c>
      <c r="I2183" s="7" t="n">
        <v>22.4</v>
      </c>
      <c r="J2183" s="7" t="s">
        <v>28</v>
      </c>
      <c r="K2183" s="7" t="n">
        <v>171.1</v>
      </c>
      <c r="L2183" s="7" t="s">
        <v>37</v>
      </c>
      <c r="M2183" s="7" t="s">
        <v>38</v>
      </c>
    </row>
    <row r="2184" customFormat="false" ht="15" hidden="false" customHeight="true" outlineLevel="0" collapsed="false">
      <c r="A2184" s="7" t="n">
        <v>898</v>
      </c>
      <c r="B2184" s="7" t="n">
        <v>57</v>
      </c>
      <c r="C2184" s="7" t="s">
        <v>33</v>
      </c>
      <c r="D2184" s="7" t="s">
        <v>40</v>
      </c>
      <c r="E2184" s="7" t="n">
        <v>26</v>
      </c>
      <c r="F2184" s="7" t="n">
        <v>27</v>
      </c>
      <c r="G2184" s="7" t="s">
        <v>35</v>
      </c>
      <c r="H2184" s="7" t="s">
        <v>32</v>
      </c>
      <c r="I2184" s="7" t="n">
        <v>40.3</v>
      </c>
      <c r="J2184" s="7" t="s">
        <v>28</v>
      </c>
      <c r="K2184" s="7" t="n">
        <v>223.9</v>
      </c>
      <c r="L2184" s="7" t="s">
        <v>37</v>
      </c>
      <c r="M2184" s="7" t="s">
        <v>38</v>
      </c>
    </row>
    <row r="2185" customFormat="false" ht="15" hidden="false" customHeight="true" outlineLevel="0" collapsed="false">
      <c r="A2185" s="7" t="n">
        <v>911</v>
      </c>
      <c r="B2185" s="7" t="n">
        <v>46</v>
      </c>
      <c r="C2185" s="7" t="s">
        <v>33</v>
      </c>
      <c r="D2185" s="7" t="s">
        <v>40</v>
      </c>
      <c r="E2185" s="7" t="n">
        <v>13</v>
      </c>
      <c r="F2185" s="7" t="n">
        <v>6</v>
      </c>
      <c r="G2185" s="7" t="s">
        <v>35</v>
      </c>
      <c r="H2185" s="7" t="s">
        <v>27</v>
      </c>
      <c r="I2185" s="7" t="n">
        <v>26.2</v>
      </c>
      <c r="J2185" s="7" t="s">
        <v>28</v>
      </c>
      <c r="K2185" s="7" t="n">
        <v>261.2</v>
      </c>
      <c r="L2185" s="7" t="s">
        <v>29</v>
      </c>
      <c r="M2185" s="7" t="s">
        <v>38</v>
      </c>
    </row>
    <row r="2186" customFormat="false" ht="15" hidden="false" customHeight="true" outlineLevel="0" collapsed="false">
      <c r="A2186" s="7" t="n">
        <v>914</v>
      </c>
      <c r="B2186" s="7" t="n">
        <v>59</v>
      </c>
      <c r="C2186" s="7" t="s">
        <v>33</v>
      </c>
      <c r="D2186" s="7" t="s">
        <v>40</v>
      </c>
      <c r="E2186" s="7" t="n">
        <v>39</v>
      </c>
      <c r="F2186" s="7" t="n">
        <v>11</v>
      </c>
      <c r="G2186" s="7" t="s">
        <v>36</v>
      </c>
      <c r="H2186" s="7" t="s">
        <v>32</v>
      </c>
      <c r="I2186" s="7" t="n">
        <v>37</v>
      </c>
      <c r="J2186" s="7" t="s">
        <v>28</v>
      </c>
      <c r="K2186" s="7" t="n">
        <v>208.8</v>
      </c>
      <c r="L2186" s="7" t="s">
        <v>37</v>
      </c>
      <c r="M2186" s="7" t="s">
        <v>38</v>
      </c>
    </row>
    <row r="2187" customFormat="false" ht="15" hidden="false" customHeight="true" outlineLevel="0" collapsed="false">
      <c r="A2187" s="7" t="n">
        <v>916</v>
      </c>
      <c r="B2187" s="7" t="n">
        <v>28</v>
      </c>
      <c r="C2187" s="7" t="s">
        <v>24</v>
      </c>
      <c r="D2187" s="7" t="s">
        <v>40</v>
      </c>
      <c r="E2187" s="7" t="n">
        <v>5</v>
      </c>
      <c r="F2187" s="7" t="n">
        <v>10</v>
      </c>
      <c r="G2187" s="7" t="s">
        <v>35</v>
      </c>
      <c r="H2187" s="7" t="s">
        <v>32</v>
      </c>
      <c r="I2187" s="7" t="n">
        <v>40.5</v>
      </c>
      <c r="J2187" s="7" t="s">
        <v>28</v>
      </c>
      <c r="K2187" s="7" t="n">
        <v>216.3</v>
      </c>
      <c r="L2187" s="7" t="s">
        <v>29</v>
      </c>
      <c r="M2187" s="7" t="s">
        <v>38</v>
      </c>
    </row>
    <row r="2188" customFormat="false" ht="15" hidden="false" customHeight="true" outlineLevel="0" collapsed="false">
      <c r="A2188" s="7" t="n">
        <v>933</v>
      </c>
      <c r="B2188" s="7" t="n">
        <v>53</v>
      </c>
      <c r="C2188" s="7" t="s">
        <v>33</v>
      </c>
      <c r="D2188" s="7" t="s">
        <v>40</v>
      </c>
      <c r="E2188" s="7" t="n">
        <v>14</v>
      </c>
      <c r="F2188" s="7" t="n">
        <v>13</v>
      </c>
      <c r="G2188" s="7" t="s">
        <v>31</v>
      </c>
      <c r="H2188" s="7" t="s">
        <v>32</v>
      </c>
      <c r="I2188" s="7" t="n">
        <v>27.1</v>
      </c>
      <c r="J2188" s="7" t="s">
        <v>28</v>
      </c>
      <c r="K2188" s="7" t="n">
        <v>212.2</v>
      </c>
      <c r="L2188" s="7" t="s">
        <v>29</v>
      </c>
      <c r="M2188" s="7" t="s">
        <v>38</v>
      </c>
    </row>
    <row r="2189" customFormat="false" ht="15" hidden="false" customHeight="true" outlineLevel="0" collapsed="false">
      <c r="A2189" s="7" t="n">
        <v>940</v>
      </c>
      <c r="B2189" s="7" t="n">
        <v>75</v>
      </c>
      <c r="C2189" s="7" t="s">
        <v>33</v>
      </c>
      <c r="D2189" s="7" t="s">
        <v>40</v>
      </c>
      <c r="E2189" s="7" t="n">
        <v>30</v>
      </c>
      <c r="F2189" s="7" t="n">
        <v>25</v>
      </c>
      <c r="G2189" s="7" t="s">
        <v>31</v>
      </c>
      <c r="H2189" s="7" t="s">
        <v>27</v>
      </c>
      <c r="I2189" s="7" t="n">
        <v>21.5</v>
      </c>
      <c r="J2189" s="7" t="s">
        <v>28</v>
      </c>
      <c r="K2189" s="7" t="n">
        <v>154</v>
      </c>
      <c r="L2189" s="7" t="s">
        <v>37</v>
      </c>
      <c r="M2189" s="7" t="s">
        <v>38</v>
      </c>
    </row>
    <row r="2190" customFormat="false" ht="15" hidden="false" customHeight="true" outlineLevel="0" collapsed="false">
      <c r="A2190" s="7" t="n">
        <v>956</v>
      </c>
      <c r="B2190" s="7" t="n">
        <v>78</v>
      </c>
      <c r="C2190" s="7" t="s">
        <v>33</v>
      </c>
      <c r="D2190" s="7" t="s">
        <v>40</v>
      </c>
      <c r="E2190" s="7" t="n">
        <v>22</v>
      </c>
      <c r="F2190" s="7" t="n">
        <v>21</v>
      </c>
      <c r="G2190" s="7" t="s">
        <v>31</v>
      </c>
      <c r="H2190" s="7" t="s">
        <v>27</v>
      </c>
      <c r="I2190" s="7" t="n">
        <v>35</v>
      </c>
      <c r="J2190" s="7" t="s">
        <v>28</v>
      </c>
      <c r="K2190" s="7" t="n">
        <v>191.2</v>
      </c>
      <c r="L2190" s="7" t="s">
        <v>29</v>
      </c>
      <c r="M2190" s="7" t="s">
        <v>38</v>
      </c>
    </row>
    <row r="2191" customFormat="false" ht="15" hidden="false" customHeight="true" outlineLevel="0" collapsed="false">
      <c r="A2191" s="7" t="n">
        <v>969</v>
      </c>
      <c r="B2191" s="7" t="n">
        <v>67</v>
      </c>
      <c r="C2191" s="7" t="s">
        <v>33</v>
      </c>
      <c r="D2191" s="7" t="s">
        <v>40</v>
      </c>
      <c r="E2191" s="7" t="n">
        <v>23</v>
      </c>
      <c r="F2191" s="7" t="n">
        <v>12</v>
      </c>
      <c r="G2191" s="7" t="s">
        <v>34</v>
      </c>
      <c r="H2191" s="7" t="s">
        <v>32</v>
      </c>
      <c r="I2191" s="7" t="n">
        <v>19.3</v>
      </c>
      <c r="J2191" s="7" t="s">
        <v>28</v>
      </c>
      <c r="K2191" s="7" t="n">
        <v>149.2</v>
      </c>
      <c r="L2191" s="7" t="s">
        <v>29</v>
      </c>
      <c r="M2191" s="7" t="s">
        <v>38</v>
      </c>
    </row>
    <row r="2192" customFormat="false" ht="15" hidden="false" customHeight="true" outlineLevel="0" collapsed="false">
      <c r="A2192" s="7" t="n">
        <v>1011</v>
      </c>
      <c r="B2192" s="7" t="n">
        <v>21</v>
      </c>
      <c r="C2192" s="7" t="s">
        <v>24</v>
      </c>
      <c r="D2192" s="7" t="s">
        <v>40</v>
      </c>
      <c r="E2192" s="7" t="n">
        <v>10</v>
      </c>
      <c r="F2192" s="7" t="n">
        <v>18</v>
      </c>
      <c r="G2192" s="7" t="s">
        <v>35</v>
      </c>
      <c r="H2192" s="7" t="s">
        <v>27</v>
      </c>
      <c r="I2192" s="7" t="n">
        <v>22.1</v>
      </c>
      <c r="J2192" s="7" t="s">
        <v>28</v>
      </c>
      <c r="K2192" s="7" t="n">
        <v>130.2</v>
      </c>
      <c r="L2192" s="7" t="s">
        <v>29</v>
      </c>
      <c r="M2192" s="7" t="s">
        <v>38</v>
      </c>
    </row>
    <row r="2193" customFormat="false" ht="15" hidden="false" customHeight="true" outlineLevel="0" collapsed="false">
      <c r="A2193" s="7" t="n">
        <v>1023</v>
      </c>
      <c r="B2193" s="7" t="n">
        <v>67</v>
      </c>
      <c r="C2193" s="7" t="s">
        <v>33</v>
      </c>
      <c r="D2193" s="7" t="s">
        <v>40</v>
      </c>
      <c r="E2193" s="7" t="n">
        <v>23</v>
      </c>
      <c r="F2193" s="7" t="n">
        <v>27</v>
      </c>
      <c r="G2193" s="7" t="s">
        <v>35</v>
      </c>
      <c r="H2193" s="7" t="s">
        <v>27</v>
      </c>
      <c r="I2193" s="7" t="n">
        <v>24.6</v>
      </c>
      <c r="J2193" s="7" t="s">
        <v>28</v>
      </c>
      <c r="K2193" s="7" t="n">
        <v>148.7</v>
      </c>
      <c r="L2193" s="7" t="s">
        <v>37</v>
      </c>
      <c r="M2193" s="7" t="s">
        <v>38</v>
      </c>
    </row>
    <row r="2194" customFormat="false" ht="15" hidden="false" customHeight="true" outlineLevel="0" collapsed="false">
      <c r="A2194" s="7" t="n">
        <v>1054</v>
      </c>
      <c r="B2194" s="7" t="n">
        <v>77</v>
      </c>
      <c r="C2194" s="7" t="s">
        <v>24</v>
      </c>
      <c r="D2194" s="7" t="s">
        <v>40</v>
      </c>
      <c r="E2194" s="7" t="n">
        <v>25</v>
      </c>
      <c r="F2194" s="7" t="n">
        <v>10</v>
      </c>
      <c r="G2194" s="7" t="s">
        <v>36</v>
      </c>
      <c r="H2194" s="7" t="s">
        <v>27</v>
      </c>
      <c r="I2194" s="7" t="n">
        <v>31.9</v>
      </c>
      <c r="J2194" s="7" t="s">
        <v>28</v>
      </c>
      <c r="K2194" s="7" t="n">
        <v>179.5</v>
      </c>
      <c r="L2194" s="7" t="s">
        <v>37</v>
      </c>
      <c r="M2194" s="7" t="s">
        <v>38</v>
      </c>
    </row>
    <row r="2195" customFormat="false" ht="15" hidden="false" customHeight="true" outlineLevel="0" collapsed="false">
      <c r="A2195" s="7" t="n">
        <v>1076</v>
      </c>
      <c r="B2195" s="7" t="n">
        <v>36</v>
      </c>
      <c r="C2195" s="7" t="s">
        <v>33</v>
      </c>
      <c r="D2195" s="7" t="s">
        <v>40</v>
      </c>
      <c r="E2195" s="7" t="n">
        <v>30</v>
      </c>
      <c r="F2195" s="7" t="n">
        <v>25</v>
      </c>
      <c r="G2195" s="7" t="s">
        <v>26</v>
      </c>
      <c r="H2195" s="7" t="s">
        <v>32</v>
      </c>
      <c r="I2195" s="7" t="n">
        <v>18.2</v>
      </c>
      <c r="J2195" s="7" t="s">
        <v>28</v>
      </c>
      <c r="K2195" s="7" t="n">
        <v>246.9</v>
      </c>
      <c r="L2195" s="7" t="s">
        <v>37</v>
      </c>
      <c r="M2195" s="7" t="s">
        <v>38</v>
      </c>
    </row>
    <row r="2196" customFormat="false" ht="15" hidden="false" customHeight="true" outlineLevel="0" collapsed="false">
      <c r="A2196" s="7" t="n">
        <v>1145</v>
      </c>
      <c r="B2196" s="7" t="n">
        <v>84</v>
      </c>
      <c r="C2196" s="7" t="s">
        <v>33</v>
      </c>
      <c r="D2196" s="7" t="s">
        <v>40</v>
      </c>
      <c r="E2196" s="7" t="n">
        <v>11</v>
      </c>
      <c r="F2196" s="7" t="n">
        <v>29</v>
      </c>
      <c r="G2196" s="7" t="s">
        <v>26</v>
      </c>
      <c r="H2196" s="7" t="s">
        <v>32</v>
      </c>
      <c r="I2196" s="7" t="n">
        <v>23.7</v>
      </c>
      <c r="J2196" s="7" t="s">
        <v>28</v>
      </c>
      <c r="K2196" s="7" t="n">
        <v>214</v>
      </c>
      <c r="L2196" s="7" t="s">
        <v>29</v>
      </c>
      <c r="M2196" s="7" t="s">
        <v>38</v>
      </c>
    </row>
    <row r="2197" customFormat="false" ht="15" hidden="false" customHeight="true" outlineLevel="0" collapsed="false">
      <c r="A2197" s="7" t="n">
        <v>1152</v>
      </c>
      <c r="B2197" s="7" t="n">
        <v>84</v>
      </c>
      <c r="C2197" s="7" t="s">
        <v>33</v>
      </c>
      <c r="D2197" s="7" t="s">
        <v>40</v>
      </c>
      <c r="E2197" s="7" t="n">
        <v>33</v>
      </c>
      <c r="F2197" s="7" t="n">
        <v>24</v>
      </c>
      <c r="G2197" s="7" t="s">
        <v>31</v>
      </c>
      <c r="H2197" s="7" t="s">
        <v>32</v>
      </c>
      <c r="I2197" s="7" t="n">
        <v>40.4</v>
      </c>
      <c r="J2197" s="7" t="s">
        <v>28</v>
      </c>
      <c r="K2197" s="7" t="n">
        <v>247.6</v>
      </c>
      <c r="L2197" s="7" t="s">
        <v>29</v>
      </c>
      <c r="M2197" s="7" t="s">
        <v>38</v>
      </c>
    </row>
    <row r="2198" customFormat="false" ht="15" hidden="false" customHeight="true" outlineLevel="0" collapsed="false">
      <c r="A2198" s="7" t="n">
        <v>1170</v>
      </c>
      <c r="B2198" s="7" t="n">
        <v>61</v>
      </c>
      <c r="C2198" s="7" t="s">
        <v>33</v>
      </c>
      <c r="D2198" s="7" t="s">
        <v>40</v>
      </c>
      <c r="E2198" s="7" t="n">
        <v>31</v>
      </c>
      <c r="F2198" s="7" t="n">
        <v>25</v>
      </c>
      <c r="G2198" s="7" t="s">
        <v>34</v>
      </c>
      <c r="H2198" s="7" t="s">
        <v>32</v>
      </c>
      <c r="I2198" s="7" t="n">
        <v>30.9</v>
      </c>
      <c r="J2198" s="7" t="s">
        <v>28</v>
      </c>
      <c r="K2198" s="7" t="n">
        <v>179.9</v>
      </c>
      <c r="L2198" s="7" t="s">
        <v>29</v>
      </c>
      <c r="M2198" s="7" t="s">
        <v>38</v>
      </c>
    </row>
    <row r="2199" customFormat="false" ht="15" hidden="false" customHeight="true" outlineLevel="0" collapsed="false">
      <c r="A2199" s="7" t="n">
        <v>1215</v>
      </c>
      <c r="B2199" s="7" t="n">
        <v>38</v>
      </c>
      <c r="C2199" s="7" t="s">
        <v>33</v>
      </c>
      <c r="D2199" s="7" t="s">
        <v>40</v>
      </c>
      <c r="E2199" s="7" t="n">
        <v>10</v>
      </c>
      <c r="F2199" s="7" t="n">
        <v>21</v>
      </c>
      <c r="G2199" s="7" t="s">
        <v>35</v>
      </c>
      <c r="H2199" s="7" t="s">
        <v>27</v>
      </c>
      <c r="I2199" s="7" t="n">
        <v>25.1</v>
      </c>
      <c r="J2199" s="7" t="s">
        <v>28</v>
      </c>
      <c r="K2199" s="7" t="n">
        <v>260.9</v>
      </c>
      <c r="L2199" s="7" t="s">
        <v>29</v>
      </c>
      <c r="M2199" s="7" t="s">
        <v>38</v>
      </c>
    </row>
    <row r="2200" customFormat="false" ht="15" hidden="false" customHeight="true" outlineLevel="0" collapsed="false">
      <c r="A2200" s="7" t="n">
        <v>1242</v>
      </c>
      <c r="B2200" s="7" t="n">
        <v>41</v>
      </c>
      <c r="C2200" s="7" t="s">
        <v>33</v>
      </c>
      <c r="D2200" s="7" t="s">
        <v>40</v>
      </c>
      <c r="E2200" s="7" t="n">
        <v>9</v>
      </c>
      <c r="F2200" s="7" t="n">
        <v>29</v>
      </c>
      <c r="G2200" s="7" t="s">
        <v>35</v>
      </c>
      <c r="H2200" s="7" t="s">
        <v>27</v>
      </c>
      <c r="I2200" s="7" t="n">
        <v>28.1</v>
      </c>
      <c r="J2200" s="7" t="s">
        <v>28</v>
      </c>
      <c r="K2200" s="7" t="n">
        <v>213.2</v>
      </c>
      <c r="L2200" s="7" t="s">
        <v>29</v>
      </c>
      <c r="M2200" s="7" t="s">
        <v>38</v>
      </c>
    </row>
    <row r="2201" customFormat="false" ht="15" hidden="false" customHeight="true" outlineLevel="0" collapsed="false">
      <c r="A2201" s="7" t="n">
        <v>1250</v>
      </c>
      <c r="B2201" s="7" t="n">
        <v>73</v>
      </c>
      <c r="C2201" s="7" t="s">
        <v>33</v>
      </c>
      <c r="D2201" s="7" t="s">
        <v>40</v>
      </c>
      <c r="E2201" s="7" t="n">
        <v>24</v>
      </c>
      <c r="F2201" s="7" t="n">
        <v>6</v>
      </c>
      <c r="G2201" s="7" t="s">
        <v>31</v>
      </c>
      <c r="H2201" s="7" t="s">
        <v>32</v>
      </c>
      <c r="I2201" s="7" t="n">
        <v>33.4</v>
      </c>
      <c r="J2201" s="7" t="s">
        <v>28</v>
      </c>
      <c r="K2201" s="7" t="n">
        <v>257.8</v>
      </c>
      <c r="L2201" s="7" t="s">
        <v>29</v>
      </c>
      <c r="M2201" s="7" t="s">
        <v>38</v>
      </c>
    </row>
    <row r="2202" customFormat="false" ht="15" hidden="false" customHeight="true" outlineLevel="0" collapsed="false">
      <c r="A2202" s="7" t="n">
        <v>1255</v>
      </c>
      <c r="B2202" s="7" t="n">
        <v>62</v>
      </c>
      <c r="C2202" s="7" t="s">
        <v>33</v>
      </c>
      <c r="D2202" s="7" t="s">
        <v>40</v>
      </c>
      <c r="E2202" s="7" t="n">
        <v>24</v>
      </c>
      <c r="F2202" s="7" t="n">
        <v>24</v>
      </c>
      <c r="G2202" s="7" t="s">
        <v>35</v>
      </c>
      <c r="H2202" s="7" t="s">
        <v>27</v>
      </c>
      <c r="I2202" s="7" t="n">
        <v>40.6</v>
      </c>
      <c r="J2202" s="7" t="s">
        <v>28</v>
      </c>
      <c r="K2202" s="7" t="n">
        <v>166.2</v>
      </c>
      <c r="L2202" s="7" t="s">
        <v>37</v>
      </c>
      <c r="M2202" s="7" t="s">
        <v>38</v>
      </c>
    </row>
    <row r="2203" customFormat="false" ht="15" hidden="false" customHeight="true" outlineLevel="0" collapsed="false">
      <c r="A2203" s="7" t="n">
        <v>1258</v>
      </c>
      <c r="B2203" s="7" t="n">
        <v>36</v>
      </c>
      <c r="C2203" s="7" t="s">
        <v>24</v>
      </c>
      <c r="D2203" s="7" t="s">
        <v>40</v>
      </c>
      <c r="E2203" s="7" t="n">
        <v>12</v>
      </c>
      <c r="F2203" s="7" t="n">
        <v>12</v>
      </c>
      <c r="G2203" s="7" t="s">
        <v>26</v>
      </c>
      <c r="H2203" s="7" t="s">
        <v>27</v>
      </c>
      <c r="I2203" s="7" t="n">
        <v>17.9</v>
      </c>
      <c r="J2203" s="7" t="s">
        <v>28</v>
      </c>
      <c r="K2203" s="7" t="n">
        <v>189.8</v>
      </c>
      <c r="L2203" s="7" t="s">
        <v>37</v>
      </c>
      <c r="M2203" s="7" t="s">
        <v>38</v>
      </c>
    </row>
    <row r="2204" customFormat="false" ht="15" hidden="false" customHeight="true" outlineLevel="0" collapsed="false">
      <c r="A2204" s="7" t="n">
        <v>1271</v>
      </c>
      <c r="B2204" s="7" t="n">
        <v>60</v>
      </c>
      <c r="C2204" s="7" t="s">
        <v>24</v>
      </c>
      <c r="D2204" s="7" t="s">
        <v>40</v>
      </c>
      <c r="E2204" s="7" t="n">
        <v>22</v>
      </c>
      <c r="F2204" s="7" t="n">
        <v>7</v>
      </c>
      <c r="G2204" s="7" t="s">
        <v>35</v>
      </c>
      <c r="H2204" s="7" t="s">
        <v>32</v>
      </c>
      <c r="I2204" s="7" t="n">
        <v>28.4</v>
      </c>
      <c r="J2204" s="7" t="s">
        <v>28</v>
      </c>
      <c r="K2204" s="7" t="n">
        <v>148.5</v>
      </c>
      <c r="L2204" s="7" t="s">
        <v>37</v>
      </c>
      <c r="M2204" s="7" t="s">
        <v>38</v>
      </c>
    </row>
    <row r="2205" customFormat="false" ht="15" hidden="false" customHeight="true" outlineLevel="0" collapsed="false">
      <c r="A2205" s="7" t="n">
        <v>1285</v>
      </c>
      <c r="B2205" s="7" t="n">
        <v>68</v>
      </c>
      <c r="C2205" s="7" t="s">
        <v>24</v>
      </c>
      <c r="D2205" s="7" t="s">
        <v>40</v>
      </c>
      <c r="E2205" s="7" t="n">
        <v>8</v>
      </c>
      <c r="F2205" s="7" t="n">
        <v>19</v>
      </c>
      <c r="G2205" s="7" t="s">
        <v>34</v>
      </c>
      <c r="H2205" s="7" t="s">
        <v>32</v>
      </c>
      <c r="I2205" s="7" t="n">
        <v>20.8</v>
      </c>
      <c r="J2205" s="7" t="s">
        <v>28</v>
      </c>
      <c r="K2205" s="7" t="n">
        <v>216.8</v>
      </c>
      <c r="L2205" s="7" t="s">
        <v>29</v>
      </c>
      <c r="M2205" s="7" t="s">
        <v>38</v>
      </c>
    </row>
    <row r="2206" customFormat="false" ht="15" hidden="false" customHeight="true" outlineLevel="0" collapsed="false">
      <c r="A2206" s="7" t="n">
        <v>1295</v>
      </c>
      <c r="B2206" s="7" t="n">
        <v>25</v>
      </c>
      <c r="C2206" s="7" t="s">
        <v>33</v>
      </c>
      <c r="D2206" s="7" t="s">
        <v>40</v>
      </c>
      <c r="E2206" s="7" t="n">
        <v>38</v>
      </c>
      <c r="F2206" s="7" t="n">
        <v>17</v>
      </c>
      <c r="G2206" s="7" t="s">
        <v>26</v>
      </c>
      <c r="H2206" s="7" t="s">
        <v>27</v>
      </c>
      <c r="I2206" s="7" t="n">
        <v>38.2</v>
      </c>
      <c r="J2206" s="7" t="s">
        <v>28</v>
      </c>
      <c r="K2206" s="7" t="n">
        <v>172.6</v>
      </c>
      <c r="L2206" s="7" t="s">
        <v>29</v>
      </c>
      <c r="M2206" s="7" t="s">
        <v>38</v>
      </c>
    </row>
    <row r="2207" customFormat="false" ht="15" hidden="false" customHeight="true" outlineLevel="0" collapsed="false">
      <c r="A2207" s="7" t="n">
        <v>1296</v>
      </c>
      <c r="B2207" s="7" t="n">
        <v>70</v>
      </c>
      <c r="C2207" s="7" t="s">
        <v>24</v>
      </c>
      <c r="D2207" s="7" t="s">
        <v>40</v>
      </c>
      <c r="E2207" s="7" t="n">
        <v>27</v>
      </c>
      <c r="F2207" s="7" t="n">
        <v>24</v>
      </c>
      <c r="G2207" s="7" t="s">
        <v>26</v>
      </c>
      <c r="H2207" s="7" t="s">
        <v>27</v>
      </c>
      <c r="I2207" s="7" t="n">
        <v>18.5</v>
      </c>
      <c r="J2207" s="7" t="s">
        <v>28</v>
      </c>
      <c r="K2207" s="7" t="n">
        <v>196.7</v>
      </c>
      <c r="L2207" s="7" t="s">
        <v>29</v>
      </c>
      <c r="M2207" s="7" t="s">
        <v>38</v>
      </c>
    </row>
    <row r="2208" customFormat="false" ht="15" hidden="false" customHeight="true" outlineLevel="0" collapsed="false">
      <c r="A2208" s="7" t="n">
        <v>1320</v>
      </c>
      <c r="B2208" s="7" t="n">
        <v>81</v>
      </c>
      <c r="C2208" s="7" t="s">
        <v>33</v>
      </c>
      <c r="D2208" s="7" t="s">
        <v>40</v>
      </c>
      <c r="E2208" s="7" t="n">
        <v>13</v>
      </c>
      <c r="F2208" s="7" t="n">
        <v>10</v>
      </c>
      <c r="G2208" s="7" t="s">
        <v>31</v>
      </c>
      <c r="H2208" s="7" t="s">
        <v>32</v>
      </c>
      <c r="I2208" s="7" t="n">
        <v>19</v>
      </c>
      <c r="J2208" s="7" t="s">
        <v>28</v>
      </c>
      <c r="K2208" s="7" t="n">
        <v>293.9</v>
      </c>
      <c r="L2208" s="7" t="s">
        <v>37</v>
      </c>
      <c r="M2208" s="7" t="s">
        <v>38</v>
      </c>
    </row>
    <row r="2209" customFormat="false" ht="15" hidden="false" customHeight="true" outlineLevel="0" collapsed="false">
      <c r="A2209" s="7" t="n">
        <v>1323</v>
      </c>
      <c r="B2209" s="7" t="n">
        <v>45</v>
      </c>
      <c r="C2209" s="7" t="s">
        <v>33</v>
      </c>
      <c r="D2209" s="7" t="s">
        <v>40</v>
      </c>
      <c r="E2209" s="7" t="n">
        <v>21</v>
      </c>
      <c r="F2209" s="7" t="n">
        <v>20</v>
      </c>
      <c r="G2209" s="7" t="s">
        <v>36</v>
      </c>
      <c r="H2209" s="7" t="s">
        <v>32</v>
      </c>
      <c r="I2209" s="7" t="n">
        <v>39.4</v>
      </c>
      <c r="J2209" s="7" t="s">
        <v>28</v>
      </c>
      <c r="K2209" s="7" t="n">
        <v>162.1</v>
      </c>
      <c r="L2209" s="7" t="s">
        <v>29</v>
      </c>
      <c r="M2209" s="7" t="s">
        <v>38</v>
      </c>
    </row>
    <row r="2210" customFormat="false" ht="15" hidden="false" customHeight="true" outlineLevel="0" collapsed="false">
      <c r="A2210" s="7" t="n">
        <v>1341</v>
      </c>
      <c r="B2210" s="7" t="n">
        <v>53</v>
      </c>
      <c r="C2210" s="7" t="s">
        <v>33</v>
      </c>
      <c r="D2210" s="7" t="s">
        <v>40</v>
      </c>
      <c r="E2210" s="7" t="n">
        <v>19</v>
      </c>
      <c r="F2210" s="7" t="n">
        <v>8</v>
      </c>
      <c r="G2210" s="7" t="s">
        <v>34</v>
      </c>
      <c r="H2210" s="7" t="s">
        <v>27</v>
      </c>
      <c r="I2210" s="7" t="n">
        <v>25.6</v>
      </c>
      <c r="J2210" s="7" t="s">
        <v>28</v>
      </c>
      <c r="K2210" s="7" t="n">
        <v>278.9</v>
      </c>
      <c r="L2210" s="7" t="s">
        <v>37</v>
      </c>
      <c r="M2210" s="7" t="s">
        <v>38</v>
      </c>
    </row>
    <row r="2211" customFormat="false" ht="15" hidden="false" customHeight="true" outlineLevel="0" collapsed="false">
      <c r="A2211" s="7" t="n">
        <v>1351</v>
      </c>
      <c r="B2211" s="7" t="n">
        <v>23</v>
      </c>
      <c r="C2211" s="7" t="s">
        <v>24</v>
      </c>
      <c r="D2211" s="7" t="s">
        <v>40</v>
      </c>
      <c r="E2211" s="7" t="n">
        <v>29</v>
      </c>
      <c r="F2211" s="7" t="n">
        <v>21</v>
      </c>
      <c r="G2211" s="7" t="s">
        <v>26</v>
      </c>
      <c r="H2211" s="7" t="s">
        <v>32</v>
      </c>
      <c r="I2211" s="7" t="n">
        <v>34.6</v>
      </c>
      <c r="J2211" s="7" t="s">
        <v>28</v>
      </c>
      <c r="K2211" s="7" t="n">
        <v>211</v>
      </c>
      <c r="L2211" s="7" t="s">
        <v>37</v>
      </c>
      <c r="M2211" s="7" t="s">
        <v>38</v>
      </c>
    </row>
    <row r="2212" customFormat="false" ht="15" hidden="false" customHeight="true" outlineLevel="0" collapsed="false">
      <c r="A2212" s="7" t="n">
        <v>1375</v>
      </c>
      <c r="B2212" s="7" t="n">
        <v>64</v>
      </c>
      <c r="C2212" s="7" t="s">
        <v>33</v>
      </c>
      <c r="D2212" s="7" t="s">
        <v>40</v>
      </c>
      <c r="E2212" s="7" t="n">
        <v>8</v>
      </c>
      <c r="F2212" s="7" t="n">
        <v>15</v>
      </c>
      <c r="G2212" s="7" t="s">
        <v>36</v>
      </c>
      <c r="H2212" s="7" t="s">
        <v>32</v>
      </c>
      <c r="I2212" s="7" t="n">
        <v>36.6</v>
      </c>
      <c r="J2212" s="7" t="s">
        <v>28</v>
      </c>
      <c r="K2212" s="7" t="n">
        <v>242.4</v>
      </c>
      <c r="L2212" s="7" t="s">
        <v>29</v>
      </c>
      <c r="M2212" s="7" t="s">
        <v>38</v>
      </c>
    </row>
    <row r="2213" customFormat="false" ht="15" hidden="false" customHeight="true" outlineLevel="0" collapsed="false">
      <c r="A2213" s="7" t="n">
        <v>1383</v>
      </c>
      <c r="B2213" s="7" t="n">
        <v>68</v>
      </c>
      <c r="C2213" s="7" t="s">
        <v>33</v>
      </c>
      <c r="D2213" s="7" t="s">
        <v>40</v>
      </c>
      <c r="E2213" s="7" t="n">
        <v>8</v>
      </c>
      <c r="F2213" s="7" t="n">
        <v>14</v>
      </c>
      <c r="G2213" s="7" t="s">
        <v>36</v>
      </c>
      <c r="H2213" s="7" t="s">
        <v>27</v>
      </c>
      <c r="I2213" s="7" t="n">
        <v>21.4</v>
      </c>
      <c r="J2213" s="7" t="s">
        <v>28</v>
      </c>
      <c r="K2213" s="7" t="n">
        <v>295.3</v>
      </c>
      <c r="L2213" s="7" t="s">
        <v>29</v>
      </c>
      <c r="M2213" s="7" t="s">
        <v>38</v>
      </c>
    </row>
    <row r="2214" customFormat="false" ht="15" hidden="false" customHeight="true" outlineLevel="0" collapsed="false">
      <c r="A2214" s="7" t="n">
        <v>1392</v>
      </c>
      <c r="B2214" s="7" t="n">
        <v>84</v>
      </c>
      <c r="C2214" s="7" t="s">
        <v>24</v>
      </c>
      <c r="D2214" s="7" t="s">
        <v>40</v>
      </c>
      <c r="E2214" s="7" t="n">
        <v>30</v>
      </c>
      <c r="F2214" s="7" t="n">
        <v>12</v>
      </c>
      <c r="G2214" s="7" t="s">
        <v>34</v>
      </c>
      <c r="H2214" s="7" t="s">
        <v>27</v>
      </c>
      <c r="I2214" s="7" t="n">
        <v>38.4</v>
      </c>
      <c r="J2214" s="7" t="s">
        <v>28</v>
      </c>
      <c r="K2214" s="7" t="n">
        <v>272.8</v>
      </c>
      <c r="L2214" s="7" t="s">
        <v>37</v>
      </c>
      <c r="M2214" s="7" t="s">
        <v>38</v>
      </c>
    </row>
    <row r="2215" customFormat="false" ht="15" hidden="false" customHeight="true" outlineLevel="0" collapsed="false">
      <c r="A2215" s="7" t="n">
        <v>1426</v>
      </c>
      <c r="B2215" s="7" t="n">
        <v>75</v>
      </c>
      <c r="C2215" s="7" t="s">
        <v>33</v>
      </c>
      <c r="D2215" s="7" t="s">
        <v>40</v>
      </c>
      <c r="E2215" s="7" t="n">
        <v>11</v>
      </c>
      <c r="F2215" s="7" t="n">
        <v>8</v>
      </c>
      <c r="G2215" s="7" t="s">
        <v>35</v>
      </c>
      <c r="H2215" s="7" t="s">
        <v>27</v>
      </c>
      <c r="I2215" s="7" t="n">
        <v>29.8</v>
      </c>
      <c r="J2215" s="7" t="s">
        <v>28</v>
      </c>
      <c r="K2215" s="7" t="n">
        <v>280.3</v>
      </c>
      <c r="L2215" s="7" t="s">
        <v>29</v>
      </c>
      <c r="M2215" s="7" t="s">
        <v>38</v>
      </c>
    </row>
    <row r="2216" customFormat="false" ht="15" hidden="false" customHeight="true" outlineLevel="0" collapsed="false">
      <c r="A2216" s="7" t="n">
        <v>1427</v>
      </c>
      <c r="B2216" s="7" t="n">
        <v>87</v>
      </c>
      <c r="C2216" s="7" t="s">
        <v>24</v>
      </c>
      <c r="D2216" s="7" t="s">
        <v>40</v>
      </c>
      <c r="E2216" s="7" t="n">
        <v>16</v>
      </c>
      <c r="F2216" s="7" t="n">
        <v>24</v>
      </c>
      <c r="G2216" s="7" t="s">
        <v>36</v>
      </c>
      <c r="H2216" s="7" t="s">
        <v>27</v>
      </c>
      <c r="I2216" s="7" t="n">
        <v>19</v>
      </c>
      <c r="J2216" s="7" t="s">
        <v>28</v>
      </c>
      <c r="K2216" s="7" t="n">
        <v>269.1</v>
      </c>
      <c r="L2216" s="7" t="s">
        <v>29</v>
      </c>
      <c r="M2216" s="7" t="s">
        <v>38</v>
      </c>
    </row>
    <row r="2217" customFormat="false" ht="15" hidden="false" customHeight="true" outlineLevel="0" collapsed="false">
      <c r="A2217" s="7" t="n">
        <v>1460</v>
      </c>
      <c r="B2217" s="7" t="n">
        <v>31</v>
      </c>
      <c r="C2217" s="7" t="s">
        <v>24</v>
      </c>
      <c r="D2217" s="7" t="s">
        <v>40</v>
      </c>
      <c r="E2217" s="7" t="n">
        <v>21</v>
      </c>
      <c r="F2217" s="7" t="n">
        <v>23</v>
      </c>
      <c r="G2217" s="7" t="s">
        <v>34</v>
      </c>
      <c r="H2217" s="7" t="s">
        <v>27</v>
      </c>
      <c r="I2217" s="7" t="n">
        <v>19.2</v>
      </c>
      <c r="J2217" s="7" t="s">
        <v>28</v>
      </c>
      <c r="K2217" s="7" t="n">
        <v>299.1</v>
      </c>
      <c r="L2217" s="7" t="s">
        <v>29</v>
      </c>
      <c r="M2217" s="7" t="s">
        <v>38</v>
      </c>
    </row>
    <row r="2218" customFormat="false" ht="15" hidden="false" customHeight="true" outlineLevel="0" collapsed="false">
      <c r="A2218" s="7" t="n">
        <v>1480</v>
      </c>
      <c r="B2218" s="7" t="n">
        <v>79</v>
      </c>
      <c r="C2218" s="7" t="s">
        <v>33</v>
      </c>
      <c r="D2218" s="7" t="s">
        <v>40</v>
      </c>
      <c r="E2218" s="7" t="n">
        <v>17</v>
      </c>
      <c r="F2218" s="7" t="n">
        <v>14</v>
      </c>
      <c r="G2218" s="7" t="s">
        <v>26</v>
      </c>
      <c r="H2218" s="7" t="s">
        <v>27</v>
      </c>
      <c r="I2218" s="7" t="n">
        <v>28.4</v>
      </c>
      <c r="J2218" s="7" t="s">
        <v>28</v>
      </c>
      <c r="K2218" s="7" t="n">
        <v>192.4</v>
      </c>
      <c r="L2218" s="7" t="s">
        <v>37</v>
      </c>
      <c r="M2218" s="7" t="s">
        <v>38</v>
      </c>
    </row>
    <row r="2219" customFormat="false" ht="15" hidden="false" customHeight="true" outlineLevel="0" collapsed="false">
      <c r="A2219" s="7" t="n">
        <v>1516</v>
      </c>
      <c r="B2219" s="7" t="n">
        <v>87</v>
      </c>
      <c r="C2219" s="7" t="s">
        <v>33</v>
      </c>
      <c r="D2219" s="7" t="s">
        <v>40</v>
      </c>
      <c r="E2219" s="7" t="n">
        <v>22</v>
      </c>
      <c r="F2219" s="7" t="n">
        <v>9</v>
      </c>
      <c r="G2219" s="7" t="s">
        <v>36</v>
      </c>
      <c r="H2219" s="7" t="s">
        <v>32</v>
      </c>
      <c r="I2219" s="7" t="n">
        <v>22.3</v>
      </c>
      <c r="J2219" s="7" t="s">
        <v>28</v>
      </c>
      <c r="K2219" s="7" t="n">
        <v>242.5</v>
      </c>
      <c r="L2219" s="7" t="s">
        <v>37</v>
      </c>
      <c r="M2219" s="7" t="s">
        <v>38</v>
      </c>
    </row>
    <row r="2220" customFormat="false" ht="15" hidden="false" customHeight="true" outlineLevel="0" collapsed="false">
      <c r="A2220" s="7" t="n">
        <v>1528</v>
      </c>
      <c r="B2220" s="7" t="n">
        <v>41</v>
      </c>
      <c r="C2220" s="7" t="s">
        <v>24</v>
      </c>
      <c r="D2220" s="7" t="s">
        <v>40</v>
      </c>
      <c r="E2220" s="7" t="n">
        <v>15</v>
      </c>
      <c r="F2220" s="7" t="n">
        <v>26</v>
      </c>
      <c r="G2220" s="7" t="s">
        <v>34</v>
      </c>
      <c r="H2220" s="7" t="s">
        <v>27</v>
      </c>
      <c r="I2220" s="7" t="n">
        <v>33.3</v>
      </c>
      <c r="J2220" s="7" t="s">
        <v>28</v>
      </c>
      <c r="K2220" s="7" t="n">
        <v>293.5</v>
      </c>
      <c r="L2220" s="7" t="s">
        <v>29</v>
      </c>
      <c r="M2220" s="7" t="s">
        <v>38</v>
      </c>
    </row>
    <row r="2221" customFormat="false" ht="15" hidden="false" customHeight="true" outlineLevel="0" collapsed="false">
      <c r="A2221" s="7" t="n">
        <v>1529</v>
      </c>
      <c r="B2221" s="7" t="n">
        <v>75</v>
      </c>
      <c r="C2221" s="7" t="s">
        <v>24</v>
      </c>
      <c r="D2221" s="7" t="s">
        <v>40</v>
      </c>
      <c r="E2221" s="7" t="n">
        <v>15</v>
      </c>
      <c r="F2221" s="7" t="n">
        <v>5</v>
      </c>
      <c r="G2221" s="7" t="s">
        <v>26</v>
      </c>
      <c r="H2221" s="7" t="s">
        <v>32</v>
      </c>
      <c r="I2221" s="7" t="n">
        <v>27</v>
      </c>
      <c r="J2221" s="7" t="s">
        <v>28</v>
      </c>
      <c r="K2221" s="7" t="n">
        <v>295.4</v>
      </c>
      <c r="L2221" s="7" t="s">
        <v>29</v>
      </c>
      <c r="M2221" s="7" t="s">
        <v>38</v>
      </c>
    </row>
    <row r="2222" customFormat="false" ht="15" hidden="false" customHeight="true" outlineLevel="0" collapsed="false">
      <c r="A2222" s="7" t="n">
        <v>1540</v>
      </c>
      <c r="B2222" s="7" t="n">
        <v>23</v>
      </c>
      <c r="C2222" s="7" t="s">
        <v>33</v>
      </c>
      <c r="D2222" s="7" t="s">
        <v>40</v>
      </c>
      <c r="E2222" s="7" t="n">
        <v>13</v>
      </c>
      <c r="F2222" s="7" t="n">
        <v>15</v>
      </c>
      <c r="G2222" s="7" t="s">
        <v>34</v>
      </c>
      <c r="H2222" s="7" t="s">
        <v>27</v>
      </c>
      <c r="I2222" s="7" t="n">
        <v>23.3</v>
      </c>
      <c r="J2222" s="7" t="s">
        <v>28</v>
      </c>
      <c r="K2222" s="7" t="n">
        <v>281.6</v>
      </c>
      <c r="L2222" s="7" t="s">
        <v>37</v>
      </c>
      <c r="M2222" s="7" t="s">
        <v>38</v>
      </c>
    </row>
    <row r="2223" customFormat="false" ht="15" hidden="false" customHeight="true" outlineLevel="0" collapsed="false">
      <c r="A2223" s="7" t="n">
        <v>1551</v>
      </c>
      <c r="B2223" s="7" t="n">
        <v>62</v>
      </c>
      <c r="C2223" s="7" t="s">
        <v>33</v>
      </c>
      <c r="D2223" s="7" t="s">
        <v>40</v>
      </c>
      <c r="E2223" s="7" t="n">
        <v>12</v>
      </c>
      <c r="F2223" s="7" t="n">
        <v>19</v>
      </c>
      <c r="G2223" s="7" t="s">
        <v>26</v>
      </c>
      <c r="H2223" s="7" t="s">
        <v>32</v>
      </c>
      <c r="I2223" s="7" t="n">
        <v>41</v>
      </c>
      <c r="J2223" s="7" t="s">
        <v>28</v>
      </c>
      <c r="K2223" s="7" t="n">
        <v>185.6</v>
      </c>
      <c r="L2223" s="7" t="s">
        <v>29</v>
      </c>
      <c r="M2223" s="7" t="s">
        <v>38</v>
      </c>
    </row>
    <row r="2224" customFormat="false" ht="15" hidden="false" customHeight="true" outlineLevel="0" collapsed="false">
      <c r="A2224" s="7" t="n">
        <v>1562</v>
      </c>
      <c r="B2224" s="7" t="n">
        <v>65</v>
      </c>
      <c r="C2224" s="7" t="s">
        <v>24</v>
      </c>
      <c r="D2224" s="7" t="s">
        <v>40</v>
      </c>
      <c r="E2224" s="7" t="n">
        <v>20</v>
      </c>
      <c r="F2224" s="7" t="n">
        <v>17</v>
      </c>
      <c r="G2224" s="7" t="s">
        <v>36</v>
      </c>
      <c r="H2224" s="7" t="s">
        <v>27</v>
      </c>
      <c r="I2224" s="7" t="n">
        <v>36.6</v>
      </c>
      <c r="J2224" s="7" t="s">
        <v>28</v>
      </c>
      <c r="K2224" s="7" t="n">
        <v>242.6</v>
      </c>
      <c r="L2224" s="7" t="s">
        <v>29</v>
      </c>
      <c r="M2224" s="7" t="s">
        <v>38</v>
      </c>
    </row>
    <row r="2225" customFormat="false" ht="15" hidden="false" customHeight="true" outlineLevel="0" collapsed="false">
      <c r="A2225" s="7" t="n">
        <v>1583</v>
      </c>
      <c r="B2225" s="7" t="n">
        <v>44</v>
      </c>
      <c r="C2225" s="7" t="s">
        <v>24</v>
      </c>
      <c r="D2225" s="7" t="s">
        <v>40</v>
      </c>
      <c r="E2225" s="7" t="n">
        <v>22</v>
      </c>
      <c r="F2225" s="7" t="n">
        <v>26</v>
      </c>
      <c r="G2225" s="7" t="s">
        <v>35</v>
      </c>
      <c r="H2225" s="7" t="s">
        <v>27</v>
      </c>
      <c r="I2225" s="7" t="n">
        <v>26.1</v>
      </c>
      <c r="J2225" s="7" t="s">
        <v>28</v>
      </c>
      <c r="K2225" s="7" t="n">
        <v>275.1</v>
      </c>
      <c r="L2225" s="7" t="s">
        <v>37</v>
      </c>
      <c r="M2225" s="7" t="s">
        <v>38</v>
      </c>
    </row>
    <row r="2226" customFormat="false" ht="15" hidden="false" customHeight="true" outlineLevel="0" collapsed="false">
      <c r="A2226" s="7" t="n">
        <v>1598</v>
      </c>
      <c r="B2226" s="7" t="n">
        <v>51</v>
      </c>
      <c r="C2226" s="7" t="s">
        <v>24</v>
      </c>
      <c r="D2226" s="7" t="s">
        <v>40</v>
      </c>
      <c r="E2226" s="7" t="n">
        <v>6</v>
      </c>
      <c r="F2226" s="7" t="n">
        <v>14</v>
      </c>
      <c r="G2226" s="7" t="s">
        <v>26</v>
      </c>
      <c r="H2226" s="7" t="s">
        <v>32</v>
      </c>
      <c r="I2226" s="7" t="n">
        <v>26</v>
      </c>
      <c r="J2226" s="7" t="s">
        <v>28</v>
      </c>
      <c r="K2226" s="7" t="n">
        <v>207.8</v>
      </c>
      <c r="L2226" s="7" t="s">
        <v>29</v>
      </c>
      <c r="M2226" s="7" t="s">
        <v>38</v>
      </c>
    </row>
    <row r="2227" customFormat="false" ht="15" hidden="false" customHeight="true" outlineLevel="0" collapsed="false">
      <c r="A2227" s="7" t="n">
        <v>1627</v>
      </c>
      <c r="B2227" s="7" t="n">
        <v>85</v>
      </c>
      <c r="C2227" s="7" t="s">
        <v>24</v>
      </c>
      <c r="D2227" s="7" t="s">
        <v>40</v>
      </c>
      <c r="E2227" s="7" t="n">
        <v>22</v>
      </c>
      <c r="F2227" s="7" t="n">
        <v>21</v>
      </c>
      <c r="G2227" s="7" t="s">
        <v>34</v>
      </c>
      <c r="H2227" s="7" t="s">
        <v>27</v>
      </c>
      <c r="I2227" s="7" t="n">
        <v>25</v>
      </c>
      <c r="J2227" s="7" t="s">
        <v>28</v>
      </c>
      <c r="K2227" s="7" t="n">
        <v>176.6</v>
      </c>
      <c r="L2227" s="7" t="s">
        <v>29</v>
      </c>
      <c r="M2227" s="7" t="s">
        <v>38</v>
      </c>
    </row>
    <row r="2228" customFormat="false" ht="15" hidden="false" customHeight="true" outlineLevel="0" collapsed="false">
      <c r="A2228" s="7" t="n">
        <v>1629</v>
      </c>
      <c r="B2228" s="7" t="n">
        <v>83</v>
      </c>
      <c r="C2228" s="7" t="s">
        <v>24</v>
      </c>
      <c r="D2228" s="7" t="s">
        <v>40</v>
      </c>
      <c r="E2228" s="7" t="n">
        <v>17</v>
      </c>
      <c r="F2228" s="7" t="n">
        <v>10</v>
      </c>
      <c r="G2228" s="7" t="s">
        <v>26</v>
      </c>
      <c r="H2228" s="7" t="s">
        <v>27</v>
      </c>
      <c r="I2228" s="7" t="n">
        <v>21.4</v>
      </c>
      <c r="J2228" s="7" t="s">
        <v>28</v>
      </c>
      <c r="K2228" s="7" t="n">
        <v>172.5</v>
      </c>
      <c r="L2228" s="7" t="s">
        <v>29</v>
      </c>
      <c r="M2228" s="7" t="s">
        <v>38</v>
      </c>
    </row>
    <row r="2229" customFormat="false" ht="15" hidden="false" customHeight="true" outlineLevel="0" collapsed="false">
      <c r="A2229" s="7" t="n">
        <v>1631</v>
      </c>
      <c r="B2229" s="7" t="n">
        <v>49</v>
      </c>
      <c r="C2229" s="7" t="s">
        <v>33</v>
      </c>
      <c r="D2229" s="7" t="s">
        <v>40</v>
      </c>
      <c r="E2229" s="7" t="n">
        <v>16</v>
      </c>
      <c r="F2229" s="7" t="n">
        <v>17</v>
      </c>
      <c r="G2229" s="7" t="s">
        <v>31</v>
      </c>
      <c r="H2229" s="7" t="s">
        <v>27</v>
      </c>
      <c r="I2229" s="7" t="n">
        <v>39.7</v>
      </c>
      <c r="J2229" s="7" t="s">
        <v>28</v>
      </c>
      <c r="K2229" s="7" t="n">
        <v>238.1</v>
      </c>
      <c r="L2229" s="7" t="s">
        <v>29</v>
      </c>
      <c r="M2229" s="7" t="s">
        <v>38</v>
      </c>
    </row>
    <row r="2230" customFormat="false" ht="15" hidden="false" customHeight="true" outlineLevel="0" collapsed="false">
      <c r="A2230" s="7" t="n">
        <v>1633</v>
      </c>
      <c r="B2230" s="7" t="n">
        <v>79</v>
      </c>
      <c r="C2230" s="7" t="s">
        <v>24</v>
      </c>
      <c r="D2230" s="7" t="s">
        <v>40</v>
      </c>
      <c r="E2230" s="7" t="n">
        <v>23</v>
      </c>
      <c r="F2230" s="7" t="n">
        <v>21</v>
      </c>
      <c r="G2230" s="7" t="s">
        <v>26</v>
      </c>
      <c r="H2230" s="7" t="s">
        <v>27</v>
      </c>
      <c r="I2230" s="7" t="n">
        <v>18</v>
      </c>
      <c r="J2230" s="7" t="s">
        <v>28</v>
      </c>
      <c r="K2230" s="7" t="n">
        <v>122.3</v>
      </c>
      <c r="L2230" s="7" t="s">
        <v>29</v>
      </c>
      <c r="M2230" s="7" t="s">
        <v>38</v>
      </c>
    </row>
    <row r="2231" customFormat="false" ht="15" hidden="false" customHeight="true" outlineLevel="0" collapsed="false">
      <c r="A2231" s="7" t="n">
        <v>1650</v>
      </c>
      <c r="B2231" s="7" t="n">
        <v>85</v>
      </c>
      <c r="C2231" s="7" t="s">
        <v>33</v>
      </c>
      <c r="D2231" s="7" t="s">
        <v>40</v>
      </c>
      <c r="E2231" s="7" t="n">
        <v>10</v>
      </c>
      <c r="F2231" s="7" t="n">
        <v>23</v>
      </c>
      <c r="G2231" s="7" t="s">
        <v>35</v>
      </c>
      <c r="H2231" s="7" t="s">
        <v>27</v>
      </c>
      <c r="I2231" s="7" t="n">
        <v>39.3</v>
      </c>
      <c r="J2231" s="7" t="s">
        <v>28</v>
      </c>
      <c r="K2231" s="7" t="n">
        <v>286.8</v>
      </c>
      <c r="L2231" s="7" t="s">
        <v>29</v>
      </c>
      <c r="M2231" s="7" t="s">
        <v>38</v>
      </c>
    </row>
    <row r="2232" customFormat="false" ht="15" hidden="false" customHeight="true" outlineLevel="0" collapsed="false">
      <c r="A2232" s="7" t="n">
        <v>1689</v>
      </c>
      <c r="B2232" s="7" t="n">
        <v>80</v>
      </c>
      <c r="C2232" s="7" t="s">
        <v>33</v>
      </c>
      <c r="D2232" s="7" t="s">
        <v>40</v>
      </c>
      <c r="E2232" s="7" t="n">
        <v>22</v>
      </c>
      <c r="F2232" s="7" t="n">
        <v>28</v>
      </c>
      <c r="G2232" s="7" t="s">
        <v>35</v>
      </c>
      <c r="H2232" s="7" t="s">
        <v>32</v>
      </c>
      <c r="I2232" s="7" t="n">
        <v>18.1</v>
      </c>
      <c r="J2232" s="7" t="s">
        <v>28</v>
      </c>
      <c r="K2232" s="7" t="n">
        <v>132.6</v>
      </c>
      <c r="L2232" s="7" t="s">
        <v>37</v>
      </c>
      <c r="M2232" s="7" t="s">
        <v>38</v>
      </c>
    </row>
    <row r="2233" customFormat="false" ht="15" hidden="false" customHeight="true" outlineLevel="0" collapsed="false">
      <c r="A2233" s="7" t="n">
        <v>1690</v>
      </c>
      <c r="B2233" s="7" t="n">
        <v>68</v>
      </c>
      <c r="C2233" s="7" t="s">
        <v>24</v>
      </c>
      <c r="D2233" s="7" t="s">
        <v>40</v>
      </c>
      <c r="E2233" s="7" t="n">
        <v>6</v>
      </c>
      <c r="F2233" s="7" t="n">
        <v>7</v>
      </c>
      <c r="G2233" s="7" t="s">
        <v>31</v>
      </c>
      <c r="H2233" s="7" t="s">
        <v>27</v>
      </c>
      <c r="I2233" s="7" t="n">
        <v>27.8</v>
      </c>
      <c r="J2233" s="7" t="s">
        <v>28</v>
      </c>
      <c r="K2233" s="7" t="n">
        <v>165.8</v>
      </c>
      <c r="L2233" s="7" t="s">
        <v>29</v>
      </c>
      <c r="M2233" s="7" t="s">
        <v>38</v>
      </c>
    </row>
    <row r="2234" customFormat="false" ht="15" hidden="false" customHeight="true" outlineLevel="0" collapsed="false">
      <c r="A2234" s="7" t="n">
        <v>1740</v>
      </c>
      <c r="B2234" s="7" t="n">
        <v>31</v>
      </c>
      <c r="C2234" s="7" t="s">
        <v>24</v>
      </c>
      <c r="D2234" s="7" t="s">
        <v>40</v>
      </c>
      <c r="E2234" s="7" t="n">
        <v>8</v>
      </c>
      <c r="F2234" s="7" t="n">
        <v>11</v>
      </c>
      <c r="G2234" s="7" t="s">
        <v>36</v>
      </c>
      <c r="H2234" s="7" t="s">
        <v>32</v>
      </c>
      <c r="I2234" s="7" t="n">
        <v>26</v>
      </c>
      <c r="J2234" s="7" t="s">
        <v>28</v>
      </c>
      <c r="K2234" s="7" t="n">
        <v>293.8</v>
      </c>
      <c r="L2234" s="7" t="s">
        <v>37</v>
      </c>
      <c r="M2234" s="7" t="s">
        <v>38</v>
      </c>
    </row>
    <row r="2235" customFormat="false" ht="15" hidden="false" customHeight="true" outlineLevel="0" collapsed="false">
      <c r="A2235" s="7" t="n">
        <v>1741</v>
      </c>
      <c r="B2235" s="7" t="n">
        <v>59</v>
      </c>
      <c r="C2235" s="7" t="s">
        <v>24</v>
      </c>
      <c r="D2235" s="7" t="s">
        <v>40</v>
      </c>
      <c r="E2235" s="7" t="n">
        <v>10</v>
      </c>
      <c r="F2235" s="7" t="n">
        <v>29</v>
      </c>
      <c r="G2235" s="7" t="s">
        <v>26</v>
      </c>
      <c r="H2235" s="7" t="s">
        <v>32</v>
      </c>
      <c r="I2235" s="7" t="n">
        <v>32.6</v>
      </c>
      <c r="J2235" s="7" t="s">
        <v>28</v>
      </c>
      <c r="K2235" s="7" t="n">
        <v>260.3</v>
      </c>
      <c r="L2235" s="7" t="s">
        <v>37</v>
      </c>
      <c r="M2235" s="7" t="s">
        <v>38</v>
      </c>
    </row>
    <row r="2236" customFormat="false" ht="15" hidden="false" customHeight="true" outlineLevel="0" collapsed="false">
      <c r="A2236" s="7" t="n">
        <v>1742</v>
      </c>
      <c r="B2236" s="7" t="n">
        <v>77</v>
      </c>
      <c r="C2236" s="7" t="s">
        <v>33</v>
      </c>
      <c r="D2236" s="7" t="s">
        <v>40</v>
      </c>
      <c r="E2236" s="7" t="n">
        <v>25</v>
      </c>
      <c r="F2236" s="7" t="n">
        <v>8</v>
      </c>
      <c r="G2236" s="7" t="s">
        <v>26</v>
      </c>
      <c r="H2236" s="7" t="s">
        <v>27</v>
      </c>
      <c r="I2236" s="7" t="n">
        <v>20.5</v>
      </c>
      <c r="J2236" s="7" t="s">
        <v>28</v>
      </c>
      <c r="K2236" s="7" t="n">
        <v>139.9</v>
      </c>
      <c r="L2236" s="7" t="s">
        <v>37</v>
      </c>
      <c r="M2236" s="7" t="s">
        <v>38</v>
      </c>
    </row>
    <row r="2237" customFormat="false" ht="15" hidden="false" customHeight="true" outlineLevel="0" collapsed="false">
      <c r="A2237" s="7" t="n">
        <v>1748</v>
      </c>
      <c r="B2237" s="7" t="n">
        <v>18</v>
      </c>
      <c r="C2237" s="7" t="s">
        <v>33</v>
      </c>
      <c r="D2237" s="7" t="s">
        <v>40</v>
      </c>
      <c r="E2237" s="7" t="n">
        <v>12</v>
      </c>
      <c r="F2237" s="7" t="n">
        <v>14</v>
      </c>
      <c r="G2237" s="7" t="s">
        <v>34</v>
      </c>
      <c r="H2237" s="7" t="s">
        <v>27</v>
      </c>
      <c r="I2237" s="7" t="n">
        <v>18.6</v>
      </c>
      <c r="J2237" s="7" t="s">
        <v>28</v>
      </c>
      <c r="K2237" s="7" t="n">
        <v>146.2</v>
      </c>
      <c r="L2237" s="7" t="s">
        <v>37</v>
      </c>
      <c r="M2237" s="7" t="s">
        <v>38</v>
      </c>
    </row>
    <row r="2238" customFormat="false" ht="15" hidden="false" customHeight="true" outlineLevel="0" collapsed="false">
      <c r="A2238" s="7" t="n">
        <v>1802</v>
      </c>
      <c r="B2238" s="7" t="n">
        <v>41</v>
      </c>
      <c r="C2238" s="7" t="s">
        <v>33</v>
      </c>
      <c r="D2238" s="7" t="s">
        <v>40</v>
      </c>
      <c r="E2238" s="7" t="n">
        <v>28</v>
      </c>
      <c r="F2238" s="7" t="n">
        <v>28</v>
      </c>
      <c r="G2238" s="7" t="s">
        <v>26</v>
      </c>
      <c r="H2238" s="7" t="s">
        <v>27</v>
      </c>
      <c r="I2238" s="7" t="n">
        <v>35.5</v>
      </c>
      <c r="J2238" s="7" t="s">
        <v>28</v>
      </c>
      <c r="K2238" s="7" t="n">
        <v>201.7</v>
      </c>
      <c r="L2238" s="7" t="s">
        <v>29</v>
      </c>
      <c r="M2238" s="7" t="s">
        <v>38</v>
      </c>
    </row>
    <row r="2239" customFormat="false" ht="15" hidden="false" customHeight="true" outlineLevel="0" collapsed="false">
      <c r="A2239" s="7" t="n">
        <v>1806</v>
      </c>
      <c r="B2239" s="7" t="n">
        <v>83</v>
      </c>
      <c r="C2239" s="7" t="s">
        <v>33</v>
      </c>
      <c r="D2239" s="7" t="s">
        <v>40</v>
      </c>
      <c r="E2239" s="7" t="n">
        <v>29</v>
      </c>
      <c r="F2239" s="7" t="n">
        <v>28</v>
      </c>
      <c r="G2239" s="7" t="s">
        <v>35</v>
      </c>
      <c r="H2239" s="7" t="s">
        <v>27</v>
      </c>
      <c r="I2239" s="7" t="n">
        <v>41.5</v>
      </c>
      <c r="J2239" s="7" t="s">
        <v>28</v>
      </c>
      <c r="K2239" s="7" t="n">
        <v>287.7</v>
      </c>
      <c r="L2239" s="7" t="s">
        <v>29</v>
      </c>
      <c r="M2239" s="7" t="s">
        <v>38</v>
      </c>
    </row>
    <row r="2240" customFormat="false" ht="15" hidden="false" customHeight="true" outlineLevel="0" collapsed="false">
      <c r="A2240" s="7" t="n">
        <v>1810</v>
      </c>
      <c r="B2240" s="7" t="n">
        <v>57</v>
      </c>
      <c r="C2240" s="7" t="s">
        <v>24</v>
      </c>
      <c r="D2240" s="7" t="s">
        <v>40</v>
      </c>
      <c r="E2240" s="7" t="n">
        <v>39</v>
      </c>
      <c r="F2240" s="7" t="n">
        <v>22</v>
      </c>
      <c r="G2240" s="7" t="s">
        <v>31</v>
      </c>
      <c r="H2240" s="7" t="s">
        <v>32</v>
      </c>
      <c r="I2240" s="7" t="n">
        <v>22.1</v>
      </c>
      <c r="J2240" s="7" t="s">
        <v>28</v>
      </c>
      <c r="K2240" s="7" t="n">
        <v>237</v>
      </c>
      <c r="L2240" s="7" t="s">
        <v>29</v>
      </c>
      <c r="M2240" s="7" t="s">
        <v>38</v>
      </c>
    </row>
    <row r="2241" customFormat="false" ht="15" hidden="false" customHeight="true" outlineLevel="0" collapsed="false">
      <c r="A2241" s="7" t="n">
        <v>1835</v>
      </c>
      <c r="B2241" s="7" t="n">
        <v>88</v>
      </c>
      <c r="C2241" s="7" t="s">
        <v>24</v>
      </c>
      <c r="D2241" s="7" t="s">
        <v>40</v>
      </c>
      <c r="E2241" s="7" t="n">
        <v>26</v>
      </c>
      <c r="F2241" s="7" t="n">
        <v>8</v>
      </c>
      <c r="G2241" s="7" t="s">
        <v>34</v>
      </c>
      <c r="H2241" s="7" t="s">
        <v>27</v>
      </c>
      <c r="I2241" s="7" t="n">
        <v>19.7</v>
      </c>
      <c r="J2241" s="7" t="s">
        <v>28</v>
      </c>
      <c r="K2241" s="7" t="n">
        <v>257.6</v>
      </c>
      <c r="L2241" s="7" t="s">
        <v>29</v>
      </c>
      <c r="M2241" s="7" t="s">
        <v>38</v>
      </c>
    </row>
    <row r="2242" customFormat="false" ht="15" hidden="false" customHeight="true" outlineLevel="0" collapsed="false">
      <c r="A2242" s="7" t="n">
        <v>1851</v>
      </c>
      <c r="B2242" s="7" t="n">
        <v>55</v>
      </c>
      <c r="C2242" s="7" t="s">
        <v>33</v>
      </c>
      <c r="D2242" s="7" t="s">
        <v>40</v>
      </c>
      <c r="E2242" s="7" t="n">
        <v>19</v>
      </c>
      <c r="F2242" s="7" t="n">
        <v>29</v>
      </c>
      <c r="G2242" s="7" t="s">
        <v>35</v>
      </c>
      <c r="H2242" s="7" t="s">
        <v>27</v>
      </c>
      <c r="I2242" s="7" t="n">
        <v>31.4</v>
      </c>
      <c r="J2242" s="7" t="s">
        <v>28</v>
      </c>
      <c r="K2242" s="7" t="n">
        <v>298.3</v>
      </c>
      <c r="L2242" s="7" t="s">
        <v>29</v>
      </c>
      <c r="M2242" s="7" t="s">
        <v>38</v>
      </c>
    </row>
    <row r="2243" customFormat="false" ht="15" hidden="false" customHeight="true" outlineLevel="0" collapsed="false">
      <c r="A2243" s="7" t="n">
        <v>1856</v>
      </c>
      <c r="B2243" s="7" t="n">
        <v>50</v>
      </c>
      <c r="C2243" s="7" t="s">
        <v>24</v>
      </c>
      <c r="D2243" s="7" t="s">
        <v>40</v>
      </c>
      <c r="E2243" s="7" t="n">
        <v>25</v>
      </c>
      <c r="F2243" s="7" t="n">
        <v>14</v>
      </c>
      <c r="G2243" s="7" t="s">
        <v>35</v>
      </c>
      <c r="H2243" s="7" t="s">
        <v>32</v>
      </c>
      <c r="I2243" s="7" t="n">
        <v>18.1</v>
      </c>
      <c r="J2243" s="7" t="s">
        <v>28</v>
      </c>
      <c r="K2243" s="7" t="n">
        <v>202</v>
      </c>
      <c r="L2243" s="7" t="s">
        <v>29</v>
      </c>
      <c r="M2243" s="7" t="s">
        <v>38</v>
      </c>
    </row>
    <row r="2244" customFormat="false" ht="15" hidden="false" customHeight="true" outlineLevel="0" collapsed="false">
      <c r="A2244" s="7" t="n">
        <v>1872</v>
      </c>
      <c r="B2244" s="7" t="n">
        <v>88</v>
      </c>
      <c r="C2244" s="7" t="s">
        <v>33</v>
      </c>
      <c r="D2244" s="7" t="s">
        <v>40</v>
      </c>
      <c r="E2244" s="7" t="n">
        <v>26</v>
      </c>
      <c r="F2244" s="7" t="n">
        <v>18</v>
      </c>
      <c r="G2244" s="7" t="s">
        <v>26</v>
      </c>
      <c r="H2244" s="7" t="s">
        <v>27</v>
      </c>
      <c r="I2244" s="7" t="n">
        <v>30.9</v>
      </c>
      <c r="J2244" s="7" t="s">
        <v>28</v>
      </c>
      <c r="K2244" s="7" t="n">
        <v>254.2</v>
      </c>
      <c r="L2244" s="7" t="s">
        <v>29</v>
      </c>
      <c r="M2244" s="7" t="s">
        <v>38</v>
      </c>
    </row>
    <row r="2245" customFormat="false" ht="15" hidden="false" customHeight="true" outlineLevel="0" collapsed="false">
      <c r="A2245" s="7" t="n">
        <v>1885</v>
      </c>
      <c r="B2245" s="7" t="n">
        <v>85</v>
      </c>
      <c r="C2245" s="7" t="s">
        <v>24</v>
      </c>
      <c r="D2245" s="7" t="s">
        <v>40</v>
      </c>
      <c r="E2245" s="7" t="n">
        <v>21</v>
      </c>
      <c r="F2245" s="7" t="n">
        <v>13</v>
      </c>
      <c r="G2245" s="7" t="s">
        <v>26</v>
      </c>
      <c r="H2245" s="7" t="s">
        <v>32</v>
      </c>
      <c r="I2245" s="7" t="n">
        <v>35.1</v>
      </c>
      <c r="J2245" s="7" t="s">
        <v>28</v>
      </c>
      <c r="K2245" s="7" t="n">
        <v>240.4</v>
      </c>
      <c r="L2245" s="7" t="s">
        <v>37</v>
      </c>
      <c r="M2245" s="7" t="s">
        <v>38</v>
      </c>
    </row>
    <row r="2246" customFormat="false" ht="15" hidden="false" customHeight="true" outlineLevel="0" collapsed="false">
      <c r="A2246" s="7" t="n">
        <v>1925</v>
      </c>
      <c r="B2246" s="7" t="n">
        <v>75</v>
      </c>
      <c r="C2246" s="7" t="s">
        <v>33</v>
      </c>
      <c r="D2246" s="7" t="s">
        <v>40</v>
      </c>
      <c r="E2246" s="7" t="n">
        <v>23</v>
      </c>
      <c r="F2246" s="7" t="n">
        <v>21</v>
      </c>
      <c r="G2246" s="7" t="s">
        <v>34</v>
      </c>
      <c r="H2246" s="7" t="s">
        <v>32</v>
      </c>
      <c r="I2246" s="7" t="n">
        <v>33.6</v>
      </c>
      <c r="J2246" s="7" t="s">
        <v>28</v>
      </c>
      <c r="K2246" s="7" t="n">
        <v>250.6</v>
      </c>
      <c r="L2246" s="7" t="s">
        <v>29</v>
      </c>
      <c r="M2246" s="7" t="s">
        <v>38</v>
      </c>
    </row>
    <row r="2247" customFormat="false" ht="15" hidden="false" customHeight="true" outlineLevel="0" collapsed="false">
      <c r="A2247" s="7" t="n">
        <v>1930</v>
      </c>
      <c r="B2247" s="7" t="n">
        <v>64</v>
      </c>
      <c r="C2247" s="7" t="s">
        <v>33</v>
      </c>
      <c r="D2247" s="7" t="s">
        <v>40</v>
      </c>
      <c r="E2247" s="7" t="n">
        <v>6</v>
      </c>
      <c r="F2247" s="7" t="n">
        <v>19</v>
      </c>
      <c r="G2247" s="7" t="s">
        <v>35</v>
      </c>
      <c r="H2247" s="7" t="s">
        <v>27</v>
      </c>
      <c r="I2247" s="7" t="n">
        <v>29.4</v>
      </c>
      <c r="J2247" s="7" t="s">
        <v>28</v>
      </c>
      <c r="K2247" s="7" t="n">
        <v>179.3</v>
      </c>
      <c r="L2247" s="7" t="s">
        <v>29</v>
      </c>
      <c r="M2247" s="7" t="s">
        <v>38</v>
      </c>
    </row>
    <row r="2248" customFormat="false" ht="15" hidden="false" customHeight="true" outlineLevel="0" collapsed="false">
      <c r="A2248" s="7" t="n">
        <v>1938</v>
      </c>
      <c r="B2248" s="7" t="n">
        <v>77</v>
      </c>
      <c r="C2248" s="7" t="s">
        <v>33</v>
      </c>
      <c r="D2248" s="7" t="s">
        <v>40</v>
      </c>
      <c r="E2248" s="7" t="n">
        <v>31</v>
      </c>
      <c r="F2248" s="7" t="n">
        <v>7</v>
      </c>
      <c r="G2248" s="7" t="s">
        <v>31</v>
      </c>
      <c r="H2248" s="7" t="s">
        <v>27</v>
      </c>
      <c r="I2248" s="7" t="n">
        <v>23.2</v>
      </c>
      <c r="J2248" s="7" t="s">
        <v>28</v>
      </c>
      <c r="K2248" s="7" t="n">
        <v>189.3</v>
      </c>
      <c r="L2248" s="7" t="s">
        <v>37</v>
      </c>
      <c r="M2248" s="7" t="s">
        <v>38</v>
      </c>
    </row>
    <row r="2249" customFormat="false" ht="15" hidden="false" customHeight="true" outlineLevel="0" collapsed="false">
      <c r="A2249" s="7" t="n">
        <v>1961</v>
      </c>
      <c r="B2249" s="7" t="n">
        <v>65</v>
      </c>
      <c r="C2249" s="7" t="s">
        <v>33</v>
      </c>
      <c r="D2249" s="7" t="s">
        <v>40</v>
      </c>
      <c r="E2249" s="7" t="n">
        <v>6</v>
      </c>
      <c r="F2249" s="7" t="n">
        <v>11</v>
      </c>
      <c r="G2249" s="7" t="s">
        <v>35</v>
      </c>
      <c r="H2249" s="7" t="s">
        <v>32</v>
      </c>
      <c r="I2249" s="7" t="n">
        <v>40.5</v>
      </c>
      <c r="J2249" s="7" t="s">
        <v>28</v>
      </c>
      <c r="K2249" s="7" t="n">
        <v>211.1</v>
      </c>
      <c r="L2249" s="7" t="s">
        <v>37</v>
      </c>
      <c r="M2249" s="7" t="s">
        <v>38</v>
      </c>
    </row>
    <row r="2250" customFormat="false" ht="15" hidden="false" customHeight="true" outlineLevel="0" collapsed="false">
      <c r="A2250" s="7" t="n">
        <v>1962</v>
      </c>
      <c r="B2250" s="7" t="n">
        <v>76</v>
      </c>
      <c r="C2250" s="7" t="s">
        <v>33</v>
      </c>
      <c r="D2250" s="7" t="s">
        <v>40</v>
      </c>
      <c r="E2250" s="7" t="n">
        <v>8</v>
      </c>
      <c r="F2250" s="7" t="n">
        <v>8</v>
      </c>
      <c r="G2250" s="7" t="s">
        <v>35</v>
      </c>
      <c r="H2250" s="7" t="s">
        <v>27</v>
      </c>
      <c r="I2250" s="7" t="n">
        <v>17.5</v>
      </c>
      <c r="J2250" s="7" t="s">
        <v>28</v>
      </c>
      <c r="K2250" s="7" t="n">
        <v>254.2</v>
      </c>
      <c r="L2250" s="7" t="s">
        <v>37</v>
      </c>
      <c r="M2250" s="7" t="s">
        <v>38</v>
      </c>
    </row>
    <row r="2251" customFormat="false" ht="15" hidden="false" customHeight="true" outlineLevel="0" collapsed="false">
      <c r="A2251" s="7" t="n">
        <v>1978</v>
      </c>
      <c r="B2251" s="7" t="n">
        <v>64</v>
      </c>
      <c r="C2251" s="7" t="s">
        <v>33</v>
      </c>
      <c r="D2251" s="7" t="s">
        <v>40</v>
      </c>
      <c r="E2251" s="7" t="n">
        <v>6</v>
      </c>
      <c r="F2251" s="7" t="n">
        <v>6</v>
      </c>
      <c r="G2251" s="7" t="s">
        <v>26</v>
      </c>
      <c r="H2251" s="7" t="s">
        <v>32</v>
      </c>
      <c r="I2251" s="7" t="n">
        <v>32.2</v>
      </c>
      <c r="J2251" s="7" t="s">
        <v>28</v>
      </c>
      <c r="K2251" s="7" t="n">
        <v>223</v>
      </c>
      <c r="L2251" s="7" t="s">
        <v>37</v>
      </c>
      <c r="M2251" s="7" t="s">
        <v>38</v>
      </c>
    </row>
    <row r="2252" customFormat="false" ht="15" hidden="false" customHeight="true" outlineLevel="0" collapsed="false">
      <c r="A2252" s="7" t="n">
        <v>1999</v>
      </c>
      <c r="B2252" s="7" t="n">
        <v>53</v>
      </c>
      <c r="C2252" s="7" t="s">
        <v>24</v>
      </c>
      <c r="D2252" s="7" t="s">
        <v>40</v>
      </c>
      <c r="E2252" s="7" t="n">
        <v>38</v>
      </c>
      <c r="F2252" s="7" t="n">
        <v>13</v>
      </c>
      <c r="G2252" s="7" t="s">
        <v>35</v>
      </c>
      <c r="H2252" s="7" t="s">
        <v>27</v>
      </c>
      <c r="I2252" s="7" t="n">
        <v>25.6</v>
      </c>
      <c r="J2252" s="7" t="s">
        <v>28</v>
      </c>
      <c r="K2252" s="7" t="n">
        <v>265.4</v>
      </c>
      <c r="L2252" s="7" t="s">
        <v>37</v>
      </c>
      <c r="M2252" s="7" t="s">
        <v>38</v>
      </c>
    </row>
    <row r="2253" customFormat="false" ht="15" hidden="false" customHeight="true" outlineLevel="0" collapsed="false">
      <c r="A2253" s="7" t="n">
        <v>2006</v>
      </c>
      <c r="B2253" s="7" t="n">
        <v>43</v>
      </c>
      <c r="C2253" s="7" t="s">
        <v>33</v>
      </c>
      <c r="D2253" s="7" t="s">
        <v>40</v>
      </c>
      <c r="E2253" s="7" t="n">
        <v>16</v>
      </c>
      <c r="F2253" s="7" t="n">
        <v>21</v>
      </c>
      <c r="G2253" s="7" t="s">
        <v>35</v>
      </c>
      <c r="H2253" s="7" t="s">
        <v>27</v>
      </c>
      <c r="I2253" s="7" t="n">
        <v>39.8</v>
      </c>
      <c r="J2253" s="7" t="s">
        <v>28</v>
      </c>
      <c r="K2253" s="7" t="n">
        <v>198.8</v>
      </c>
      <c r="L2253" s="7" t="s">
        <v>29</v>
      </c>
      <c r="M2253" s="7" t="s">
        <v>38</v>
      </c>
    </row>
    <row r="2254" customFormat="false" ht="15" hidden="false" customHeight="true" outlineLevel="0" collapsed="false">
      <c r="A2254" s="7" t="n">
        <v>2012</v>
      </c>
      <c r="B2254" s="7" t="n">
        <v>47</v>
      </c>
      <c r="C2254" s="7" t="s">
        <v>24</v>
      </c>
      <c r="D2254" s="7" t="s">
        <v>40</v>
      </c>
      <c r="E2254" s="7" t="n">
        <v>15</v>
      </c>
      <c r="F2254" s="7" t="n">
        <v>28</v>
      </c>
      <c r="G2254" s="7" t="s">
        <v>31</v>
      </c>
      <c r="H2254" s="7" t="s">
        <v>27</v>
      </c>
      <c r="I2254" s="7" t="n">
        <v>25.3</v>
      </c>
      <c r="J2254" s="7" t="s">
        <v>28</v>
      </c>
      <c r="K2254" s="7" t="n">
        <v>134.1</v>
      </c>
      <c r="L2254" s="7" t="s">
        <v>29</v>
      </c>
      <c r="M2254" s="7" t="s">
        <v>38</v>
      </c>
    </row>
    <row r="2255" customFormat="false" ht="15" hidden="false" customHeight="true" outlineLevel="0" collapsed="false">
      <c r="A2255" s="7" t="n">
        <v>2017</v>
      </c>
      <c r="B2255" s="7" t="n">
        <v>62</v>
      </c>
      <c r="C2255" s="7" t="s">
        <v>33</v>
      </c>
      <c r="D2255" s="7" t="s">
        <v>40</v>
      </c>
      <c r="E2255" s="7" t="n">
        <v>34</v>
      </c>
      <c r="F2255" s="7" t="n">
        <v>23</v>
      </c>
      <c r="G2255" s="7" t="s">
        <v>26</v>
      </c>
      <c r="H2255" s="7" t="s">
        <v>27</v>
      </c>
      <c r="I2255" s="7" t="n">
        <v>23.8</v>
      </c>
      <c r="J2255" s="7" t="s">
        <v>28</v>
      </c>
      <c r="K2255" s="7" t="n">
        <v>265.3</v>
      </c>
      <c r="L2255" s="7" t="s">
        <v>29</v>
      </c>
      <c r="M2255" s="7" t="s">
        <v>38</v>
      </c>
    </row>
    <row r="2256" customFormat="false" ht="15" hidden="false" customHeight="true" outlineLevel="0" collapsed="false">
      <c r="A2256" s="7" t="n">
        <v>2034</v>
      </c>
      <c r="B2256" s="7" t="n">
        <v>36</v>
      </c>
      <c r="C2256" s="7" t="s">
        <v>33</v>
      </c>
      <c r="D2256" s="7" t="s">
        <v>40</v>
      </c>
      <c r="E2256" s="7" t="n">
        <v>35</v>
      </c>
      <c r="F2256" s="7" t="n">
        <v>27</v>
      </c>
      <c r="G2256" s="7" t="s">
        <v>36</v>
      </c>
      <c r="H2256" s="7" t="s">
        <v>27</v>
      </c>
      <c r="I2256" s="7" t="n">
        <v>37</v>
      </c>
      <c r="J2256" s="7" t="s">
        <v>28</v>
      </c>
      <c r="K2256" s="7" t="n">
        <v>256.5</v>
      </c>
      <c r="L2256" s="7" t="s">
        <v>37</v>
      </c>
      <c r="M2256" s="7" t="s">
        <v>38</v>
      </c>
    </row>
    <row r="2257" customFormat="false" ht="15" hidden="false" customHeight="true" outlineLevel="0" collapsed="false">
      <c r="A2257" s="7" t="n">
        <v>2043</v>
      </c>
      <c r="B2257" s="7" t="n">
        <v>44</v>
      </c>
      <c r="C2257" s="7" t="s">
        <v>24</v>
      </c>
      <c r="D2257" s="7" t="s">
        <v>40</v>
      </c>
      <c r="E2257" s="7" t="n">
        <v>16</v>
      </c>
      <c r="F2257" s="7" t="n">
        <v>12</v>
      </c>
      <c r="G2257" s="7" t="s">
        <v>35</v>
      </c>
      <c r="H2257" s="7" t="s">
        <v>27</v>
      </c>
      <c r="I2257" s="7" t="n">
        <v>38.3</v>
      </c>
      <c r="J2257" s="7" t="s">
        <v>28</v>
      </c>
      <c r="K2257" s="7" t="n">
        <v>275.7</v>
      </c>
      <c r="L2257" s="7" t="s">
        <v>37</v>
      </c>
      <c r="M2257" s="7" t="s">
        <v>38</v>
      </c>
    </row>
    <row r="2258" customFormat="false" ht="15" hidden="false" customHeight="true" outlineLevel="0" collapsed="false">
      <c r="A2258" s="7" t="n">
        <v>2059</v>
      </c>
      <c r="B2258" s="7" t="n">
        <v>67</v>
      </c>
      <c r="C2258" s="7" t="s">
        <v>33</v>
      </c>
      <c r="D2258" s="7" t="s">
        <v>40</v>
      </c>
      <c r="E2258" s="7" t="n">
        <v>18</v>
      </c>
      <c r="F2258" s="7" t="n">
        <v>7</v>
      </c>
      <c r="G2258" s="7" t="s">
        <v>35</v>
      </c>
      <c r="H2258" s="7" t="s">
        <v>32</v>
      </c>
      <c r="I2258" s="7" t="n">
        <v>25.6</v>
      </c>
      <c r="J2258" s="7" t="s">
        <v>28</v>
      </c>
      <c r="K2258" s="7" t="n">
        <v>274.9</v>
      </c>
      <c r="L2258" s="7" t="s">
        <v>29</v>
      </c>
      <c r="M2258" s="7" t="s">
        <v>38</v>
      </c>
    </row>
    <row r="2259" customFormat="false" ht="15" hidden="false" customHeight="true" outlineLevel="0" collapsed="false">
      <c r="A2259" s="7" t="n">
        <v>2065</v>
      </c>
      <c r="B2259" s="7" t="n">
        <v>36</v>
      </c>
      <c r="C2259" s="7" t="s">
        <v>24</v>
      </c>
      <c r="D2259" s="7" t="s">
        <v>40</v>
      </c>
      <c r="E2259" s="7" t="n">
        <v>26</v>
      </c>
      <c r="F2259" s="7" t="n">
        <v>13</v>
      </c>
      <c r="G2259" s="7" t="s">
        <v>26</v>
      </c>
      <c r="H2259" s="7" t="s">
        <v>27</v>
      </c>
      <c r="I2259" s="7" t="n">
        <v>25.2</v>
      </c>
      <c r="J2259" s="7" t="s">
        <v>28</v>
      </c>
      <c r="K2259" s="7" t="n">
        <v>213.9</v>
      </c>
      <c r="L2259" s="7" t="s">
        <v>29</v>
      </c>
      <c r="M2259" s="7" t="s">
        <v>38</v>
      </c>
    </row>
    <row r="2260" customFormat="false" ht="15" hidden="false" customHeight="true" outlineLevel="0" collapsed="false">
      <c r="A2260" s="7" t="n">
        <v>2066</v>
      </c>
      <c r="B2260" s="7" t="n">
        <v>52</v>
      </c>
      <c r="C2260" s="7" t="s">
        <v>24</v>
      </c>
      <c r="D2260" s="7" t="s">
        <v>40</v>
      </c>
      <c r="E2260" s="7" t="n">
        <v>38</v>
      </c>
      <c r="F2260" s="7" t="n">
        <v>13</v>
      </c>
      <c r="G2260" s="7" t="s">
        <v>26</v>
      </c>
      <c r="H2260" s="7" t="s">
        <v>27</v>
      </c>
      <c r="I2260" s="7" t="n">
        <v>29.2</v>
      </c>
      <c r="J2260" s="7" t="s">
        <v>28</v>
      </c>
      <c r="K2260" s="7" t="n">
        <v>150.3</v>
      </c>
      <c r="L2260" s="7" t="s">
        <v>29</v>
      </c>
      <c r="M2260" s="7" t="s">
        <v>38</v>
      </c>
    </row>
    <row r="2261" customFormat="false" ht="15" hidden="false" customHeight="true" outlineLevel="0" collapsed="false">
      <c r="A2261" s="7" t="n">
        <v>2073</v>
      </c>
      <c r="B2261" s="7" t="n">
        <v>56</v>
      </c>
      <c r="C2261" s="7" t="s">
        <v>33</v>
      </c>
      <c r="D2261" s="7" t="s">
        <v>40</v>
      </c>
      <c r="E2261" s="7" t="n">
        <v>8</v>
      </c>
      <c r="F2261" s="7" t="n">
        <v>23</v>
      </c>
      <c r="G2261" s="7" t="s">
        <v>35</v>
      </c>
      <c r="H2261" s="7" t="s">
        <v>27</v>
      </c>
      <c r="I2261" s="7" t="n">
        <v>28.2</v>
      </c>
      <c r="J2261" s="7" t="s">
        <v>28</v>
      </c>
      <c r="K2261" s="7" t="n">
        <v>217.9</v>
      </c>
      <c r="L2261" s="7" t="s">
        <v>37</v>
      </c>
      <c r="M2261" s="7" t="s">
        <v>38</v>
      </c>
    </row>
    <row r="2262" customFormat="false" ht="15" hidden="false" customHeight="true" outlineLevel="0" collapsed="false">
      <c r="A2262" s="7" t="n">
        <v>2083</v>
      </c>
      <c r="B2262" s="7" t="n">
        <v>68</v>
      </c>
      <c r="C2262" s="7" t="s">
        <v>33</v>
      </c>
      <c r="D2262" s="7" t="s">
        <v>40</v>
      </c>
      <c r="E2262" s="7" t="n">
        <v>36</v>
      </c>
      <c r="F2262" s="7" t="n">
        <v>21</v>
      </c>
      <c r="G2262" s="7" t="s">
        <v>36</v>
      </c>
      <c r="H2262" s="7" t="s">
        <v>27</v>
      </c>
      <c r="I2262" s="7" t="n">
        <v>27.1</v>
      </c>
      <c r="J2262" s="7" t="s">
        <v>28</v>
      </c>
      <c r="K2262" s="7" t="n">
        <v>181.9</v>
      </c>
      <c r="L2262" s="7" t="s">
        <v>29</v>
      </c>
      <c r="M2262" s="7" t="s">
        <v>38</v>
      </c>
    </row>
    <row r="2263" customFormat="false" ht="15" hidden="false" customHeight="true" outlineLevel="0" collapsed="false">
      <c r="A2263" s="7" t="n">
        <v>2102</v>
      </c>
      <c r="B2263" s="7" t="n">
        <v>38</v>
      </c>
      <c r="C2263" s="7" t="s">
        <v>33</v>
      </c>
      <c r="D2263" s="7" t="s">
        <v>40</v>
      </c>
      <c r="E2263" s="7" t="n">
        <v>33</v>
      </c>
      <c r="F2263" s="7" t="n">
        <v>10</v>
      </c>
      <c r="G2263" s="7" t="s">
        <v>35</v>
      </c>
      <c r="H2263" s="7" t="s">
        <v>27</v>
      </c>
      <c r="I2263" s="7" t="n">
        <v>23.7</v>
      </c>
      <c r="J2263" s="7" t="s">
        <v>28</v>
      </c>
      <c r="K2263" s="7" t="n">
        <v>296.7</v>
      </c>
      <c r="L2263" s="7" t="s">
        <v>29</v>
      </c>
      <c r="M2263" s="7" t="s">
        <v>38</v>
      </c>
    </row>
    <row r="2264" customFormat="false" ht="15" hidden="false" customHeight="true" outlineLevel="0" collapsed="false">
      <c r="A2264" s="7" t="n">
        <v>2104</v>
      </c>
      <c r="B2264" s="7" t="n">
        <v>72</v>
      </c>
      <c r="C2264" s="7" t="s">
        <v>33</v>
      </c>
      <c r="D2264" s="7" t="s">
        <v>40</v>
      </c>
      <c r="E2264" s="7" t="n">
        <v>11</v>
      </c>
      <c r="F2264" s="7" t="n">
        <v>11</v>
      </c>
      <c r="G2264" s="7" t="s">
        <v>35</v>
      </c>
      <c r="H2264" s="7" t="s">
        <v>32</v>
      </c>
      <c r="I2264" s="7" t="n">
        <v>20.1</v>
      </c>
      <c r="J2264" s="7" t="s">
        <v>28</v>
      </c>
      <c r="K2264" s="7" t="n">
        <v>231.5</v>
      </c>
      <c r="L2264" s="7" t="s">
        <v>29</v>
      </c>
      <c r="M2264" s="7" t="s">
        <v>38</v>
      </c>
    </row>
    <row r="2265" customFormat="false" ht="15" hidden="false" customHeight="true" outlineLevel="0" collapsed="false">
      <c r="A2265" s="7" t="n">
        <v>2109</v>
      </c>
      <c r="B2265" s="7" t="n">
        <v>84</v>
      </c>
      <c r="C2265" s="7" t="s">
        <v>33</v>
      </c>
      <c r="D2265" s="7" t="s">
        <v>40</v>
      </c>
      <c r="E2265" s="7" t="n">
        <v>31</v>
      </c>
      <c r="F2265" s="7" t="n">
        <v>16</v>
      </c>
      <c r="G2265" s="7" t="s">
        <v>31</v>
      </c>
      <c r="H2265" s="7" t="s">
        <v>32</v>
      </c>
      <c r="I2265" s="7" t="n">
        <v>27.2</v>
      </c>
      <c r="J2265" s="7" t="s">
        <v>28</v>
      </c>
      <c r="K2265" s="7" t="n">
        <v>281.6</v>
      </c>
      <c r="L2265" s="7" t="s">
        <v>29</v>
      </c>
      <c r="M2265" s="7" t="s">
        <v>38</v>
      </c>
    </row>
    <row r="2266" customFormat="false" ht="15" hidden="false" customHeight="true" outlineLevel="0" collapsed="false">
      <c r="A2266" s="7" t="n">
        <v>2118</v>
      </c>
      <c r="B2266" s="7" t="n">
        <v>68</v>
      </c>
      <c r="C2266" s="7" t="s">
        <v>24</v>
      </c>
      <c r="D2266" s="7" t="s">
        <v>40</v>
      </c>
      <c r="E2266" s="7" t="n">
        <v>31</v>
      </c>
      <c r="F2266" s="7" t="n">
        <v>29</v>
      </c>
      <c r="G2266" s="7" t="s">
        <v>36</v>
      </c>
      <c r="H2266" s="7" t="s">
        <v>32</v>
      </c>
      <c r="I2266" s="7" t="n">
        <v>32.9</v>
      </c>
      <c r="J2266" s="7" t="s">
        <v>28</v>
      </c>
      <c r="K2266" s="7" t="n">
        <v>296.8</v>
      </c>
      <c r="L2266" s="7" t="s">
        <v>29</v>
      </c>
      <c r="M2266" s="7" t="s">
        <v>38</v>
      </c>
    </row>
    <row r="2267" customFormat="false" ht="15" hidden="false" customHeight="true" outlineLevel="0" collapsed="false">
      <c r="A2267" s="7" t="n">
        <v>2128</v>
      </c>
      <c r="B2267" s="7" t="n">
        <v>29</v>
      </c>
      <c r="C2267" s="7" t="s">
        <v>24</v>
      </c>
      <c r="D2267" s="7" t="s">
        <v>40</v>
      </c>
      <c r="E2267" s="7" t="n">
        <v>25</v>
      </c>
      <c r="F2267" s="7" t="n">
        <v>28</v>
      </c>
      <c r="G2267" s="7" t="s">
        <v>35</v>
      </c>
      <c r="H2267" s="7" t="s">
        <v>27</v>
      </c>
      <c r="I2267" s="7" t="n">
        <v>24.8</v>
      </c>
      <c r="J2267" s="7" t="s">
        <v>28</v>
      </c>
      <c r="K2267" s="7" t="n">
        <v>149.8</v>
      </c>
      <c r="L2267" s="7" t="s">
        <v>29</v>
      </c>
      <c r="M2267" s="7" t="s">
        <v>38</v>
      </c>
    </row>
    <row r="2268" customFormat="false" ht="15" hidden="false" customHeight="true" outlineLevel="0" collapsed="false">
      <c r="A2268" s="7" t="n">
        <v>2134</v>
      </c>
      <c r="B2268" s="7" t="n">
        <v>59</v>
      </c>
      <c r="C2268" s="7" t="s">
        <v>24</v>
      </c>
      <c r="D2268" s="7" t="s">
        <v>40</v>
      </c>
      <c r="E2268" s="7" t="n">
        <v>32</v>
      </c>
      <c r="F2268" s="7" t="n">
        <v>11</v>
      </c>
      <c r="G2268" s="7" t="s">
        <v>31</v>
      </c>
      <c r="H2268" s="7" t="s">
        <v>32</v>
      </c>
      <c r="I2268" s="7" t="n">
        <v>40.4</v>
      </c>
      <c r="J2268" s="7" t="s">
        <v>28</v>
      </c>
      <c r="K2268" s="7" t="n">
        <v>166.1</v>
      </c>
      <c r="L2268" s="7" t="s">
        <v>37</v>
      </c>
      <c r="M2268" s="7" t="s">
        <v>38</v>
      </c>
    </row>
    <row r="2269" customFormat="false" ht="15" hidden="false" customHeight="true" outlineLevel="0" collapsed="false">
      <c r="A2269" s="7" t="n">
        <v>2146</v>
      </c>
      <c r="B2269" s="7" t="n">
        <v>29</v>
      </c>
      <c r="C2269" s="7" t="s">
        <v>24</v>
      </c>
      <c r="D2269" s="7" t="s">
        <v>40</v>
      </c>
      <c r="E2269" s="7" t="n">
        <v>25</v>
      </c>
      <c r="F2269" s="7" t="n">
        <v>15</v>
      </c>
      <c r="G2269" s="7" t="s">
        <v>31</v>
      </c>
      <c r="H2269" s="7" t="s">
        <v>27</v>
      </c>
      <c r="I2269" s="7" t="n">
        <v>18.6</v>
      </c>
      <c r="J2269" s="7" t="s">
        <v>28</v>
      </c>
      <c r="K2269" s="7" t="n">
        <v>293.7</v>
      </c>
      <c r="L2269" s="7" t="s">
        <v>29</v>
      </c>
      <c r="M2269" s="7" t="s">
        <v>38</v>
      </c>
    </row>
    <row r="2270" customFormat="false" ht="15" hidden="false" customHeight="true" outlineLevel="0" collapsed="false">
      <c r="A2270" s="7" t="n">
        <v>2151</v>
      </c>
      <c r="B2270" s="7" t="n">
        <v>49</v>
      </c>
      <c r="C2270" s="7" t="s">
        <v>33</v>
      </c>
      <c r="D2270" s="7" t="s">
        <v>40</v>
      </c>
      <c r="E2270" s="7" t="n">
        <v>12</v>
      </c>
      <c r="F2270" s="7" t="n">
        <v>25</v>
      </c>
      <c r="G2270" s="7" t="s">
        <v>26</v>
      </c>
      <c r="H2270" s="7" t="s">
        <v>32</v>
      </c>
      <c r="I2270" s="7" t="n">
        <v>17.9</v>
      </c>
      <c r="J2270" s="7" t="s">
        <v>28</v>
      </c>
      <c r="K2270" s="7" t="n">
        <v>218.4</v>
      </c>
      <c r="L2270" s="7" t="s">
        <v>37</v>
      </c>
      <c r="M2270" s="7" t="s">
        <v>38</v>
      </c>
    </row>
    <row r="2271" customFormat="false" ht="15" hidden="false" customHeight="true" outlineLevel="0" collapsed="false">
      <c r="A2271" s="7" t="n">
        <v>2155</v>
      </c>
      <c r="B2271" s="7" t="n">
        <v>20</v>
      </c>
      <c r="C2271" s="7" t="s">
        <v>24</v>
      </c>
      <c r="D2271" s="7" t="s">
        <v>40</v>
      </c>
      <c r="E2271" s="7" t="n">
        <v>36</v>
      </c>
      <c r="F2271" s="7" t="n">
        <v>28</v>
      </c>
      <c r="G2271" s="7" t="s">
        <v>35</v>
      </c>
      <c r="H2271" s="7" t="s">
        <v>27</v>
      </c>
      <c r="I2271" s="7" t="n">
        <v>25.5</v>
      </c>
      <c r="J2271" s="7" t="s">
        <v>28</v>
      </c>
      <c r="K2271" s="7" t="n">
        <v>164.6</v>
      </c>
      <c r="L2271" s="7" t="s">
        <v>29</v>
      </c>
      <c r="M2271" s="7" t="s">
        <v>38</v>
      </c>
    </row>
    <row r="2272" customFormat="false" ht="15" hidden="false" customHeight="true" outlineLevel="0" collapsed="false">
      <c r="A2272" s="7" t="n">
        <v>2167</v>
      </c>
      <c r="B2272" s="7" t="n">
        <v>43</v>
      </c>
      <c r="C2272" s="7" t="s">
        <v>24</v>
      </c>
      <c r="D2272" s="7" t="s">
        <v>40</v>
      </c>
      <c r="E2272" s="7" t="n">
        <v>34</v>
      </c>
      <c r="F2272" s="7" t="n">
        <v>29</v>
      </c>
      <c r="G2272" s="7" t="s">
        <v>34</v>
      </c>
      <c r="H2272" s="7" t="s">
        <v>27</v>
      </c>
      <c r="I2272" s="7" t="n">
        <v>41.1</v>
      </c>
      <c r="J2272" s="7" t="s">
        <v>28</v>
      </c>
      <c r="K2272" s="7" t="n">
        <v>173.5</v>
      </c>
      <c r="L2272" s="7" t="s">
        <v>29</v>
      </c>
      <c r="M2272" s="7" t="s">
        <v>38</v>
      </c>
    </row>
    <row r="2273" customFormat="false" ht="15" hidden="false" customHeight="true" outlineLevel="0" collapsed="false">
      <c r="A2273" s="7" t="n">
        <v>2170</v>
      </c>
      <c r="B2273" s="7" t="n">
        <v>58</v>
      </c>
      <c r="C2273" s="7" t="s">
        <v>33</v>
      </c>
      <c r="D2273" s="7" t="s">
        <v>40</v>
      </c>
      <c r="E2273" s="7" t="n">
        <v>29</v>
      </c>
      <c r="F2273" s="7" t="n">
        <v>18</v>
      </c>
      <c r="G2273" s="7" t="s">
        <v>26</v>
      </c>
      <c r="H2273" s="7" t="s">
        <v>27</v>
      </c>
      <c r="I2273" s="7" t="n">
        <v>24.2</v>
      </c>
      <c r="J2273" s="7" t="s">
        <v>28</v>
      </c>
      <c r="K2273" s="7" t="n">
        <v>201</v>
      </c>
      <c r="L2273" s="7" t="s">
        <v>29</v>
      </c>
      <c r="M2273" s="7" t="s">
        <v>38</v>
      </c>
    </row>
    <row r="2274" customFormat="false" ht="15" hidden="false" customHeight="true" outlineLevel="0" collapsed="false">
      <c r="A2274" s="7" t="n">
        <v>2193</v>
      </c>
      <c r="B2274" s="7" t="n">
        <v>34</v>
      </c>
      <c r="C2274" s="7" t="s">
        <v>24</v>
      </c>
      <c r="D2274" s="7" t="s">
        <v>40</v>
      </c>
      <c r="E2274" s="7" t="n">
        <v>33</v>
      </c>
      <c r="F2274" s="7" t="n">
        <v>20</v>
      </c>
      <c r="G2274" s="7" t="s">
        <v>36</v>
      </c>
      <c r="H2274" s="7" t="s">
        <v>27</v>
      </c>
      <c r="I2274" s="7" t="n">
        <v>40.1</v>
      </c>
      <c r="J2274" s="7" t="s">
        <v>28</v>
      </c>
      <c r="K2274" s="7" t="n">
        <v>130.9</v>
      </c>
      <c r="L2274" s="7" t="s">
        <v>29</v>
      </c>
      <c r="M2274" s="7" t="s">
        <v>38</v>
      </c>
    </row>
    <row r="2275" customFormat="false" ht="15" hidden="false" customHeight="true" outlineLevel="0" collapsed="false">
      <c r="A2275" s="7" t="n">
        <v>2202</v>
      </c>
      <c r="B2275" s="7" t="n">
        <v>87</v>
      </c>
      <c r="C2275" s="7" t="s">
        <v>24</v>
      </c>
      <c r="D2275" s="7" t="s">
        <v>40</v>
      </c>
      <c r="E2275" s="7" t="n">
        <v>34</v>
      </c>
      <c r="F2275" s="7" t="n">
        <v>21</v>
      </c>
      <c r="G2275" s="7" t="s">
        <v>26</v>
      </c>
      <c r="H2275" s="7" t="s">
        <v>27</v>
      </c>
      <c r="I2275" s="7" t="n">
        <v>26.6</v>
      </c>
      <c r="J2275" s="7" t="s">
        <v>28</v>
      </c>
      <c r="K2275" s="7" t="n">
        <v>250.5</v>
      </c>
      <c r="L2275" s="7" t="s">
        <v>29</v>
      </c>
      <c r="M2275" s="7" t="s">
        <v>38</v>
      </c>
    </row>
    <row r="2276" customFormat="false" ht="15" hidden="false" customHeight="true" outlineLevel="0" collapsed="false">
      <c r="A2276" s="7" t="n">
        <v>2207</v>
      </c>
      <c r="B2276" s="7" t="n">
        <v>78</v>
      </c>
      <c r="C2276" s="7" t="s">
        <v>33</v>
      </c>
      <c r="D2276" s="7" t="s">
        <v>40</v>
      </c>
      <c r="E2276" s="7" t="n">
        <v>14</v>
      </c>
      <c r="F2276" s="7" t="n">
        <v>21</v>
      </c>
      <c r="G2276" s="7" t="s">
        <v>34</v>
      </c>
      <c r="H2276" s="7" t="s">
        <v>27</v>
      </c>
      <c r="I2276" s="7" t="n">
        <v>39.8</v>
      </c>
      <c r="J2276" s="7" t="s">
        <v>28</v>
      </c>
      <c r="K2276" s="7" t="n">
        <v>212.1</v>
      </c>
      <c r="L2276" s="7" t="s">
        <v>29</v>
      </c>
      <c r="M2276" s="7" t="s">
        <v>38</v>
      </c>
    </row>
    <row r="2277" customFormat="false" ht="15" hidden="false" customHeight="true" outlineLevel="0" collapsed="false">
      <c r="A2277" s="7" t="n">
        <v>2241</v>
      </c>
      <c r="B2277" s="7" t="n">
        <v>42</v>
      </c>
      <c r="C2277" s="7" t="s">
        <v>33</v>
      </c>
      <c r="D2277" s="7" t="s">
        <v>40</v>
      </c>
      <c r="E2277" s="7" t="n">
        <v>33</v>
      </c>
      <c r="F2277" s="7" t="n">
        <v>23</v>
      </c>
      <c r="G2277" s="7" t="s">
        <v>31</v>
      </c>
      <c r="H2277" s="7" t="s">
        <v>27</v>
      </c>
      <c r="I2277" s="7" t="n">
        <v>27.8</v>
      </c>
      <c r="J2277" s="7" t="s">
        <v>28</v>
      </c>
      <c r="K2277" s="7" t="n">
        <v>197.3</v>
      </c>
      <c r="L2277" s="7" t="s">
        <v>29</v>
      </c>
      <c r="M2277" s="7" t="s">
        <v>38</v>
      </c>
    </row>
    <row r="2278" customFormat="false" ht="15" hidden="false" customHeight="true" outlineLevel="0" collapsed="false">
      <c r="A2278" s="7" t="n">
        <v>2256</v>
      </c>
      <c r="B2278" s="7" t="n">
        <v>54</v>
      </c>
      <c r="C2278" s="7" t="s">
        <v>24</v>
      </c>
      <c r="D2278" s="7" t="s">
        <v>40</v>
      </c>
      <c r="E2278" s="7" t="n">
        <v>33</v>
      </c>
      <c r="F2278" s="7" t="n">
        <v>7</v>
      </c>
      <c r="G2278" s="7" t="s">
        <v>26</v>
      </c>
      <c r="H2278" s="7" t="s">
        <v>32</v>
      </c>
      <c r="I2278" s="7" t="n">
        <v>29.2</v>
      </c>
      <c r="J2278" s="7" t="s">
        <v>28</v>
      </c>
      <c r="K2278" s="7" t="n">
        <v>172.1</v>
      </c>
      <c r="L2278" s="7" t="s">
        <v>29</v>
      </c>
      <c r="M2278" s="7" t="s">
        <v>38</v>
      </c>
    </row>
    <row r="2279" customFormat="false" ht="15" hidden="false" customHeight="true" outlineLevel="0" collapsed="false">
      <c r="A2279" s="7" t="n">
        <v>2260</v>
      </c>
      <c r="B2279" s="7" t="n">
        <v>42</v>
      </c>
      <c r="C2279" s="7" t="s">
        <v>24</v>
      </c>
      <c r="D2279" s="7" t="s">
        <v>40</v>
      </c>
      <c r="E2279" s="7" t="n">
        <v>21</v>
      </c>
      <c r="F2279" s="7" t="n">
        <v>17</v>
      </c>
      <c r="G2279" s="7" t="s">
        <v>36</v>
      </c>
      <c r="H2279" s="7" t="s">
        <v>27</v>
      </c>
      <c r="I2279" s="7" t="n">
        <v>23.4</v>
      </c>
      <c r="J2279" s="7" t="s">
        <v>28</v>
      </c>
      <c r="K2279" s="7" t="n">
        <v>258.2</v>
      </c>
      <c r="L2279" s="7" t="s">
        <v>29</v>
      </c>
      <c r="M2279" s="7" t="s">
        <v>38</v>
      </c>
    </row>
    <row r="2280" customFormat="false" ht="15" hidden="false" customHeight="true" outlineLevel="0" collapsed="false">
      <c r="A2280" s="7" t="n">
        <v>2284</v>
      </c>
      <c r="B2280" s="7" t="n">
        <v>28</v>
      </c>
      <c r="C2280" s="7" t="s">
        <v>24</v>
      </c>
      <c r="D2280" s="7" t="s">
        <v>40</v>
      </c>
      <c r="E2280" s="7" t="n">
        <v>19</v>
      </c>
      <c r="F2280" s="7" t="n">
        <v>19</v>
      </c>
      <c r="G2280" s="7" t="s">
        <v>36</v>
      </c>
      <c r="H2280" s="7" t="s">
        <v>27</v>
      </c>
      <c r="I2280" s="7" t="n">
        <v>31</v>
      </c>
      <c r="J2280" s="7" t="s">
        <v>28</v>
      </c>
      <c r="K2280" s="7" t="n">
        <v>125.4</v>
      </c>
      <c r="L2280" s="7" t="s">
        <v>37</v>
      </c>
      <c r="M2280" s="7" t="s">
        <v>38</v>
      </c>
    </row>
    <row r="2281" customFormat="false" ht="15" hidden="false" customHeight="true" outlineLevel="0" collapsed="false">
      <c r="A2281" s="7" t="n">
        <v>2304</v>
      </c>
      <c r="B2281" s="7" t="n">
        <v>58</v>
      </c>
      <c r="C2281" s="7" t="s">
        <v>33</v>
      </c>
      <c r="D2281" s="7" t="s">
        <v>40</v>
      </c>
      <c r="E2281" s="7" t="n">
        <v>25</v>
      </c>
      <c r="F2281" s="7" t="n">
        <v>5</v>
      </c>
      <c r="G2281" s="7" t="s">
        <v>31</v>
      </c>
      <c r="H2281" s="7" t="s">
        <v>27</v>
      </c>
      <c r="I2281" s="7" t="n">
        <v>29</v>
      </c>
      <c r="J2281" s="7" t="s">
        <v>28</v>
      </c>
      <c r="K2281" s="7" t="n">
        <v>192.1</v>
      </c>
      <c r="L2281" s="7" t="s">
        <v>29</v>
      </c>
      <c r="M2281" s="7" t="s">
        <v>38</v>
      </c>
    </row>
    <row r="2282" customFormat="false" ht="15" hidden="false" customHeight="true" outlineLevel="0" collapsed="false">
      <c r="A2282" s="7" t="n">
        <v>2330</v>
      </c>
      <c r="B2282" s="7" t="n">
        <v>55</v>
      </c>
      <c r="C2282" s="7" t="s">
        <v>33</v>
      </c>
      <c r="D2282" s="7" t="s">
        <v>40</v>
      </c>
      <c r="E2282" s="7" t="n">
        <v>37</v>
      </c>
      <c r="F2282" s="7" t="n">
        <v>28</v>
      </c>
      <c r="G2282" s="7" t="s">
        <v>34</v>
      </c>
      <c r="H2282" s="7" t="s">
        <v>27</v>
      </c>
      <c r="I2282" s="7" t="n">
        <v>29</v>
      </c>
      <c r="J2282" s="7" t="s">
        <v>28</v>
      </c>
      <c r="K2282" s="7" t="n">
        <v>157.9</v>
      </c>
      <c r="L2282" s="7" t="s">
        <v>29</v>
      </c>
      <c r="M2282" s="7" t="s">
        <v>38</v>
      </c>
    </row>
    <row r="2283" customFormat="false" ht="15" hidden="false" customHeight="true" outlineLevel="0" collapsed="false">
      <c r="A2283" s="7" t="n">
        <v>2337</v>
      </c>
      <c r="B2283" s="7" t="n">
        <v>59</v>
      </c>
      <c r="C2283" s="7" t="s">
        <v>33</v>
      </c>
      <c r="D2283" s="7" t="s">
        <v>40</v>
      </c>
      <c r="E2283" s="7" t="n">
        <v>37</v>
      </c>
      <c r="F2283" s="7" t="n">
        <v>13</v>
      </c>
      <c r="G2283" s="7" t="s">
        <v>36</v>
      </c>
      <c r="H2283" s="7" t="s">
        <v>27</v>
      </c>
      <c r="I2283" s="7" t="n">
        <v>37.4</v>
      </c>
      <c r="J2283" s="7" t="s">
        <v>28</v>
      </c>
      <c r="K2283" s="7" t="n">
        <v>236.8</v>
      </c>
      <c r="L2283" s="7" t="s">
        <v>29</v>
      </c>
      <c r="M2283" s="7" t="s">
        <v>38</v>
      </c>
    </row>
    <row r="2284" customFormat="false" ht="15" hidden="false" customHeight="true" outlineLevel="0" collapsed="false">
      <c r="A2284" s="7" t="n">
        <v>2343</v>
      </c>
      <c r="B2284" s="7" t="n">
        <v>28</v>
      </c>
      <c r="C2284" s="7" t="s">
        <v>24</v>
      </c>
      <c r="D2284" s="7" t="s">
        <v>40</v>
      </c>
      <c r="E2284" s="7" t="n">
        <v>14</v>
      </c>
      <c r="F2284" s="7" t="n">
        <v>14</v>
      </c>
      <c r="G2284" s="7" t="s">
        <v>26</v>
      </c>
      <c r="H2284" s="7" t="s">
        <v>32</v>
      </c>
      <c r="I2284" s="7" t="n">
        <v>28.9</v>
      </c>
      <c r="J2284" s="7" t="s">
        <v>28</v>
      </c>
      <c r="K2284" s="7" t="n">
        <v>123.4</v>
      </c>
      <c r="L2284" s="7" t="s">
        <v>29</v>
      </c>
      <c r="M2284" s="7" t="s">
        <v>38</v>
      </c>
    </row>
    <row r="2285" customFormat="false" ht="15" hidden="false" customHeight="true" outlineLevel="0" collapsed="false">
      <c r="A2285" s="7" t="n">
        <v>2416</v>
      </c>
      <c r="B2285" s="7" t="n">
        <v>44</v>
      </c>
      <c r="C2285" s="7" t="s">
        <v>33</v>
      </c>
      <c r="D2285" s="7" t="s">
        <v>40</v>
      </c>
      <c r="E2285" s="7" t="n">
        <v>17</v>
      </c>
      <c r="F2285" s="7" t="n">
        <v>17</v>
      </c>
      <c r="G2285" s="7" t="s">
        <v>34</v>
      </c>
      <c r="H2285" s="7" t="s">
        <v>32</v>
      </c>
      <c r="I2285" s="7" t="n">
        <v>21.7</v>
      </c>
      <c r="J2285" s="7" t="s">
        <v>28</v>
      </c>
      <c r="K2285" s="7" t="n">
        <v>199.4</v>
      </c>
      <c r="L2285" s="7" t="s">
        <v>29</v>
      </c>
      <c r="M2285" s="7" t="s">
        <v>38</v>
      </c>
    </row>
    <row r="2286" customFormat="false" ht="15" hidden="false" customHeight="true" outlineLevel="0" collapsed="false">
      <c r="A2286" s="7" t="n">
        <v>2443</v>
      </c>
      <c r="B2286" s="7" t="n">
        <v>61</v>
      </c>
      <c r="C2286" s="7" t="s">
        <v>24</v>
      </c>
      <c r="D2286" s="7" t="s">
        <v>40</v>
      </c>
      <c r="E2286" s="7" t="n">
        <v>21</v>
      </c>
      <c r="F2286" s="7" t="n">
        <v>5</v>
      </c>
      <c r="G2286" s="7" t="s">
        <v>34</v>
      </c>
      <c r="H2286" s="7" t="s">
        <v>27</v>
      </c>
      <c r="I2286" s="7" t="n">
        <v>30.3</v>
      </c>
      <c r="J2286" s="7" t="s">
        <v>28</v>
      </c>
      <c r="K2286" s="7" t="n">
        <v>137.3</v>
      </c>
      <c r="L2286" s="7" t="s">
        <v>29</v>
      </c>
      <c r="M2286" s="7" t="s">
        <v>38</v>
      </c>
    </row>
    <row r="2287" customFormat="false" ht="15" hidden="false" customHeight="true" outlineLevel="0" collapsed="false">
      <c r="A2287" s="7" t="n">
        <v>2446</v>
      </c>
      <c r="B2287" s="7" t="n">
        <v>39</v>
      </c>
      <c r="C2287" s="7" t="s">
        <v>24</v>
      </c>
      <c r="D2287" s="7" t="s">
        <v>40</v>
      </c>
      <c r="E2287" s="7" t="n">
        <v>10</v>
      </c>
      <c r="F2287" s="7" t="n">
        <v>9</v>
      </c>
      <c r="G2287" s="7" t="s">
        <v>36</v>
      </c>
      <c r="H2287" s="7" t="s">
        <v>27</v>
      </c>
      <c r="I2287" s="7" t="n">
        <v>26.7</v>
      </c>
      <c r="J2287" s="7" t="s">
        <v>28</v>
      </c>
      <c r="K2287" s="7" t="n">
        <v>225</v>
      </c>
      <c r="L2287" s="7" t="s">
        <v>37</v>
      </c>
      <c r="M2287" s="7" t="s">
        <v>38</v>
      </c>
    </row>
    <row r="2288" customFormat="false" ht="15" hidden="false" customHeight="true" outlineLevel="0" collapsed="false">
      <c r="A2288" s="7" t="n">
        <v>2460</v>
      </c>
      <c r="B2288" s="7" t="n">
        <v>48</v>
      </c>
      <c r="C2288" s="7" t="s">
        <v>24</v>
      </c>
      <c r="D2288" s="7" t="s">
        <v>40</v>
      </c>
      <c r="E2288" s="7" t="n">
        <v>33</v>
      </c>
      <c r="F2288" s="7" t="n">
        <v>6</v>
      </c>
      <c r="G2288" s="7" t="s">
        <v>34</v>
      </c>
      <c r="H2288" s="7" t="s">
        <v>27</v>
      </c>
      <c r="I2288" s="7" t="n">
        <v>23.9</v>
      </c>
      <c r="J2288" s="7" t="s">
        <v>28</v>
      </c>
      <c r="K2288" s="7" t="n">
        <v>232.9</v>
      </c>
      <c r="L2288" s="7" t="s">
        <v>29</v>
      </c>
      <c r="M2288" s="7" t="s">
        <v>38</v>
      </c>
    </row>
    <row r="2289" customFormat="false" ht="15" hidden="false" customHeight="true" outlineLevel="0" collapsed="false">
      <c r="A2289" s="7" t="n">
        <v>6</v>
      </c>
      <c r="B2289" s="7" t="n">
        <v>32</v>
      </c>
      <c r="C2289" s="7" t="s">
        <v>24</v>
      </c>
      <c r="D2289" s="7" t="s">
        <v>40</v>
      </c>
      <c r="E2289" s="7" t="n">
        <v>18</v>
      </c>
      <c r="F2289" s="7" t="n">
        <v>20</v>
      </c>
      <c r="G2289" s="7" t="s">
        <v>31</v>
      </c>
      <c r="H2289" s="7" t="s">
        <v>27</v>
      </c>
      <c r="I2289" s="7" t="n">
        <v>25.1</v>
      </c>
      <c r="J2289" s="7" t="s">
        <v>28</v>
      </c>
      <c r="K2289" s="7" t="n">
        <v>168.8</v>
      </c>
      <c r="L2289" s="7" t="s">
        <v>29</v>
      </c>
      <c r="M2289" s="7" t="s">
        <v>30</v>
      </c>
    </row>
    <row r="2290" customFormat="false" ht="15" hidden="false" customHeight="true" outlineLevel="0" collapsed="false">
      <c r="A2290" s="7" t="n">
        <v>54</v>
      </c>
      <c r="B2290" s="7" t="n">
        <v>18</v>
      </c>
      <c r="C2290" s="7" t="s">
        <v>33</v>
      </c>
      <c r="D2290" s="7" t="s">
        <v>40</v>
      </c>
      <c r="E2290" s="7" t="n">
        <v>21</v>
      </c>
      <c r="F2290" s="7" t="n">
        <v>25</v>
      </c>
      <c r="G2290" s="7" t="s">
        <v>26</v>
      </c>
      <c r="H2290" s="7" t="s">
        <v>27</v>
      </c>
      <c r="I2290" s="7" t="n">
        <v>22.7</v>
      </c>
      <c r="J2290" s="7" t="s">
        <v>28</v>
      </c>
      <c r="K2290" s="7" t="n">
        <v>231.3</v>
      </c>
      <c r="L2290" s="7" t="s">
        <v>29</v>
      </c>
      <c r="M2290" s="7" t="s">
        <v>30</v>
      </c>
    </row>
    <row r="2291" customFormat="false" ht="15" hidden="false" customHeight="true" outlineLevel="0" collapsed="false">
      <c r="A2291" s="7" t="n">
        <v>66</v>
      </c>
      <c r="B2291" s="7" t="n">
        <v>58</v>
      </c>
      <c r="C2291" s="7" t="s">
        <v>33</v>
      </c>
      <c r="D2291" s="7" t="s">
        <v>40</v>
      </c>
      <c r="E2291" s="7" t="n">
        <v>23</v>
      </c>
      <c r="F2291" s="7" t="n">
        <v>14</v>
      </c>
      <c r="G2291" s="7" t="s">
        <v>31</v>
      </c>
      <c r="H2291" s="7" t="s">
        <v>27</v>
      </c>
      <c r="I2291" s="7" t="n">
        <v>31.3</v>
      </c>
      <c r="J2291" s="7" t="s">
        <v>28</v>
      </c>
      <c r="K2291" s="7" t="n">
        <v>297.6</v>
      </c>
      <c r="L2291" s="7" t="s">
        <v>29</v>
      </c>
      <c r="M2291" s="7" t="s">
        <v>30</v>
      </c>
    </row>
    <row r="2292" customFormat="false" ht="15" hidden="false" customHeight="true" outlineLevel="0" collapsed="false">
      <c r="A2292" s="7" t="n">
        <v>72</v>
      </c>
      <c r="B2292" s="7" t="n">
        <v>86</v>
      </c>
      <c r="C2292" s="7" t="s">
        <v>24</v>
      </c>
      <c r="D2292" s="7" t="s">
        <v>40</v>
      </c>
      <c r="E2292" s="7" t="n">
        <v>35</v>
      </c>
      <c r="F2292" s="7" t="n">
        <v>21</v>
      </c>
      <c r="G2292" s="7" t="s">
        <v>31</v>
      </c>
      <c r="H2292" s="7" t="s">
        <v>32</v>
      </c>
      <c r="I2292" s="7" t="n">
        <v>20.1</v>
      </c>
      <c r="J2292" s="7" t="s">
        <v>28</v>
      </c>
      <c r="K2292" s="7" t="n">
        <v>288.9</v>
      </c>
      <c r="L2292" s="7" t="s">
        <v>37</v>
      </c>
      <c r="M2292" s="7" t="s">
        <v>30</v>
      </c>
    </row>
    <row r="2293" customFormat="false" ht="15" hidden="false" customHeight="true" outlineLevel="0" collapsed="false">
      <c r="A2293" s="7" t="n">
        <v>103</v>
      </c>
      <c r="B2293" s="7" t="n">
        <v>56</v>
      </c>
      <c r="C2293" s="7" t="s">
        <v>33</v>
      </c>
      <c r="D2293" s="7" t="s">
        <v>40</v>
      </c>
      <c r="E2293" s="7" t="n">
        <v>27</v>
      </c>
      <c r="F2293" s="7" t="n">
        <v>22</v>
      </c>
      <c r="G2293" s="7" t="s">
        <v>36</v>
      </c>
      <c r="H2293" s="7" t="s">
        <v>27</v>
      </c>
      <c r="I2293" s="7" t="n">
        <v>33.1</v>
      </c>
      <c r="J2293" s="7" t="s">
        <v>28</v>
      </c>
      <c r="K2293" s="7" t="n">
        <v>185.6</v>
      </c>
      <c r="L2293" s="7" t="s">
        <v>29</v>
      </c>
      <c r="M2293" s="7" t="s">
        <v>30</v>
      </c>
    </row>
    <row r="2294" customFormat="false" ht="15" hidden="false" customHeight="true" outlineLevel="0" collapsed="false">
      <c r="A2294" s="7" t="n">
        <v>106</v>
      </c>
      <c r="B2294" s="7" t="n">
        <v>74</v>
      </c>
      <c r="C2294" s="7" t="s">
        <v>24</v>
      </c>
      <c r="D2294" s="7" t="s">
        <v>40</v>
      </c>
      <c r="E2294" s="7" t="n">
        <v>33</v>
      </c>
      <c r="F2294" s="7" t="n">
        <v>25</v>
      </c>
      <c r="G2294" s="7" t="s">
        <v>31</v>
      </c>
      <c r="H2294" s="7" t="s">
        <v>32</v>
      </c>
      <c r="I2294" s="7" t="n">
        <v>36.2</v>
      </c>
      <c r="J2294" s="7" t="s">
        <v>28</v>
      </c>
      <c r="K2294" s="7" t="n">
        <v>195.8</v>
      </c>
      <c r="L2294" s="7" t="s">
        <v>29</v>
      </c>
      <c r="M2294" s="7" t="s">
        <v>30</v>
      </c>
    </row>
    <row r="2295" customFormat="false" ht="15" hidden="false" customHeight="true" outlineLevel="0" collapsed="false">
      <c r="A2295" s="7" t="n">
        <v>114</v>
      </c>
      <c r="B2295" s="7" t="n">
        <v>75</v>
      </c>
      <c r="C2295" s="7" t="s">
        <v>33</v>
      </c>
      <c r="D2295" s="7" t="s">
        <v>40</v>
      </c>
      <c r="E2295" s="7" t="n">
        <v>36</v>
      </c>
      <c r="F2295" s="7" t="n">
        <v>23</v>
      </c>
      <c r="G2295" s="7" t="s">
        <v>36</v>
      </c>
      <c r="H2295" s="7" t="s">
        <v>27</v>
      </c>
      <c r="I2295" s="7" t="n">
        <v>38.6</v>
      </c>
      <c r="J2295" s="7" t="s">
        <v>28</v>
      </c>
      <c r="K2295" s="7" t="n">
        <v>213.8</v>
      </c>
      <c r="L2295" s="7" t="s">
        <v>29</v>
      </c>
      <c r="M2295" s="7" t="s">
        <v>30</v>
      </c>
    </row>
    <row r="2296" customFormat="false" ht="15" hidden="false" customHeight="true" outlineLevel="0" collapsed="false">
      <c r="A2296" s="7" t="n">
        <v>126</v>
      </c>
      <c r="B2296" s="7" t="n">
        <v>88</v>
      </c>
      <c r="C2296" s="7" t="s">
        <v>33</v>
      </c>
      <c r="D2296" s="7" t="s">
        <v>40</v>
      </c>
      <c r="E2296" s="7" t="n">
        <v>29</v>
      </c>
      <c r="F2296" s="7" t="n">
        <v>18</v>
      </c>
      <c r="G2296" s="7" t="s">
        <v>31</v>
      </c>
      <c r="H2296" s="7" t="s">
        <v>27</v>
      </c>
      <c r="I2296" s="7" t="n">
        <v>31</v>
      </c>
      <c r="J2296" s="7" t="s">
        <v>28</v>
      </c>
      <c r="K2296" s="7" t="n">
        <v>148.9</v>
      </c>
      <c r="L2296" s="7" t="s">
        <v>29</v>
      </c>
      <c r="M2296" s="7" t="s">
        <v>30</v>
      </c>
    </row>
    <row r="2297" customFormat="false" ht="15" hidden="false" customHeight="true" outlineLevel="0" collapsed="false">
      <c r="A2297" s="7" t="n">
        <v>136</v>
      </c>
      <c r="B2297" s="7" t="n">
        <v>66</v>
      </c>
      <c r="C2297" s="7" t="s">
        <v>33</v>
      </c>
      <c r="D2297" s="7" t="s">
        <v>40</v>
      </c>
      <c r="E2297" s="7" t="n">
        <v>28</v>
      </c>
      <c r="F2297" s="7" t="n">
        <v>22</v>
      </c>
      <c r="G2297" s="7" t="s">
        <v>34</v>
      </c>
      <c r="H2297" s="7" t="s">
        <v>27</v>
      </c>
      <c r="I2297" s="7" t="n">
        <v>35.1</v>
      </c>
      <c r="J2297" s="7" t="s">
        <v>28</v>
      </c>
      <c r="K2297" s="7" t="n">
        <v>277.2</v>
      </c>
      <c r="L2297" s="7" t="s">
        <v>29</v>
      </c>
      <c r="M2297" s="7" t="s">
        <v>30</v>
      </c>
    </row>
    <row r="2298" customFormat="false" ht="15" hidden="false" customHeight="true" outlineLevel="0" collapsed="false">
      <c r="A2298" s="7" t="n">
        <v>138</v>
      </c>
      <c r="B2298" s="7" t="n">
        <v>61</v>
      </c>
      <c r="C2298" s="7" t="s">
        <v>24</v>
      </c>
      <c r="D2298" s="7" t="s">
        <v>40</v>
      </c>
      <c r="E2298" s="7" t="n">
        <v>27</v>
      </c>
      <c r="F2298" s="7" t="n">
        <v>14</v>
      </c>
      <c r="G2298" s="7" t="s">
        <v>36</v>
      </c>
      <c r="H2298" s="7" t="s">
        <v>27</v>
      </c>
      <c r="I2298" s="7" t="n">
        <v>38.4</v>
      </c>
      <c r="J2298" s="7" t="s">
        <v>28</v>
      </c>
      <c r="K2298" s="7" t="n">
        <v>164.5</v>
      </c>
      <c r="L2298" s="7" t="s">
        <v>29</v>
      </c>
      <c r="M2298" s="7" t="s">
        <v>30</v>
      </c>
    </row>
    <row r="2299" customFormat="false" ht="15" hidden="false" customHeight="true" outlineLevel="0" collapsed="false">
      <c r="A2299" s="7" t="n">
        <v>155</v>
      </c>
      <c r="B2299" s="7" t="n">
        <v>24</v>
      </c>
      <c r="C2299" s="7" t="s">
        <v>33</v>
      </c>
      <c r="D2299" s="7" t="s">
        <v>40</v>
      </c>
      <c r="E2299" s="7" t="n">
        <v>30</v>
      </c>
      <c r="F2299" s="7" t="n">
        <v>29</v>
      </c>
      <c r="G2299" s="7" t="s">
        <v>31</v>
      </c>
      <c r="H2299" s="7" t="s">
        <v>27</v>
      </c>
      <c r="I2299" s="7" t="n">
        <v>30.1</v>
      </c>
      <c r="J2299" s="7" t="s">
        <v>28</v>
      </c>
      <c r="K2299" s="7" t="n">
        <v>139.2</v>
      </c>
      <c r="L2299" s="7" t="s">
        <v>29</v>
      </c>
      <c r="M2299" s="7" t="s">
        <v>30</v>
      </c>
    </row>
    <row r="2300" customFormat="false" ht="15" hidden="false" customHeight="true" outlineLevel="0" collapsed="false">
      <c r="A2300" s="7" t="n">
        <v>160</v>
      </c>
      <c r="B2300" s="7" t="n">
        <v>35</v>
      </c>
      <c r="C2300" s="7" t="s">
        <v>33</v>
      </c>
      <c r="D2300" s="7" t="s">
        <v>40</v>
      </c>
      <c r="E2300" s="7" t="n">
        <v>39</v>
      </c>
      <c r="F2300" s="7" t="n">
        <v>11</v>
      </c>
      <c r="G2300" s="7" t="s">
        <v>36</v>
      </c>
      <c r="H2300" s="7" t="s">
        <v>27</v>
      </c>
      <c r="I2300" s="7" t="n">
        <v>34.9</v>
      </c>
      <c r="J2300" s="7" t="s">
        <v>28</v>
      </c>
      <c r="K2300" s="7" t="n">
        <v>298.4</v>
      </c>
      <c r="L2300" s="7" t="s">
        <v>37</v>
      </c>
      <c r="M2300" s="7" t="s">
        <v>30</v>
      </c>
    </row>
    <row r="2301" customFormat="false" ht="15" hidden="false" customHeight="true" outlineLevel="0" collapsed="false">
      <c r="A2301" s="7" t="n">
        <v>161</v>
      </c>
      <c r="B2301" s="7" t="n">
        <v>53</v>
      </c>
      <c r="C2301" s="7" t="s">
        <v>24</v>
      </c>
      <c r="D2301" s="7" t="s">
        <v>40</v>
      </c>
      <c r="E2301" s="7" t="n">
        <v>36</v>
      </c>
      <c r="F2301" s="7" t="n">
        <v>11</v>
      </c>
      <c r="G2301" s="7" t="s">
        <v>26</v>
      </c>
      <c r="H2301" s="7" t="s">
        <v>32</v>
      </c>
      <c r="I2301" s="7" t="n">
        <v>21.8</v>
      </c>
      <c r="J2301" s="7" t="s">
        <v>28</v>
      </c>
      <c r="K2301" s="7" t="n">
        <v>160.8</v>
      </c>
      <c r="L2301" s="7" t="s">
        <v>29</v>
      </c>
      <c r="M2301" s="7" t="s">
        <v>30</v>
      </c>
    </row>
    <row r="2302" customFormat="false" ht="15" hidden="false" customHeight="true" outlineLevel="0" collapsed="false">
      <c r="A2302" s="7" t="n">
        <v>167</v>
      </c>
      <c r="B2302" s="7" t="n">
        <v>72</v>
      </c>
      <c r="C2302" s="7" t="s">
        <v>24</v>
      </c>
      <c r="D2302" s="7" t="s">
        <v>40</v>
      </c>
      <c r="E2302" s="7" t="n">
        <v>27</v>
      </c>
      <c r="F2302" s="7" t="n">
        <v>8</v>
      </c>
      <c r="G2302" s="7" t="s">
        <v>35</v>
      </c>
      <c r="H2302" s="7" t="s">
        <v>32</v>
      </c>
      <c r="I2302" s="7" t="n">
        <v>31.4</v>
      </c>
      <c r="J2302" s="7" t="s">
        <v>28</v>
      </c>
      <c r="K2302" s="7" t="n">
        <v>190.4</v>
      </c>
      <c r="L2302" s="7" t="s">
        <v>29</v>
      </c>
      <c r="M2302" s="7" t="s">
        <v>30</v>
      </c>
    </row>
    <row r="2303" customFormat="false" ht="15" hidden="false" customHeight="true" outlineLevel="0" collapsed="false">
      <c r="A2303" s="7" t="n">
        <v>187</v>
      </c>
      <c r="B2303" s="7" t="n">
        <v>30</v>
      </c>
      <c r="C2303" s="7" t="s">
        <v>24</v>
      </c>
      <c r="D2303" s="7" t="s">
        <v>40</v>
      </c>
      <c r="E2303" s="7" t="n">
        <v>22</v>
      </c>
      <c r="F2303" s="7" t="n">
        <v>25</v>
      </c>
      <c r="G2303" s="7" t="s">
        <v>26</v>
      </c>
      <c r="H2303" s="7" t="s">
        <v>32</v>
      </c>
      <c r="I2303" s="7" t="n">
        <v>35.7</v>
      </c>
      <c r="J2303" s="7" t="s">
        <v>28</v>
      </c>
      <c r="K2303" s="7" t="n">
        <v>152.5</v>
      </c>
      <c r="L2303" s="7" t="s">
        <v>37</v>
      </c>
      <c r="M2303" s="7" t="s">
        <v>30</v>
      </c>
    </row>
    <row r="2304" customFormat="false" ht="15" hidden="false" customHeight="true" outlineLevel="0" collapsed="false">
      <c r="A2304" s="7" t="n">
        <v>195</v>
      </c>
      <c r="B2304" s="7" t="n">
        <v>47</v>
      </c>
      <c r="C2304" s="7" t="s">
        <v>24</v>
      </c>
      <c r="D2304" s="7" t="s">
        <v>40</v>
      </c>
      <c r="E2304" s="7" t="n">
        <v>28</v>
      </c>
      <c r="F2304" s="7" t="n">
        <v>6</v>
      </c>
      <c r="G2304" s="7" t="s">
        <v>35</v>
      </c>
      <c r="H2304" s="7" t="s">
        <v>27</v>
      </c>
      <c r="I2304" s="7" t="n">
        <v>37.6</v>
      </c>
      <c r="J2304" s="7" t="s">
        <v>28</v>
      </c>
      <c r="K2304" s="7" t="n">
        <v>133.9</v>
      </c>
      <c r="L2304" s="7" t="s">
        <v>37</v>
      </c>
      <c r="M2304" s="7" t="s">
        <v>30</v>
      </c>
    </row>
    <row r="2305" customFormat="false" ht="15" hidden="false" customHeight="true" outlineLevel="0" collapsed="false">
      <c r="A2305" s="7" t="n">
        <v>209</v>
      </c>
      <c r="B2305" s="7" t="n">
        <v>44</v>
      </c>
      <c r="C2305" s="7" t="s">
        <v>33</v>
      </c>
      <c r="D2305" s="7" t="s">
        <v>40</v>
      </c>
      <c r="E2305" s="7" t="n">
        <v>32</v>
      </c>
      <c r="F2305" s="7" t="n">
        <v>18</v>
      </c>
      <c r="G2305" s="7" t="s">
        <v>34</v>
      </c>
      <c r="H2305" s="7" t="s">
        <v>27</v>
      </c>
      <c r="I2305" s="7" t="n">
        <v>35.8</v>
      </c>
      <c r="J2305" s="7" t="s">
        <v>28</v>
      </c>
      <c r="K2305" s="7" t="n">
        <v>219.5</v>
      </c>
      <c r="L2305" s="7" t="s">
        <v>37</v>
      </c>
      <c r="M2305" s="7" t="s">
        <v>30</v>
      </c>
    </row>
    <row r="2306" customFormat="false" ht="15" hidden="false" customHeight="true" outlineLevel="0" collapsed="false">
      <c r="A2306" s="7" t="n">
        <v>229</v>
      </c>
      <c r="B2306" s="7" t="n">
        <v>46</v>
      </c>
      <c r="C2306" s="7" t="s">
        <v>33</v>
      </c>
      <c r="D2306" s="7" t="s">
        <v>40</v>
      </c>
      <c r="E2306" s="7" t="n">
        <v>24</v>
      </c>
      <c r="F2306" s="7" t="n">
        <v>29</v>
      </c>
      <c r="G2306" s="7" t="s">
        <v>31</v>
      </c>
      <c r="H2306" s="7" t="s">
        <v>32</v>
      </c>
      <c r="I2306" s="7" t="n">
        <v>20.3</v>
      </c>
      <c r="J2306" s="7" t="s">
        <v>28</v>
      </c>
      <c r="K2306" s="7" t="n">
        <v>261.6</v>
      </c>
      <c r="L2306" s="7" t="s">
        <v>29</v>
      </c>
      <c r="M2306" s="7" t="s">
        <v>30</v>
      </c>
    </row>
    <row r="2307" customFormat="false" ht="15" hidden="false" customHeight="true" outlineLevel="0" collapsed="false">
      <c r="A2307" s="7" t="n">
        <v>238</v>
      </c>
      <c r="B2307" s="7" t="n">
        <v>87</v>
      </c>
      <c r="C2307" s="7" t="s">
        <v>33</v>
      </c>
      <c r="D2307" s="7" t="s">
        <v>40</v>
      </c>
      <c r="E2307" s="7" t="n">
        <v>32</v>
      </c>
      <c r="F2307" s="7" t="n">
        <v>7</v>
      </c>
      <c r="G2307" s="7" t="s">
        <v>26</v>
      </c>
      <c r="H2307" s="7" t="s">
        <v>32</v>
      </c>
      <c r="I2307" s="7" t="n">
        <v>18.7</v>
      </c>
      <c r="J2307" s="7" t="s">
        <v>28</v>
      </c>
      <c r="K2307" s="7" t="n">
        <v>145.6</v>
      </c>
      <c r="L2307" s="7" t="s">
        <v>37</v>
      </c>
      <c r="M2307" s="7" t="s">
        <v>30</v>
      </c>
    </row>
    <row r="2308" customFormat="false" ht="15" hidden="false" customHeight="true" outlineLevel="0" collapsed="false">
      <c r="A2308" s="7" t="n">
        <v>246</v>
      </c>
      <c r="B2308" s="7" t="n">
        <v>46</v>
      </c>
      <c r="C2308" s="7" t="s">
        <v>33</v>
      </c>
      <c r="D2308" s="7" t="s">
        <v>40</v>
      </c>
      <c r="E2308" s="7" t="n">
        <v>8</v>
      </c>
      <c r="F2308" s="7" t="n">
        <v>22</v>
      </c>
      <c r="G2308" s="7" t="s">
        <v>35</v>
      </c>
      <c r="H2308" s="7" t="s">
        <v>32</v>
      </c>
      <c r="I2308" s="7" t="n">
        <v>26.7</v>
      </c>
      <c r="J2308" s="7" t="s">
        <v>28</v>
      </c>
      <c r="K2308" s="7" t="n">
        <v>181.3</v>
      </c>
      <c r="L2308" s="7" t="s">
        <v>29</v>
      </c>
      <c r="M2308" s="7" t="s">
        <v>30</v>
      </c>
    </row>
    <row r="2309" customFormat="false" ht="15" hidden="false" customHeight="true" outlineLevel="0" collapsed="false">
      <c r="A2309" s="7" t="n">
        <v>261</v>
      </c>
      <c r="B2309" s="7" t="n">
        <v>89</v>
      </c>
      <c r="C2309" s="7" t="s">
        <v>24</v>
      </c>
      <c r="D2309" s="7" t="s">
        <v>40</v>
      </c>
      <c r="E2309" s="7" t="n">
        <v>14</v>
      </c>
      <c r="F2309" s="7" t="n">
        <v>14</v>
      </c>
      <c r="G2309" s="7" t="s">
        <v>31</v>
      </c>
      <c r="H2309" s="7" t="s">
        <v>27</v>
      </c>
      <c r="I2309" s="7" t="n">
        <v>30.2</v>
      </c>
      <c r="J2309" s="7" t="s">
        <v>28</v>
      </c>
      <c r="K2309" s="7" t="n">
        <v>162.2</v>
      </c>
      <c r="L2309" s="7" t="s">
        <v>29</v>
      </c>
      <c r="M2309" s="7" t="s">
        <v>30</v>
      </c>
    </row>
    <row r="2310" customFormat="false" ht="15" hidden="false" customHeight="true" outlineLevel="0" collapsed="false">
      <c r="A2310" s="7" t="n">
        <v>281</v>
      </c>
      <c r="B2310" s="7" t="n">
        <v>87</v>
      </c>
      <c r="C2310" s="7" t="s">
        <v>33</v>
      </c>
      <c r="D2310" s="7" t="s">
        <v>40</v>
      </c>
      <c r="E2310" s="7" t="n">
        <v>15</v>
      </c>
      <c r="F2310" s="7" t="n">
        <v>16</v>
      </c>
      <c r="G2310" s="7" t="s">
        <v>31</v>
      </c>
      <c r="H2310" s="7" t="s">
        <v>32</v>
      </c>
      <c r="I2310" s="7" t="n">
        <v>41.9</v>
      </c>
      <c r="J2310" s="7" t="s">
        <v>28</v>
      </c>
      <c r="K2310" s="7" t="n">
        <v>296.6</v>
      </c>
      <c r="L2310" s="7" t="s">
        <v>29</v>
      </c>
      <c r="M2310" s="7" t="s">
        <v>30</v>
      </c>
    </row>
    <row r="2311" customFormat="false" ht="15" hidden="false" customHeight="true" outlineLevel="0" collapsed="false">
      <c r="A2311" s="7" t="n">
        <v>285</v>
      </c>
      <c r="B2311" s="7" t="n">
        <v>39</v>
      </c>
      <c r="C2311" s="7" t="s">
        <v>33</v>
      </c>
      <c r="D2311" s="7" t="s">
        <v>40</v>
      </c>
      <c r="E2311" s="7" t="n">
        <v>12</v>
      </c>
      <c r="F2311" s="7" t="n">
        <v>20</v>
      </c>
      <c r="G2311" s="7" t="s">
        <v>35</v>
      </c>
      <c r="H2311" s="7" t="s">
        <v>27</v>
      </c>
      <c r="I2311" s="7" t="n">
        <v>29</v>
      </c>
      <c r="J2311" s="7" t="s">
        <v>28</v>
      </c>
      <c r="K2311" s="7" t="n">
        <v>141.3</v>
      </c>
      <c r="L2311" s="7" t="s">
        <v>37</v>
      </c>
      <c r="M2311" s="7" t="s">
        <v>30</v>
      </c>
    </row>
    <row r="2312" customFormat="false" ht="15" hidden="false" customHeight="true" outlineLevel="0" collapsed="false">
      <c r="A2312" s="7" t="n">
        <v>295</v>
      </c>
      <c r="B2312" s="7" t="n">
        <v>39</v>
      </c>
      <c r="C2312" s="7" t="s">
        <v>33</v>
      </c>
      <c r="D2312" s="7" t="s">
        <v>40</v>
      </c>
      <c r="E2312" s="7" t="n">
        <v>20</v>
      </c>
      <c r="F2312" s="7" t="n">
        <v>28</v>
      </c>
      <c r="G2312" s="7" t="s">
        <v>26</v>
      </c>
      <c r="H2312" s="7" t="s">
        <v>27</v>
      </c>
      <c r="I2312" s="7" t="n">
        <v>26.5</v>
      </c>
      <c r="J2312" s="7" t="s">
        <v>28</v>
      </c>
      <c r="K2312" s="7" t="n">
        <v>255.7</v>
      </c>
      <c r="L2312" s="7" t="s">
        <v>37</v>
      </c>
      <c r="M2312" s="7" t="s">
        <v>30</v>
      </c>
    </row>
    <row r="2313" customFormat="false" ht="15" hidden="false" customHeight="true" outlineLevel="0" collapsed="false">
      <c r="A2313" s="7" t="n">
        <v>313</v>
      </c>
      <c r="B2313" s="7" t="n">
        <v>34</v>
      </c>
      <c r="C2313" s="7" t="s">
        <v>33</v>
      </c>
      <c r="D2313" s="7" t="s">
        <v>40</v>
      </c>
      <c r="E2313" s="7" t="n">
        <v>13</v>
      </c>
      <c r="F2313" s="7" t="n">
        <v>23</v>
      </c>
      <c r="G2313" s="7" t="s">
        <v>34</v>
      </c>
      <c r="H2313" s="7" t="s">
        <v>32</v>
      </c>
      <c r="I2313" s="7" t="n">
        <v>34.5</v>
      </c>
      <c r="J2313" s="7" t="s">
        <v>28</v>
      </c>
      <c r="K2313" s="7" t="n">
        <v>237.7</v>
      </c>
      <c r="L2313" s="7" t="s">
        <v>29</v>
      </c>
      <c r="M2313" s="7" t="s">
        <v>30</v>
      </c>
    </row>
    <row r="2314" customFormat="false" ht="15" hidden="false" customHeight="true" outlineLevel="0" collapsed="false">
      <c r="A2314" s="7" t="n">
        <v>314</v>
      </c>
      <c r="B2314" s="7" t="n">
        <v>86</v>
      </c>
      <c r="C2314" s="7" t="s">
        <v>33</v>
      </c>
      <c r="D2314" s="7" t="s">
        <v>40</v>
      </c>
      <c r="E2314" s="7" t="n">
        <v>37</v>
      </c>
      <c r="F2314" s="7" t="n">
        <v>29</v>
      </c>
      <c r="G2314" s="7" t="s">
        <v>36</v>
      </c>
      <c r="H2314" s="7" t="s">
        <v>27</v>
      </c>
      <c r="I2314" s="7" t="n">
        <v>28.5</v>
      </c>
      <c r="J2314" s="7" t="s">
        <v>28</v>
      </c>
      <c r="K2314" s="7" t="n">
        <v>229.2</v>
      </c>
      <c r="L2314" s="7" t="s">
        <v>29</v>
      </c>
      <c r="M2314" s="7" t="s">
        <v>30</v>
      </c>
    </row>
    <row r="2315" customFormat="false" ht="15" hidden="false" customHeight="true" outlineLevel="0" collapsed="false">
      <c r="A2315" s="7" t="n">
        <v>321</v>
      </c>
      <c r="B2315" s="7" t="n">
        <v>22</v>
      </c>
      <c r="C2315" s="7" t="s">
        <v>24</v>
      </c>
      <c r="D2315" s="7" t="s">
        <v>40</v>
      </c>
      <c r="E2315" s="7" t="n">
        <v>36</v>
      </c>
      <c r="F2315" s="7" t="n">
        <v>27</v>
      </c>
      <c r="G2315" s="7" t="s">
        <v>36</v>
      </c>
      <c r="H2315" s="7" t="s">
        <v>27</v>
      </c>
      <c r="I2315" s="7" t="n">
        <v>23.8</v>
      </c>
      <c r="J2315" s="7" t="s">
        <v>28</v>
      </c>
      <c r="K2315" s="7" t="n">
        <v>177.3</v>
      </c>
      <c r="L2315" s="7" t="s">
        <v>29</v>
      </c>
      <c r="M2315" s="7" t="s">
        <v>30</v>
      </c>
    </row>
    <row r="2316" customFormat="false" ht="15" hidden="false" customHeight="true" outlineLevel="0" collapsed="false">
      <c r="A2316" s="7" t="n">
        <v>322</v>
      </c>
      <c r="B2316" s="7" t="n">
        <v>22</v>
      </c>
      <c r="C2316" s="7" t="s">
        <v>24</v>
      </c>
      <c r="D2316" s="7" t="s">
        <v>40</v>
      </c>
      <c r="E2316" s="7" t="n">
        <v>26</v>
      </c>
      <c r="F2316" s="7" t="n">
        <v>13</v>
      </c>
      <c r="G2316" s="7" t="s">
        <v>34</v>
      </c>
      <c r="H2316" s="7" t="s">
        <v>27</v>
      </c>
      <c r="I2316" s="7" t="n">
        <v>28.5</v>
      </c>
      <c r="J2316" s="7" t="s">
        <v>28</v>
      </c>
      <c r="K2316" s="7" t="n">
        <v>122.4</v>
      </c>
      <c r="L2316" s="7" t="s">
        <v>37</v>
      </c>
      <c r="M2316" s="7" t="s">
        <v>30</v>
      </c>
    </row>
    <row r="2317" customFormat="false" ht="15" hidden="false" customHeight="true" outlineLevel="0" collapsed="false">
      <c r="A2317" s="7" t="n">
        <v>335</v>
      </c>
      <c r="B2317" s="7" t="n">
        <v>81</v>
      </c>
      <c r="C2317" s="7" t="s">
        <v>24</v>
      </c>
      <c r="D2317" s="7" t="s">
        <v>40</v>
      </c>
      <c r="E2317" s="7" t="n">
        <v>39</v>
      </c>
      <c r="F2317" s="7" t="n">
        <v>9</v>
      </c>
      <c r="G2317" s="7" t="s">
        <v>26</v>
      </c>
      <c r="H2317" s="7" t="s">
        <v>27</v>
      </c>
      <c r="I2317" s="7" t="n">
        <v>33.6</v>
      </c>
      <c r="J2317" s="7" t="s">
        <v>28</v>
      </c>
      <c r="K2317" s="7" t="n">
        <v>190.3</v>
      </c>
      <c r="L2317" s="7" t="s">
        <v>37</v>
      </c>
      <c r="M2317" s="7" t="s">
        <v>30</v>
      </c>
    </row>
    <row r="2318" customFormat="false" ht="15" hidden="false" customHeight="true" outlineLevel="0" collapsed="false">
      <c r="A2318" s="7" t="n">
        <v>366</v>
      </c>
      <c r="B2318" s="7" t="n">
        <v>30</v>
      </c>
      <c r="C2318" s="7" t="s">
        <v>33</v>
      </c>
      <c r="D2318" s="7" t="s">
        <v>40</v>
      </c>
      <c r="E2318" s="7" t="n">
        <v>36</v>
      </c>
      <c r="F2318" s="7" t="n">
        <v>22</v>
      </c>
      <c r="G2318" s="7" t="s">
        <v>26</v>
      </c>
      <c r="H2318" s="7" t="s">
        <v>32</v>
      </c>
      <c r="I2318" s="7" t="n">
        <v>18.1</v>
      </c>
      <c r="J2318" s="7" t="s">
        <v>28</v>
      </c>
      <c r="K2318" s="7" t="n">
        <v>160.8</v>
      </c>
      <c r="L2318" s="7" t="s">
        <v>29</v>
      </c>
      <c r="M2318" s="7" t="s">
        <v>30</v>
      </c>
    </row>
    <row r="2319" customFormat="false" ht="15" hidden="false" customHeight="true" outlineLevel="0" collapsed="false">
      <c r="A2319" s="7" t="n">
        <v>369</v>
      </c>
      <c r="B2319" s="7" t="n">
        <v>57</v>
      </c>
      <c r="C2319" s="7" t="s">
        <v>33</v>
      </c>
      <c r="D2319" s="7" t="s">
        <v>40</v>
      </c>
      <c r="E2319" s="7" t="n">
        <v>36</v>
      </c>
      <c r="F2319" s="7" t="n">
        <v>25</v>
      </c>
      <c r="G2319" s="7" t="s">
        <v>36</v>
      </c>
      <c r="H2319" s="7" t="s">
        <v>27</v>
      </c>
      <c r="I2319" s="7" t="n">
        <v>35.7</v>
      </c>
      <c r="J2319" s="7" t="s">
        <v>28</v>
      </c>
      <c r="K2319" s="7" t="n">
        <v>135.8</v>
      </c>
      <c r="L2319" s="7" t="s">
        <v>37</v>
      </c>
      <c r="M2319" s="7" t="s">
        <v>30</v>
      </c>
    </row>
    <row r="2320" customFormat="false" ht="15" hidden="false" customHeight="true" outlineLevel="0" collapsed="false">
      <c r="A2320" s="7" t="n">
        <v>373</v>
      </c>
      <c r="B2320" s="7" t="n">
        <v>33</v>
      </c>
      <c r="C2320" s="7" t="s">
        <v>24</v>
      </c>
      <c r="D2320" s="7" t="s">
        <v>40</v>
      </c>
      <c r="E2320" s="7" t="n">
        <v>31</v>
      </c>
      <c r="F2320" s="7" t="n">
        <v>13</v>
      </c>
      <c r="G2320" s="7" t="s">
        <v>31</v>
      </c>
      <c r="H2320" s="7" t="s">
        <v>27</v>
      </c>
      <c r="I2320" s="7" t="n">
        <v>25.5</v>
      </c>
      <c r="J2320" s="7" t="s">
        <v>28</v>
      </c>
      <c r="K2320" s="7" t="n">
        <v>284.4</v>
      </c>
      <c r="L2320" s="7" t="s">
        <v>37</v>
      </c>
      <c r="M2320" s="7" t="s">
        <v>30</v>
      </c>
    </row>
    <row r="2321" customFormat="false" ht="15" hidden="false" customHeight="true" outlineLevel="0" collapsed="false">
      <c r="A2321" s="7" t="n">
        <v>375</v>
      </c>
      <c r="B2321" s="7" t="n">
        <v>51</v>
      </c>
      <c r="C2321" s="7" t="s">
        <v>33</v>
      </c>
      <c r="D2321" s="7" t="s">
        <v>40</v>
      </c>
      <c r="E2321" s="7" t="n">
        <v>30</v>
      </c>
      <c r="F2321" s="7" t="n">
        <v>19</v>
      </c>
      <c r="G2321" s="7" t="s">
        <v>36</v>
      </c>
      <c r="H2321" s="7" t="s">
        <v>32</v>
      </c>
      <c r="I2321" s="7" t="n">
        <v>39.7</v>
      </c>
      <c r="J2321" s="7" t="s">
        <v>28</v>
      </c>
      <c r="K2321" s="7" t="n">
        <v>244.4</v>
      </c>
      <c r="L2321" s="7" t="s">
        <v>37</v>
      </c>
      <c r="M2321" s="7" t="s">
        <v>30</v>
      </c>
    </row>
    <row r="2322" customFormat="false" ht="15" hidden="false" customHeight="true" outlineLevel="0" collapsed="false">
      <c r="A2322" s="7" t="n">
        <v>397</v>
      </c>
      <c r="B2322" s="7" t="n">
        <v>59</v>
      </c>
      <c r="C2322" s="7" t="s">
        <v>24</v>
      </c>
      <c r="D2322" s="7" t="s">
        <v>40</v>
      </c>
      <c r="E2322" s="7" t="n">
        <v>16</v>
      </c>
      <c r="F2322" s="7" t="n">
        <v>29</v>
      </c>
      <c r="G2322" s="7" t="s">
        <v>35</v>
      </c>
      <c r="H2322" s="7" t="s">
        <v>27</v>
      </c>
      <c r="I2322" s="7" t="n">
        <v>31.3</v>
      </c>
      <c r="J2322" s="7" t="s">
        <v>28</v>
      </c>
      <c r="K2322" s="7" t="n">
        <v>125.2</v>
      </c>
      <c r="L2322" s="7" t="s">
        <v>29</v>
      </c>
      <c r="M2322" s="7" t="s">
        <v>30</v>
      </c>
    </row>
    <row r="2323" customFormat="false" ht="15" hidden="false" customHeight="true" outlineLevel="0" collapsed="false">
      <c r="A2323" s="7" t="n">
        <v>409</v>
      </c>
      <c r="B2323" s="7" t="n">
        <v>57</v>
      </c>
      <c r="C2323" s="7" t="s">
        <v>33</v>
      </c>
      <c r="D2323" s="7" t="s">
        <v>40</v>
      </c>
      <c r="E2323" s="7" t="n">
        <v>14</v>
      </c>
      <c r="F2323" s="7" t="n">
        <v>14</v>
      </c>
      <c r="G2323" s="7" t="s">
        <v>26</v>
      </c>
      <c r="H2323" s="7" t="s">
        <v>32</v>
      </c>
      <c r="I2323" s="7" t="n">
        <v>33.3</v>
      </c>
      <c r="J2323" s="7" t="s">
        <v>28</v>
      </c>
      <c r="K2323" s="7" t="n">
        <v>237.1</v>
      </c>
      <c r="L2323" s="7" t="s">
        <v>37</v>
      </c>
      <c r="M2323" s="7" t="s">
        <v>30</v>
      </c>
    </row>
    <row r="2324" customFormat="false" ht="15" hidden="false" customHeight="true" outlineLevel="0" collapsed="false">
      <c r="A2324" s="7" t="n">
        <v>427</v>
      </c>
      <c r="B2324" s="7" t="n">
        <v>24</v>
      </c>
      <c r="C2324" s="7" t="s">
        <v>24</v>
      </c>
      <c r="D2324" s="7" t="s">
        <v>40</v>
      </c>
      <c r="E2324" s="7" t="n">
        <v>27</v>
      </c>
      <c r="F2324" s="7" t="n">
        <v>29</v>
      </c>
      <c r="G2324" s="7" t="s">
        <v>34</v>
      </c>
      <c r="H2324" s="7" t="s">
        <v>32</v>
      </c>
      <c r="I2324" s="7" t="n">
        <v>20.8</v>
      </c>
      <c r="J2324" s="7" t="s">
        <v>28</v>
      </c>
      <c r="K2324" s="7" t="n">
        <v>228.3</v>
      </c>
      <c r="L2324" s="7" t="s">
        <v>29</v>
      </c>
      <c r="M2324" s="7" t="s">
        <v>30</v>
      </c>
    </row>
    <row r="2325" customFormat="false" ht="15" hidden="false" customHeight="true" outlineLevel="0" collapsed="false">
      <c r="A2325" s="7" t="n">
        <v>437</v>
      </c>
      <c r="B2325" s="7" t="n">
        <v>56</v>
      </c>
      <c r="C2325" s="7" t="s">
        <v>24</v>
      </c>
      <c r="D2325" s="7" t="s">
        <v>40</v>
      </c>
      <c r="E2325" s="7" t="n">
        <v>36</v>
      </c>
      <c r="F2325" s="7" t="n">
        <v>14</v>
      </c>
      <c r="G2325" s="7" t="s">
        <v>26</v>
      </c>
      <c r="H2325" s="7" t="s">
        <v>27</v>
      </c>
      <c r="I2325" s="7" t="n">
        <v>20.6</v>
      </c>
      <c r="J2325" s="7" t="s">
        <v>28</v>
      </c>
      <c r="K2325" s="7" t="n">
        <v>163.9</v>
      </c>
      <c r="L2325" s="7" t="s">
        <v>29</v>
      </c>
      <c r="M2325" s="7" t="s">
        <v>30</v>
      </c>
    </row>
    <row r="2326" customFormat="false" ht="15" hidden="false" customHeight="true" outlineLevel="0" collapsed="false">
      <c r="A2326" s="7" t="n">
        <v>442</v>
      </c>
      <c r="B2326" s="7" t="n">
        <v>85</v>
      </c>
      <c r="C2326" s="7" t="s">
        <v>24</v>
      </c>
      <c r="D2326" s="7" t="s">
        <v>40</v>
      </c>
      <c r="E2326" s="7" t="n">
        <v>13</v>
      </c>
      <c r="F2326" s="7" t="n">
        <v>12</v>
      </c>
      <c r="G2326" s="7" t="s">
        <v>34</v>
      </c>
      <c r="H2326" s="7" t="s">
        <v>27</v>
      </c>
      <c r="I2326" s="7" t="n">
        <v>40.9</v>
      </c>
      <c r="J2326" s="7" t="s">
        <v>28</v>
      </c>
      <c r="K2326" s="7" t="n">
        <v>251.2</v>
      </c>
      <c r="L2326" s="7" t="s">
        <v>29</v>
      </c>
      <c r="M2326" s="7" t="s">
        <v>30</v>
      </c>
    </row>
    <row r="2327" customFormat="false" ht="15" hidden="false" customHeight="true" outlineLevel="0" collapsed="false">
      <c r="A2327" s="7" t="n">
        <v>463</v>
      </c>
      <c r="B2327" s="7" t="n">
        <v>41</v>
      </c>
      <c r="C2327" s="7" t="s">
        <v>24</v>
      </c>
      <c r="D2327" s="7" t="s">
        <v>40</v>
      </c>
      <c r="E2327" s="7" t="n">
        <v>29</v>
      </c>
      <c r="F2327" s="7" t="n">
        <v>10</v>
      </c>
      <c r="G2327" s="7" t="s">
        <v>26</v>
      </c>
      <c r="H2327" s="7" t="s">
        <v>27</v>
      </c>
      <c r="I2327" s="7" t="n">
        <v>18.3</v>
      </c>
      <c r="J2327" s="7" t="s">
        <v>28</v>
      </c>
      <c r="K2327" s="7" t="n">
        <v>161.6</v>
      </c>
      <c r="L2327" s="7" t="s">
        <v>37</v>
      </c>
      <c r="M2327" s="7" t="s">
        <v>30</v>
      </c>
    </row>
    <row r="2328" customFormat="false" ht="15" hidden="false" customHeight="true" outlineLevel="0" collapsed="false">
      <c r="A2328" s="7" t="n">
        <v>472</v>
      </c>
      <c r="B2328" s="7" t="n">
        <v>86</v>
      </c>
      <c r="C2328" s="7" t="s">
        <v>33</v>
      </c>
      <c r="D2328" s="7" t="s">
        <v>40</v>
      </c>
      <c r="E2328" s="7" t="n">
        <v>21</v>
      </c>
      <c r="F2328" s="7" t="n">
        <v>11</v>
      </c>
      <c r="G2328" s="7" t="s">
        <v>31</v>
      </c>
      <c r="H2328" s="7" t="s">
        <v>27</v>
      </c>
      <c r="I2328" s="7" t="n">
        <v>26.4</v>
      </c>
      <c r="J2328" s="7" t="s">
        <v>28</v>
      </c>
      <c r="K2328" s="7" t="n">
        <v>206.2</v>
      </c>
      <c r="L2328" s="7" t="s">
        <v>29</v>
      </c>
      <c r="M2328" s="7" t="s">
        <v>30</v>
      </c>
    </row>
    <row r="2329" customFormat="false" ht="15" hidden="false" customHeight="true" outlineLevel="0" collapsed="false">
      <c r="A2329" s="7" t="n">
        <v>496</v>
      </c>
      <c r="B2329" s="7" t="n">
        <v>78</v>
      </c>
      <c r="C2329" s="7" t="s">
        <v>24</v>
      </c>
      <c r="D2329" s="7" t="s">
        <v>40</v>
      </c>
      <c r="E2329" s="7" t="n">
        <v>20</v>
      </c>
      <c r="F2329" s="7" t="n">
        <v>28</v>
      </c>
      <c r="G2329" s="7" t="s">
        <v>34</v>
      </c>
      <c r="H2329" s="7" t="s">
        <v>27</v>
      </c>
      <c r="I2329" s="7" t="n">
        <v>27</v>
      </c>
      <c r="J2329" s="7" t="s">
        <v>28</v>
      </c>
      <c r="K2329" s="7" t="n">
        <v>201.1</v>
      </c>
      <c r="L2329" s="7" t="s">
        <v>29</v>
      </c>
      <c r="M2329" s="7" t="s">
        <v>30</v>
      </c>
    </row>
    <row r="2330" customFormat="false" ht="15" hidden="false" customHeight="true" outlineLevel="0" collapsed="false">
      <c r="A2330" s="7" t="n">
        <v>502</v>
      </c>
      <c r="B2330" s="7" t="n">
        <v>28</v>
      </c>
      <c r="C2330" s="7" t="s">
        <v>33</v>
      </c>
      <c r="D2330" s="7" t="s">
        <v>40</v>
      </c>
      <c r="E2330" s="7" t="n">
        <v>11</v>
      </c>
      <c r="F2330" s="7" t="n">
        <v>9</v>
      </c>
      <c r="G2330" s="7" t="s">
        <v>35</v>
      </c>
      <c r="H2330" s="7" t="s">
        <v>27</v>
      </c>
      <c r="I2330" s="7" t="n">
        <v>34.7</v>
      </c>
      <c r="J2330" s="7" t="s">
        <v>28</v>
      </c>
      <c r="K2330" s="7" t="n">
        <v>234.4</v>
      </c>
      <c r="L2330" s="7" t="s">
        <v>37</v>
      </c>
      <c r="M2330" s="7" t="s">
        <v>30</v>
      </c>
    </row>
    <row r="2331" customFormat="false" ht="15" hidden="false" customHeight="true" outlineLevel="0" collapsed="false">
      <c r="A2331" s="7" t="n">
        <v>520</v>
      </c>
      <c r="B2331" s="7" t="n">
        <v>59</v>
      </c>
      <c r="C2331" s="7" t="s">
        <v>24</v>
      </c>
      <c r="D2331" s="7" t="s">
        <v>40</v>
      </c>
      <c r="E2331" s="7" t="n">
        <v>18</v>
      </c>
      <c r="F2331" s="7" t="n">
        <v>15</v>
      </c>
      <c r="G2331" s="7" t="s">
        <v>31</v>
      </c>
      <c r="H2331" s="7" t="s">
        <v>27</v>
      </c>
      <c r="I2331" s="7" t="n">
        <v>22.4</v>
      </c>
      <c r="J2331" s="7" t="s">
        <v>28</v>
      </c>
      <c r="K2331" s="7" t="n">
        <v>286.3</v>
      </c>
      <c r="L2331" s="7" t="s">
        <v>29</v>
      </c>
      <c r="M2331" s="7" t="s">
        <v>30</v>
      </c>
    </row>
    <row r="2332" customFormat="false" ht="15" hidden="false" customHeight="true" outlineLevel="0" collapsed="false">
      <c r="A2332" s="7" t="n">
        <v>522</v>
      </c>
      <c r="B2332" s="7" t="n">
        <v>53</v>
      </c>
      <c r="C2332" s="7" t="s">
        <v>33</v>
      </c>
      <c r="D2332" s="7" t="s">
        <v>40</v>
      </c>
      <c r="E2332" s="7" t="n">
        <v>16</v>
      </c>
      <c r="F2332" s="7" t="n">
        <v>6</v>
      </c>
      <c r="G2332" s="7" t="s">
        <v>35</v>
      </c>
      <c r="H2332" s="7" t="s">
        <v>27</v>
      </c>
      <c r="I2332" s="7" t="n">
        <v>38.3</v>
      </c>
      <c r="J2332" s="7" t="s">
        <v>28</v>
      </c>
      <c r="K2332" s="7" t="n">
        <v>217.7</v>
      </c>
      <c r="L2332" s="7" t="s">
        <v>29</v>
      </c>
      <c r="M2332" s="7" t="s">
        <v>30</v>
      </c>
    </row>
    <row r="2333" customFormat="false" ht="15" hidden="false" customHeight="true" outlineLevel="0" collapsed="false">
      <c r="A2333" s="7" t="n">
        <v>534</v>
      </c>
      <c r="B2333" s="7" t="n">
        <v>38</v>
      </c>
      <c r="C2333" s="7" t="s">
        <v>33</v>
      </c>
      <c r="D2333" s="7" t="s">
        <v>40</v>
      </c>
      <c r="E2333" s="7" t="n">
        <v>7</v>
      </c>
      <c r="F2333" s="7" t="n">
        <v>14</v>
      </c>
      <c r="G2333" s="7" t="s">
        <v>34</v>
      </c>
      <c r="H2333" s="7" t="s">
        <v>27</v>
      </c>
      <c r="I2333" s="7" t="n">
        <v>35.3</v>
      </c>
      <c r="J2333" s="7" t="s">
        <v>28</v>
      </c>
      <c r="K2333" s="7" t="n">
        <v>131.5</v>
      </c>
      <c r="L2333" s="7" t="s">
        <v>37</v>
      </c>
      <c r="M2333" s="7" t="s">
        <v>30</v>
      </c>
    </row>
    <row r="2334" customFormat="false" ht="15" hidden="false" customHeight="true" outlineLevel="0" collapsed="false">
      <c r="A2334" s="7" t="n">
        <v>535</v>
      </c>
      <c r="B2334" s="7" t="n">
        <v>83</v>
      </c>
      <c r="C2334" s="7" t="s">
        <v>33</v>
      </c>
      <c r="D2334" s="7" t="s">
        <v>40</v>
      </c>
      <c r="E2334" s="7" t="n">
        <v>27</v>
      </c>
      <c r="F2334" s="7" t="n">
        <v>10</v>
      </c>
      <c r="G2334" s="7" t="s">
        <v>35</v>
      </c>
      <c r="H2334" s="7" t="s">
        <v>32</v>
      </c>
      <c r="I2334" s="7" t="n">
        <v>31.3</v>
      </c>
      <c r="J2334" s="7" t="s">
        <v>28</v>
      </c>
      <c r="K2334" s="7" t="n">
        <v>289.6</v>
      </c>
      <c r="L2334" s="7" t="s">
        <v>29</v>
      </c>
      <c r="M2334" s="7" t="s">
        <v>30</v>
      </c>
    </row>
    <row r="2335" customFormat="false" ht="15" hidden="false" customHeight="true" outlineLevel="0" collapsed="false">
      <c r="A2335" s="7" t="n">
        <v>537</v>
      </c>
      <c r="B2335" s="7" t="n">
        <v>46</v>
      </c>
      <c r="C2335" s="7" t="s">
        <v>33</v>
      </c>
      <c r="D2335" s="7" t="s">
        <v>40</v>
      </c>
      <c r="E2335" s="7" t="n">
        <v>16</v>
      </c>
      <c r="F2335" s="7" t="n">
        <v>8</v>
      </c>
      <c r="G2335" s="7" t="s">
        <v>31</v>
      </c>
      <c r="H2335" s="7" t="s">
        <v>27</v>
      </c>
      <c r="I2335" s="7" t="n">
        <v>34.4</v>
      </c>
      <c r="J2335" s="7" t="s">
        <v>28</v>
      </c>
      <c r="K2335" s="7" t="n">
        <v>298.3</v>
      </c>
      <c r="L2335" s="7" t="s">
        <v>29</v>
      </c>
      <c r="M2335" s="7" t="s">
        <v>30</v>
      </c>
    </row>
    <row r="2336" customFormat="false" ht="15" hidden="false" customHeight="true" outlineLevel="0" collapsed="false">
      <c r="A2336" s="7" t="n">
        <v>538</v>
      </c>
      <c r="B2336" s="7" t="n">
        <v>18</v>
      </c>
      <c r="C2336" s="7" t="s">
        <v>33</v>
      </c>
      <c r="D2336" s="7" t="s">
        <v>40</v>
      </c>
      <c r="E2336" s="7" t="n">
        <v>39</v>
      </c>
      <c r="F2336" s="7" t="n">
        <v>27</v>
      </c>
      <c r="G2336" s="7" t="s">
        <v>31</v>
      </c>
      <c r="H2336" s="7" t="s">
        <v>27</v>
      </c>
      <c r="I2336" s="7" t="n">
        <v>17.8</v>
      </c>
      <c r="J2336" s="7" t="s">
        <v>28</v>
      </c>
      <c r="K2336" s="7" t="n">
        <v>212.5</v>
      </c>
      <c r="L2336" s="7" t="s">
        <v>29</v>
      </c>
      <c r="M2336" s="7" t="s">
        <v>30</v>
      </c>
    </row>
    <row r="2337" customFormat="false" ht="15" hidden="false" customHeight="true" outlineLevel="0" collapsed="false">
      <c r="A2337" s="7" t="n">
        <v>540</v>
      </c>
      <c r="B2337" s="7" t="n">
        <v>61</v>
      </c>
      <c r="C2337" s="7" t="s">
        <v>24</v>
      </c>
      <c r="D2337" s="7" t="s">
        <v>40</v>
      </c>
      <c r="E2337" s="7" t="n">
        <v>33</v>
      </c>
      <c r="F2337" s="7" t="n">
        <v>22</v>
      </c>
      <c r="G2337" s="7" t="s">
        <v>36</v>
      </c>
      <c r="H2337" s="7" t="s">
        <v>27</v>
      </c>
      <c r="I2337" s="7" t="n">
        <v>19.3</v>
      </c>
      <c r="J2337" s="7" t="s">
        <v>28</v>
      </c>
      <c r="K2337" s="7" t="n">
        <v>191</v>
      </c>
      <c r="L2337" s="7" t="s">
        <v>29</v>
      </c>
      <c r="M2337" s="7" t="s">
        <v>30</v>
      </c>
    </row>
    <row r="2338" customFormat="false" ht="15" hidden="false" customHeight="true" outlineLevel="0" collapsed="false">
      <c r="A2338" s="7" t="n">
        <v>541</v>
      </c>
      <c r="B2338" s="7" t="n">
        <v>22</v>
      </c>
      <c r="C2338" s="7" t="s">
        <v>24</v>
      </c>
      <c r="D2338" s="7" t="s">
        <v>40</v>
      </c>
      <c r="E2338" s="7" t="n">
        <v>39</v>
      </c>
      <c r="F2338" s="7" t="n">
        <v>22</v>
      </c>
      <c r="G2338" s="7" t="s">
        <v>31</v>
      </c>
      <c r="H2338" s="7" t="s">
        <v>32</v>
      </c>
      <c r="I2338" s="7" t="n">
        <v>37.9</v>
      </c>
      <c r="J2338" s="7" t="s">
        <v>28</v>
      </c>
      <c r="K2338" s="7" t="n">
        <v>280</v>
      </c>
      <c r="L2338" s="7" t="s">
        <v>37</v>
      </c>
      <c r="M2338" s="7" t="s">
        <v>30</v>
      </c>
    </row>
    <row r="2339" customFormat="false" ht="15" hidden="false" customHeight="true" outlineLevel="0" collapsed="false">
      <c r="A2339" s="7" t="n">
        <v>559</v>
      </c>
      <c r="B2339" s="7" t="n">
        <v>80</v>
      </c>
      <c r="C2339" s="7" t="s">
        <v>33</v>
      </c>
      <c r="D2339" s="7" t="s">
        <v>40</v>
      </c>
      <c r="E2339" s="7" t="n">
        <v>24</v>
      </c>
      <c r="F2339" s="7" t="n">
        <v>7</v>
      </c>
      <c r="G2339" s="7" t="s">
        <v>36</v>
      </c>
      <c r="H2339" s="7" t="s">
        <v>32</v>
      </c>
      <c r="I2339" s="7" t="n">
        <v>34.5</v>
      </c>
      <c r="J2339" s="7" t="s">
        <v>28</v>
      </c>
      <c r="K2339" s="7" t="n">
        <v>129.9</v>
      </c>
      <c r="L2339" s="7" t="s">
        <v>29</v>
      </c>
      <c r="M2339" s="7" t="s">
        <v>30</v>
      </c>
    </row>
    <row r="2340" customFormat="false" ht="15" hidden="false" customHeight="true" outlineLevel="0" collapsed="false">
      <c r="A2340" s="7" t="n">
        <v>587</v>
      </c>
      <c r="B2340" s="7" t="n">
        <v>42</v>
      </c>
      <c r="C2340" s="7" t="s">
        <v>33</v>
      </c>
      <c r="D2340" s="7" t="s">
        <v>40</v>
      </c>
      <c r="E2340" s="7" t="n">
        <v>24</v>
      </c>
      <c r="F2340" s="7" t="n">
        <v>12</v>
      </c>
      <c r="G2340" s="7" t="s">
        <v>26</v>
      </c>
      <c r="H2340" s="7" t="s">
        <v>27</v>
      </c>
      <c r="I2340" s="7" t="n">
        <v>17.5</v>
      </c>
      <c r="J2340" s="7" t="s">
        <v>28</v>
      </c>
      <c r="K2340" s="7" t="n">
        <v>290.2</v>
      </c>
      <c r="L2340" s="7" t="s">
        <v>29</v>
      </c>
      <c r="M2340" s="7" t="s">
        <v>30</v>
      </c>
    </row>
    <row r="2341" customFormat="false" ht="15" hidden="false" customHeight="true" outlineLevel="0" collapsed="false">
      <c r="A2341" s="7" t="n">
        <v>598</v>
      </c>
      <c r="B2341" s="7" t="n">
        <v>44</v>
      </c>
      <c r="C2341" s="7" t="s">
        <v>24</v>
      </c>
      <c r="D2341" s="7" t="s">
        <v>40</v>
      </c>
      <c r="E2341" s="7" t="n">
        <v>5</v>
      </c>
      <c r="F2341" s="7" t="n">
        <v>25</v>
      </c>
      <c r="G2341" s="7" t="s">
        <v>35</v>
      </c>
      <c r="H2341" s="7" t="s">
        <v>27</v>
      </c>
      <c r="I2341" s="7" t="n">
        <v>36.3</v>
      </c>
      <c r="J2341" s="7" t="s">
        <v>28</v>
      </c>
      <c r="K2341" s="7" t="n">
        <v>281.6</v>
      </c>
      <c r="L2341" s="7" t="s">
        <v>29</v>
      </c>
      <c r="M2341" s="7" t="s">
        <v>30</v>
      </c>
    </row>
    <row r="2342" customFormat="false" ht="15" hidden="false" customHeight="true" outlineLevel="0" collapsed="false">
      <c r="A2342" s="7" t="n">
        <v>618</v>
      </c>
      <c r="B2342" s="7" t="n">
        <v>65</v>
      </c>
      <c r="C2342" s="7" t="s">
        <v>24</v>
      </c>
      <c r="D2342" s="7" t="s">
        <v>40</v>
      </c>
      <c r="E2342" s="7" t="n">
        <v>19</v>
      </c>
      <c r="F2342" s="7" t="n">
        <v>23</v>
      </c>
      <c r="G2342" s="7" t="s">
        <v>26</v>
      </c>
      <c r="H2342" s="7" t="s">
        <v>27</v>
      </c>
      <c r="I2342" s="7" t="n">
        <v>24.5</v>
      </c>
      <c r="J2342" s="7" t="s">
        <v>28</v>
      </c>
      <c r="K2342" s="7" t="n">
        <v>187</v>
      </c>
      <c r="L2342" s="7" t="s">
        <v>37</v>
      </c>
      <c r="M2342" s="7" t="s">
        <v>30</v>
      </c>
    </row>
    <row r="2343" customFormat="false" ht="15" hidden="false" customHeight="true" outlineLevel="0" collapsed="false">
      <c r="A2343" s="7" t="n">
        <v>627</v>
      </c>
      <c r="B2343" s="7" t="n">
        <v>65</v>
      </c>
      <c r="C2343" s="7" t="s">
        <v>33</v>
      </c>
      <c r="D2343" s="7" t="s">
        <v>40</v>
      </c>
      <c r="E2343" s="7" t="n">
        <v>22</v>
      </c>
      <c r="F2343" s="7" t="n">
        <v>13</v>
      </c>
      <c r="G2343" s="7" t="s">
        <v>36</v>
      </c>
      <c r="H2343" s="7" t="s">
        <v>27</v>
      </c>
      <c r="I2343" s="7" t="n">
        <v>19.3</v>
      </c>
      <c r="J2343" s="7" t="s">
        <v>28</v>
      </c>
      <c r="K2343" s="7" t="n">
        <v>280.5</v>
      </c>
      <c r="L2343" s="7" t="s">
        <v>37</v>
      </c>
      <c r="M2343" s="7" t="s">
        <v>30</v>
      </c>
    </row>
    <row r="2344" customFormat="false" ht="15" hidden="false" customHeight="true" outlineLevel="0" collapsed="false">
      <c r="A2344" s="7" t="n">
        <v>632</v>
      </c>
      <c r="B2344" s="7" t="n">
        <v>42</v>
      </c>
      <c r="C2344" s="7" t="s">
        <v>33</v>
      </c>
      <c r="D2344" s="7" t="s">
        <v>40</v>
      </c>
      <c r="E2344" s="7" t="n">
        <v>24</v>
      </c>
      <c r="F2344" s="7" t="n">
        <v>22</v>
      </c>
      <c r="G2344" s="7" t="s">
        <v>31</v>
      </c>
      <c r="H2344" s="7" t="s">
        <v>32</v>
      </c>
      <c r="I2344" s="7" t="n">
        <v>34.6</v>
      </c>
      <c r="J2344" s="7" t="s">
        <v>28</v>
      </c>
      <c r="K2344" s="7" t="n">
        <v>123.2</v>
      </c>
      <c r="L2344" s="7" t="s">
        <v>29</v>
      </c>
      <c r="M2344" s="7" t="s">
        <v>30</v>
      </c>
    </row>
    <row r="2345" customFormat="false" ht="15" hidden="false" customHeight="true" outlineLevel="0" collapsed="false">
      <c r="A2345" s="7" t="n">
        <v>643</v>
      </c>
      <c r="B2345" s="7" t="n">
        <v>55</v>
      </c>
      <c r="C2345" s="7" t="s">
        <v>33</v>
      </c>
      <c r="D2345" s="7" t="s">
        <v>40</v>
      </c>
      <c r="E2345" s="7" t="n">
        <v>12</v>
      </c>
      <c r="F2345" s="7" t="n">
        <v>10</v>
      </c>
      <c r="G2345" s="7" t="s">
        <v>26</v>
      </c>
      <c r="H2345" s="7" t="s">
        <v>32</v>
      </c>
      <c r="I2345" s="7" t="n">
        <v>18.2</v>
      </c>
      <c r="J2345" s="7" t="s">
        <v>28</v>
      </c>
      <c r="K2345" s="7" t="n">
        <v>274.2</v>
      </c>
      <c r="L2345" s="7" t="s">
        <v>29</v>
      </c>
      <c r="M2345" s="7" t="s">
        <v>30</v>
      </c>
    </row>
    <row r="2346" customFormat="false" ht="15" hidden="false" customHeight="true" outlineLevel="0" collapsed="false">
      <c r="A2346" s="7" t="n">
        <v>646</v>
      </c>
      <c r="B2346" s="7" t="n">
        <v>40</v>
      </c>
      <c r="C2346" s="7" t="s">
        <v>33</v>
      </c>
      <c r="D2346" s="7" t="s">
        <v>40</v>
      </c>
      <c r="E2346" s="7" t="n">
        <v>24</v>
      </c>
      <c r="F2346" s="7" t="n">
        <v>9</v>
      </c>
      <c r="G2346" s="7" t="s">
        <v>36</v>
      </c>
      <c r="H2346" s="7" t="s">
        <v>27</v>
      </c>
      <c r="I2346" s="7" t="n">
        <v>30.2</v>
      </c>
      <c r="J2346" s="7" t="s">
        <v>28</v>
      </c>
      <c r="K2346" s="7" t="n">
        <v>123.8</v>
      </c>
      <c r="L2346" s="7" t="s">
        <v>29</v>
      </c>
      <c r="M2346" s="7" t="s">
        <v>30</v>
      </c>
    </row>
    <row r="2347" customFormat="false" ht="15" hidden="false" customHeight="true" outlineLevel="0" collapsed="false">
      <c r="A2347" s="7" t="n">
        <v>652</v>
      </c>
      <c r="B2347" s="7" t="n">
        <v>88</v>
      </c>
      <c r="C2347" s="7" t="s">
        <v>33</v>
      </c>
      <c r="D2347" s="7" t="s">
        <v>40</v>
      </c>
      <c r="E2347" s="7" t="n">
        <v>29</v>
      </c>
      <c r="F2347" s="7" t="n">
        <v>11</v>
      </c>
      <c r="G2347" s="7" t="s">
        <v>36</v>
      </c>
      <c r="H2347" s="7" t="s">
        <v>32</v>
      </c>
      <c r="I2347" s="7" t="n">
        <v>17.9</v>
      </c>
      <c r="J2347" s="7" t="s">
        <v>28</v>
      </c>
      <c r="K2347" s="7" t="n">
        <v>171.6</v>
      </c>
      <c r="L2347" s="7" t="s">
        <v>29</v>
      </c>
      <c r="M2347" s="7" t="s">
        <v>30</v>
      </c>
    </row>
    <row r="2348" customFormat="false" ht="15" hidden="false" customHeight="true" outlineLevel="0" collapsed="false">
      <c r="A2348" s="7" t="n">
        <v>673</v>
      </c>
      <c r="B2348" s="7" t="n">
        <v>39</v>
      </c>
      <c r="C2348" s="7" t="s">
        <v>24</v>
      </c>
      <c r="D2348" s="7" t="s">
        <v>40</v>
      </c>
      <c r="E2348" s="7" t="n">
        <v>31</v>
      </c>
      <c r="F2348" s="7" t="n">
        <v>13</v>
      </c>
      <c r="G2348" s="7" t="s">
        <v>34</v>
      </c>
      <c r="H2348" s="7" t="s">
        <v>32</v>
      </c>
      <c r="I2348" s="7" t="n">
        <v>23.7</v>
      </c>
      <c r="J2348" s="7" t="s">
        <v>28</v>
      </c>
      <c r="K2348" s="7" t="n">
        <v>160.9</v>
      </c>
      <c r="L2348" s="7" t="s">
        <v>29</v>
      </c>
      <c r="M2348" s="7" t="s">
        <v>30</v>
      </c>
    </row>
    <row r="2349" customFormat="false" ht="15" hidden="false" customHeight="true" outlineLevel="0" collapsed="false">
      <c r="A2349" s="7" t="n">
        <v>699</v>
      </c>
      <c r="B2349" s="7" t="n">
        <v>32</v>
      </c>
      <c r="C2349" s="7" t="s">
        <v>24</v>
      </c>
      <c r="D2349" s="7" t="s">
        <v>40</v>
      </c>
      <c r="E2349" s="7" t="n">
        <v>37</v>
      </c>
      <c r="F2349" s="7" t="n">
        <v>16</v>
      </c>
      <c r="G2349" s="7" t="s">
        <v>31</v>
      </c>
      <c r="H2349" s="7" t="s">
        <v>27</v>
      </c>
      <c r="I2349" s="7" t="n">
        <v>38.1</v>
      </c>
      <c r="J2349" s="7" t="s">
        <v>28</v>
      </c>
      <c r="K2349" s="7" t="n">
        <v>238.9</v>
      </c>
      <c r="L2349" s="7" t="s">
        <v>29</v>
      </c>
      <c r="M2349" s="7" t="s">
        <v>30</v>
      </c>
    </row>
    <row r="2350" customFormat="false" ht="15" hidden="false" customHeight="true" outlineLevel="0" collapsed="false">
      <c r="A2350" s="7" t="n">
        <v>766</v>
      </c>
      <c r="B2350" s="7" t="n">
        <v>73</v>
      </c>
      <c r="C2350" s="7" t="s">
        <v>33</v>
      </c>
      <c r="D2350" s="7" t="s">
        <v>40</v>
      </c>
      <c r="E2350" s="7" t="n">
        <v>17</v>
      </c>
      <c r="F2350" s="7" t="n">
        <v>12</v>
      </c>
      <c r="G2350" s="7" t="s">
        <v>31</v>
      </c>
      <c r="H2350" s="7" t="s">
        <v>27</v>
      </c>
      <c r="I2350" s="7" t="n">
        <v>34.3</v>
      </c>
      <c r="J2350" s="7" t="s">
        <v>28</v>
      </c>
      <c r="K2350" s="7" t="n">
        <v>237.1</v>
      </c>
      <c r="L2350" s="7" t="s">
        <v>29</v>
      </c>
      <c r="M2350" s="7" t="s">
        <v>30</v>
      </c>
    </row>
    <row r="2351" customFormat="false" ht="15" hidden="false" customHeight="true" outlineLevel="0" collapsed="false">
      <c r="A2351" s="7" t="n">
        <v>791</v>
      </c>
      <c r="B2351" s="7" t="n">
        <v>57</v>
      </c>
      <c r="C2351" s="7" t="s">
        <v>33</v>
      </c>
      <c r="D2351" s="7" t="s">
        <v>40</v>
      </c>
      <c r="E2351" s="7" t="n">
        <v>11</v>
      </c>
      <c r="F2351" s="7" t="n">
        <v>13</v>
      </c>
      <c r="G2351" s="7" t="s">
        <v>34</v>
      </c>
      <c r="H2351" s="7" t="s">
        <v>27</v>
      </c>
      <c r="I2351" s="7" t="n">
        <v>30.6</v>
      </c>
      <c r="J2351" s="7" t="s">
        <v>28</v>
      </c>
      <c r="K2351" s="7" t="n">
        <v>189.7</v>
      </c>
      <c r="L2351" s="7" t="s">
        <v>29</v>
      </c>
      <c r="M2351" s="7" t="s">
        <v>30</v>
      </c>
    </row>
    <row r="2352" customFormat="false" ht="15" hidden="false" customHeight="true" outlineLevel="0" collapsed="false">
      <c r="A2352" s="7" t="n">
        <v>794</v>
      </c>
      <c r="B2352" s="7" t="n">
        <v>72</v>
      </c>
      <c r="C2352" s="7" t="s">
        <v>33</v>
      </c>
      <c r="D2352" s="7" t="s">
        <v>40</v>
      </c>
      <c r="E2352" s="7" t="n">
        <v>37</v>
      </c>
      <c r="F2352" s="7" t="n">
        <v>23</v>
      </c>
      <c r="G2352" s="7" t="s">
        <v>26</v>
      </c>
      <c r="H2352" s="7" t="s">
        <v>27</v>
      </c>
      <c r="I2352" s="7" t="n">
        <v>18.1</v>
      </c>
      <c r="J2352" s="7" t="s">
        <v>28</v>
      </c>
      <c r="K2352" s="7" t="n">
        <v>172.6</v>
      </c>
      <c r="L2352" s="7" t="s">
        <v>29</v>
      </c>
      <c r="M2352" s="7" t="s">
        <v>30</v>
      </c>
    </row>
    <row r="2353" customFormat="false" ht="15" hidden="false" customHeight="true" outlineLevel="0" collapsed="false">
      <c r="A2353" s="7" t="n">
        <v>795</v>
      </c>
      <c r="B2353" s="7" t="n">
        <v>32</v>
      </c>
      <c r="C2353" s="7" t="s">
        <v>33</v>
      </c>
      <c r="D2353" s="7" t="s">
        <v>40</v>
      </c>
      <c r="E2353" s="7" t="n">
        <v>15</v>
      </c>
      <c r="F2353" s="7" t="n">
        <v>7</v>
      </c>
      <c r="G2353" s="7" t="s">
        <v>34</v>
      </c>
      <c r="H2353" s="7" t="s">
        <v>27</v>
      </c>
      <c r="I2353" s="7" t="n">
        <v>36.2</v>
      </c>
      <c r="J2353" s="7" t="s">
        <v>28</v>
      </c>
      <c r="K2353" s="7" t="n">
        <v>205.1</v>
      </c>
      <c r="L2353" s="7" t="s">
        <v>29</v>
      </c>
      <c r="M2353" s="7" t="s">
        <v>30</v>
      </c>
    </row>
    <row r="2354" customFormat="false" ht="15" hidden="false" customHeight="true" outlineLevel="0" collapsed="false">
      <c r="A2354" s="7" t="n">
        <v>844</v>
      </c>
      <c r="B2354" s="7" t="n">
        <v>26</v>
      </c>
      <c r="C2354" s="7" t="s">
        <v>24</v>
      </c>
      <c r="D2354" s="7" t="s">
        <v>40</v>
      </c>
      <c r="E2354" s="7" t="n">
        <v>23</v>
      </c>
      <c r="F2354" s="7" t="n">
        <v>8</v>
      </c>
      <c r="G2354" s="7" t="s">
        <v>35</v>
      </c>
      <c r="H2354" s="7" t="s">
        <v>27</v>
      </c>
      <c r="I2354" s="7" t="n">
        <v>25.9</v>
      </c>
      <c r="J2354" s="7" t="s">
        <v>28</v>
      </c>
      <c r="K2354" s="7" t="n">
        <v>265.3</v>
      </c>
      <c r="L2354" s="7" t="s">
        <v>29</v>
      </c>
      <c r="M2354" s="7" t="s">
        <v>30</v>
      </c>
    </row>
    <row r="2355" customFormat="false" ht="15" hidden="false" customHeight="true" outlineLevel="0" collapsed="false">
      <c r="A2355" s="7" t="n">
        <v>845</v>
      </c>
      <c r="B2355" s="7" t="n">
        <v>46</v>
      </c>
      <c r="C2355" s="7" t="s">
        <v>24</v>
      </c>
      <c r="D2355" s="7" t="s">
        <v>40</v>
      </c>
      <c r="E2355" s="7" t="n">
        <v>30</v>
      </c>
      <c r="F2355" s="7" t="n">
        <v>18</v>
      </c>
      <c r="G2355" s="7" t="s">
        <v>26</v>
      </c>
      <c r="H2355" s="7" t="s">
        <v>27</v>
      </c>
      <c r="I2355" s="7" t="n">
        <v>29.7</v>
      </c>
      <c r="J2355" s="7" t="s">
        <v>28</v>
      </c>
      <c r="K2355" s="7" t="n">
        <v>200.7</v>
      </c>
      <c r="L2355" s="7" t="s">
        <v>29</v>
      </c>
      <c r="M2355" s="7" t="s">
        <v>30</v>
      </c>
    </row>
    <row r="2356" customFormat="false" ht="15" hidden="false" customHeight="true" outlineLevel="0" collapsed="false">
      <c r="A2356" s="7" t="n">
        <v>859</v>
      </c>
      <c r="B2356" s="7" t="n">
        <v>66</v>
      </c>
      <c r="C2356" s="7" t="s">
        <v>33</v>
      </c>
      <c r="D2356" s="7" t="s">
        <v>40</v>
      </c>
      <c r="E2356" s="7" t="n">
        <v>33</v>
      </c>
      <c r="F2356" s="7" t="n">
        <v>17</v>
      </c>
      <c r="G2356" s="7" t="s">
        <v>36</v>
      </c>
      <c r="H2356" s="7" t="s">
        <v>32</v>
      </c>
      <c r="I2356" s="7" t="n">
        <v>18.7</v>
      </c>
      <c r="J2356" s="7" t="s">
        <v>28</v>
      </c>
      <c r="K2356" s="7" t="n">
        <v>259</v>
      </c>
      <c r="L2356" s="7" t="s">
        <v>29</v>
      </c>
      <c r="M2356" s="7" t="s">
        <v>30</v>
      </c>
    </row>
    <row r="2357" customFormat="false" ht="15" hidden="false" customHeight="true" outlineLevel="0" collapsed="false">
      <c r="A2357" s="7" t="n">
        <v>863</v>
      </c>
      <c r="B2357" s="7" t="n">
        <v>82</v>
      </c>
      <c r="C2357" s="7" t="s">
        <v>33</v>
      </c>
      <c r="D2357" s="7" t="s">
        <v>40</v>
      </c>
      <c r="E2357" s="7" t="n">
        <v>15</v>
      </c>
      <c r="F2357" s="7" t="n">
        <v>9</v>
      </c>
      <c r="G2357" s="7" t="s">
        <v>34</v>
      </c>
      <c r="H2357" s="7" t="s">
        <v>27</v>
      </c>
      <c r="I2357" s="7" t="n">
        <v>33.4</v>
      </c>
      <c r="J2357" s="7" t="s">
        <v>28</v>
      </c>
      <c r="K2357" s="7" t="n">
        <v>248.5</v>
      </c>
      <c r="L2357" s="7" t="s">
        <v>29</v>
      </c>
      <c r="M2357" s="7" t="s">
        <v>30</v>
      </c>
    </row>
    <row r="2358" customFormat="false" ht="15" hidden="false" customHeight="true" outlineLevel="0" collapsed="false">
      <c r="A2358" s="7" t="n">
        <v>880</v>
      </c>
      <c r="B2358" s="7" t="n">
        <v>43</v>
      </c>
      <c r="C2358" s="7" t="s">
        <v>33</v>
      </c>
      <c r="D2358" s="7" t="s">
        <v>40</v>
      </c>
      <c r="E2358" s="7" t="n">
        <v>35</v>
      </c>
      <c r="F2358" s="7" t="n">
        <v>29</v>
      </c>
      <c r="G2358" s="7" t="s">
        <v>26</v>
      </c>
      <c r="H2358" s="7" t="s">
        <v>32</v>
      </c>
      <c r="I2358" s="7" t="n">
        <v>20.2</v>
      </c>
      <c r="J2358" s="7" t="s">
        <v>28</v>
      </c>
      <c r="K2358" s="7" t="n">
        <v>150.6</v>
      </c>
      <c r="L2358" s="7" t="s">
        <v>37</v>
      </c>
      <c r="M2358" s="7" t="s">
        <v>30</v>
      </c>
    </row>
    <row r="2359" customFormat="false" ht="15" hidden="false" customHeight="true" outlineLevel="0" collapsed="false">
      <c r="A2359" s="7" t="n">
        <v>897</v>
      </c>
      <c r="B2359" s="7" t="n">
        <v>67</v>
      </c>
      <c r="C2359" s="7" t="s">
        <v>24</v>
      </c>
      <c r="D2359" s="7" t="s">
        <v>40</v>
      </c>
      <c r="E2359" s="7" t="n">
        <v>10</v>
      </c>
      <c r="F2359" s="7" t="n">
        <v>10</v>
      </c>
      <c r="G2359" s="7" t="s">
        <v>31</v>
      </c>
      <c r="H2359" s="7" t="s">
        <v>27</v>
      </c>
      <c r="I2359" s="7" t="n">
        <v>39.3</v>
      </c>
      <c r="J2359" s="7" t="s">
        <v>28</v>
      </c>
      <c r="K2359" s="7" t="n">
        <v>176.4</v>
      </c>
      <c r="L2359" s="7" t="s">
        <v>29</v>
      </c>
      <c r="M2359" s="7" t="s">
        <v>30</v>
      </c>
    </row>
    <row r="2360" customFormat="false" ht="15" hidden="false" customHeight="true" outlineLevel="0" collapsed="false">
      <c r="A2360" s="7" t="n">
        <v>904</v>
      </c>
      <c r="B2360" s="7" t="n">
        <v>78</v>
      </c>
      <c r="C2360" s="7" t="s">
        <v>33</v>
      </c>
      <c r="D2360" s="7" t="s">
        <v>40</v>
      </c>
      <c r="E2360" s="7" t="n">
        <v>19</v>
      </c>
      <c r="F2360" s="7" t="n">
        <v>16</v>
      </c>
      <c r="G2360" s="7" t="s">
        <v>34</v>
      </c>
      <c r="H2360" s="7" t="s">
        <v>32</v>
      </c>
      <c r="I2360" s="7" t="n">
        <v>31</v>
      </c>
      <c r="J2360" s="7" t="s">
        <v>28</v>
      </c>
      <c r="K2360" s="7" t="n">
        <v>192.4</v>
      </c>
      <c r="L2360" s="7" t="s">
        <v>37</v>
      </c>
      <c r="M2360" s="7" t="s">
        <v>30</v>
      </c>
    </row>
    <row r="2361" customFormat="false" ht="15" hidden="false" customHeight="true" outlineLevel="0" collapsed="false">
      <c r="A2361" s="7" t="n">
        <v>909</v>
      </c>
      <c r="B2361" s="7" t="n">
        <v>27</v>
      </c>
      <c r="C2361" s="7" t="s">
        <v>24</v>
      </c>
      <c r="D2361" s="7" t="s">
        <v>40</v>
      </c>
      <c r="E2361" s="7" t="n">
        <v>38</v>
      </c>
      <c r="F2361" s="7" t="n">
        <v>12</v>
      </c>
      <c r="G2361" s="7" t="s">
        <v>35</v>
      </c>
      <c r="H2361" s="7" t="s">
        <v>27</v>
      </c>
      <c r="I2361" s="7" t="n">
        <v>24.9</v>
      </c>
      <c r="J2361" s="7" t="s">
        <v>28</v>
      </c>
      <c r="K2361" s="7" t="n">
        <v>291.1</v>
      </c>
      <c r="L2361" s="7" t="s">
        <v>29</v>
      </c>
      <c r="M2361" s="7" t="s">
        <v>30</v>
      </c>
    </row>
    <row r="2362" customFormat="false" ht="15" hidden="false" customHeight="true" outlineLevel="0" collapsed="false">
      <c r="A2362" s="7" t="n">
        <v>925</v>
      </c>
      <c r="B2362" s="7" t="n">
        <v>86</v>
      </c>
      <c r="C2362" s="7" t="s">
        <v>24</v>
      </c>
      <c r="D2362" s="7" t="s">
        <v>40</v>
      </c>
      <c r="E2362" s="7" t="n">
        <v>16</v>
      </c>
      <c r="F2362" s="7" t="n">
        <v>26</v>
      </c>
      <c r="G2362" s="7" t="s">
        <v>34</v>
      </c>
      <c r="H2362" s="7" t="s">
        <v>32</v>
      </c>
      <c r="I2362" s="7" t="n">
        <v>17.1</v>
      </c>
      <c r="J2362" s="7" t="s">
        <v>28</v>
      </c>
      <c r="K2362" s="7" t="n">
        <v>227.4</v>
      </c>
      <c r="L2362" s="7" t="s">
        <v>29</v>
      </c>
      <c r="M2362" s="7" t="s">
        <v>30</v>
      </c>
    </row>
    <row r="2363" customFormat="false" ht="15" hidden="false" customHeight="true" outlineLevel="0" collapsed="false">
      <c r="A2363" s="7" t="n">
        <v>939</v>
      </c>
      <c r="B2363" s="7" t="n">
        <v>60</v>
      </c>
      <c r="C2363" s="7" t="s">
        <v>33</v>
      </c>
      <c r="D2363" s="7" t="s">
        <v>40</v>
      </c>
      <c r="E2363" s="7" t="n">
        <v>30</v>
      </c>
      <c r="F2363" s="7" t="n">
        <v>20</v>
      </c>
      <c r="G2363" s="7" t="s">
        <v>31</v>
      </c>
      <c r="H2363" s="7" t="s">
        <v>32</v>
      </c>
      <c r="I2363" s="7" t="n">
        <v>25.1</v>
      </c>
      <c r="J2363" s="7" t="s">
        <v>28</v>
      </c>
      <c r="K2363" s="7" t="n">
        <v>193.2</v>
      </c>
      <c r="L2363" s="7" t="s">
        <v>29</v>
      </c>
      <c r="M2363" s="7" t="s">
        <v>30</v>
      </c>
    </row>
    <row r="2364" customFormat="false" ht="15" hidden="false" customHeight="true" outlineLevel="0" collapsed="false">
      <c r="A2364" s="7" t="n">
        <v>941</v>
      </c>
      <c r="B2364" s="7" t="n">
        <v>67</v>
      </c>
      <c r="C2364" s="7" t="s">
        <v>33</v>
      </c>
      <c r="D2364" s="7" t="s">
        <v>40</v>
      </c>
      <c r="E2364" s="7" t="n">
        <v>28</v>
      </c>
      <c r="F2364" s="7" t="n">
        <v>23</v>
      </c>
      <c r="G2364" s="7" t="s">
        <v>36</v>
      </c>
      <c r="H2364" s="7" t="s">
        <v>32</v>
      </c>
      <c r="I2364" s="7" t="n">
        <v>36.8</v>
      </c>
      <c r="J2364" s="7" t="s">
        <v>28</v>
      </c>
      <c r="K2364" s="7" t="n">
        <v>260.5</v>
      </c>
      <c r="L2364" s="7" t="s">
        <v>37</v>
      </c>
      <c r="M2364" s="7" t="s">
        <v>30</v>
      </c>
    </row>
    <row r="2365" customFormat="false" ht="15" hidden="false" customHeight="true" outlineLevel="0" collapsed="false">
      <c r="A2365" s="7" t="n">
        <v>964</v>
      </c>
      <c r="B2365" s="7" t="n">
        <v>57</v>
      </c>
      <c r="C2365" s="7" t="s">
        <v>24</v>
      </c>
      <c r="D2365" s="7" t="s">
        <v>40</v>
      </c>
      <c r="E2365" s="7" t="n">
        <v>14</v>
      </c>
      <c r="F2365" s="7" t="n">
        <v>6</v>
      </c>
      <c r="G2365" s="7" t="s">
        <v>36</v>
      </c>
      <c r="H2365" s="7" t="s">
        <v>27</v>
      </c>
      <c r="I2365" s="7" t="n">
        <v>23.6</v>
      </c>
      <c r="J2365" s="7" t="s">
        <v>28</v>
      </c>
      <c r="K2365" s="7" t="n">
        <v>209.6</v>
      </c>
      <c r="L2365" s="7" t="s">
        <v>29</v>
      </c>
      <c r="M2365" s="7" t="s">
        <v>30</v>
      </c>
    </row>
    <row r="2366" customFormat="false" ht="15" hidden="false" customHeight="true" outlineLevel="0" collapsed="false">
      <c r="A2366" s="7" t="n">
        <v>989</v>
      </c>
      <c r="B2366" s="7" t="n">
        <v>68</v>
      </c>
      <c r="C2366" s="7" t="s">
        <v>33</v>
      </c>
      <c r="D2366" s="7" t="s">
        <v>40</v>
      </c>
      <c r="E2366" s="7" t="n">
        <v>36</v>
      </c>
      <c r="F2366" s="7" t="n">
        <v>20</v>
      </c>
      <c r="G2366" s="7" t="s">
        <v>36</v>
      </c>
      <c r="H2366" s="7" t="s">
        <v>27</v>
      </c>
      <c r="I2366" s="7" t="n">
        <v>37.6</v>
      </c>
      <c r="J2366" s="7" t="s">
        <v>28</v>
      </c>
      <c r="K2366" s="7" t="n">
        <v>262.2</v>
      </c>
      <c r="L2366" s="7" t="s">
        <v>29</v>
      </c>
      <c r="M2366" s="7" t="s">
        <v>30</v>
      </c>
    </row>
    <row r="2367" customFormat="false" ht="15" hidden="false" customHeight="true" outlineLevel="0" collapsed="false">
      <c r="A2367" s="7" t="n">
        <v>1014</v>
      </c>
      <c r="B2367" s="7" t="n">
        <v>69</v>
      </c>
      <c r="C2367" s="7" t="s">
        <v>33</v>
      </c>
      <c r="D2367" s="7" t="s">
        <v>40</v>
      </c>
      <c r="E2367" s="7" t="n">
        <v>26</v>
      </c>
      <c r="F2367" s="7" t="n">
        <v>19</v>
      </c>
      <c r="G2367" s="7" t="s">
        <v>34</v>
      </c>
      <c r="H2367" s="7" t="s">
        <v>32</v>
      </c>
      <c r="I2367" s="7" t="n">
        <v>32.8</v>
      </c>
      <c r="J2367" s="7" t="s">
        <v>28</v>
      </c>
      <c r="K2367" s="7" t="n">
        <v>220.1</v>
      </c>
      <c r="L2367" s="7" t="s">
        <v>37</v>
      </c>
      <c r="M2367" s="7" t="s">
        <v>30</v>
      </c>
    </row>
    <row r="2368" customFormat="false" ht="15" hidden="false" customHeight="true" outlineLevel="0" collapsed="false">
      <c r="A2368" s="7" t="n">
        <v>1020</v>
      </c>
      <c r="B2368" s="7" t="n">
        <v>83</v>
      </c>
      <c r="C2368" s="7" t="s">
        <v>24</v>
      </c>
      <c r="D2368" s="7" t="s">
        <v>40</v>
      </c>
      <c r="E2368" s="7" t="n">
        <v>19</v>
      </c>
      <c r="F2368" s="7" t="n">
        <v>5</v>
      </c>
      <c r="G2368" s="7" t="s">
        <v>34</v>
      </c>
      <c r="H2368" s="7" t="s">
        <v>27</v>
      </c>
      <c r="I2368" s="7" t="n">
        <v>20.5</v>
      </c>
      <c r="J2368" s="7" t="s">
        <v>28</v>
      </c>
      <c r="K2368" s="7" t="n">
        <v>163.6</v>
      </c>
      <c r="L2368" s="7" t="s">
        <v>37</v>
      </c>
      <c r="M2368" s="7" t="s">
        <v>30</v>
      </c>
    </row>
    <row r="2369" customFormat="false" ht="15" hidden="false" customHeight="true" outlineLevel="0" collapsed="false">
      <c r="A2369" s="7" t="n">
        <v>1021</v>
      </c>
      <c r="B2369" s="7" t="n">
        <v>55</v>
      </c>
      <c r="C2369" s="7" t="s">
        <v>24</v>
      </c>
      <c r="D2369" s="7" t="s">
        <v>40</v>
      </c>
      <c r="E2369" s="7" t="n">
        <v>15</v>
      </c>
      <c r="F2369" s="7" t="n">
        <v>12</v>
      </c>
      <c r="G2369" s="7" t="s">
        <v>36</v>
      </c>
      <c r="H2369" s="7" t="s">
        <v>32</v>
      </c>
      <c r="I2369" s="7" t="n">
        <v>28.8</v>
      </c>
      <c r="J2369" s="7" t="s">
        <v>28</v>
      </c>
      <c r="K2369" s="7" t="n">
        <v>187.7</v>
      </c>
      <c r="L2369" s="7" t="s">
        <v>29</v>
      </c>
      <c r="M2369" s="7" t="s">
        <v>30</v>
      </c>
    </row>
    <row r="2370" customFormat="false" ht="15" hidden="false" customHeight="true" outlineLevel="0" collapsed="false">
      <c r="A2370" s="7" t="n">
        <v>1031</v>
      </c>
      <c r="B2370" s="7" t="n">
        <v>43</v>
      </c>
      <c r="C2370" s="7" t="s">
        <v>24</v>
      </c>
      <c r="D2370" s="7" t="s">
        <v>40</v>
      </c>
      <c r="E2370" s="7" t="n">
        <v>19</v>
      </c>
      <c r="F2370" s="7" t="n">
        <v>27</v>
      </c>
      <c r="G2370" s="7" t="s">
        <v>34</v>
      </c>
      <c r="H2370" s="7" t="s">
        <v>27</v>
      </c>
      <c r="I2370" s="7" t="n">
        <v>19.7</v>
      </c>
      <c r="J2370" s="7" t="s">
        <v>28</v>
      </c>
      <c r="K2370" s="7" t="n">
        <v>137.8</v>
      </c>
      <c r="L2370" s="7" t="s">
        <v>29</v>
      </c>
      <c r="M2370" s="7" t="s">
        <v>30</v>
      </c>
    </row>
    <row r="2371" customFormat="false" ht="15" hidden="false" customHeight="true" outlineLevel="0" collapsed="false">
      <c r="A2371" s="7" t="n">
        <v>1034</v>
      </c>
      <c r="B2371" s="7" t="n">
        <v>89</v>
      </c>
      <c r="C2371" s="7" t="s">
        <v>24</v>
      </c>
      <c r="D2371" s="7" t="s">
        <v>40</v>
      </c>
      <c r="E2371" s="7" t="n">
        <v>28</v>
      </c>
      <c r="F2371" s="7" t="n">
        <v>6</v>
      </c>
      <c r="G2371" s="7" t="s">
        <v>26</v>
      </c>
      <c r="H2371" s="7" t="s">
        <v>32</v>
      </c>
      <c r="I2371" s="7" t="n">
        <v>21.8</v>
      </c>
      <c r="J2371" s="7" t="s">
        <v>28</v>
      </c>
      <c r="K2371" s="7" t="n">
        <v>165.6</v>
      </c>
      <c r="L2371" s="7" t="s">
        <v>29</v>
      </c>
      <c r="M2371" s="7" t="s">
        <v>30</v>
      </c>
    </row>
    <row r="2372" customFormat="false" ht="15" hidden="false" customHeight="true" outlineLevel="0" collapsed="false">
      <c r="A2372" s="7" t="n">
        <v>1037</v>
      </c>
      <c r="B2372" s="7" t="n">
        <v>89</v>
      </c>
      <c r="C2372" s="7" t="s">
        <v>24</v>
      </c>
      <c r="D2372" s="7" t="s">
        <v>40</v>
      </c>
      <c r="E2372" s="7" t="n">
        <v>38</v>
      </c>
      <c r="F2372" s="7" t="n">
        <v>20</v>
      </c>
      <c r="G2372" s="7" t="s">
        <v>36</v>
      </c>
      <c r="H2372" s="7" t="s">
        <v>27</v>
      </c>
      <c r="I2372" s="7" t="n">
        <v>22</v>
      </c>
      <c r="J2372" s="7" t="s">
        <v>28</v>
      </c>
      <c r="K2372" s="7" t="n">
        <v>257.7</v>
      </c>
      <c r="L2372" s="7" t="s">
        <v>29</v>
      </c>
      <c r="M2372" s="7" t="s">
        <v>30</v>
      </c>
    </row>
    <row r="2373" customFormat="false" ht="15" hidden="false" customHeight="true" outlineLevel="0" collapsed="false">
      <c r="A2373" s="7" t="n">
        <v>1040</v>
      </c>
      <c r="B2373" s="7" t="n">
        <v>60</v>
      </c>
      <c r="C2373" s="7" t="s">
        <v>33</v>
      </c>
      <c r="D2373" s="7" t="s">
        <v>40</v>
      </c>
      <c r="E2373" s="7" t="n">
        <v>14</v>
      </c>
      <c r="F2373" s="7" t="n">
        <v>20</v>
      </c>
      <c r="G2373" s="7" t="s">
        <v>35</v>
      </c>
      <c r="H2373" s="7" t="s">
        <v>32</v>
      </c>
      <c r="I2373" s="7" t="n">
        <v>20.6</v>
      </c>
      <c r="J2373" s="7" t="s">
        <v>28</v>
      </c>
      <c r="K2373" s="7" t="n">
        <v>222.4</v>
      </c>
      <c r="L2373" s="7" t="s">
        <v>37</v>
      </c>
      <c r="M2373" s="7" t="s">
        <v>30</v>
      </c>
    </row>
    <row r="2374" customFormat="false" ht="15" hidden="false" customHeight="true" outlineLevel="0" collapsed="false">
      <c r="A2374" s="7" t="n">
        <v>1041</v>
      </c>
      <c r="B2374" s="7" t="n">
        <v>68</v>
      </c>
      <c r="C2374" s="7" t="s">
        <v>33</v>
      </c>
      <c r="D2374" s="7" t="s">
        <v>40</v>
      </c>
      <c r="E2374" s="7" t="n">
        <v>25</v>
      </c>
      <c r="F2374" s="7" t="n">
        <v>12</v>
      </c>
      <c r="G2374" s="7" t="s">
        <v>34</v>
      </c>
      <c r="H2374" s="7" t="s">
        <v>27</v>
      </c>
      <c r="I2374" s="7" t="n">
        <v>29.6</v>
      </c>
      <c r="J2374" s="7" t="s">
        <v>28</v>
      </c>
      <c r="K2374" s="7" t="n">
        <v>150.9</v>
      </c>
      <c r="L2374" s="7" t="s">
        <v>37</v>
      </c>
      <c r="M2374" s="7" t="s">
        <v>30</v>
      </c>
    </row>
    <row r="2375" customFormat="false" ht="15" hidden="false" customHeight="true" outlineLevel="0" collapsed="false">
      <c r="A2375" s="7" t="n">
        <v>1046</v>
      </c>
      <c r="B2375" s="7" t="n">
        <v>44</v>
      </c>
      <c r="C2375" s="7" t="s">
        <v>33</v>
      </c>
      <c r="D2375" s="7" t="s">
        <v>40</v>
      </c>
      <c r="E2375" s="7" t="n">
        <v>12</v>
      </c>
      <c r="F2375" s="7" t="n">
        <v>11</v>
      </c>
      <c r="G2375" s="7" t="s">
        <v>34</v>
      </c>
      <c r="H2375" s="7" t="s">
        <v>27</v>
      </c>
      <c r="I2375" s="7" t="n">
        <v>17</v>
      </c>
      <c r="J2375" s="7" t="s">
        <v>28</v>
      </c>
      <c r="K2375" s="7" t="n">
        <v>171.1</v>
      </c>
      <c r="L2375" s="7" t="s">
        <v>29</v>
      </c>
      <c r="M2375" s="7" t="s">
        <v>30</v>
      </c>
    </row>
    <row r="2376" customFormat="false" ht="15" hidden="false" customHeight="true" outlineLevel="0" collapsed="false">
      <c r="A2376" s="7" t="n">
        <v>1053</v>
      </c>
      <c r="B2376" s="7" t="n">
        <v>32</v>
      </c>
      <c r="C2376" s="7" t="s">
        <v>24</v>
      </c>
      <c r="D2376" s="7" t="s">
        <v>40</v>
      </c>
      <c r="E2376" s="7" t="n">
        <v>30</v>
      </c>
      <c r="F2376" s="7" t="n">
        <v>12</v>
      </c>
      <c r="G2376" s="7" t="s">
        <v>35</v>
      </c>
      <c r="H2376" s="7" t="s">
        <v>32</v>
      </c>
      <c r="I2376" s="7" t="n">
        <v>27.8</v>
      </c>
      <c r="J2376" s="7" t="s">
        <v>28</v>
      </c>
      <c r="K2376" s="7" t="n">
        <v>257.6</v>
      </c>
      <c r="L2376" s="7" t="s">
        <v>29</v>
      </c>
      <c r="M2376" s="7" t="s">
        <v>30</v>
      </c>
    </row>
    <row r="2377" customFormat="false" ht="15" hidden="false" customHeight="true" outlineLevel="0" collapsed="false">
      <c r="A2377" s="7" t="n">
        <v>1079</v>
      </c>
      <c r="B2377" s="7" t="n">
        <v>76</v>
      </c>
      <c r="C2377" s="7" t="s">
        <v>33</v>
      </c>
      <c r="D2377" s="7" t="s">
        <v>40</v>
      </c>
      <c r="E2377" s="7" t="n">
        <v>13</v>
      </c>
      <c r="F2377" s="7" t="n">
        <v>24</v>
      </c>
      <c r="G2377" s="7" t="s">
        <v>36</v>
      </c>
      <c r="H2377" s="7" t="s">
        <v>27</v>
      </c>
      <c r="I2377" s="7" t="n">
        <v>36.7</v>
      </c>
      <c r="J2377" s="7" t="s">
        <v>28</v>
      </c>
      <c r="K2377" s="7" t="n">
        <v>267.5</v>
      </c>
      <c r="L2377" s="7" t="s">
        <v>37</v>
      </c>
      <c r="M2377" s="7" t="s">
        <v>30</v>
      </c>
    </row>
    <row r="2378" customFormat="false" ht="15" hidden="false" customHeight="true" outlineLevel="0" collapsed="false">
      <c r="A2378" s="7" t="n">
        <v>1088</v>
      </c>
      <c r="B2378" s="7" t="n">
        <v>27</v>
      </c>
      <c r="C2378" s="7" t="s">
        <v>33</v>
      </c>
      <c r="D2378" s="7" t="s">
        <v>40</v>
      </c>
      <c r="E2378" s="7" t="n">
        <v>21</v>
      </c>
      <c r="F2378" s="7" t="n">
        <v>11</v>
      </c>
      <c r="G2378" s="7" t="s">
        <v>26</v>
      </c>
      <c r="H2378" s="7" t="s">
        <v>27</v>
      </c>
      <c r="I2378" s="7" t="n">
        <v>37.8</v>
      </c>
      <c r="J2378" s="7" t="s">
        <v>28</v>
      </c>
      <c r="K2378" s="7" t="n">
        <v>293.2</v>
      </c>
      <c r="L2378" s="7" t="s">
        <v>37</v>
      </c>
      <c r="M2378" s="7" t="s">
        <v>30</v>
      </c>
    </row>
    <row r="2379" customFormat="false" ht="15" hidden="false" customHeight="true" outlineLevel="0" collapsed="false">
      <c r="A2379" s="7" t="n">
        <v>1126</v>
      </c>
      <c r="B2379" s="7" t="n">
        <v>18</v>
      </c>
      <c r="C2379" s="7" t="s">
        <v>33</v>
      </c>
      <c r="D2379" s="7" t="s">
        <v>40</v>
      </c>
      <c r="E2379" s="7" t="n">
        <v>11</v>
      </c>
      <c r="F2379" s="7" t="n">
        <v>25</v>
      </c>
      <c r="G2379" s="7" t="s">
        <v>35</v>
      </c>
      <c r="H2379" s="7" t="s">
        <v>32</v>
      </c>
      <c r="I2379" s="7" t="n">
        <v>23.9</v>
      </c>
      <c r="J2379" s="7" t="s">
        <v>28</v>
      </c>
      <c r="K2379" s="7" t="n">
        <v>174.5</v>
      </c>
      <c r="L2379" s="7" t="s">
        <v>29</v>
      </c>
      <c r="M2379" s="7" t="s">
        <v>30</v>
      </c>
    </row>
    <row r="2380" customFormat="false" ht="15" hidden="false" customHeight="true" outlineLevel="0" collapsed="false">
      <c r="A2380" s="7" t="n">
        <v>1181</v>
      </c>
      <c r="B2380" s="7" t="n">
        <v>83</v>
      </c>
      <c r="C2380" s="7" t="s">
        <v>33</v>
      </c>
      <c r="D2380" s="7" t="s">
        <v>40</v>
      </c>
      <c r="E2380" s="7" t="n">
        <v>12</v>
      </c>
      <c r="F2380" s="7" t="n">
        <v>27</v>
      </c>
      <c r="G2380" s="7" t="s">
        <v>34</v>
      </c>
      <c r="H2380" s="7" t="s">
        <v>27</v>
      </c>
      <c r="I2380" s="7" t="n">
        <v>35.9</v>
      </c>
      <c r="J2380" s="7" t="s">
        <v>28</v>
      </c>
      <c r="K2380" s="7" t="n">
        <v>286</v>
      </c>
      <c r="L2380" s="7" t="s">
        <v>29</v>
      </c>
      <c r="M2380" s="7" t="s">
        <v>30</v>
      </c>
    </row>
    <row r="2381" customFormat="false" ht="15" hidden="false" customHeight="true" outlineLevel="0" collapsed="false">
      <c r="A2381" s="7" t="n">
        <v>1203</v>
      </c>
      <c r="B2381" s="7" t="n">
        <v>65</v>
      </c>
      <c r="C2381" s="7" t="s">
        <v>33</v>
      </c>
      <c r="D2381" s="7" t="s">
        <v>40</v>
      </c>
      <c r="E2381" s="7" t="n">
        <v>31</v>
      </c>
      <c r="F2381" s="7" t="n">
        <v>10</v>
      </c>
      <c r="G2381" s="7" t="s">
        <v>31</v>
      </c>
      <c r="H2381" s="7" t="s">
        <v>32</v>
      </c>
      <c r="I2381" s="7" t="n">
        <v>35.8</v>
      </c>
      <c r="J2381" s="7" t="s">
        <v>28</v>
      </c>
      <c r="K2381" s="7" t="n">
        <v>155.4</v>
      </c>
      <c r="L2381" s="7" t="s">
        <v>29</v>
      </c>
      <c r="M2381" s="7" t="s">
        <v>30</v>
      </c>
    </row>
    <row r="2382" customFormat="false" ht="15" hidden="false" customHeight="true" outlineLevel="0" collapsed="false">
      <c r="A2382" s="7" t="n">
        <v>1229</v>
      </c>
      <c r="B2382" s="7" t="n">
        <v>32</v>
      </c>
      <c r="C2382" s="7" t="s">
        <v>33</v>
      </c>
      <c r="D2382" s="7" t="s">
        <v>40</v>
      </c>
      <c r="E2382" s="7" t="n">
        <v>7</v>
      </c>
      <c r="F2382" s="7" t="n">
        <v>28</v>
      </c>
      <c r="G2382" s="7" t="s">
        <v>35</v>
      </c>
      <c r="H2382" s="7" t="s">
        <v>27</v>
      </c>
      <c r="I2382" s="7" t="n">
        <v>19.4</v>
      </c>
      <c r="J2382" s="7" t="s">
        <v>28</v>
      </c>
      <c r="K2382" s="7" t="n">
        <v>290</v>
      </c>
      <c r="L2382" s="7" t="s">
        <v>29</v>
      </c>
      <c r="M2382" s="7" t="s">
        <v>30</v>
      </c>
    </row>
    <row r="2383" customFormat="false" ht="15" hidden="false" customHeight="true" outlineLevel="0" collapsed="false">
      <c r="A2383" s="7" t="n">
        <v>1236</v>
      </c>
      <c r="B2383" s="7" t="n">
        <v>26</v>
      </c>
      <c r="C2383" s="7" t="s">
        <v>24</v>
      </c>
      <c r="D2383" s="7" t="s">
        <v>40</v>
      </c>
      <c r="E2383" s="7" t="n">
        <v>24</v>
      </c>
      <c r="F2383" s="7" t="n">
        <v>24</v>
      </c>
      <c r="G2383" s="7" t="s">
        <v>31</v>
      </c>
      <c r="H2383" s="7" t="s">
        <v>27</v>
      </c>
      <c r="I2383" s="7" t="n">
        <v>37.8</v>
      </c>
      <c r="J2383" s="7" t="s">
        <v>28</v>
      </c>
      <c r="K2383" s="7" t="n">
        <v>170.7</v>
      </c>
      <c r="L2383" s="7" t="s">
        <v>29</v>
      </c>
      <c r="M2383" s="7" t="s">
        <v>30</v>
      </c>
    </row>
    <row r="2384" customFormat="false" ht="15" hidden="false" customHeight="true" outlineLevel="0" collapsed="false">
      <c r="A2384" s="7" t="n">
        <v>1257</v>
      </c>
      <c r="B2384" s="7" t="n">
        <v>82</v>
      </c>
      <c r="C2384" s="7" t="s">
        <v>33</v>
      </c>
      <c r="D2384" s="7" t="s">
        <v>40</v>
      </c>
      <c r="E2384" s="7" t="n">
        <v>27</v>
      </c>
      <c r="F2384" s="7" t="n">
        <v>25</v>
      </c>
      <c r="G2384" s="7" t="s">
        <v>35</v>
      </c>
      <c r="H2384" s="7" t="s">
        <v>27</v>
      </c>
      <c r="I2384" s="7" t="n">
        <v>36.5</v>
      </c>
      <c r="J2384" s="7" t="s">
        <v>28</v>
      </c>
      <c r="K2384" s="7" t="n">
        <v>130.7</v>
      </c>
      <c r="L2384" s="7" t="s">
        <v>29</v>
      </c>
      <c r="M2384" s="7" t="s">
        <v>30</v>
      </c>
    </row>
    <row r="2385" customFormat="false" ht="15" hidden="false" customHeight="true" outlineLevel="0" collapsed="false">
      <c r="A2385" s="7" t="n">
        <v>1264</v>
      </c>
      <c r="B2385" s="7" t="n">
        <v>42</v>
      </c>
      <c r="C2385" s="7" t="s">
        <v>33</v>
      </c>
      <c r="D2385" s="7" t="s">
        <v>40</v>
      </c>
      <c r="E2385" s="7" t="n">
        <v>34</v>
      </c>
      <c r="F2385" s="7" t="n">
        <v>14</v>
      </c>
      <c r="G2385" s="7" t="s">
        <v>26</v>
      </c>
      <c r="H2385" s="7" t="s">
        <v>32</v>
      </c>
      <c r="I2385" s="7" t="n">
        <v>27.1</v>
      </c>
      <c r="J2385" s="7" t="s">
        <v>28</v>
      </c>
      <c r="K2385" s="7" t="n">
        <v>257.5</v>
      </c>
      <c r="L2385" s="7" t="s">
        <v>29</v>
      </c>
      <c r="M2385" s="7" t="s">
        <v>30</v>
      </c>
    </row>
    <row r="2386" customFormat="false" ht="15" hidden="false" customHeight="true" outlineLevel="0" collapsed="false">
      <c r="A2386" s="7" t="n">
        <v>1290</v>
      </c>
      <c r="B2386" s="7" t="n">
        <v>67</v>
      </c>
      <c r="C2386" s="7" t="s">
        <v>33</v>
      </c>
      <c r="D2386" s="7" t="s">
        <v>40</v>
      </c>
      <c r="E2386" s="7" t="n">
        <v>32</v>
      </c>
      <c r="F2386" s="7" t="n">
        <v>22</v>
      </c>
      <c r="G2386" s="7" t="s">
        <v>31</v>
      </c>
      <c r="H2386" s="7" t="s">
        <v>27</v>
      </c>
      <c r="I2386" s="7" t="n">
        <v>25.3</v>
      </c>
      <c r="J2386" s="7" t="s">
        <v>28</v>
      </c>
      <c r="K2386" s="7" t="n">
        <v>155.4</v>
      </c>
      <c r="L2386" s="7" t="s">
        <v>29</v>
      </c>
      <c r="M2386" s="7" t="s">
        <v>30</v>
      </c>
    </row>
    <row r="2387" customFormat="false" ht="15" hidden="false" customHeight="true" outlineLevel="0" collapsed="false">
      <c r="A2387" s="7" t="n">
        <v>1291</v>
      </c>
      <c r="B2387" s="7" t="n">
        <v>73</v>
      </c>
      <c r="C2387" s="7" t="s">
        <v>24</v>
      </c>
      <c r="D2387" s="7" t="s">
        <v>40</v>
      </c>
      <c r="E2387" s="7" t="n">
        <v>9</v>
      </c>
      <c r="F2387" s="7" t="n">
        <v>29</v>
      </c>
      <c r="G2387" s="7" t="s">
        <v>34</v>
      </c>
      <c r="H2387" s="7" t="s">
        <v>27</v>
      </c>
      <c r="I2387" s="7" t="n">
        <v>33.7</v>
      </c>
      <c r="J2387" s="7" t="s">
        <v>28</v>
      </c>
      <c r="K2387" s="7" t="n">
        <v>223.4</v>
      </c>
      <c r="L2387" s="7" t="s">
        <v>37</v>
      </c>
      <c r="M2387" s="7" t="s">
        <v>30</v>
      </c>
    </row>
    <row r="2388" customFormat="false" ht="15" hidden="false" customHeight="true" outlineLevel="0" collapsed="false">
      <c r="A2388" s="7" t="n">
        <v>1300</v>
      </c>
      <c r="B2388" s="7" t="n">
        <v>84</v>
      </c>
      <c r="C2388" s="7" t="s">
        <v>24</v>
      </c>
      <c r="D2388" s="7" t="s">
        <v>40</v>
      </c>
      <c r="E2388" s="7" t="n">
        <v>36</v>
      </c>
      <c r="F2388" s="7" t="n">
        <v>13</v>
      </c>
      <c r="G2388" s="7" t="s">
        <v>31</v>
      </c>
      <c r="H2388" s="7" t="s">
        <v>27</v>
      </c>
      <c r="I2388" s="7" t="n">
        <v>17.3</v>
      </c>
      <c r="J2388" s="7" t="s">
        <v>28</v>
      </c>
      <c r="K2388" s="7" t="n">
        <v>296.5</v>
      </c>
      <c r="L2388" s="7" t="s">
        <v>29</v>
      </c>
      <c r="M2388" s="7" t="s">
        <v>30</v>
      </c>
    </row>
    <row r="2389" customFormat="false" ht="15" hidden="false" customHeight="true" outlineLevel="0" collapsed="false">
      <c r="A2389" s="7" t="n">
        <v>1309</v>
      </c>
      <c r="B2389" s="7" t="n">
        <v>31</v>
      </c>
      <c r="C2389" s="7" t="s">
        <v>33</v>
      </c>
      <c r="D2389" s="7" t="s">
        <v>40</v>
      </c>
      <c r="E2389" s="7" t="n">
        <v>18</v>
      </c>
      <c r="F2389" s="7" t="n">
        <v>20</v>
      </c>
      <c r="G2389" s="7" t="s">
        <v>36</v>
      </c>
      <c r="H2389" s="7" t="s">
        <v>32</v>
      </c>
      <c r="I2389" s="7" t="n">
        <v>34.4</v>
      </c>
      <c r="J2389" s="7" t="s">
        <v>28</v>
      </c>
      <c r="K2389" s="7" t="n">
        <v>154.7</v>
      </c>
      <c r="L2389" s="7" t="s">
        <v>29</v>
      </c>
      <c r="M2389" s="7" t="s">
        <v>30</v>
      </c>
    </row>
    <row r="2390" customFormat="false" ht="15" hidden="false" customHeight="true" outlineLevel="0" collapsed="false">
      <c r="A2390" s="7" t="n">
        <v>1347</v>
      </c>
      <c r="B2390" s="7" t="n">
        <v>37</v>
      </c>
      <c r="C2390" s="7" t="s">
        <v>33</v>
      </c>
      <c r="D2390" s="7" t="s">
        <v>40</v>
      </c>
      <c r="E2390" s="7" t="n">
        <v>15</v>
      </c>
      <c r="F2390" s="7" t="n">
        <v>12</v>
      </c>
      <c r="G2390" s="7" t="s">
        <v>35</v>
      </c>
      <c r="H2390" s="7" t="s">
        <v>27</v>
      </c>
      <c r="I2390" s="7" t="n">
        <v>18.6</v>
      </c>
      <c r="J2390" s="7" t="s">
        <v>28</v>
      </c>
      <c r="K2390" s="7" t="n">
        <v>177.9</v>
      </c>
      <c r="L2390" s="7" t="s">
        <v>29</v>
      </c>
      <c r="M2390" s="7" t="s">
        <v>30</v>
      </c>
    </row>
    <row r="2391" customFormat="false" ht="15" hidden="false" customHeight="true" outlineLevel="0" collapsed="false">
      <c r="A2391" s="7" t="n">
        <v>1357</v>
      </c>
      <c r="B2391" s="7" t="n">
        <v>45</v>
      </c>
      <c r="C2391" s="7" t="s">
        <v>24</v>
      </c>
      <c r="D2391" s="7" t="s">
        <v>40</v>
      </c>
      <c r="E2391" s="7" t="n">
        <v>36</v>
      </c>
      <c r="F2391" s="7" t="n">
        <v>17</v>
      </c>
      <c r="G2391" s="7" t="s">
        <v>36</v>
      </c>
      <c r="H2391" s="7" t="s">
        <v>27</v>
      </c>
      <c r="I2391" s="7" t="n">
        <v>25.9</v>
      </c>
      <c r="J2391" s="7" t="s">
        <v>28</v>
      </c>
      <c r="K2391" s="7" t="n">
        <v>220.1</v>
      </c>
      <c r="L2391" s="7" t="s">
        <v>29</v>
      </c>
      <c r="M2391" s="7" t="s">
        <v>30</v>
      </c>
    </row>
    <row r="2392" customFormat="false" ht="15" hidden="false" customHeight="true" outlineLevel="0" collapsed="false">
      <c r="A2392" s="7" t="n">
        <v>1378</v>
      </c>
      <c r="B2392" s="7" t="n">
        <v>57</v>
      </c>
      <c r="C2392" s="7" t="s">
        <v>24</v>
      </c>
      <c r="D2392" s="7" t="s">
        <v>40</v>
      </c>
      <c r="E2392" s="7" t="n">
        <v>10</v>
      </c>
      <c r="F2392" s="7" t="n">
        <v>9</v>
      </c>
      <c r="G2392" s="7" t="s">
        <v>26</v>
      </c>
      <c r="H2392" s="7" t="s">
        <v>32</v>
      </c>
      <c r="I2392" s="7" t="n">
        <v>26.7</v>
      </c>
      <c r="J2392" s="7" t="s">
        <v>28</v>
      </c>
      <c r="K2392" s="7" t="n">
        <v>280.9</v>
      </c>
      <c r="L2392" s="7" t="s">
        <v>37</v>
      </c>
      <c r="M2392" s="7" t="s">
        <v>30</v>
      </c>
    </row>
    <row r="2393" customFormat="false" ht="15" hidden="false" customHeight="true" outlineLevel="0" collapsed="false">
      <c r="A2393" s="7" t="n">
        <v>1382</v>
      </c>
      <c r="B2393" s="7" t="n">
        <v>60</v>
      </c>
      <c r="C2393" s="7" t="s">
        <v>24</v>
      </c>
      <c r="D2393" s="7" t="s">
        <v>40</v>
      </c>
      <c r="E2393" s="7" t="n">
        <v>33</v>
      </c>
      <c r="F2393" s="7" t="n">
        <v>25</v>
      </c>
      <c r="G2393" s="7" t="s">
        <v>36</v>
      </c>
      <c r="H2393" s="7" t="s">
        <v>27</v>
      </c>
      <c r="I2393" s="7" t="n">
        <v>39.7</v>
      </c>
      <c r="J2393" s="7" t="s">
        <v>28</v>
      </c>
      <c r="K2393" s="7" t="n">
        <v>196.3</v>
      </c>
      <c r="L2393" s="7" t="s">
        <v>29</v>
      </c>
      <c r="M2393" s="7" t="s">
        <v>30</v>
      </c>
    </row>
    <row r="2394" customFormat="false" ht="15" hidden="false" customHeight="true" outlineLevel="0" collapsed="false">
      <c r="A2394" s="7" t="n">
        <v>1387</v>
      </c>
      <c r="B2394" s="7" t="n">
        <v>58</v>
      </c>
      <c r="C2394" s="7" t="s">
        <v>33</v>
      </c>
      <c r="D2394" s="7" t="s">
        <v>40</v>
      </c>
      <c r="E2394" s="7" t="n">
        <v>25</v>
      </c>
      <c r="F2394" s="7" t="n">
        <v>27</v>
      </c>
      <c r="G2394" s="7" t="s">
        <v>31</v>
      </c>
      <c r="H2394" s="7" t="s">
        <v>27</v>
      </c>
      <c r="I2394" s="7" t="n">
        <v>38.9</v>
      </c>
      <c r="J2394" s="7" t="s">
        <v>28</v>
      </c>
      <c r="K2394" s="7" t="n">
        <v>193.5</v>
      </c>
      <c r="L2394" s="7" t="s">
        <v>29</v>
      </c>
      <c r="M2394" s="7" t="s">
        <v>30</v>
      </c>
    </row>
    <row r="2395" customFormat="false" ht="15" hidden="false" customHeight="true" outlineLevel="0" collapsed="false">
      <c r="A2395" s="7" t="n">
        <v>1397</v>
      </c>
      <c r="B2395" s="7" t="n">
        <v>36</v>
      </c>
      <c r="C2395" s="7" t="s">
        <v>33</v>
      </c>
      <c r="D2395" s="7" t="s">
        <v>40</v>
      </c>
      <c r="E2395" s="7" t="n">
        <v>37</v>
      </c>
      <c r="F2395" s="7" t="n">
        <v>13</v>
      </c>
      <c r="G2395" s="7" t="s">
        <v>34</v>
      </c>
      <c r="H2395" s="7" t="s">
        <v>27</v>
      </c>
      <c r="I2395" s="7" t="n">
        <v>25.8</v>
      </c>
      <c r="J2395" s="7" t="s">
        <v>28</v>
      </c>
      <c r="K2395" s="7" t="n">
        <v>223.9</v>
      </c>
      <c r="L2395" s="7" t="s">
        <v>29</v>
      </c>
      <c r="M2395" s="7" t="s">
        <v>30</v>
      </c>
    </row>
    <row r="2396" customFormat="false" ht="15" hidden="false" customHeight="true" outlineLevel="0" collapsed="false">
      <c r="A2396" s="7" t="n">
        <v>1401</v>
      </c>
      <c r="B2396" s="7" t="n">
        <v>27</v>
      </c>
      <c r="C2396" s="7" t="s">
        <v>24</v>
      </c>
      <c r="D2396" s="7" t="s">
        <v>40</v>
      </c>
      <c r="E2396" s="7" t="n">
        <v>30</v>
      </c>
      <c r="F2396" s="7" t="n">
        <v>29</v>
      </c>
      <c r="G2396" s="7" t="s">
        <v>31</v>
      </c>
      <c r="H2396" s="7" t="s">
        <v>32</v>
      </c>
      <c r="I2396" s="7" t="n">
        <v>29.6</v>
      </c>
      <c r="J2396" s="7" t="s">
        <v>28</v>
      </c>
      <c r="K2396" s="7" t="n">
        <v>227.7</v>
      </c>
      <c r="L2396" s="7" t="s">
        <v>37</v>
      </c>
      <c r="M2396" s="7" t="s">
        <v>30</v>
      </c>
    </row>
    <row r="2397" customFormat="false" ht="15" hidden="false" customHeight="true" outlineLevel="0" collapsed="false">
      <c r="A2397" s="7" t="n">
        <v>1417</v>
      </c>
      <c r="B2397" s="7" t="n">
        <v>80</v>
      </c>
      <c r="C2397" s="7" t="s">
        <v>33</v>
      </c>
      <c r="D2397" s="7" t="s">
        <v>40</v>
      </c>
      <c r="E2397" s="7" t="n">
        <v>19</v>
      </c>
      <c r="F2397" s="7" t="n">
        <v>23</v>
      </c>
      <c r="G2397" s="7" t="s">
        <v>34</v>
      </c>
      <c r="H2397" s="7" t="s">
        <v>27</v>
      </c>
      <c r="I2397" s="7" t="n">
        <v>19.3</v>
      </c>
      <c r="J2397" s="7" t="s">
        <v>28</v>
      </c>
      <c r="K2397" s="7" t="n">
        <v>132.5</v>
      </c>
      <c r="L2397" s="7" t="s">
        <v>29</v>
      </c>
      <c r="M2397" s="7" t="s">
        <v>30</v>
      </c>
    </row>
    <row r="2398" customFormat="false" ht="15" hidden="false" customHeight="true" outlineLevel="0" collapsed="false">
      <c r="A2398" s="7" t="n">
        <v>1428</v>
      </c>
      <c r="B2398" s="7" t="n">
        <v>24</v>
      </c>
      <c r="C2398" s="7" t="s">
        <v>33</v>
      </c>
      <c r="D2398" s="7" t="s">
        <v>40</v>
      </c>
      <c r="E2398" s="7" t="n">
        <v>27</v>
      </c>
      <c r="F2398" s="7" t="n">
        <v>15</v>
      </c>
      <c r="G2398" s="7" t="s">
        <v>26</v>
      </c>
      <c r="H2398" s="7" t="s">
        <v>32</v>
      </c>
      <c r="I2398" s="7" t="n">
        <v>24.6</v>
      </c>
      <c r="J2398" s="7" t="s">
        <v>28</v>
      </c>
      <c r="K2398" s="7" t="n">
        <v>196</v>
      </c>
      <c r="L2398" s="7" t="s">
        <v>37</v>
      </c>
      <c r="M2398" s="7" t="s">
        <v>30</v>
      </c>
    </row>
    <row r="2399" customFormat="false" ht="15" hidden="false" customHeight="true" outlineLevel="0" collapsed="false">
      <c r="A2399" s="7" t="n">
        <v>1431</v>
      </c>
      <c r="B2399" s="7" t="n">
        <v>86</v>
      </c>
      <c r="C2399" s="7" t="s">
        <v>33</v>
      </c>
      <c r="D2399" s="7" t="s">
        <v>40</v>
      </c>
      <c r="E2399" s="7" t="n">
        <v>14</v>
      </c>
      <c r="F2399" s="7" t="n">
        <v>5</v>
      </c>
      <c r="G2399" s="7" t="s">
        <v>34</v>
      </c>
      <c r="H2399" s="7" t="s">
        <v>32</v>
      </c>
      <c r="I2399" s="7" t="n">
        <v>18.1</v>
      </c>
      <c r="J2399" s="7" t="s">
        <v>28</v>
      </c>
      <c r="K2399" s="7" t="n">
        <v>142</v>
      </c>
      <c r="L2399" s="7" t="s">
        <v>29</v>
      </c>
      <c r="M2399" s="7" t="s">
        <v>30</v>
      </c>
    </row>
    <row r="2400" customFormat="false" ht="15" hidden="false" customHeight="true" outlineLevel="0" collapsed="false">
      <c r="A2400" s="7" t="n">
        <v>1436</v>
      </c>
      <c r="B2400" s="7" t="n">
        <v>69</v>
      </c>
      <c r="C2400" s="7" t="s">
        <v>24</v>
      </c>
      <c r="D2400" s="7" t="s">
        <v>40</v>
      </c>
      <c r="E2400" s="7" t="n">
        <v>28</v>
      </c>
      <c r="F2400" s="7" t="n">
        <v>14</v>
      </c>
      <c r="G2400" s="7" t="s">
        <v>36</v>
      </c>
      <c r="H2400" s="7" t="s">
        <v>27</v>
      </c>
      <c r="I2400" s="7" t="n">
        <v>38.1</v>
      </c>
      <c r="J2400" s="7" t="s">
        <v>28</v>
      </c>
      <c r="K2400" s="7" t="n">
        <v>258.8</v>
      </c>
      <c r="L2400" s="7" t="s">
        <v>29</v>
      </c>
      <c r="M2400" s="7" t="s">
        <v>30</v>
      </c>
    </row>
    <row r="2401" customFormat="false" ht="15" hidden="false" customHeight="true" outlineLevel="0" collapsed="false">
      <c r="A2401" s="7" t="n">
        <v>1444</v>
      </c>
      <c r="B2401" s="7" t="n">
        <v>63</v>
      </c>
      <c r="C2401" s="7" t="s">
        <v>24</v>
      </c>
      <c r="D2401" s="7" t="s">
        <v>40</v>
      </c>
      <c r="E2401" s="7" t="n">
        <v>19</v>
      </c>
      <c r="F2401" s="7" t="n">
        <v>17</v>
      </c>
      <c r="G2401" s="7" t="s">
        <v>26</v>
      </c>
      <c r="H2401" s="7" t="s">
        <v>27</v>
      </c>
      <c r="I2401" s="7" t="n">
        <v>17.2</v>
      </c>
      <c r="J2401" s="7" t="s">
        <v>28</v>
      </c>
      <c r="K2401" s="7" t="n">
        <v>206.9</v>
      </c>
      <c r="L2401" s="7" t="s">
        <v>37</v>
      </c>
      <c r="M2401" s="7" t="s">
        <v>30</v>
      </c>
    </row>
    <row r="2402" customFormat="false" ht="15" hidden="false" customHeight="true" outlineLevel="0" collapsed="false">
      <c r="A2402" s="7" t="n">
        <v>1451</v>
      </c>
      <c r="B2402" s="7" t="n">
        <v>26</v>
      </c>
      <c r="C2402" s="7" t="s">
        <v>33</v>
      </c>
      <c r="D2402" s="7" t="s">
        <v>40</v>
      </c>
      <c r="E2402" s="7" t="n">
        <v>38</v>
      </c>
      <c r="F2402" s="7" t="n">
        <v>23</v>
      </c>
      <c r="G2402" s="7" t="s">
        <v>26</v>
      </c>
      <c r="H2402" s="7" t="s">
        <v>32</v>
      </c>
      <c r="I2402" s="7" t="n">
        <v>40.7</v>
      </c>
      <c r="J2402" s="7" t="s">
        <v>28</v>
      </c>
      <c r="K2402" s="7" t="n">
        <v>255.3</v>
      </c>
      <c r="L2402" s="7" t="s">
        <v>29</v>
      </c>
      <c r="M2402" s="7" t="s">
        <v>30</v>
      </c>
    </row>
    <row r="2403" customFormat="false" ht="15" hidden="false" customHeight="true" outlineLevel="0" collapsed="false">
      <c r="A2403" s="7" t="n">
        <v>1453</v>
      </c>
      <c r="B2403" s="7" t="n">
        <v>84</v>
      </c>
      <c r="C2403" s="7" t="s">
        <v>24</v>
      </c>
      <c r="D2403" s="7" t="s">
        <v>40</v>
      </c>
      <c r="E2403" s="7" t="n">
        <v>6</v>
      </c>
      <c r="F2403" s="7" t="n">
        <v>8</v>
      </c>
      <c r="G2403" s="7" t="s">
        <v>26</v>
      </c>
      <c r="H2403" s="7" t="s">
        <v>32</v>
      </c>
      <c r="I2403" s="7" t="n">
        <v>17.3</v>
      </c>
      <c r="J2403" s="7" t="s">
        <v>28</v>
      </c>
      <c r="K2403" s="7" t="n">
        <v>175.7</v>
      </c>
      <c r="L2403" s="7" t="s">
        <v>29</v>
      </c>
      <c r="M2403" s="7" t="s">
        <v>30</v>
      </c>
    </row>
    <row r="2404" customFormat="false" ht="15" hidden="false" customHeight="true" outlineLevel="0" collapsed="false">
      <c r="A2404" s="7" t="n">
        <v>1455</v>
      </c>
      <c r="B2404" s="7" t="n">
        <v>82</v>
      </c>
      <c r="C2404" s="7" t="s">
        <v>24</v>
      </c>
      <c r="D2404" s="7" t="s">
        <v>40</v>
      </c>
      <c r="E2404" s="7" t="n">
        <v>15</v>
      </c>
      <c r="F2404" s="7" t="n">
        <v>17</v>
      </c>
      <c r="G2404" s="7" t="s">
        <v>34</v>
      </c>
      <c r="H2404" s="7" t="s">
        <v>27</v>
      </c>
      <c r="I2404" s="7" t="n">
        <v>38.7</v>
      </c>
      <c r="J2404" s="7" t="s">
        <v>28</v>
      </c>
      <c r="K2404" s="7" t="n">
        <v>179.2</v>
      </c>
      <c r="L2404" s="7" t="s">
        <v>29</v>
      </c>
      <c r="M2404" s="7" t="s">
        <v>30</v>
      </c>
    </row>
    <row r="2405" customFormat="false" ht="15" hidden="false" customHeight="true" outlineLevel="0" collapsed="false">
      <c r="A2405" s="7" t="n">
        <v>1457</v>
      </c>
      <c r="B2405" s="7" t="n">
        <v>27</v>
      </c>
      <c r="C2405" s="7" t="s">
        <v>24</v>
      </c>
      <c r="D2405" s="7" t="s">
        <v>40</v>
      </c>
      <c r="E2405" s="7" t="n">
        <v>16</v>
      </c>
      <c r="F2405" s="7" t="n">
        <v>14</v>
      </c>
      <c r="G2405" s="7" t="s">
        <v>31</v>
      </c>
      <c r="H2405" s="7" t="s">
        <v>27</v>
      </c>
      <c r="I2405" s="7" t="n">
        <v>30.3</v>
      </c>
      <c r="J2405" s="7" t="s">
        <v>28</v>
      </c>
      <c r="K2405" s="7" t="n">
        <v>127.5</v>
      </c>
      <c r="L2405" s="7" t="s">
        <v>29</v>
      </c>
      <c r="M2405" s="7" t="s">
        <v>30</v>
      </c>
    </row>
    <row r="2406" customFormat="false" ht="15" hidden="false" customHeight="true" outlineLevel="0" collapsed="false">
      <c r="A2406" s="7" t="n">
        <v>1462</v>
      </c>
      <c r="B2406" s="7" t="n">
        <v>47</v>
      </c>
      <c r="C2406" s="7" t="s">
        <v>33</v>
      </c>
      <c r="D2406" s="7" t="s">
        <v>40</v>
      </c>
      <c r="E2406" s="7" t="n">
        <v>27</v>
      </c>
      <c r="F2406" s="7" t="n">
        <v>10</v>
      </c>
      <c r="G2406" s="7" t="s">
        <v>36</v>
      </c>
      <c r="H2406" s="7" t="s">
        <v>32</v>
      </c>
      <c r="I2406" s="7" t="n">
        <v>33.9</v>
      </c>
      <c r="J2406" s="7" t="s">
        <v>28</v>
      </c>
      <c r="K2406" s="7" t="n">
        <v>216.5</v>
      </c>
      <c r="L2406" s="7" t="s">
        <v>29</v>
      </c>
      <c r="M2406" s="7" t="s">
        <v>30</v>
      </c>
    </row>
    <row r="2407" customFormat="false" ht="15" hidden="false" customHeight="true" outlineLevel="0" collapsed="false">
      <c r="A2407" s="7" t="n">
        <v>1466</v>
      </c>
      <c r="B2407" s="7" t="n">
        <v>54</v>
      </c>
      <c r="C2407" s="7" t="s">
        <v>33</v>
      </c>
      <c r="D2407" s="7" t="s">
        <v>40</v>
      </c>
      <c r="E2407" s="7" t="n">
        <v>12</v>
      </c>
      <c r="F2407" s="7" t="n">
        <v>25</v>
      </c>
      <c r="G2407" s="7" t="s">
        <v>36</v>
      </c>
      <c r="H2407" s="7" t="s">
        <v>27</v>
      </c>
      <c r="I2407" s="7" t="n">
        <v>27.4</v>
      </c>
      <c r="J2407" s="7" t="s">
        <v>28</v>
      </c>
      <c r="K2407" s="7" t="n">
        <v>291.1</v>
      </c>
      <c r="L2407" s="7" t="s">
        <v>37</v>
      </c>
      <c r="M2407" s="7" t="s">
        <v>30</v>
      </c>
    </row>
    <row r="2408" customFormat="false" ht="15" hidden="false" customHeight="true" outlineLevel="0" collapsed="false">
      <c r="A2408" s="7" t="n">
        <v>1467</v>
      </c>
      <c r="B2408" s="7" t="n">
        <v>60</v>
      </c>
      <c r="C2408" s="7" t="s">
        <v>24</v>
      </c>
      <c r="D2408" s="7" t="s">
        <v>40</v>
      </c>
      <c r="E2408" s="7" t="n">
        <v>18</v>
      </c>
      <c r="F2408" s="7" t="n">
        <v>20</v>
      </c>
      <c r="G2408" s="7" t="s">
        <v>31</v>
      </c>
      <c r="H2408" s="7" t="s">
        <v>27</v>
      </c>
      <c r="I2408" s="7" t="n">
        <v>28.1</v>
      </c>
      <c r="J2408" s="7" t="s">
        <v>28</v>
      </c>
      <c r="K2408" s="7" t="n">
        <v>297.6</v>
      </c>
      <c r="L2408" s="7" t="s">
        <v>37</v>
      </c>
      <c r="M2408" s="7" t="s">
        <v>30</v>
      </c>
    </row>
    <row r="2409" customFormat="false" ht="15" hidden="false" customHeight="true" outlineLevel="0" collapsed="false">
      <c r="A2409" s="7" t="n">
        <v>1471</v>
      </c>
      <c r="B2409" s="7" t="n">
        <v>78</v>
      </c>
      <c r="C2409" s="7" t="s">
        <v>24</v>
      </c>
      <c r="D2409" s="7" t="s">
        <v>40</v>
      </c>
      <c r="E2409" s="7" t="n">
        <v>9</v>
      </c>
      <c r="F2409" s="7" t="n">
        <v>12</v>
      </c>
      <c r="G2409" s="7" t="s">
        <v>36</v>
      </c>
      <c r="H2409" s="7" t="s">
        <v>32</v>
      </c>
      <c r="I2409" s="7" t="n">
        <v>21.3</v>
      </c>
      <c r="J2409" s="7" t="s">
        <v>28</v>
      </c>
      <c r="K2409" s="7" t="n">
        <v>225.2</v>
      </c>
      <c r="L2409" s="7" t="s">
        <v>29</v>
      </c>
      <c r="M2409" s="7" t="s">
        <v>30</v>
      </c>
    </row>
    <row r="2410" customFormat="false" ht="15" hidden="false" customHeight="true" outlineLevel="0" collapsed="false">
      <c r="A2410" s="7" t="n">
        <v>1477</v>
      </c>
      <c r="B2410" s="7" t="n">
        <v>40</v>
      </c>
      <c r="C2410" s="7" t="s">
        <v>33</v>
      </c>
      <c r="D2410" s="7" t="s">
        <v>40</v>
      </c>
      <c r="E2410" s="7" t="n">
        <v>30</v>
      </c>
      <c r="F2410" s="7" t="n">
        <v>29</v>
      </c>
      <c r="G2410" s="7" t="s">
        <v>34</v>
      </c>
      <c r="H2410" s="7" t="s">
        <v>32</v>
      </c>
      <c r="I2410" s="7" t="n">
        <v>17.4</v>
      </c>
      <c r="J2410" s="7" t="s">
        <v>28</v>
      </c>
      <c r="K2410" s="7" t="n">
        <v>286.7</v>
      </c>
      <c r="L2410" s="7" t="s">
        <v>29</v>
      </c>
      <c r="M2410" s="7" t="s">
        <v>30</v>
      </c>
    </row>
    <row r="2411" customFormat="false" ht="15" hidden="false" customHeight="true" outlineLevel="0" collapsed="false">
      <c r="A2411" s="7" t="n">
        <v>1478</v>
      </c>
      <c r="B2411" s="7" t="n">
        <v>69</v>
      </c>
      <c r="C2411" s="7" t="s">
        <v>33</v>
      </c>
      <c r="D2411" s="7" t="s">
        <v>40</v>
      </c>
      <c r="E2411" s="7" t="n">
        <v>6</v>
      </c>
      <c r="F2411" s="7" t="n">
        <v>18</v>
      </c>
      <c r="G2411" s="7" t="s">
        <v>26</v>
      </c>
      <c r="H2411" s="7" t="s">
        <v>32</v>
      </c>
      <c r="I2411" s="7" t="n">
        <v>28.8</v>
      </c>
      <c r="J2411" s="7" t="s">
        <v>28</v>
      </c>
      <c r="K2411" s="7" t="n">
        <v>270.4</v>
      </c>
      <c r="L2411" s="7" t="s">
        <v>29</v>
      </c>
      <c r="M2411" s="7" t="s">
        <v>30</v>
      </c>
    </row>
    <row r="2412" customFormat="false" ht="15" hidden="false" customHeight="true" outlineLevel="0" collapsed="false">
      <c r="A2412" s="7" t="n">
        <v>1487</v>
      </c>
      <c r="B2412" s="7" t="n">
        <v>89</v>
      </c>
      <c r="C2412" s="7" t="s">
        <v>24</v>
      </c>
      <c r="D2412" s="7" t="s">
        <v>40</v>
      </c>
      <c r="E2412" s="7" t="n">
        <v>25</v>
      </c>
      <c r="F2412" s="7" t="n">
        <v>13</v>
      </c>
      <c r="G2412" s="7" t="s">
        <v>35</v>
      </c>
      <c r="H2412" s="7" t="s">
        <v>32</v>
      </c>
      <c r="I2412" s="7" t="n">
        <v>29.6</v>
      </c>
      <c r="J2412" s="7" t="s">
        <v>28</v>
      </c>
      <c r="K2412" s="7" t="n">
        <v>225.8</v>
      </c>
      <c r="L2412" s="7" t="s">
        <v>29</v>
      </c>
      <c r="M2412" s="7" t="s">
        <v>30</v>
      </c>
    </row>
    <row r="2413" customFormat="false" ht="15" hidden="false" customHeight="true" outlineLevel="0" collapsed="false">
      <c r="A2413" s="7" t="n">
        <v>1500</v>
      </c>
      <c r="B2413" s="7" t="n">
        <v>49</v>
      </c>
      <c r="C2413" s="7" t="s">
        <v>33</v>
      </c>
      <c r="D2413" s="7" t="s">
        <v>40</v>
      </c>
      <c r="E2413" s="7" t="n">
        <v>15</v>
      </c>
      <c r="F2413" s="7" t="n">
        <v>8</v>
      </c>
      <c r="G2413" s="7" t="s">
        <v>26</v>
      </c>
      <c r="H2413" s="7" t="s">
        <v>32</v>
      </c>
      <c r="I2413" s="7" t="n">
        <v>31</v>
      </c>
      <c r="J2413" s="7" t="s">
        <v>28</v>
      </c>
      <c r="K2413" s="7" t="n">
        <v>206.1</v>
      </c>
      <c r="L2413" s="7" t="s">
        <v>29</v>
      </c>
      <c r="M2413" s="7" t="s">
        <v>30</v>
      </c>
    </row>
    <row r="2414" customFormat="false" ht="15" hidden="false" customHeight="true" outlineLevel="0" collapsed="false">
      <c r="A2414" s="7" t="n">
        <v>1513</v>
      </c>
      <c r="B2414" s="7" t="n">
        <v>26</v>
      </c>
      <c r="C2414" s="7" t="s">
        <v>24</v>
      </c>
      <c r="D2414" s="7" t="s">
        <v>40</v>
      </c>
      <c r="E2414" s="7" t="n">
        <v>33</v>
      </c>
      <c r="F2414" s="7" t="n">
        <v>9</v>
      </c>
      <c r="G2414" s="7" t="s">
        <v>26</v>
      </c>
      <c r="H2414" s="7" t="s">
        <v>27</v>
      </c>
      <c r="I2414" s="7" t="n">
        <v>17.9</v>
      </c>
      <c r="J2414" s="7" t="s">
        <v>28</v>
      </c>
      <c r="K2414" s="7" t="n">
        <v>229.7</v>
      </c>
      <c r="L2414" s="7" t="s">
        <v>37</v>
      </c>
      <c r="M2414" s="7" t="s">
        <v>30</v>
      </c>
    </row>
    <row r="2415" customFormat="false" ht="15" hidden="false" customHeight="true" outlineLevel="0" collapsed="false">
      <c r="A2415" s="7" t="n">
        <v>1531</v>
      </c>
      <c r="B2415" s="7" t="n">
        <v>58</v>
      </c>
      <c r="C2415" s="7" t="s">
        <v>33</v>
      </c>
      <c r="D2415" s="7" t="s">
        <v>40</v>
      </c>
      <c r="E2415" s="7" t="n">
        <v>20</v>
      </c>
      <c r="F2415" s="7" t="n">
        <v>8</v>
      </c>
      <c r="G2415" s="7" t="s">
        <v>26</v>
      </c>
      <c r="H2415" s="7" t="s">
        <v>32</v>
      </c>
      <c r="I2415" s="7" t="n">
        <v>18.9</v>
      </c>
      <c r="J2415" s="7" t="s">
        <v>28</v>
      </c>
      <c r="K2415" s="7" t="n">
        <v>287.6</v>
      </c>
      <c r="L2415" s="7" t="s">
        <v>29</v>
      </c>
      <c r="M2415" s="7" t="s">
        <v>30</v>
      </c>
    </row>
    <row r="2416" customFormat="false" ht="15" hidden="false" customHeight="true" outlineLevel="0" collapsed="false">
      <c r="A2416" s="7" t="n">
        <v>1533</v>
      </c>
      <c r="B2416" s="7" t="n">
        <v>53</v>
      </c>
      <c r="C2416" s="7" t="s">
        <v>33</v>
      </c>
      <c r="D2416" s="7" t="s">
        <v>40</v>
      </c>
      <c r="E2416" s="7" t="n">
        <v>14</v>
      </c>
      <c r="F2416" s="7" t="n">
        <v>21</v>
      </c>
      <c r="G2416" s="7" t="s">
        <v>35</v>
      </c>
      <c r="H2416" s="7" t="s">
        <v>27</v>
      </c>
      <c r="I2416" s="7" t="n">
        <v>30.8</v>
      </c>
      <c r="J2416" s="7" t="s">
        <v>28</v>
      </c>
      <c r="K2416" s="7" t="n">
        <v>150.4</v>
      </c>
      <c r="L2416" s="7" t="s">
        <v>29</v>
      </c>
      <c r="M2416" s="7" t="s">
        <v>30</v>
      </c>
    </row>
    <row r="2417" customFormat="false" ht="15" hidden="false" customHeight="true" outlineLevel="0" collapsed="false">
      <c r="A2417" s="7" t="n">
        <v>1586</v>
      </c>
      <c r="B2417" s="7" t="n">
        <v>66</v>
      </c>
      <c r="C2417" s="7" t="s">
        <v>24</v>
      </c>
      <c r="D2417" s="7" t="s">
        <v>40</v>
      </c>
      <c r="E2417" s="7" t="n">
        <v>14</v>
      </c>
      <c r="F2417" s="7" t="n">
        <v>5</v>
      </c>
      <c r="G2417" s="7" t="s">
        <v>36</v>
      </c>
      <c r="H2417" s="7" t="s">
        <v>27</v>
      </c>
      <c r="I2417" s="7" t="n">
        <v>29.4</v>
      </c>
      <c r="J2417" s="7" t="s">
        <v>28</v>
      </c>
      <c r="K2417" s="7" t="n">
        <v>165.4</v>
      </c>
      <c r="L2417" s="7" t="s">
        <v>29</v>
      </c>
      <c r="M2417" s="7" t="s">
        <v>30</v>
      </c>
    </row>
    <row r="2418" customFormat="false" ht="15" hidden="false" customHeight="true" outlineLevel="0" collapsed="false">
      <c r="A2418" s="7" t="n">
        <v>1591</v>
      </c>
      <c r="B2418" s="7" t="n">
        <v>47</v>
      </c>
      <c r="C2418" s="7" t="s">
        <v>24</v>
      </c>
      <c r="D2418" s="7" t="s">
        <v>40</v>
      </c>
      <c r="E2418" s="7" t="n">
        <v>9</v>
      </c>
      <c r="F2418" s="7" t="n">
        <v>25</v>
      </c>
      <c r="G2418" s="7" t="s">
        <v>34</v>
      </c>
      <c r="H2418" s="7" t="s">
        <v>27</v>
      </c>
      <c r="I2418" s="7" t="n">
        <v>41.5</v>
      </c>
      <c r="J2418" s="7" t="s">
        <v>28</v>
      </c>
      <c r="K2418" s="7" t="n">
        <v>232.6</v>
      </c>
      <c r="L2418" s="7" t="s">
        <v>29</v>
      </c>
      <c r="M2418" s="7" t="s">
        <v>30</v>
      </c>
    </row>
    <row r="2419" customFormat="false" ht="15" hidden="false" customHeight="true" outlineLevel="0" collapsed="false">
      <c r="A2419" s="7" t="n">
        <v>1599</v>
      </c>
      <c r="B2419" s="7" t="n">
        <v>87</v>
      </c>
      <c r="C2419" s="7" t="s">
        <v>33</v>
      </c>
      <c r="D2419" s="7" t="s">
        <v>40</v>
      </c>
      <c r="E2419" s="7" t="n">
        <v>24</v>
      </c>
      <c r="F2419" s="7" t="n">
        <v>20</v>
      </c>
      <c r="G2419" s="7" t="s">
        <v>31</v>
      </c>
      <c r="H2419" s="7" t="s">
        <v>32</v>
      </c>
      <c r="I2419" s="7" t="n">
        <v>38.4</v>
      </c>
      <c r="J2419" s="7" t="s">
        <v>28</v>
      </c>
      <c r="K2419" s="7" t="n">
        <v>270.3</v>
      </c>
      <c r="L2419" s="7" t="s">
        <v>37</v>
      </c>
      <c r="M2419" s="7" t="s">
        <v>30</v>
      </c>
    </row>
    <row r="2420" customFormat="false" ht="15" hidden="false" customHeight="true" outlineLevel="0" collapsed="false">
      <c r="A2420" s="7" t="n">
        <v>1617</v>
      </c>
      <c r="B2420" s="7" t="n">
        <v>51</v>
      </c>
      <c r="C2420" s="7" t="s">
        <v>33</v>
      </c>
      <c r="D2420" s="7" t="s">
        <v>40</v>
      </c>
      <c r="E2420" s="7" t="n">
        <v>36</v>
      </c>
      <c r="F2420" s="7" t="n">
        <v>15</v>
      </c>
      <c r="G2420" s="7" t="s">
        <v>36</v>
      </c>
      <c r="H2420" s="7" t="s">
        <v>27</v>
      </c>
      <c r="I2420" s="7" t="n">
        <v>31.1</v>
      </c>
      <c r="J2420" s="7" t="s">
        <v>28</v>
      </c>
      <c r="K2420" s="7" t="n">
        <v>225.2</v>
      </c>
      <c r="L2420" s="7" t="s">
        <v>29</v>
      </c>
      <c r="M2420" s="7" t="s">
        <v>30</v>
      </c>
    </row>
    <row r="2421" customFormat="false" ht="15" hidden="false" customHeight="true" outlineLevel="0" collapsed="false">
      <c r="A2421" s="7" t="n">
        <v>1644</v>
      </c>
      <c r="B2421" s="7" t="n">
        <v>67</v>
      </c>
      <c r="C2421" s="7" t="s">
        <v>33</v>
      </c>
      <c r="D2421" s="7" t="s">
        <v>40</v>
      </c>
      <c r="E2421" s="7" t="n">
        <v>15</v>
      </c>
      <c r="F2421" s="7" t="n">
        <v>17</v>
      </c>
      <c r="G2421" s="7" t="s">
        <v>34</v>
      </c>
      <c r="H2421" s="7" t="s">
        <v>32</v>
      </c>
      <c r="I2421" s="7" t="n">
        <v>36.1</v>
      </c>
      <c r="J2421" s="7" t="s">
        <v>28</v>
      </c>
      <c r="K2421" s="7" t="n">
        <v>254.7</v>
      </c>
      <c r="L2421" s="7" t="s">
        <v>29</v>
      </c>
      <c r="M2421" s="7" t="s">
        <v>30</v>
      </c>
    </row>
    <row r="2422" customFormat="false" ht="15" hidden="false" customHeight="true" outlineLevel="0" collapsed="false">
      <c r="A2422" s="7" t="n">
        <v>1654</v>
      </c>
      <c r="B2422" s="7" t="n">
        <v>48</v>
      </c>
      <c r="C2422" s="7" t="s">
        <v>24</v>
      </c>
      <c r="D2422" s="7" t="s">
        <v>40</v>
      </c>
      <c r="E2422" s="7" t="n">
        <v>22</v>
      </c>
      <c r="F2422" s="7" t="n">
        <v>19</v>
      </c>
      <c r="G2422" s="7" t="s">
        <v>35</v>
      </c>
      <c r="H2422" s="7" t="s">
        <v>27</v>
      </c>
      <c r="I2422" s="7" t="n">
        <v>23.5</v>
      </c>
      <c r="J2422" s="7" t="s">
        <v>28</v>
      </c>
      <c r="K2422" s="7" t="n">
        <v>163.4</v>
      </c>
      <c r="L2422" s="7" t="s">
        <v>29</v>
      </c>
      <c r="M2422" s="7" t="s">
        <v>30</v>
      </c>
    </row>
    <row r="2423" customFormat="false" ht="15" hidden="false" customHeight="true" outlineLevel="0" collapsed="false">
      <c r="A2423" s="7" t="n">
        <v>1656</v>
      </c>
      <c r="B2423" s="7" t="n">
        <v>27</v>
      </c>
      <c r="C2423" s="7" t="s">
        <v>33</v>
      </c>
      <c r="D2423" s="7" t="s">
        <v>40</v>
      </c>
      <c r="E2423" s="7" t="n">
        <v>39</v>
      </c>
      <c r="F2423" s="7" t="n">
        <v>26</v>
      </c>
      <c r="G2423" s="7" t="s">
        <v>35</v>
      </c>
      <c r="H2423" s="7" t="s">
        <v>32</v>
      </c>
      <c r="I2423" s="7" t="n">
        <v>32.8</v>
      </c>
      <c r="J2423" s="7" t="s">
        <v>28</v>
      </c>
      <c r="K2423" s="7" t="n">
        <v>230.4</v>
      </c>
      <c r="L2423" s="7" t="s">
        <v>29</v>
      </c>
      <c r="M2423" s="7" t="s">
        <v>30</v>
      </c>
    </row>
    <row r="2424" customFormat="false" ht="15" hidden="false" customHeight="true" outlineLevel="0" collapsed="false">
      <c r="A2424" s="7" t="n">
        <v>1663</v>
      </c>
      <c r="B2424" s="7" t="n">
        <v>76</v>
      </c>
      <c r="C2424" s="7" t="s">
        <v>33</v>
      </c>
      <c r="D2424" s="7" t="s">
        <v>40</v>
      </c>
      <c r="E2424" s="7" t="n">
        <v>20</v>
      </c>
      <c r="F2424" s="7" t="n">
        <v>14</v>
      </c>
      <c r="G2424" s="7" t="s">
        <v>34</v>
      </c>
      <c r="H2424" s="7" t="s">
        <v>27</v>
      </c>
      <c r="I2424" s="7" t="n">
        <v>21.7</v>
      </c>
      <c r="J2424" s="7" t="s">
        <v>28</v>
      </c>
      <c r="K2424" s="7" t="n">
        <v>280</v>
      </c>
      <c r="L2424" s="7" t="s">
        <v>29</v>
      </c>
      <c r="M2424" s="7" t="s">
        <v>30</v>
      </c>
    </row>
    <row r="2425" customFormat="false" ht="15" hidden="false" customHeight="true" outlineLevel="0" collapsed="false">
      <c r="A2425" s="7" t="n">
        <v>1669</v>
      </c>
      <c r="B2425" s="7" t="n">
        <v>73</v>
      </c>
      <c r="C2425" s="7" t="s">
        <v>33</v>
      </c>
      <c r="D2425" s="7" t="s">
        <v>40</v>
      </c>
      <c r="E2425" s="7" t="n">
        <v>22</v>
      </c>
      <c r="F2425" s="7" t="n">
        <v>23</v>
      </c>
      <c r="G2425" s="7" t="s">
        <v>36</v>
      </c>
      <c r="H2425" s="7" t="s">
        <v>27</v>
      </c>
      <c r="I2425" s="7" t="n">
        <v>39.5</v>
      </c>
      <c r="J2425" s="7" t="s">
        <v>28</v>
      </c>
      <c r="K2425" s="7" t="n">
        <v>182.7</v>
      </c>
      <c r="L2425" s="7" t="s">
        <v>29</v>
      </c>
      <c r="M2425" s="7" t="s">
        <v>30</v>
      </c>
    </row>
    <row r="2426" customFormat="false" ht="15" hidden="false" customHeight="true" outlineLevel="0" collapsed="false">
      <c r="A2426" s="7" t="n">
        <v>1670</v>
      </c>
      <c r="B2426" s="7" t="n">
        <v>33</v>
      </c>
      <c r="C2426" s="7" t="s">
        <v>24</v>
      </c>
      <c r="D2426" s="7" t="s">
        <v>40</v>
      </c>
      <c r="E2426" s="7" t="n">
        <v>19</v>
      </c>
      <c r="F2426" s="7" t="n">
        <v>16</v>
      </c>
      <c r="G2426" s="7" t="s">
        <v>36</v>
      </c>
      <c r="H2426" s="7" t="s">
        <v>27</v>
      </c>
      <c r="I2426" s="7" t="n">
        <v>17.7</v>
      </c>
      <c r="J2426" s="7" t="s">
        <v>28</v>
      </c>
      <c r="K2426" s="7" t="n">
        <v>287.5</v>
      </c>
      <c r="L2426" s="7" t="s">
        <v>29</v>
      </c>
      <c r="M2426" s="7" t="s">
        <v>30</v>
      </c>
    </row>
    <row r="2427" customFormat="false" ht="15" hidden="false" customHeight="true" outlineLevel="0" collapsed="false">
      <c r="A2427" s="7" t="n">
        <v>1673</v>
      </c>
      <c r="B2427" s="7" t="n">
        <v>33</v>
      </c>
      <c r="C2427" s="7" t="s">
        <v>24</v>
      </c>
      <c r="D2427" s="7" t="s">
        <v>40</v>
      </c>
      <c r="E2427" s="7" t="n">
        <v>16</v>
      </c>
      <c r="F2427" s="7" t="n">
        <v>14</v>
      </c>
      <c r="G2427" s="7" t="s">
        <v>26</v>
      </c>
      <c r="H2427" s="7" t="s">
        <v>32</v>
      </c>
      <c r="I2427" s="7" t="n">
        <v>37</v>
      </c>
      <c r="J2427" s="7" t="s">
        <v>28</v>
      </c>
      <c r="K2427" s="7" t="n">
        <v>178.3</v>
      </c>
      <c r="L2427" s="7" t="s">
        <v>29</v>
      </c>
      <c r="M2427" s="7" t="s">
        <v>30</v>
      </c>
    </row>
    <row r="2428" customFormat="false" ht="15" hidden="false" customHeight="true" outlineLevel="0" collapsed="false">
      <c r="A2428" s="7" t="n">
        <v>1682</v>
      </c>
      <c r="B2428" s="7" t="n">
        <v>27</v>
      </c>
      <c r="C2428" s="7" t="s">
        <v>24</v>
      </c>
      <c r="D2428" s="7" t="s">
        <v>40</v>
      </c>
      <c r="E2428" s="7" t="n">
        <v>34</v>
      </c>
      <c r="F2428" s="7" t="n">
        <v>11</v>
      </c>
      <c r="G2428" s="7" t="s">
        <v>31</v>
      </c>
      <c r="H2428" s="7" t="s">
        <v>27</v>
      </c>
      <c r="I2428" s="7" t="n">
        <v>29.7</v>
      </c>
      <c r="J2428" s="7" t="s">
        <v>28</v>
      </c>
      <c r="K2428" s="7" t="n">
        <v>132</v>
      </c>
      <c r="L2428" s="7" t="s">
        <v>29</v>
      </c>
      <c r="M2428" s="7" t="s">
        <v>30</v>
      </c>
    </row>
    <row r="2429" customFormat="false" ht="15" hidden="false" customHeight="true" outlineLevel="0" collapsed="false">
      <c r="A2429" s="7" t="n">
        <v>1686</v>
      </c>
      <c r="B2429" s="7" t="n">
        <v>72</v>
      </c>
      <c r="C2429" s="7" t="s">
        <v>24</v>
      </c>
      <c r="D2429" s="7" t="s">
        <v>40</v>
      </c>
      <c r="E2429" s="7" t="n">
        <v>13</v>
      </c>
      <c r="F2429" s="7" t="n">
        <v>7</v>
      </c>
      <c r="G2429" s="7" t="s">
        <v>26</v>
      </c>
      <c r="H2429" s="7" t="s">
        <v>27</v>
      </c>
      <c r="I2429" s="7" t="n">
        <v>24.7</v>
      </c>
      <c r="J2429" s="7" t="s">
        <v>28</v>
      </c>
      <c r="K2429" s="7" t="n">
        <v>124.4</v>
      </c>
      <c r="L2429" s="7" t="s">
        <v>29</v>
      </c>
      <c r="M2429" s="7" t="s">
        <v>30</v>
      </c>
    </row>
    <row r="2430" customFormat="false" ht="15" hidden="false" customHeight="true" outlineLevel="0" collapsed="false">
      <c r="A2430" s="7" t="n">
        <v>1695</v>
      </c>
      <c r="B2430" s="7" t="n">
        <v>76</v>
      </c>
      <c r="C2430" s="7" t="s">
        <v>24</v>
      </c>
      <c r="D2430" s="7" t="s">
        <v>40</v>
      </c>
      <c r="E2430" s="7" t="n">
        <v>30</v>
      </c>
      <c r="F2430" s="7" t="n">
        <v>7</v>
      </c>
      <c r="G2430" s="7" t="s">
        <v>35</v>
      </c>
      <c r="H2430" s="7" t="s">
        <v>27</v>
      </c>
      <c r="I2430" s="7" t="n">
        <v>21.1</v>
      </c>
      <c r="J2430" s="7" t="s">
        <v>28</v>
      </c>
      <c r="K2430" s="7" t="n">
        <v>253.7</v>
      </c>
      <c r="L2430" s="7" t="s">
        <v>29</v>
      </c>
      <c r="M2430" s="7" t="s">
        <v>30</v>
      </c>
    </row>
    <row r="2431" customFormat="false" ht="15" hidden="false" customHeight="true" outlineLevel="0" collapsed="false">
      <c r="A2431" s="7" t="n">
        <v>1700</v>
      </c>
      <c r="B2431" s="7" t="n">
        <v>27</v>
      </c>
      <c r="C2431" s="7" t="s">
        <v>24</v>
      </c>
      <c r="D2431" s="7" t="s">
        <v>40</v>
      </c>
      <c r="E2431" s="7" t="n">
        <v>15</v>
      </c>
      <c r="F2431" s="7" t="n">
        <v>18</v>
      </c>
      <c r="G2431" s="7" t="s">
        <v>31</v>
      </c>
      <c r="H2431" s="7" t="s">
        <v>32</v>
      </c>
      <c r="I2431" s="7" t="n">
        <v>38.3</v>
      </c>
      <c r="J2431" s="7" t="s">
        <v>28</v>
      </c>
      <c r="K2431" s="7" t="n">
        <v>121.4</v>
      </c>
      <c r="L2431" s="7" t="s">
        <v>37</v>
      </c>
      <c r="M2431" s="7" t="s">
        <v>30</v>
      </c>
    </row>
    <row r="2432" customFormat="false" ht="15" hidden="false" customHeight="true" outlineLevel="0" collapsed="false">
      <c r="A2432" s="7" t="n">
        <v>1703</v>
      </c>
      <c r="B2432" s="7" t="n">
        <v>74</v>
      </c>
      <c r="C2432" s="7" t="s">
        <v>24</v>
      </c>
      <c r="D2432" s="7" t="s">
        <v>40</v>
      </c>
      <c r="E2432" s="7" t="n">
        <v>14</v>
      </c>
      <c r="F2432" s="7" t="n">
        <v>24</v>
      </c>
      <c r="G2432" s="7" t="s">
        <v>35</v>
      </c>
      <c r="H2432" s="7" t="s">
        <v>27</v>
      </c>
      <c r="I2432" s="7" t="n">
        <v>41.4</v>
      </c>
      <c r="J2432" s="7" t="s">
        <v>28</v>
      </c>
      <c r="K2432" s="7" t="n">
        <v>233.3</v>
      </c>
      <c r="L2432" s="7" t="s">
        <v>29</v>
      </c>
      <c r="M2432" s="7" t="s">
        <v>30</v>
      </c>
    </row>
    <row r="2433" customFormat="false" ht="15" hidden="false" customHeight="true" outlineLevel="0" collapsed="false">
      <c r="A2433" s="7" t="n">
        <v>1706</v>
      </c>
      <c r="B2433" s="7" t="n">
        <v>86</v>
      </c>
      <c r="C2433" s="7" t="s">
        <v>33</v>
      </c>
      <c r="D2433" s="7" t="s">
        <v>40</v>
      </c>
      <c r="E2433" s="7" t="n">
        <v>33</v>
      </c>
      <c r="F2433" s="7" t="n">
        <v>13</v>
      </c>
      <c r="G2433" s="7" t="s">
        <v>35</v>
      </c>
      <c r="H2433" s="7" t="s">
        <v>32</v>
      </c>
      <c r="I2433" s="7" t="n">
        <v>22.2</v>
      </c>
      <c r="J2433" s="7" t="s">
        <v>28</v>
      </c>
      <c r="K2433" s="7" t="n">
        <v>152.6</v>
      </c>
      <c r="L2433" s="7" t="s">
        <v>37</v>
      </c>
      <c r="M2433" s="7" t="s">
        <v>30</v>
      </c>
    </row>
    <row r="2434" customFormat="false" ht="15" hidden="false" customHeight="true" outlineLevel="0" collapsed="false">
      <c r="A2434" s="7" t="n">
        <v>1719</v>
      </c>
      <c r="B2434" s="7" t="n">
        <v>52</v>
      </c>
      <c r="C2434" s="7" t="s">
        <v>33</v>
      </c>
      <c r="D2434" s="7" t="s">
        <v>40</v>
      </c>
      <c r="E2434" s="7" t="n">
        <v>14</v>
      </c>
      <c r="F2434" s="7" t="n">
        <v>6</v>
      </c>
      <c r="G2434" s="7" t="s">
        <v>26</v>
      </c>
      <c r="H2434" s="7" t="s">
        <v>27</v>
      </c>
      <c r="I2434" s="7" t="n">
        <v>27.7</v>
      </c>
      <c r="J2434" s="7" t="s">
        <v>28</v>
      </c>
      <c r="K2434" s="7" t="n">
        <v>120.8</v>
      </c>
      <c r="L2434" s="7" t="s">
        <v>37</v>
      </c>
      <c r="M2434" s="7" t="s">
        <v>30</v>
      </c>
    </row>
    <row r="2435" customFormat="false" ht="15" hidden="false" customHeight="true" outlineLevel="0" collapsed="false">
      <c r="A2435" s="7" t="n">
        <v>1731</v>
      </c>
      <c r="B2435" s="7" t="n">
        <v>44</v>
      </c>
      <c r="C2435" s="7" t="s">
        <v>24</v>
      </c>
      <c r="D2435" s="7" t="s">
        <v>40</v>
      </c>
      <c r="E2435" s="7" t="n">
        <v>24</v>
      </c>
      <c r="F2435" s="7" t="n">
        <v>26</v>
      </c>
      <c r="G2435" s="7" t="s">
        <v>35</v>
      </c>
      <c r="H2435" s="7" t="s">
        <v>27</v>
      </c>
      <c r="I2435" s="7" t="n">
        <v>41.7</v>
      </c>
      <c r="J2435" s="7" t="s">
        <v>28</v>
      </c>
      <c r="K2435" s="7" t="n">
        <v>230.7</v>
      </c>
      <c r="L2435" s="7" t="s">
        <v>37</v>
      </c>
      <c r="M2435" s="7" t="s">
        <v>30</v>
      </c>
    </row>
    <row r="2436" customFormat="false" ht="15" hidden="false" customHeight="true" outlineLevel="0" collapsed="false">
      <c r="A2436" s="7" t="n">
        <v>1734</v>
      </c>
      <c r="B2436" s="7" t="n">
        <v>83</v>
      </c>
      <c r="C2436" s="7" t="s">
        <v>24</v>
      </c>
      <c r="D2436" s="7" t="s">
        <v>40</v>
      </c>
      <c r="E2436" s="7" t="n">
        <v>16</v>
      </c>
      <c r="F2436" s="7" t="n">
        <v>11</v>
      </c>
      <c r="G2436" s="7" t="s">
        <v>34</v>
      </c>
      <c r="H2436" s="7" t="s">
        <v>32</v>
      </c>
      <c r="I2436" s="7" t="n">
        <v>29.5</v>
      </c>
      <c r="J2436" s="7" t="s">
        <v>28</v>
      </c>
      <c r="K2436" s="7" t="n">
        <v>281.6</v>
      </c>
      <c r="L2436" s="7" t="s">
        <v>29</v>
      </c>
      <c r="M2436" s="7" t="s">
        <v>30</v>
      </c>
    </row>
    <row r="2437" customFormat="false" ht="15" hidden="false" customHeight="true" outlineLevel="0" collapsed="false">
      <c r="A2437" s="7" t="n">
        <v>1738</v>
      </c>
      <c r="B2437" s="7" t="n">
        <v>30</v>
      </c>
      <c r="C2437" s="7" t="s">
        <v>24</v>
      </c>
      <c r="D2437" s="7" t="s">
        <v>40</v>
      </c>
      <c r="E2437" s="7" t="n">
        <v>39</v>
      </c>
      <c r="F2437" s="7" t="n">
        <v>21</v>
      </c>
      <c r="G2437" s="7" t="s">
        <v>36</v>
      </c>
      <c r="H2437" s="7" t="s">
        <v>32</v>
      </c>
      <c r="I2437" s="7" t="n">
        <v>32.7</v>
      </c>
      <c r="J2437" s="7" t="s">
        <v>28</v>
      </c>
      <c r="K2437" s="7" t="n">
        <v>127.7</v>
      </c>
      <c r="L2437" s="7" t="s">
        <v>29</v>
      </c>
      <c r="M2437" s="7" t="s">
        <v>30</v>
      </c>
    </row>
    <row r="2438" customFormat="false" ht="15" hidden="false" customHeight="true" outlineLevel="0" collapsed="false">
      <c r="A2438" s="7" t="n">
        <v>1761</v>
      </c>
      <c r="B2438" s="7" t="n">
        <v>32</v>
      </c>
      <c r="C2438" s="7" t="s">
        <v>24</v>
      </c>
      <c r="D2438" s="7" t="s">
        <v>40</v>
      </c>
      <c r="E2438" s="7" t="n">
        <v>20</v>
      </c>
      <c r="F2438" s="7" t="n">
        <v>25</v>
      </c>
      <c r="G2438" s="7" t="s">
        <v>26</v>
      </c>
      <c r="H2438" s="7" t="s">
        <v>27</v>
      </c>
      <c r="I2438" s="7" t="n">
        <v>33.3</v>
      </c>
      <c r="J2438" s="7" t="s">
        <v>28</v>
      </c>
      <c r="K2438" s="7" t="n">
        <v>185.2</v>
      </c>
      <c r="L2438" s="7" t="s">
        <v>29</v>
      </c>
      <c r="M2438" s="7" t="s">
        <v>30</v>
      </c>
    </row>
    <row r="2439" customFormat="false" ht="15" hidden="false" customHeight="true" outlineLevel="0" collapsed="false">
      <c r="A2439" s="7" t="n">
        <v>1769</v>
      </c>
      <c r="B2439" s="7" t="n">
        <v>82</v>
      </c>
      <c r="C2439" s="7" t="s">
        <v>24</v>
      </c>
      <c r="D2439" s="7" t="s">
        <v>40</v>
      </c>
      <c r="E2439" s="7" t="n">
        <v>27</v>
      </c>
      <c r="F2439" s="7" t="n">
        <v>29</v>
      </c>
      <c r="G2439" s="7" t="s">
        <v>34</v>
      </c>
      <c r="H2439" s="7" t="s">
        <v>27</v>
      </c>
      <c r="I2439" s="7" t="n">
        <v>29.7</v>
      </c>
      <c r="J2439" s="7" t="s">
        <v>28</v>
      </c>
      <c r="K2439" s="7" t="n">
        <v>212.6</v>
      </c>
      <c r="L2439" s="7" t="s">
        <v>29</v>
      </c>
      <c r="M2439" s="7" t="s">
        <v>30</v>
      </c>
    </row>
    <row r="2440" customFormat="false" ht="15" hidden="false" customHeight="true" outlineLevel="0" collapsed="false">
      <c r="A2440" s="7" t="n">
        <v>1770</v>
      </c>
      <c r="B2440" s="7" t="n">
        <v>82</v>
      </c>
      <c r="C2440" s="7" t="s">
        <v>24</v>
      </c>
      <c r="D2440" s="7" t="s">
        <v>40</v>
      </c>
      <c r="E2440" s="7" t="n">
        <v>35</v>
      </c>
      <c r="F2440" s="7" t="n">
        <v>25</v>
      </c>
      <c r="G2440" s="7" t="s">
        <v>31</v>
      </c>
      <c r="H2440" s="7" t="s">
        <v>27</v>
      </c>
      <c r="I2440" s="7" t="n">
        <v>38.8</v>
      </c>
      <c r="J2440" s="7" t="s">
        <v>28</v>
      </c>
      <c r="K2440" s="7" t="n">
        <v>207.4</v>
      </c>
      <c r="L2440" s="7" t="s">
        <v>29</v>
      </c>
      <c r="M2440" s="7" t="s">
        <v>30</v>
      </c>
    </row>
    <row r="2441" customFormat="false" ht="15" hidden="false" customHeight="true" outlineLevel="0" collapsed="false">
      <c r="A2441" s="7" t="n">
        <v>1781</v>
      </c>
      <c r="B2441" s="7" t="n">
        <v>52</v>
      </c>
      <c r="C2441" s="7" t="s">
        <v>24</v>
      </c>
      <c r="D2441" s="7" t="s">
        <v>40</v>
      </c>
      <c r="E2441" s="7" t="n">
        <v>10</v>
      </c>
      <c r="F2441" s="7" t="n">
        <v>29</v>
      </c>
      <c r="G2441" s="7" t="s">
        <v>26</v>
      </c>
      <c r="H2441" s="7" t="s">
        <v>32</v>
      </c>
      <c r="I2441" s="7" t="n">
        <v>18.9</v>
      </c>
      <c r="J2441" s="7" t="s">
        <v>28</v>
      </c>
      <c r="K2441" s="7" t="n">
        <v>197.2</v>
      </c>
      <c r="L2441" s="7" t="s">
        <v>37</v>
      </c>
      <c r="M2441" s="7" t="s">
        <v>30</v>
      </c>
    </row>
    <row r="2442" customFormat="false" ht="15" hidden="false" customHeight="true" outlineLevel="0" collapsed="false">
      <c r="A2442" s="7" t="n">
        <v>1788</v>
      </c>
      <c r="B2442" s="7" t="n">
        <v>49</v>
      </c>
      <c r="C2442" s="7" t="s">
        <v>24</v>
      </c>
      <c r="D2442" s="7" t="s">
        <v>40</v>
      </c>
      <c r="E2442" s="7" t="n">
        <v>12</v>
      </c>
      <c r="F2442" s="7" t="n">
        <v>15</v>
      </c>
      <c r="G2442" s="7" t="s">
        <v>34</v>
      </c>
      <c r="H2442" s="7" t="s">
        <v>27</v>
      </c>
      <c r="I2442" s="7" t="n">
        <v>38.1</v>
      </c>
      <c r="J2442" s="7" t="s">
        <v>28</v>
      </c>
      <c r="K2442" s="7" t="n">
        <v>298.6</v>
      </c>
      <c r="L2442" s="7" t="s">
        <v>29</v>
      </c>
      <c r="M2442" s="7" t="s">
        <v>30</v>
      </c>
    </row>
    <row r="2443" customFormat="false" ht="15" hidden="false" customHeight="true" outlineLevel="0" collapsed="false">
      <c r="A2443" s="7" t="n">
        <v>1790</v>
      </c>
      <c r="B2443" s="7" t="n">
        <v>52</v>
      </c>
      <c r="C2443" s="7" t="s">
        <v>24</v>
      </c>
      <c r="D2443" s="7" t="s">
        <v>40</v>
      </c>
      <c r="E2443" s="7" t="n">
        <v>38</v>
      </c>
      <c r="F2443" s="7" t="n">
        <v>25</v>
      </c>
      <c r="G2443" s="7" t="s">
        <v>26</v>
      </c>
      <c r="H2443" s="7" t="s">
        <v>32</v>
      </c>
      <c r="I2443" s="7" t="n">
        <v>26.9</v>
      </c>
      <c r="J2443" s="7" t="s">
        <v>28</v>
      </c>
      <c r="K2443" s="7" t="n">
        <v>138.5</v>
      </c>
      <c r="L2443" s="7" t="s">
        <v>37</v>
      </c>
      <c r="M2443" s="7" t="s">
        <v>30</v>
      </c>
    </row>
    <row r="2444" customFormat="false" ht="15" hidden="false" customHeight="true" outlineLevel="0" collapsed="false">
      <c r="A2444" s="7" t="n">
        <v>1809</v>
      </c>
      <c r="B2444" s="7" t="n">
        <v>47</v>
      </c>
      <c r="C2444" s="7" t="s">
        <v>24</v>
      </c>
      <c r="D2444" s="7" t="s">
        <v>40</v>
      </c>
      <c r="E2444" s="7" t="n">
        <v>25</v>
      </c>
      <c r="F2444" s="7" t="n">
        <v>14</v>
      </c>
      <c r="G2444" s="7" t="s">
        <v>31</v>
      </c>
      <c r="H2444" s="7" t="s">
        <v>32</v>
      </c>
      <c r="I2444" s="7" t="n">
        <v>39.2</v>
      </c>
      <c r="J2444" s="7" t="s">
        <v>28</v>
      </c>
      <c r="K2444" s="7" t="n">
        <v>194.4</v>
      </c>
      <c r="L2444" s="7" t="s">
        <v>29</v>
      </c>
      <c r="M2444" s="7" t="s">
        <v>30</v>
      </c>
    </row>
    <row r="2445" customFormat="false" ht="15" hidden="false" customHeight="true" outlineLevel="0" collapsed="false">
      <c r="A2445" s="7" t="n">
        <v>1817</v>
      </c>
      <c r="B2445" s="7" t="n">
        <v>89</v>
      </c>
      <c r="C2445" s="7" t="s">
        <v>33</v>
      </c>
      <c r="D2445" s="7" t="s">
        <v>40</v>
      </c>
      <c r="E2445" s="7" t="n">
        <v>5</v>
      </c>
      <c r="F2445" s="7" t="n">
        <v>25</v>
      </c>
      <c r="G2445" s="7" t="s">
        <v>34</v>
      </c>
      <c r="H2445" s="7" t="s">
        <v>32</v>
      </c>
      <c r="I2445" s="7" t="n">
        <v>39.1</v>
      </c>
      <c r="J2445" s="7" t="s">
        <v>28</v>
      </c>
      <c r="K2445" s="7" t="n">
        <v>281.3</v>
      </c>
      <c r="L2445" s="7" t="s">
        <v>29</v>
      </c>
      <c r="M2445" s="7" t="s">
        <v>30</v>
      </c>
    </row>
    <row r="2446" customFormat="false" ht="15" hidden="false" customHeight="true" outlineLevel="0" collapsed="false">
      <c r="A2446" s="7" t="n">
        <v>1820</v>
      </c>
      <c r="B2446" s="7" t="n">
        <v>85</v>
      </c>
      <c r="C2446" s="7" t="s">
        <v>33</v>
      </c>
      <c r="D2446" s="7" t="s">
        <v>40</v>
      </c>
      <c r="E2446" s="7" t="n">
        <v>9</v>
      </c>
      <c r="F2446" s="7" t="n">
        <v>18</v>
      </c>
      <c r="G2446" s="7" t="s">
        <v>31</v>
      </c>
      <c r="H2446" s="7" t="s">
        <v>32</v>
      </c>
      <c r="I2446" s="7" t="n">
        <v>26.4</v>
      </c>
      <c r="J2446" s="7" t="s">
        <v>28</v>
      </c>
      <c r="K2446" s="7" t="n">
        <v>145.4</v>
      </c>
      <c r="L2446" s="7" t="s">
        <v>37</v>
      </c>
      <c r="M2446" s="7" t="s">
        <v>30</v>
      </c>
    </row>
    <row r="2447" customFormat="false" ht="15" hidden="false" customHeight="true" outlineLevel="0" collapsed="false">
      <c r="A2447" s="7" t="n">
        <v>1832</v>
      </c>
      <c r="B2447" s="7" t="n">
        <v>70</v>
      </c>
      <c r="C2447" s="7" t="s">
        <v>24</v>
      </c>
      <c r="D2447" s="7" t="s">
        <v>40</v>
      </c>
      <c r="E2447" s="7" t="n">
        <v>5</v>
      </c>
      <c r="F2447" s="7" t="n">
        <v>10</v>
      </c>
      <c r="G2447" s="7" t="s">
        <v>35</v>
      </c>
      <c r="H2447" s="7" t="s">
        <v>27</v>
      </c>
      <c r="I2447" s="7" t="n">
        <v>19.2</v>
      </c>
      <c r="J2447" s="7" t="s">
        <v>28</v>
      </c>
      <c r="K2447" s="7" t="n">
        <v>267.7</v>
      </c>
      <c r="L2447" s="7" t="s">
        <v>29</v>
      </c>
      <c r="M2447" s="7" t="s">
        <v>30</v>
      </c>
    </row>
    <row r="2448" customFormat="false" ht="15" hidden="false" customHeight="true" outlineLevel="0" collapsed="false">
      <c r="A2448" s="7" t="n">
        <v>1855</v>
      </c>
      <c r="B2448" s="7" t="n">
        <v>89</v>
      </c>
      <c r="C2448" s="7" t="s">
        <v>24</v>
      </c>
      <c r="D2448" s="7" t="s">
        <v>40</v>
      </c>
      <c r="E2448" s="7" t="n">
        <v>24</v>
      </c>
      <c r="F2448" s="7" t="n">
        <v>15</v>
      </c>
      <c r="G2448" s="7" t="s">
        <v>26</v>
      </c>
      <c r="H2448" s="7" t="s">
        <v>27</v>
      </c>
      <c r="I2448" s="7" t="n">
        <v>18.8</v>
      </c>
      <c r="J2448" s="7" t="s">
        <v>28</v>
      </c>
      <c r="K2448" s="7" t="n">
        <v>202.9</v>
      </c>
      <c r="L2448" s="7" t="s">
        <v>29</v>
      </c>
      <c r="M2448" s="7" t="s">
        <v>30</v>
      </c>
    </row>
    <row r="2449" customFormat="false" ht="15" hidden="false" customHeight="true" outlineLevel="0" collapsed="false">
      <c r="A2449" s="7" t="n">
        <v>1883</v>
      </c>
      <c r="B2449" s="7" t="n">
        <v>84</v>
      </c>
      <c r="C2449" s="7" t="s">
        <v>33</v>
      </c>
      <c r="D2449" s="7" t="s">
        <v>40</v>
      </c>
      <c r="E2449" s="7" t="n">
        <v>28</v>
      </c>
      <c r="F2449" s="7" t="n">
        <v>26</v>
      </c>
      <c r="G2449" s="7" t="s">
        <v>36</v>
      </c>
      <c r="H2449" s="7" t="s">
        <v>27</v>
      </c>
      <c r="I2449" s="7" t="n">
        <v>41</v>
      </c>
      <c r="J2449" s="7" t="s">
        <v>28</v>
      </c>
      <c r="K2449" s="7" t="n">
        <v>132.8</v>
      </c>
      <c r="L2449" s="7" t="s">
        <v>29</v>
      </c>
      <c r="M2449" s="7" t="s">
        <v>30</v>
      </c>
    </row>
    <row r="2450" customFormat="false" ht="15" hidden="false" customHeight="true" outlineLevel="0" collapsed="false">
      <c r="A2450" s="7" t="n">
        <v>1894</v>
      </c>
      <c r="B2450" s="7" t="n">
        <v>63</v>
      </c>
      <c r="C2450" s="7" t="s">
        <v>24</v>
      </c>
      <c r="D2450" s="7" t="s">
        <v>40</v>
      </c>
      <c r="E2450" s="7" t="n">
        <v>31</v>
      </c>
      <c r="F2450" s="7" t="n">
        <v>13</v>
      </c>
      <c r="G2450" s="7" t="s">
        <v>26</v>
      </c>
      <c r="H2450" s="7" t="s">
        <v>27</v>
      </c>
      <c r="I2450" s="7" t="n">
        <v>35.5</v>
      </c>
      <c r="J2450" s="7" t="s">
        <v>28</v>
      </c>
      <c r="K2450" s="7" t="n">
        <v>125.2</v>
      </c>
      <c r="L2450" s="7" t="s">
        <v>29</v>
      </c>
      <c r="M2450" s="7" t="s">
        <v>30</v>
      </c>
    </row>
    <row r="2451" customFormat="false" ht="15" hidden="false" customHeight="true" outlineLevel="0" collapsed="false">
      <c r="A2451" s="7" t="n">
        <v>1898</v>
      </c>
      <c r="B2451" s="7" t="n">
        <v>80</v>
      </c>
      <c r="C2451" s="7" t="s">
        <v>33</v>
      </c>
      <c r="D2451" s="7" t="s">
        <v>40</v>
      </c>
      <c r="E2451" s="7" t="n">
        <v>28</v>
      </c>
      <c r="F2451" s="7" t="n">
        <v>15</v>
      </c>
      <c r="G2451" s="7" t="s">
        <v>26</v>
      </c>
      <c r="H2451" s="7" t="s">
        <v>27</v>
      </c>
      <c r="I2451" s="7" t="n">
        <v>22.3</v>
      </c>
      <c r="J2451" s="7" t="s">
        <v>28</v>
      </c>
      <c r="K2451" s="7" t="n">
        <v>206.7</v>
      </c>
      <c r="L2451" s="7" t="s">
        <v>29</v>
      </c>
      <c r="M2451" s="7" t="s">
        <v>30</v>
      </c>
    </row>
    <row r="2452" customFormat="false" ht="15" hidden="false" customHeight="true" outlineLevel="0" collapsed="false">
      <c r="A2452" s="7" t="n">
        <v>1928</v>
      </c>
      <c r="B2452" s="7" t="n">
        <v>36</v>
      </c>
      <c r="C2452" s="7" t="s">
        <v>33</v>
      </c>
      <c r="D2452" s="7" t="s">
        <v>40</v>
      </c>
      <c r="E2452" s="7" t="n">
        <v>26</v>
      </c>
      <c r="F2452" s="7" t="n">
        <v>19</v>
      </c>
      <c r="G2452" s="7" t="s">
        <v>26</v>
      </c>
      <c r="H2452" s="7" t="s">
        <v>27</v>
      </c>
      <c r="I2452" s="7" t="n">
        <v>27.4</v>
      </c>
      <c r="J2452" s="7" t="s">
        <v>28</v>
      </c>
      <c r="K2452" s="7" t="n">
        <v>171.5</v>
      </c>
      <c r="L2452" s="7" t="s">
        <v>29</v>
      </c>
      <c r="M2452" s="7" t="s">
        <v>30</v>
      </c>
    </row>
    <row r="2453" customFormat="false" ht="15" hidden="false" customHeight="true" outlineLevel="0" collapsed="false">
      <c r="A2453" s="7" t="n">
        <v>1945</v>
      </c>
      <c r="B2453" s="7" t="n">
        <v>57</v>
      </c>
      <c r="C2453" s="7" t="s">
        <v>24</v>
      </c>
      <c r="D2453" s="7" t="s">
        <v>40</v>
      </c>
      <c r="E2453" s="7" t="n">
        <v>12</v>
      </c>
      <c r="F2453" s="7" t="n">
        <v>26</v>
      </c>
      <c r="G2453" s="7" t="s">
        <v>31</v>
      </c>
      <c r="H2453" s="7" t="s">
        <v>27</v>
      </c>
      <c r="I2453" s="7" t="n">
        <v>40.2</v>
      </c>
      <c r="J2453" s="7" t="s">
        <v>28</v>
      </c>
      <c r="K2453" s="7" t="n">
        <v>154.6</v>
      </c>
      <c r="L2453" s="7" t="s">
        <v>37</v>
      </c>
      <c r="M2453" s="7" t="s">
        <v>30</v>
      </c>
    </row>
    <row r="2454" customFormat="false" ht="15" hidden="false" customHeight="true" outlineLevel="0" collapsed="false">
      <c r="A2454" s="7" t="n">
        <v>1968</v>
      </c>
      <c r="B2454" s="7" t="n">
        <v>54</v>
      </c>
      <c r="C2454" s="7" t="s">
        <v>24</v>
      </c>
      <c r="D2454" s="7" t="s">
        <v>40</v>
      </c>
      <c r="E2454" s="7" t="n">
        <v>23</v>
      </c>
      <c r="F2454" s="7" t="n">
        <v>10</v>
      </c>
      <c r="G2454" s="7" t="s">
        <v>34</v>
      </c>
      <c r="H2454" s="7" t="s">
        <v>27</v>
      </c>
      <c r="I2454" s="7" t="n">
        <v>18.2</v>
      </c>
      <c r="J2454" s="7" t="s">
        <v>28</v>
      </c>
      <c r="K2454" s="7" t="n">
        <v>160</v>
      </c>
      <c r="L2454" s="7" t="s">
        <v>37</v>
      </c>
      <c r="M2454" s="7" t="s">
        <v>30</v>
      </c>
    </row>
    <row r="2455" customFormat="false" ht="15" hidden="false" customHeight="true" outlineLevel="0" collapsed="false">
      <c r="A2455" s="7" t="n">
        <v>1969</v>
      </c>
      <c r="B2455" s="7" t="n">
        <v>39</v>
      </c>
      <c r="C2455" s="7" t="s">
        <v>24</v>
      </c>
      <c r="D2455" s="7" t="s">
        <v>40</v>
      </c>
      <c r="E2455" s="7" t="n">
        <v>20</v>
      </c>
      <c r="F2455" s="7" t="n">
        <v>21</v>
      </c>
      <c r="G2455" s="7" t="s">
        <v>31</v>
      </c>
      <c r="H2455" s="7" t="s">
        <v>27</v>
      </c>
      <c r="I2455" s="7" t="n">
        <v>37.9</v>
      </c>
      <c r="J2455" s="7" t="s">
        <v>28</v>
      </c>
      <c r="K2455" s="7" t="n">
        <v>131.5</v>
      </c>
      <c r="L2455" s="7" t="s">
        <v>37</v>
      </c>
      <c r="M2455" s="7" t="s">
        <v>30</v>
      </c>
    </row>
    <row r="2456" customFormat="false" ht="15" hidden="false" customHeight="true" outlineLevel="0" collapsed="false">
      <c r="A2456" s="7" t="n">
        <v>1984</v>
      </c>
      <c r="B2456" s="7" t="n">
        <v>31</v>
      </c>
      <c r="C2456" s="7" t="s">
        <v>33</v>
      </c>
      <c r="D2456" s="7" t="s">
        <v>40</v>
      </c>
      <c r="E2456" s="7" t="n">
        <v>15</v>
      </c>
      <c r="F2456" s="7" t="n">
        <v>9</v>
      </c>
      <c r="G2456" s="7" t="s">
        <v>35</v>
      </c>
      <c r="H2456" s="7" t="s">
        <v>27</v>
      </c>
      <c r="I2456" s="7" t="n">
        <v>27</v>
      </c>
      <c r="J2456" s="7" t="s">
        <v>28</v>
      </c>
      <c r="K2456" s="7" t="n">
        <v>263.6</v>
      </c>
      <c r="L2456" s="7" t="s">
        <v>29</v>
      </c>
      <c r="M2456" s="7" t="s">
        <v>30</v>
      </c>
    </row>
    <row r="2457" customFormat="false" ht="15" hidden="false" customHeight="true" outlineLevel="0" collapsed="false">
      <c r="A2457" s="7" t="n">
        <v>1985</v>
      </c>
      <c r="B2457" s="7" t="n">
        <v>46</v>
      </c>
      <c r="C2457" s="7" t="s">
        <v>33</v>
      </c>
      <c r="D2457" s="7" t="s">
        <v>40</v>
      </c>
      <c r="E2457" s="7" t="n">
        <v>20</v>
      </c>
      <c r="F2457" s="7" t="n">
        <v>19</v>
      </c>
      <c r="G2457" s="7" t="s">
        <v>36</v>
      </c>
      <c r="H2457" s="7" t="s">
        <v>27</v>
      </c>
      <c r="I2457" s="7" t="n">
        <v>40.7</v>
      </c>
      <c r="J2457" s="7" t="s">
        <v>28</v>
      </c>
      <c r="K2457" s="7" t="n">
        <v>256.7</v>
      </c>
      <c r="L2457" s="7" t="s">
        <v>29</v>
      </c>
      <c r="M2457" s="7" t="s">
        <v>30</v>
      </c>
    </row>
    <row r="2458" customFormat="false" ht="15" hidden="false" customHeight="true" outlineLevel="0" collapsed="false">
      <c r="A2458" s="7" t="n">
        <v>1987</v>
      </c>
      <c r="B2458" s="7" t="n">
        <v>18</v>
      </c>
      <c r="C2458" s="7" t="s">
        <v>33</v>
      </c>
      <c r="D2458" s="7" t="s">
        <v>40</v>
      </c>
      <c r="E2458" s="7" t="n">
        <v>12</v>
      </c>
      <c r="F2458" s="7" t="n">
        <v>22</v>
      </c>
      <c r="G2458" s="7" t="s">
        <v>35</v>
      </c>
      <c r="H2458" s="7" t="s">
        <v>32</v>
      </c>
      <c r="I2458" s="7" t="n">
        <v>32.5</v>
      </c>
      <c r="J2458" s="7" t="s">
        <v>28</v>
      </c>
      <c r="K2458" s="7" t="n">
        <v>134.8</v>
      </c>
      <c r="L2458" s="7" t="s">
        <v>29</v>
      </c>
      <c r="M2458" s="7" t="s">
        <v>30</v>
      </c>
    </row>
    <row r="2459" customFormat="false" ht="15" hidden="false" customHeight="true" outlineLevel="0" collapsed="false">
      <c r="A2459" s="7" t="n">
        <v>1991</v>
      </c>
      <c r="B2459" s="7" t="n">
        <v>67</v>
      </c>
      <c r="C2459" s="7" t="s">
        <v>33</v>
      </c>
      <c r="D2459" s="7" t="s">
        <v>40</v>
      </c>
      <c r="E2459" s="7" t="n">
        <v>28</v>
      </c>
      <c r="F2459" s="7" t="n">
        <v>14</v>
      </c>
      <c r="G2459" s="7" t="s">
        <v>26</v>
      </c>
      <c r="H2459" s="7" t="s">
        <v>27</v>
      </c>
      <c r="I2459" s="7" t="n">
        <v>21.5</v>
      </c>
      <c r="J2459" s="7" t="s">
        <v>28</v>
      </c>
      <c r="K2459" s="7" t="n">
        <v>296.7</v>
      </c>
      <c r="L2459" s="7" t="s">
        <v>37</v>
      </c>
      <c r="M2459" s="7" t="s">
        <v>30</v>
      </c>
    </row>
    <row r="2460" customFormat="false" ht="15" hidden="false" customHeight="true" outlineLevel="0" collapsed="false">
      <c r="A2460" s="7" t="n">
        <v>2015</v>
      </c>
      <c r="B2460" s="7" t="n">
        <v>18</v>
      </c>
      <c r="C2460" s="7" t="s">
        <v>24</v>
      </c>
      <c r="D2460" s="7" t="s">
        <v>40</v>
      </c>
      <c r="E2460" s="7" t="n">
        <v>12</v>
      </c>
      <c r="F2460" s="7" t="n">
        <v>21</v>
      </c>
      <c r="G2460" s="7" t="s">
        <v>36</v>
      </c>
      <c r="H2460" s="7" t="s">
        <v>32</v>
      </c>
      <c r="I2460" s="7" t="n">
        <v>33.3</v>
      </c>
      <c r="J2460" s="7" t="s">
        <v>28</v>
      </c>
      <c r="K2460" s="7" t="n">
        <v>286.5</v>
      </c>
      <c r="L2460" s="7" t="s">
        <v>37</v>
      </c>
      <c r="M2460" s="7" t="s">
        <v>30</v>
      </c>
    </row>
    <row r="2461" customFormat="false" ht="15" hidden="false" customHeight="true" outlineLevel="0" collapsed="false">
      <c r="A2461" s="7" t="n">
        <v>2026</v>
      </c>
      <c r="B2461" s="7" t="n">
        <v>48</v>
      </c>
      <c r="C2461" s="7" t="s">
        <v>24</v>
      </c>
      <c r="D2461" s="7" t="s">
        <v>40</v>
      </c>
      <c r="E2461" s="7" t="n">
        <v>32</v>
      </c>
      <c r="F2461" s="7" t="n">
        <v>26</v>
      </c>
      <c r="G2461" s="7" t="s">
        <v>31</v>
      </c>
      <c r="H2461" s="7" t="s">
        <v>32</v>
      </c>
      <c r="I2461" s="7" t="n">
        <v>32.8</v>
      </c>
      <c r="J2461" s="7" t="s">
        <v>28</v>
      </c>
      <c r="K2461" s="7" t="n">
        <v>275.1</v>
      </c>
      <c r="L2461" s="7" t="s">
        <v>29</v>
      </c>
      <c r="M2461" s="7" t="s">
        <v>30</v>
      </c>
    </row>
    <row r="2462" customFormat="false" ht="15" hidden="false" customHeight="true" outlineLevel="0" collapsed="false">
      <c r="A2462" s="7" t="n">
        <v>2037</v>
      </c>
      <c r="B2462" s="7" t="n">
        <v>37</v>
      </c>
      <c r="C2462" s="7" t="s">
        <v>24</v>
      </c>
      <c r="D2462" s="7" t="s">
        <v>40</v>
      </c>
      <c r="E2462" s="7" t="n">
        <v>13</v>
      </c>
      <c r="F2462" s="7" t="n">
        <v>15</v>
      </c>
      <c r="G2462" s="7" t="s">
        <v>35</v>
      </c>
      <c r="H2462" s="7" t="s">
        <v>32</v>
      </c>
      <c r="I2462" s="7" t="n">
        <v>40.4</v>
      </c>
      <c r="J2462" s="7" t="s">
        <v>28</v>
      </c>
      <c r="K2462" s="7" t="n">
        <v>120.5</v>
      </c>
      <c r="L2462" s="7" t="s">
        <v>29</v>
      </c>
      <c r="M2462" s="7" t="s">
        <v>30</v>
      </c>
    </row>
    <row r="2463" customFormat="false" ht="15" hidden="false" customHeight="true" outlineLevel="0" collapsed="false">
      <c r="A2463" s="7" t="n">
        <v>2053</v>
      </c>
      <c r="B2463" s="7" t="n">
        <v>64</v>
      </c>
      <c r="C2463" s="7" t="s">
        <v>33</v>
      </c>
      <c r="D2463" s="7" t="s">
        <v>40</v>
      </c>
      <c r="E2463" s="7" t="n">
        <v>23</v>
      </c>
      <c r="F2463" s="7" t="n">
        <v>15</v>
      </c>
      <c r="G2463" s="7" t="s">
        <v>35</v>
      </c>
      <c r="H2463" s="7" t="s">
        <v>32</v>
      </c>
      <c r="I2463" s="7" t="n">
        <v>39.8</v>
      </c>
      <c r="J2463" s="7" t="s">
        <v>28</v>
      </c>
      <c r="K2463" s="7" t="n">
        <v>172</v>
      </c>
      <c r="L2463" s="7" t="s">
        <v>37</v>
      </c>
      <c r="M2463" s="7" t="s">
        <v>30</v>
      </c>
    </row>
    <row r="2464" customFormat="false" ht="15" hidden="false" customHeight="true" outlineLevel="0" collapsed="false">
      <c r="A2464" s="7" t="n">
        <v>2060</v>
      </c>
      <c r="B2464" s="7" t="n">
        <v>22</v>
      </c>
      <c r="C2464" s="7" t="s">
        <v>24</v>
      </c>
      <c r="D2464" s="7" t="s">
        <v>40</v>
      </c>
      <c r="E2464" s="7" t="n">
        <v>24</v>
      </c>
      <c r="F2464" s="7" t="n">
        <v>22</v>
      </c>
      <c r="G2464" s="7" t="s">
        <v>26</v>
      </c>
      <c r="H2464" s="7" t="s">
        <v>32</v>
      </c>
      <c r="I2464" s="7" t="n">
        <v>39.9</v>
      </c>
      <c r="J2464" s="7" t="s">
        <v>28</v>
      </c>
      <c r="K2464" s="7" t="n">
        <v>161.9</v>
      </c>
      <c r="L2464" s="7" t="s">
        <v>29</v>
      </c>
      <c r="M2464" s="7" t="s">
        <v>30</v>
      </c>
    </row>
    <row r="2465" customFormat="false" ht="15" hidden="false" customHeight="true" outlineLevel="0" collapsed="false">
      <c r="A2465" s="7" t="n">
        <v>2068</v>
      </c>
      <c r="B2465" s="7" t="n">
        <v>85</v>
      </c>
      <c r="C2465" s="7" t="s">
        <v>24</v>
      </c>
      <c r="D2465" s="7" t="s">
        <v>40</v>
      </c>
      <c r="E2465" s="7" t="n">
        <v>18</v>
      </c>
      <c r="F2465" s="7" t="n">
        <v>5</v>
      </c>
      <c r="G2465" s="7" t="s">
        <v>35</v>
      </c>
      <c r="H2465" s="7" t="s">
        <v>32</v>
      </c>
      <c r="I2465" s="7" t="n">
        <v>20.8</v>
      </c>
      <c r="J2465" s="7" t="s">
        <v>28</v>
      </c>
      <c r="K2465" s="7" t="n">
        <v>142.5</v>
      </c>
      <c r="L2465" s="7" t="s">
        <v>29</v>
      </c>
      <c r="M2465" s="7" t="s">
        <v>30</v>
      </c>
    </row>
    <row r="2466" customFormat="false" ht="15" hidden="false" customHeight="true" outlineLevel="0" collapsed="false">
      <c r="A2466" s="7" t="n">
        <v>2091</v>
      </c>
      <c r="B2466" s="7" t="n">
        <v>49</v>
      </c>
      <c r="C2466" s="7" t="s">
        <v>24</v>
      </c>
      <c r="D2466" s="7" t="s">
        <v>40</v>
      </c>
      <c r="E2466" s="7" t="n">
        <v>11</v>
      </c>
      <c r="F2466" s="7" t="n">
        <v>21</v>
      </c>
      <c r="G2466" s="7" t="s">
        <v>34</v>
      </c>
      <c r="H2466" s="7" t="s">
        <v>32</v>
      </c>
      <c r="I2466" s="7" t="n">
        <v>31</v>
      </c>
      <c r="J2466" s="7" t="s">
        <v>28</v>
      </c>
      <c r="K2466" s="7" t="n">
        <v>289.6</v>
      </c>
      <c r="L2466" s="7" t="s">
        <v>29</v>
      </c>
      <c r="M2466" s="7" t="s">
        <v>30</v>
      </c>
    </row>
    <row r="2467" customFormat="false" ht="15" hidden="false" customHeight="true" outlineLevel="0" collapsed="false">
      <c r="A2467" s="7" t="n">
        <v>2094</v>
      </c>
      <c r="B2467" s="7" t="n">
        <v>73</v>
      </c>
      <c r="C2467" s="7" t="s">
        <v>24</v>
      </c>
      <c r="D2467" s="7" t="s">
        <v>40</v>
      </c>
      <c r="E2467" s="7" t="n">
        <v>10</v>
      </c>
      <c r="F2467" s="7" t="n">
        <v>27</v>
      </c>
      <c r="G2467" s="7" t="s">
        <v>36</v>
      </c>
      <c r="H2467" s="7" t="s">
        <v>27</v>
      </c>
      <c r="I2467" s="7" t="n">
        <v>41.8</v>
      </c>
      <c r="J2467" s="7" t="s">
        <v>28</v>
      </c>
      <c r="K2467" s="7" t="n">
        <v>270.5</v>
      </c>
      <c r="L2467" s="7" t="s">
        <v>29</v>
      </c>
      <c r="M2467" s="7" t="s">
        <v>30</v>
      </c>
    </row>
    <row r="2468" customFormat="false" ht="15" hidden="false" customHeight="true" outlineLevel="0" collapsed="false">
      <c r="A2468" s="7" t="n">
        <v>2100</v>
      </c>
      <c r="B2468" s="7" t="n">
        <v>25</v>
      </c>
      <c r="C2468" s="7" t="s">
        <v>33</v>
      </c>
      <c r="D2468" s="7" t="s">
        <v>40</v>
      </c>
      <c r="E2468" s="7" t="n">
        <v>23</v>
      </c>
      <c r="F2468" s="7" t="n">
        <v>9</v>
      </c>
      <c r="G2468" s="7" t="s">
        <v>26</v>
      </c>
      <c r="H2468" s="7" t="s">
        <v>27</v>
      </c>
      <c r="I2468" s="7" t="n">
        <v>33</v>
      </c>
      <c r="J2468" s="7" t="s">
        <v>28</v>
      </c>
      <c r="K2468" s="7" t="n">
        <v>268.6</v>
      </c>
      <c r="L2468" s="7" t="s">
        <v>37</v>
      </c>
      <c r="M2468" s="7" t="s">
        <v>30</v>
      </c>
    </row>
    <row r="2469" customFormat="false" ht="15" hidden="false" customHeight="true" outlineLevel="0" collapsed="false">
      <c r="A2469" s="7" t="n">
        <v>2112</v>
      </c>
      <c r="B2469" s="7" t="n">
        <v>44</v>
      </c>
      <c r="C2469" s="7" t="s">
        <v>33</v>
      </c>
      <c r="D2469" s="7" t="s">
        <v>40</v>
      </c>
      <c r="E2469" s="7" t="n">
        <v>23</v>
      </c>
      <c r="F2469" s="7" t="n">
        <v>14</v>
      </c>
      <c r="G2469" s="7" t="s">
        <v>36</v>
      </c>
      <c r="H2469" s="7" t="s">
        <v>32</v>
      </c>
      <c r="I2469" s="7" t="n">
        <v>22.3</v>
      </c>
      <c r="J2469" s="7" t="s">
        <v>28</v>
      </c>
      <c r="K2469" s="7" t="n">
        <v>290.7</v>
      </c>
      <c r="L2469" s="7" t="s">
        <v>37</v>
      </c>
      <c r="M2469" s="7" t="s">
        <v>30</v>
      </c>
    </row>
    <row r="2470" customFormat="false" ht="15" hidden="false" customHeight="true" outlineLevel="0" collapsed="false">
      <c r="A2470" s="7" t="n">
        <v>2123</v>
      </c>
      <c r="B2470" s="7" t="n">
        <v>35</v>
      </c>
      <c r="C2470" s="7" t="s">
        <v>24</v>
      </c>
      <c r="D2470" s="7" t="s">
        <v>40</v>
      </c>
      <c r="E2470" s="7" t="n">
        <v>6</v>
      </c>
      <c r="F2470" s="7" t="n">
        <v>22</v>
      </c>
      <c r="G2470" s="7" t="s">
        <v>26</v>
      </c>
      <c r="H2470" s="7" t="s">
        <v>27</v>
      </c>
      <c r="I2470" s="7" t="n">
        <v>24.6</v>
      </c>
      <c r="J2470" s="7" t="s">
        <v>28</v>
      </c>
      <c r="K2470" s="7" t="n">
        <v>270.3</v>
      </c>
      <c r="L2470" s="7" t="s">
        <v>29</v>
      </c>
      <c r="M2470" s="7" t="s">
        <v>30</v>
      </c>
    </row>
    <row r="2471" customFormat="false" ht="15" hidden="false" customHeight="true" outlineLevel="0" collapsed="false">
      <c r="A2471" s="7" t="n">
        <v>2144</v>
      </c>
      <c r="B2471" s="7" t="n">
        <v>42</v>
      </c>
      <c r="C2471" s="7" t="s">
        <v>24</v>
      </c>
      <c r="D2471" s="7" t="s">
        <v>40</v>
      </c>
      <c r="E2471" s="7" t="n">
        <v>33</v>
      </c>
      <c r="F2471" s="7" t="n">
        <v>22</v>
      </c>
      <c r="G2471" s="7" t="s">
        <v>26</v>
      </c>
      <c r="H2471" s="7" t="s">
        <v>27</v>
      </c>
      <c r="I2471" s="7" t="n">
        <v>21.8</v>
      </c>
      <c r="J2471" s="7" t="s">
        <v>28</v>
      </c>
      <c r="K2471" s="7" t="n">
        <v>142.5</v>
      </c>
      <c r="L2471" s="7" t="s">
        <v>29</v>
      </c>
      <c r="M2471" s="7" t="s">
        <v>30</v>
      </c>
    </row>
    <row r="2472" customFormat="false" ht="15" hidden="false" customHeight="true" outlineLevel="0" collapsed="false">
      <c r="A2472" s="7" t="n">
        <v>2148</v>
      </c>
      <c r="B2472" s="7" t="n">
        <v>65</v>
      </c>
      <c r="C2472" s="7" t="s">
        <v>24</v>
      </c>
      <c r="D2472" s="7" t="s">
        <v>40</v>
      </c>
      <c r="E2472" s="7" t="n">
        <v>25</v>
      </c>
      <c r="F2472" s="7" t="n">
        <v>28</v>
      </c>
      <c r="G2472" s="7" t="s">
        <v>31</v>
      </c>
      <c r="H2472" s="7" t="s">
        <v>32</v>
      </c>
      <c r="I2472" s="7" t="n">
        <v>35.9</v>
      </c>
      <c r="J2472" s="7" t="s">
        <v>28</v>
      </c>
      <c r="K2472" s="7" t="n">
        <v>251.3</v>
      </c>
      <c r="L2472" s="7" t="s">
        <v>37</v>
      </c>
      <c r="M2472" s="7" t="s">
        <v>30</v>
      </c>
    </row>
    <row r="2473" customFormat="false" ht="15" hidden="false" customHeight="true" outlineLevel="0" collapsed="false">
      <c r="A2473" s="7" t="n">
        <v>2172</v>
      </c>
      <c r="B2473" s="7" t="n">
        <v>85</v>
      </c>
      <c r="C2473" s="7" t="s">
        <v>33</v>
      </c>
      <c r="D2473" s="7" t="s">
        <v>40</v>
      </c>
      <c r="E2473" s="7" t="n">
        <v>17</v>
      </c>
      <c r="F2473" s="7" t="n">
        <v>7</v>
      </c>
      <c r="G2473" s="7" t="s">
        <v>34</v>
      </c>
      <c r="H2473" s="7" t="s">
        <v>27</v>
      </c>
      <c r="I2473" s="7" t="n">
        <v>28.5</v>
      </c>
      <c r="J2473" s="7" t="s">
        <v>28</v>
      </c>
      <c r="K2473" s="7" t="n">
        <v>238.4</v>
      </c>
      <c r="L2473" s="7" t="s">
        <v>37</v>
      </c>
      <c r="M2473" s="7" t="s">
        <v>30</v>
      </c>
    </row>
    <row r="2474" customFormat="false" ht="15" hidden="false" customHeight="true" outlineLevel="0" collapsed="false">
      <c r="A2474" s="7" t="n">
        <v>2181</v>
      </c>
      <c r="B2474" s="7" t="n">
        <v>33</v>
      </c>
      <c r="C2474" s="7" t="s">
        <v>24</v>
      </c>
      <c r="D2474" s="7" t="s">
        <v>40</v>
      </c>
      <c r="E2474" s="7" t="n">
        <v>20</v>
      </c>
      <c r="F2474" s="7" t="n">
        <v>16</v>
      </c>
      <c r="G2474" s="7" t="s">
        <v>36</v>
      </c>
      <c r="H2474" s="7" t="s">
        <v>27</v>
      </c>
      <c r="I2474" s="7" t="n">
        <v>36.9</v>
      </c>
      <c r="J2474" s="7" t="s">
        <v>28</v>
      </c>
      <c r="K2474" s="7" t="n">
        <v>131.5</v>
      </c>
      <c r="L2474" s="7" t="s">
        <v>37</v>
      </c>
      <c r="M2474" s="7" t="s">
        <v>30</v>
      </c>
    </row>
    <row r="2475" customFormat="false" ht="15" hidden="false" customHeight="true" outlineLevel="0" collapsed="false">
      <c r="A2475" s="7" t="n">
        <v>2195</v>
      </c>
      <c r="B2475" s="7" t="n">
        <v>37</v>
      </c>
      <c r="C2475" s="7" t="s">
        <v>33</v>
      </c>
      <c r="D2475" s="7" t="s">
        <v>40</v>
      </c>
      <c r="E2475" s="7" t="n">
        <v>32</v>
      </c>
      <c r="F2475" s="7" t="n">
        <v>10</v>
      </c>
      <c r="G2475" s="7" t="s">
        <v>34</v>
      </c>
      <c r="H2475" s="7" t="s">
        <v>27</v>
      </c>
      <c r="I2475" s="7" t="n">
        <v>18</v>
      </c>
      <c r="J2475" s="7" t="s">
        <v>28</v>
      </c>
      <c r="K2475" s="7" t="n">
        <v>141.1</v>
      </c>
      <c r="L2475" s="7" t="s">
        <v>37</v>
      </c>
      <c r="M2475" s="7" t="s">
        <v>30</v>
      </c>
    </row>
    <row r="2476" customFormat="false" ht="15" hidden="false" customHeight="true" outlineLevel="0" collapsed="false">
      <c r="A2476" s="7" t="n">
        <v>2224</v>
      </c>
      <c r="B2476" s="7" t="n">
        <v>84</v>
      </c>
      <c r="C2476" s="7" t="s">
        <v>33</v>
      </c>
      <c r="D2476" s="7" t="s">
        <v>40</v>
      </c>
      <c r="E2476" s="7" t="n">
        <v>36</v>
      </c>
      <c r="F2476" s="7" t="n">
        <v>21</v>
      </c>
      <c r="G2476" s="7" t="s">
        <v>34</v>
      </c>
      <c r="H2476" s="7" t="s">
        <v>27</v>
      </c>
      <c r="I2476" s="7" t="n">
        <v>42</v>
      </c>
      <c r="J2476" s="7" t="s">
        <v>28</v>
      </c>
      <c r="K2476" s="7" t="n">
        <v>136.6</v>
      </c>
      <c r="L2476" s="7" t="s">
        <v>29</v>
      </c>
      <c r="M2476" s="7" t="s">
        <v>30</v>
      </c>
    </row>
    <row r="2477" customFormat="false" ht="15" hidden="false" customHeight="true" outlineLevel="0" collapsed="false">
      <c r="A2477" s="7" t="n">
        <v>2265</v>
      </c>
      <c r="B2477" s="7" t="n">
        <v>20</v>
      </c>
      <c r="C2477" s="7" t="s">
        <v>24</v>
      </c>
      <c r="D2477" s="7" t="s">
        <v>40</v>
      </c>
      <c r="E2477" s="7" t="n">
        <v>35</v>
      </c>
      <c r="F2477" s="7" t="n">
        <v>20</v>
      </c>
      <c r="G2477" s="7" t="s">
        <v>35</v>
      </c>
      <c r="H2477" s="7" t="s">
        <v>32</v>
      </c>
      <c r="I2477" s="7" t="n">
        <v>38.2</v>
      </c>
      <c r="J2477" s="7" t="s">
        <v>28</v>
      </c>
      <c r="K2477" s="7" t="n">
        <v>255.7</v>
      </c>
      <c r="L2477" s="7" t="s">
        <v>29</v>
      </c>
      <c r="M2477" s="7" t="s">
        <v>30</v>
      </c>
    </row>
    <row r="2478" customFormat="false" ht="15" hidden="false" customHeight="true" outlineLevel="0" collapsed="false">
      <c r="A2478" s="7" t="n">
        <v>2290</v>
      </c>
      <c r="B2478" s="7" t="n">
        <v>74</v>
      </c>
      <c r="C2478" s="7" t="s">
        <v>24</v>
      </c>
      <c r="D2478" s="7" t="s">
        <v>40</v>
      </c>
      <c r="E2478" s="7" t="n">
        <v>32</v>
      </c>
      <c r="F2478" s="7" t="n">
        <v>21</v>
      </c>
      <c r="G2478" s="7" t="s">
        <v>31</v>
      </c>
      <c r="H2478" s="7" t="s">
        <v>27</v>
      </c>
      <c r="I2478" s="7" t="n">
        <v>28.6</v>
      </c>
      <c r="J2478" s="7" t="s">
        <v>28</v>
      </c>
      <c r="K2478" s="7" t="n">
        <v>274.4</v>
      </c>
      <c r="L2478" s="7" t="s">
        <v>29</v>
      </c>
      <c r="M2478" s="7" t="s">
        <v>30</v>
      </c>
    </row>
    <row r="2479" customFormat="false" ht="15" hidden="false" customHeight="true" outlineLevel="0" collapsed="false">
      <c r="A2479" s="7" t="n">
        <v>2309</v>
      </c>
      <c r="B2479" s="7" t="n">
        <v>64</v>
      </c>
      <c r="C2479" s="7" t="s">
        <v>24</v>
      </c>
      <c r="D2479" s="7" t="s">
        <v>40</v>
      </c>
      <c r="E2479" s="7" t="n">
        <v>20</v>
      </c>
      <c r="F2479" s="7" t="n">
        <v>29</v>
      </c>
      <c r="G2479" s="7" t="s">
        <v>31</v>
      </c>
      <c r="H2479" s="7" t="s">
        <v>27</v>
      </c>
      <c r="I2479" s="7" t="n">
        <v>19.3</v>
      </c>
      <c r="J2479" s="7" t="s">
        <v>28</v>
      </c>
      <c r="K2479" s="7" t="n">
        <v>209.7</v>
      </c>
      <c r="L2479" s="7" t="s">
        <v>29</v>
      </c>
      <c r="M2479" s="7" t="s">
        <v>30</v>
      </c>
    </row>
    <row r="2480" customFormat="false" ht="15" hidden="false" customHeight="true" outlineLevel="0" collapsed="false">
      <c r="A2480" s="7" t="n">
        <v>2310</v>
      </c>
      <c r="B2480" s="7" t="n">
        <v>64</v>
      </c>
      <c r="C2480" s="7" t="s">
        <v>24</v>
      </c>
      <c r="D2480" s="7" t="s">
        <v>40</v>
      </c>
      <c r="E2480" s="7" t="n">
        <v>27</v>
      </c>
      <c r="F2480" s="7" t="n">
        <v>7</v>
      </c>
      <c r="G2480" s="7" t="s">
        <v>35</v>
      </c>
      <c r="H2480" s="7" t="s">
        <v>27</v>
      </c>
      <c r="I2480" s="7" t="n">
        <v>17.3</v>
      </c>
      <c r="J2480" s="7" t="s">
        <v>28</v>
      </c>
      <c r="K2480" s="7" t="n">
        <v>251.6</v>
      </c>
      <c r="L2480" s="7" t="s">
        <v>29</v>
      </c>
      <c r="M2480" s="7" t="s">
        <v>30</v>
      </c>
    </row>
    <row r="2481" customFormat="false" ht="15" hidden="false" customHeight="true" outlineLevel="0" collapsed="false">
      <c r="A2481" s="7" t="n">
        <v>2314</v>
      </c>
      <c r="B2481" s="7" t="n">
        <v>28</v>
      </c>
      <c r="C2481" s="7" t="s">
        <v>24</v>
      </c>
      <c r="D2481" s="7" t="s">
        <v>40</v>
      </c>
      <c r="E2481" s="7" t="n">
        <v>27</v>
      </c>
      <c r="F2481" s="7" t="n">
        <v>24</v>
      </c>
      <c r="G2481" s="7" t="s">
        <v>26</v>
      </c>
      <c r="H2481" s="7" t="s">
        <v>27</v>
      </c>
      <c r="I2481" s="7" t="n">
        <v>18.2</v>
      </c>
      <c r="J2481" s="7" t="s">
        <v>28</v>
      </c>
      <c r="K2481" s="7" t="n">
        <v>191.1</v>
      </c>
      <c r="L2481" s="7" t="s">
        <v>37</v>
      </c>
      <c r="M2481" s="7" t="s">
        <v>30</v>
      </c>
    </row>
    <row r="2482" customFormat="false" ht="15" hidden="false" customHeight="true" outlineLevel="0" collapsed="false">
      <c r="A2482" s="7" t="n">
        <v>2317</v>
      </c>
      <c r="B2482" s="7" t="n">
        <v>24</v>
      </c>
      <c r="C2482" s="7" t="s">
        <v>33</v>
      </c>
      <c r="D2482" s="7" t="s">
        <v>40</v>
      </c>
      <c r="E2482" s="7" t="n">
        <v>9</v>
      </c>
      <c r="F2482" s="7" t="n">
        <v>19</v>
      </c>
      <c r="G2482" s="7" t="s">
        <v>36</v>
      </c>
      <c r="H2482" s="7" t="s">
        <v>27</v>
      </c>
      <c r="I2482" s="7" t="n">
        <v>31.9</v>
      </c>
      <c r="J2482" s="7" t="s">
        <v>28</v>
      </c>
      <c r="K2482" s="7" t="n">
        <v>149.2</v>
      </c>
      <c r="L2482" s="7" t="s">
        <v>37</v>
      </c>
      <c r="M2482" s="7" t="s">
        <v>30</v>
      </c>
    </row>
    <row r="2483" customFormat="false" ht="15" hidden="false" customHeight="true" outlineLevel="0" collapsed="false">
      <c r="A2483" s="7" t="n">
        <v>2329</v>
      </c>
      <c r="B2483" s="7" t="n">
        <v>75</v>
      </c>
      <c r="C2483" s="7" t="s">
        <v>24</v>
      </c>
      <c r="D2483" s="7" t="s">
        <v>40</v>
      </c>
      <c r="E2483" s="7" t="n">
        <v>19</v>
      </c>
      <c r="F2483" s="7" t="n">
        <v>23</v>
      </c>
      <c r="G2483" s="7" t="s">
        <v>36</v>
      </c>
      <c r="H2483" s="7" t="s">
        <v>27</v>
      </c>
      <c r="I2483" s="7" t="n">
        <v>32.2</v>
      </c>
      <c r="J2483" s="7" t="s">
        <v>28</v>
      </c>
      <c r="K2483" s="7" t="n">
        <v>243.8</v>
      </c>
      <c r="L2483" s="7" t="s">
        <v>29</v>
      </c>
      <c r="M2483" s="7" t="s">
        <v>30</v>
      </c>
    </row>
    <row r="2484" customFormat="false" ht="15" hidden="false" customHeight="true" outlineLevel="0" collapsed="false">
      <c r="A2484" s="7" t="n">
        <v>2334</v>
      </c>
      <c r="B2484" s="7" t="n">
        <v>50</v>
      </c>
      <c r="C2484" s="7" t="s">
        <v>24</v>
      </c>
      <c r="D2484" s="7" t="s">
        <v>40</v>
      </c>
      <c r="E2484" s="7" t="n">
        <v>31</v>
      </c>
      <c r="F2484" s="7" t="n">
        <v>27</v>
      </c>
      <c r="G2484" s="7" t="s">
        <v>31</v>
      </c>
      <c r="H2484" s="7" t="s">
        <v>27</v>
      </c>
      <c r="I2484" s="7" t="n">
        <v>24.9</v>
      </c>
      <c r="J2484" s="7" t="s">
        <v>28</v>
      </c>
      <c r="K2484" s="7" t="n">
        <v>185.7</v>
      </c>
      <c r="L2484" s="7" t="s">
        <v>29</v>
      </c>
      <c r="M2484" s="7" t="s">
        <v>30</v>
      </c>
    </row>
    <row r="2485" customFormat="false" ht="15" hidden="false" customHeight="true" outlineLevel="0" collapsed="false">
      <c r="A2485" s="7" t="n">
        <v>2336</v>
      </c>
      <c r="B2485" s="7" t="n">
        <v>42</v>
      </c>
      <c r="C2485" s="7" t="s">
        <v>33</v>
      </c>
      <c r="D2485" s="7" t="s">
        <v>40</v>
      </c>
      <c r="E2485" s="7" t="n">
        <v>9</v>
      </c>
      <c r="F2485" s="7" t="n">
        <v>27</v>
      </c>
      <c r="G2485" s="7" t="s">
        <v>26</v>
      </c>
      <c r="H2485" s="7" t="s">
        <v>27</v>
      </c>
      <c r="I2485" s="7" t="n">
        <v>17.5</v>
      </c>
      <c r="J2485" s="7" t="s">
        <v>28</v>
      </c>
      <c r="K2485" s="7" t="n">
        <v>123.9</v>
      </c>
      <c r="L2485" s="7" t="s">
        <v>29</v>
      </c>
      <c r="M2485" s="7" t="s">
        <v>30</v>
      </c>
    </row>
    <row r="2486" customFormat="false" ht="15" hidden="false" customHeight="true" outlineLevel="0" collapsed="false">
      <c r="A2486" s="7" t="n">
        <v>2340</v>
      </c>
      <c r="B2486" s="7" t="n">
        <v>45</v>
      </c>
      <c r="C2486" s="7" t="s">
        <v>33</v>
      </c>
      <c r="D2486" s="7" t="s">
        <v>40</v>
      </c>
      <c r="E2486" s="7" t="n">
        <v>38</v>
      </c>
      <c r="F2486" s="7" t="n">
        <v>8</v>
      </c>
      <c r="G2486" s="7" t="s">
        <v>34</v>
      </c>
      <c r="H2486" s="7" t="s">
        <v>32</v>
      </c>
      <c r="I2486" s="7" t="n">
        <v>28.4</v>
      </c>
      <c r="J2486" s="7" t="s">
        <v>28</v>
      </c>
      <c r="K2486" s="7" t="n">
        <v>295.1</v>
      </c>
      <c r="L2486" s="7" t="s">
        <v>29</v>
      </c>
      <c r="M2486" s="7" t="s">
        <v>30</v>
      </c>
    </row>
    <row r="2487" customFormat="false" ht="15" hidden="false" customHeight="true" outlineLevel="0" collapsed="false">
      <c r="A2487" s="7" t="n">
        <v>2346</v>
      </c>
      <c r="B2487" s="7" t="n">
        <v>58</v>
      </c>
      <c r="C2487" s="7" t="s">
        <v>33</v>
      </c>
      <c r="D2487" s="7" t="s">
        <v>40</v>
      </c>
      <c r="E2487" s="7" t="n">
        <v>7</v>
      </c>
      <c r="F2487" s="7" t="n">
        <v>28</v>
      </c>
      <c r="G2487" s="7" t="s">
        <v>26</v>
      </c>
      <c r="H2487" s="7" t="s">
        <v>27</v>
      </c>
      <c r="I2487" s="7" t="n">
        <v>35.2</v>
      </c>
      <c r="J2487" s="7" t="s">
        <v>28</v>
      </c>
      <c r="K2487" s="7" t="n">
        <v>279.2</v>
      </c>
      <c r="L2487" s="7" t="s">
        <v>37</v>
      </c>
      <c r="M2487" s="7" t="s">
        <v>30</v>
      </c>
    </row>
    <row r="2488" customFormat="false" ht="15" hidden="false" customHeight="true" outlineLevel="0" collapsed="false">
      <c r="A2488" s="7" t="n">
        <v>2351</v>
      </c>
      <c r="B2488" s="7" t="n">
        <v>86</v>
      </c>
      <c r="C2488" s="7" t="s">
        <v>24</v>
      </c>
      <c r="D2488" s="7" t="s">
        <v>40</v>
      </c>
      <c r="E2488" s="7" t="n">
        <v>29</v>
      </c>
      <c r="F2488" s="7" t="n">
        <v>5</v>
      </c>
      <c r="G2488" s="7" t="s">
        <v>31</v>
      </c>
      <c r="H2488" s="7" t="s">
        <v>32</v>
      </c>
      <c r="I2488" s="7" t="n">
        <v>27</v>
      </c>
      <c r="J2488" s="7" t="s">
        <v>28</v>
      </c>
      <c r="K2488" s="7" t="n">
        <v>295.5</v>
      </c>
      <c r="L2488" s="7" t="s">
        <v>29</v>
      </c>
      <c r="M2488" s="7" t="s">
        <v>30</v>
      </c>
    </row>
    <row r="2489" customFormat="false" ht="15" hidden="false" customHeight="true" outlineLevel="0" collapsed="false">
      <c r="A2489" s="7" t="n">
        <v>2356</v>
      </c>
      <c r="B2489" s="7" t="n">
        <v>77</v>
      </c>
      <c r="C2489" s="7" t="s">
        <v>33</v>
      </c>
      <c r="D2489" s="7" t="s">
        <v>40</v>
      </c>
      <c r="E2489" s="7" t="n">
        <v>6</v>
      </c>
      <c r="F2489" s="7" t="n">
        <v>25</v>
      </c>
      <c r="G2489" s="7" t="s">
        <v>26</v>
      </c>
      <c r="H2489" s="7" t="s">
        <v>32</v>
      </c>
      <c r="I2489" s="7" t="n">
        <v>24.1</v>
      </c>
      <c r="J2489" s="7" t="s">
        <v>28</v>
      </c>
      <c r="K2489" s="7" t="n">
        <v>237.9</v>
      </c>
      <c r="L2489" s="7" t="s">
        <v>29</v>
      </c>
      <c r="M2489" s="7" t="s">
        <v>30</v>
      </c>
    </row>
    <row r="2490" customFormat="false" ht="15" hidden="false" customHeight="true" outlineLevel="0" collapsed="false">
      <c r="A2490" s="7" t="n">
        <v>2370</v>
      </c>
      <c r="B2490" s="7" t="n">
        <v>22</v>
      </c>
      <c r="C2490" s="7" t="s">
        <v>24</v>
      </c>
      <c r="D2490" s="7" t="s">
        <v>40</v>
      </c>
      <c r="E2490" s="7" t="n">
        <v>21</v>
      </c>
      <c r="F2490" s="7" t="n">
        <v>19</v>
      </c>
      <c r="G2490" s="7" t="s">
        <v>35</v>
      </c>
      <c r="H2490" s="7" t="s">
        <v>32</v>
      </c>
      <c r="I2490" s="7" t="n">
        <v>41.8</v>
      </c>
      <c r="J2490" s="7" t="s">
        <v>28</v>
      </c>
      <c r="K2490" s="7" t="n">
        <v>147.1</v>
      </c>
      <c r="L2490" s="7" t="s">
        <v>37</v>
      </c>
      <c r="M2490" s="7" t="s">
        <v>30</v>
      </c>
    </row>
    <row r="2491" customFormat="false" ht="15" hidden="false" customHeight="true" outlineLevel="0" collapsed="false">
      <c r="A2491" s="7" t="n">
        <v>2377</v>
      </c>
      <c r="B2491" s="7" t="n">
        <v>68</v>
      </c>
      <c r="C2491" s="7" t="s">
        <v>33</v>
      </c>
      <c r="D2491" s="7" t="s">
        <v>40</v>
      </c>
      <c r="E2491" s="7" t="n">
        <v>33</v>
      </c>
      <c r="F2491" s="7" t="n">
        <v>29</v>
      </c>
      <c r="G2491" s="7" t="s">
        <v>26</v>
      </c>
      <c r="H2491" s="7" t="s">
        <v>32</v>
      </c>
      <c r="I2491" s="7" t="n">
        <v>35.3</v>
      </c>
      <c r="J2491" s="7" t="s">
        <v>28</v>
      </c>
      <c r="K2491" s="7" t="n">
        <v>148.6</v>
      </c>
      <c r="L2491" s="7" t="s">
        <v>29</v>
      </c>
      <c r="M2491" s="7" t="s">
        <v>30</v>
      </c>
    </row>
    <row r="2492" customFormat="false" ht="15" hidden="false" customHeight="true" outlineLevel="0" collapsed="false">
      <c r="A2492" s="7" t="n">
        <v>2393</v>
      </c>
      <c r="B2492" s="7" t="n">
        <v>77</v>
      </c>
      <c r="C2492" s="7" t="s">
        <v>24</v>
      </c>
      <c r="D2492" s="7" t="s">
        <v>40</v>
      </c>
      <c r="E2492" s="7" t="n">
        <v>39</v>
      </c>
      <c r="F2492" s="7" t="n">
        <v>10</v>
      </c>
      <c r="G2492" s="7" t="s">
        <v>26</v>
      </c>
      <c r="H2492" s="7" t="s">
        <v>27</v>
      </c>
      <c r="I2492" s="7" t="n">
        <v>33.4</v>
      </c>
      <c r="J2492" s="7" t="s">
        <v>28</v>
      </c>
      <c r="K2492" s="7" t="n">
        <v>148.1</v>
      </c>
      <c r="L2492" s="7" t="s">
        <v>37</v>
      </c>
      <c r="M2492" s="7" t="s">
        <v>30</v>
      </c>
    </row>
    <row r="2493" customFormat="false" ht="15" hidden="false" customHeight="true" outlineLevel="0" collapsed="false">
      <c r="A2493" s="7" t="n">
        <v>2394</v>
      </c>
      <c r="B2493" s="7" t="n">
        <v>71</v>
      </c>
      <c r="C2493" s="7" t="s">
        <v>24</v>
      </c>
      <c r="D2493" s="7" t="s">
        <v>40</v>
      </c>
      <c r="E2493" s="7" t="n">
        <v>35</v>
      </c>
      <c r="F2493" s="7" t="n">
        <v>12</v>
      </c>
      <c r="G2493" s="7" t="s">
        <v>26</v>
      </c>
      <c r="H2493" s="7" t="s">
        <v>27</v>
      </c>
      <c r="I2493" s="7" t="n">
        <v>21.7</v>
      </c>
      <c r="J2493" s="7" t="s">
        <v>28</v>
      </c>
      <c r="K2493" s="7" t="n">
        <v>202.2</v>
      </c>
      <c r="L2493" s="7" t="s">
        <v>29</v>
      </c>
      <c r="M2493" s="7" t="s">
        <v>30</v>
      </c>
    </row>
    <row r="2494" customFormat="false" ht="15" hidden="false" customHeight="true" outlineLevel="0" collapsed="false">
      <c r="A2494" s="7" t="n">
        <v>2413</v>
      </c>
      <c r="B2494" s="7" t="n">
        <v>28</v>
      </c>
      <c r="C2494" s="7" t="s">
        <v>24</v>
      </c>
      <c r="D2494" s="7" t="s">
        <v>40</v>
      </c>
      <c r="E2494" s="7" t="n">
        <v>16</v>
      </c>
      <c r="F2494" s="7" t="n">
        <v>27</v>
      </c>
      <c r="G2494" s="7" t="s">
        <v>31</v>
      </c>
      <c r="H2494" s="7" t="s">
        <v>27</v>
      </c>
      <c r="I2494" s="7" t="n">
        <v>36.4</v>
      </c>
      <c r="J2494" s="7" t="s">
        <v>28</v>
      </c>
      <c r="K2494" s="7" t="n">
        <v>226.9</v>
      </c>
      <c r="L2494" s="7" t="s">
        <v>29</v>
      </c>
      <c r="M2494" s="7" t="s">
        <v>30</v>
      </c>
    </row>
    <row r="2495" customFormat="false" ht="15" hidden="false" customHeight="true" outlineLevel="0" collapsed="false">
      <c r="A2495" s="7" t="n">
        <v>2420</v>
      </c>
      <c r="B2495" s="7" t="n">
        <v>33</v>
      </c>
      <c r="C2495" s="7" t="s">
        <v>24</v>
      </c>
      <c r="D2495" s="7" t="s">
        <v>40</v>
      </c>
      <c r="E2495" s="7" t="n">
        <v>8</v>
      </c>
      <c r="F2495" s="7" t="n">
        <v>15</v>
      </c>
      <c r="G2495" s="7" t="s">
        <v>35</v>
      </c>
      <c r="H2495" s="7" t="s">
        <v>27</v>
      </c>
      <c r="I2495" s="7" t="n">
        <v>35.2</v>
      </c>
      <c r="J2495" s="7" t="s">
        <v>28</v>
      </c>
      <c r="K2495" s="7" t="n">
        <v>231.8</v>
      </c>
      <c r="L2495" s="7" t="s">
        <v>37</v>
      </c>
      <c r="M2495" s="7" t="s">
        <v>30</v>
      </c>
    </row>
    <row r="2496" customFormat="false" ht="15" hidden="false" customHeight="true" outlineLevel="0" collapsed="false">
      <c r="A2496" s="7" t="n">
        <v>2441</v>
      </c>
      <c r="B2496" s="7" t="n">
        <v>65</v>
      </c>
      <c r="C2496" s="7" t="s">
        <v>33</v>
      </c>
      <c r="D2496" s="7" t="s">
        <v>40</v>
      </c>
      <c r="E2496" s="7" t="n">
        <v>19</v>
      </c>
      <c r="F2496" s="7" t="n">
        <v>19</v>
      </c>
      <c r="G2496" s="7" t="s">
        <v>34</v>
      </c>
      <c r="H2496" s="7" t="s">
        <v>32</v>
      </c>
      <c r="I2496" s="7" t="n">
        <v>33.3</v>
      </c>
      <c r="J2496" s="7" t="s">
        <v>28</v>
      </c>
      <c r="K2496" s="7" t="n">
        <v>155.1</v>
      </c>
      <c r="L2496" s="7" t="s">
        <v>29</v>
      </c>
      <c r="M2496" s="7" t="s">
        <v>30</v>
      </c>
    </row>
    <row r="2497" customFormat="false" ht="15" hidden="false" customHeight="true" outlineLevel="0" collapsed="false">
      <c r="A2497" s="7" t="n">
        <v>2445</v>
      </c>
      <c r="B2497" s="7" t="n">
        <v>37</v>
      </c>
      <c r="C2497" s="7" t="s">
        <v>24</v>
      </c>
      <c r="D2497" s="7" t="s">
        <v>40</v>
      </c>
      <c r="E2497" s="7" t="n">
        <v>39</v>
      </c>
      <c r="F2497" s="7" t="n">
        <v>14</v>
      </c>
      <c r="G2497" s="7" t="s">
        <v>34</v>
      </c>
      <c r="H2497" s="7" t="s">
        <v>27</v>
      </c>
      <c r="I2497" s="7" t="n">
        <v>35.4</v>
      </c>
      <c r="J2497" s="7" t="s">
        <v>28</v>
      </c>
      <c r="K2497" s="7" t="n">
        <v>284.3</v>
      </c>
      <c r="L2497" s="7" t="s">
        <v>29</v>
      </c>
      <c r="M2497" s="7" t="s">
        <v>30</v>
      </c>
    </row>
    <row r="2498" customFormat="false" ht="15" hidden="false" customHeight="true" outlineLevel="0" collapsed="false">
      <c r="A2498" s="7" t="n">
        <v>2454</v>
      </c>
      <c r="B2498" s="7" t="n">
        <v>60</v>
      </c>
      <c r="C2498" s="7" t="s">
        <v>24</v>
      </c>
      <c r="D2498" s="7" t="s">
        <v>40</v>
      </c>
      <c r="E2498" s="7" t="n">
        <v>37</v>
      </c>
      <c r="F2498" s="7" t="n">
        <v>18</v>
      </c>
      <c r="G2498" s="7" t="s">
        <v>26</v>
      </c>
      <c r="H2498" s="7" t="s">
        <v>32</v>
      </c>
      <c r="I2498" s="7" t="n">
        <v>41.2</v>
      </c>
      <c r="J2498" s="7" t="s">
        <v>28</v>
      </c>
      <c r="K2498" s="7" t="n">
        <v>243.3</v>
      </c>
      <c r="L2498" s="7" t="s">
        <v>37</v>
      </c>
      <c r="M2498" s="7" t="s">
        <v>30</v>
      </c>
    </row>
    <row r="2499" customFormat="false" ht="15" hidden="false" customHeight="true" outlineLevel="0" collapsed="false">
      <c r="A2499" s="7" t="n">
        <v>2475</v>
      </c>
      <c r="B2499" s="7" t="n">
        <v>18</v>
      </c>
      <c r="C2499" s="7" t="s">
        <v>24</v>
      </c>
      <c r="D2499" s="7" t="s">
        <v>40</v>
      </c>
      <c r="E2499" s="7" t="n">
        <v>27</v>
      </c>
      <c r="F2499" s="7" t="n">
        <v>7</v>
      </c>
      <c r="G2499" s="7" t="s">
        <v>34</v>
      </c>
      <c r="H2499" s="7" t="s">
        <v>27</v>
      </c>
      <c r="I2499" s="7" t="n">
        <v>24</v>
      </c>
      <c r="J2499" s="7" t="s">
        <v>28</v>
      </c>
      <c r="K2499" s="7" t="n">
        <v>248.5</v>
      </c>
      <c r="L2499" s="7" t="s">
        <v>29</v>
      </c>
      <c r="M2499" s="7" t="s">
        <v>30</v>
      </c>
    </row>
    <row r="2500" customFormat="false" ht="15" hidden="false" customHeight="true" outlineLevel="0" collapsed="false">
      <c r="A2500" s="7" t="n">
        <v>2494</v>
      </c>
      <c r="B2500" s="7" t="n">
        <v>28</v>
      </c>
      <c r="C2500" s="7" t="s">
        <v>24</v>
      </c>
      <c r="D2500" s="7" t="s">
        <v>40</v>
      </c>
      <c r="E2500" s="7" t="n">
        <v>36</v>
      </c>
      <c r="F2500" s="7" t="n">
        <v>24</v>
      </c>
      <c r="G2500" s="7" t="s">
        <v>26</v>
      </c>
      <c r="H2500" s="7" t="s">
        <v>32</v>
      </c>
      <c r="I2500" s="7" t="n">
        <v>37.6</v>
      </c>
      <c r="J2500" s="7" t="s">
        <v>28</v>
      </c>
      <c r="K2500" s="7" t="n">
        <v>120.8</v>
      </c>
      <c r="L2500" s="7" t="s">
        <v>29</v>
      </c>
      <c r="M2500" s="7" t="s">
        <v>30</v>
      </c>
    </row>
    <row r="2501" customFormat="false" ht="15" hidden="false" customHeight="true" outlineLevel="0" collapsed="false">
      <c r="A2501" s="7" t="n">
        <v>2499</v>
      </c>
      <c r="B2501" s="7" t="n">
        <v>43</v>
      </c>
      <c r="C2501" s="7" t="s">
        <v>24</v>
      </c>
      <c r="D2501" s="7" t="s">
        <v>40</v>
      </c>
      <c r="E2501" s="7" t="n">
        <v>15</v>
      </c>
      <c r="F2501" s="7" t="n">
        <v>6</v>
      </c>
      <c r="G2501" s="7" t="s">
        <v>34</v>
      </c>
      <c r="H2501" s="7" t="s">
        <v>27</v>
      </c>
      <c r="I2501" s="7" t="n">
        <v>41.2</v>
      </c>
      <c r="J2501" s="7" t="s">
        <v>28</v>
      </c>
      <c r="K2501" s="7" t="n">
        <v>129.3</v>
      </c>
      <c r="L2501" s="7" t="s">
        <v>37</v>
      </c>
      <c r="M2501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4"/>
    <col collapsed="false" customWidth="true" hidden="false" outlineLevel="0" max="2" min="2" style="5" width="32"/>
    <col collapsed="false" customWidth="true" hidden="false" outlineLevel="0" max="3" min="3" style="5" width="14"/>
  </cols>
  <sheetData>
    <row r="1" customFormat="false" ht="17.25" hidden="false" customHeight="true" outlineLevel="0" collapsed="false">
      <c r="A1" s="8" t="s">
        <v>42</v>
      </c>
      <c r="B1" s="8"/>
      <c r="C1" s="8"/>
    </row>
    <row r="3" customFormat="false" ht="15" hidden="false" customHeight="true" outlineLevel="0" collapsed="false">
      <c r="A3" s="6" t="s">
        <v>43</v>
      </c>
      <c r="B3" s="6" t="s">
        <v>44</v>
      </c>
      <c r="C3" s="6" t="s">
        <v>45</v>
      </c>
    </row>
    <row r="4" customFormat="false" ht="15" hidden="false" customHeight="true" outlineLevel="0" collapsed="false">
      <c r="A4" s="9" t="s">
        <v>46</v>
      </c>
      <c r="B4" s="7" t="n">
        <f aca="false">COUNTA('Raw Data'!A2:A2501)</f>
        <v>2500</v>
      </c>
      <c r="C4" s="10" t="s">
        <v>47</v>
      </c>
    </row>
    <row r="5" customFormat="false" ht="15" hidden="false" customHeight="true" outlineLevel="0" collapsed="false">
      <c r="A5" s="9" t="s">
        <v>48</v>
      </c>
      <c r="B5" s="7" t="n">
        <f aca="false">SUMPRODUCT((COUNTIF('Raw Data'!A2:A2501,'Raw Data'!A2:A2501)&gt;1)*1)</f>
        <v>0</v>
      </c>
      <c r="C5" s="10" t="s">
        <v>49</v>
      </c>
    </row>
    <row r="7" customFormat="false" ht="15" hidden="false" customHeight="true" outlineLevel="0" collapsed="false">
      <c r="A7" s="9" t="s">
        <v>50</v>
      </c>
    </row>
    <row r="8" customFormat="false" ht="15" hidden="false" customHeight="true" outlineLevel="0" collapsed="false">
      <c r="A8" s="6" t="s">
        <v>51</v>
      </c>
      <c r="B8" s="6" t="s">
        <v>52</v>
      </c>
    </row>
    <row r="9" customFormat="false" ht="15" hidden="false" customHeight="true" outlineLevel="0" collapsed="false">
      <c r="A9" s="7" t="s">
        <v>11</v>
      </c>
      <c r="B9" s="7" t="n">
        <f aca="false">COUNTBLANK('Raw Data'!A2:A2501)</f>
        <v>0</v>
      </c>
    </row>
    <row r="10" customFormat="false" ht="15" hidden="false" customHeight="true" outlineLevel="0" collapsed="false">
      <c r="A10" s="7" t="s">
        <v>12</v>
      </c>
      <c r="B10" s="7" t="n">
        <f aca="false">COUNTBLANK('Raw Data'!B2:B2501)</f>
        <v>0</v>
      </c>
    </row>
    <row r="11" customFormat="false" ht="15" hidden="false" customHeight="true" outlineLevel="0" collapsed="false">
      <c r="A11" s="7" t="s">
        <v>13</v>
      </c>
      <c r="B11" s="7" t="n">
        <f aca="false">COUNTBLANK('Raw Data'!C2:C2501)</f>
        <v>0</v>
      </c>
    </row>
    <row r="12" customFormat="false" ht="15" hidden="false" customHeight="true" outlineLevel="0" collapsed="false">
      <c r="A12" s="7" t="s">
        <v>14</v>
      </c>
      <c r="B12" s="7" t="n">
        <f aca="false">COUNTBLANK('Raw Data'!D2:D2501)</f>
        <v>0</v>
      </c>
    </row>
    <row r="13" customFormat="false" ht="15" hidden="false" customHeight="true" outlineLevel="0" collapsed="false">
      <c r="A13" s="7" t="s">
        <v>15</v>
      </c>
      <c r="B13" s="7" t="n">
        <f aca="false">COUNTBLANK('Raw Data'!E2:E2501)</f>
        <v>0</v>
      </c>
    </row>
    <row r="14" customFormat="false" ht="15" hidden="false" customHeight="true" outlineLevel="0" collapsed="false">
      <c r="A14" s="7" t="s">
        <v>16</v>
      </c>
      <c r="B14" s="7" t="n">
        <f aca="false">COUNTBLANK('Raw Data'!F2:F2501)</f>
        <v>0</v>
      </c>
    </row>
    <row r="15" customFormat="false" ht="15" hidden="false" customHeight="true" outlineLevel="0" collapsed="false">
      <c r="A15" s="7" t="s">
        <v>17</v>
      </c>
      <c r="B15" s="7" t="n">
        <f aca="false">COUNTBLANK('Raw Data'!G2:G2501)</f>
        <v>0</v>
      </c>
    </row>
    <row r="16" customFormat="false" ht="15" hidden="false" customHeight="true" outlineLevel="0" collapsed="false">
      <c r="A16" s="7" t="s">
        <v>18</v>
      </c>
      <c r="B16" s="7" t="n">
        <f aca="false">COUNTBLANK('Raw Data'!H2:H2501)</f>
        <v>0</v>
      </c>
    </row>
    <row r="17" customFormat="false" ht="15" hidden="false" customHeight="true" outlineLevel="0" collapsed="false">
      <c r="A17" s="7" t="s">
        <v>19</v>
      </c>
      <c r="B17" s="7" t="n">
        <f aca="false">COUNTBLANK('Raw Data'!I2:I2501)</f>
        <v>0</v>
      </c>
    </row>
    <row r="18" customFormat="false" ht="15" hidden="false" customHeight="true" outlineLevel="0" collapsed="false">
      <c r="A18" s="7" t="s">
        <v>20</v>
      </c>
      <c r="B18" s="7" t="n">
        <f aca="false">COUNTBLANK('Raw Data'!J2:J2501)</f>
        <v>0</v>
      </c>
    </row>
    <row r="19" customFormat="false" ht="15" hidden="false" customHeight="true" outlineLevel="0" collapsed="false">
      <c r="A19" s="7" t="s">
        <v>21</v>
      </c>
      <c r="B19" s="7" t="n">
        <f aca="false">COUNTBLANK('Raw Data'!K2:K2501)</f>
        <v>0</v>
      </c>
    </row>
    <row r="20" customFormat="false" ht="15" hidden="false" customHeight="true" outlineLevel="0" collapsed="false">
      <c r="A20" s="7" t="s">
        <v>22</v>
      </c>
      <c r="B20" s="7" t="n">
        <f aca="false">COUNTBLANK('Raw Data'!L2:L2501)</f>
        <v>0</v>
      </c>
    </row>
    <row r="21" customFormat="false" ht="15" hidden="false" customHeight="true" outlineLevel="0" collapsed="false">
      <c r="A21" s="7" t="s">
        <v>23</v>
      </c>
      <c r="B21" s="7" t="n">
        <f aca="false">COUNTBLANK('Raw Data'!M2:M2501)</f>
        <v>0</v>
      </c>
    </row>
    <row r="23" customFormat="false" ht="15" hidden="false" customHeight="true" outlineLevel="0" collapsed="false">
      <c r="A23" s="9" t="s">
        <v>53</v>
      </c>
    </row>
    <row r="24" customFormat="false" ht="15" hidden="false" customHeight="true" outlineLevel="0" collapsed="false">
      <c r="A24" s="6" t="s">
        <v>54</v>
      </c>
      <c r="B24" s="6" t="s">
        <v>55</v>
      </c>
      <c r="C24" s="6" t="s">
        <v>56</v>
      </c>
    </row>
    <row r="25" customFormat="false" ht="15" hidden="false" customHeight="true" outlineLevel="0" collapsed="false">
      <c r="A25" s="7" t="s">
        <v>12</v>
      </c>
      <c r="B25" s="7" t="n">
        <f aca="false">MIN('Raw Data'!B2:B2501)</f>
        <v>18</v>
      </c>
      <c r="C25" s="7" t="n">
        <f aca="false">MAX('Raw Data'!B2:B2501)</f>
        <v>89</v>
      </c>
    </row>
    <row r="26" customFormat="false" ht="15" hidden="false" customHeight="true" outlineLevel="0" collapsed="false">
      <c r="A26" s="7" t="s">
        <v>19</v>
      </c>
      <c r="B26" s="7" t="n">
        <f aca="false">MIN('Raw Data'!I2:I2501)</f>
        <v>17</v>
      </c>
      <c r="C26" s="7" t="n">
        <f aca="false">MAX('Raw Data'!I2:I2501)</f>
        <v>42</v>
      </c>
    </row>
    <row r="27" customFormat="false" ht="15" hidden="false" customHeight="true" outlineLevel="0" collapsed="false">
      <c r="A27" s="7" t="s">
        <v>21</v>
      </c>
      <c r="B27" s="7" t="n">
        <f aca="false">MIN('Raw Data'!K2:K2501)</f>
        <v>120</v>
      </c>
      <c r="C27" s="7" t="n">
        <f aca="false">MAX('Raw Data'!K2:K2501)</f>
        <v>300</v>
      </c>
    </row>
    <row r="29" customFormat="false" ht="15" hidden="false" customHeight="true" outlineLevel="0" collapsed="false">
      <c r="A29" s="9" t="s">
        <v>57</v>
      </c>
    </row>
    <row r="30" customFormat="false" ht="15" hidden="false" customHeight="true" outlineLevel="0" collapsed="false">
      <c r="A30" s="6" t="s">
        <v>54</v>
      </c>
      <c r="B30" s="6" t="s">
        <v>58</v>
      </c>
      <c r="C30" s="6" t="s">
        <v>59</v>
      </c>
    </row>
    <row r="31" customFormat="false" ht="15" hidden="false" customHeight="true" outlineLevel="0" collapsed="false">
      <c r="A31" s="7" t="s">
        <v>13</v>
      </c>
      <c r="B31" s="7" t="n">
        <f aca="false">COUNTIF('Raw Data'!C2:C2501,"Male")+COUNTIF('Raw Data'!C2:C2501,"Female")</f>
        <v>2500</v>
      </c>
      <c r="C31" s="11" t="b">
        <f aca="false">B31=COUNTA('Raw Data'!A2:A2501)</f>
        <v>1</v>
      </c>
    </row>
    <row r="32" customFormat="false" ht="15" hidden="false" customHeight="true" outlineLevel="0" collapsed="false">
      <c r="A32" s="7" t="s">
        <v>14</v>
      </c>
      <c r="B32" s="7" t="n">
        <f aca="false">COUNTIF('Raw Data'!D2:D2501,"Current")+COUNTIF('Raw Data'!D2:D2501,"Former")+COUNTIF('Raw Data'!D2:D2501,"Never")</f>
        <v>2500</v>
      </c>
      <c r="C32" s="11" t="b">
        <f aca="false">B32=COUNTA('Raw Data'!A2:A2501)</f>
        <v>1</v>
      </c>
    </row>
    <row r="33" customFormat="false" ht="15" hidden="false" customHeight="true" outlineLevel="0" collapsed="false">
      <c r="A33" s="7" t="s">
        <v>20</v>
      </c>
      <c r="B33" s="7" t="n">
        <f aca="false">COUNTIF('Raw Data'!J2:J2501,"High")+COUNTIF('Raw Data'!J2:J2501,"Normal")+COUNTIF('Raw Data'!J2:J2501,"Low")</f>
        <v>2500</v>
      </c>
      <c r="C33" s="11" t="b">
        <f aca="false">B33=COUNTA('Raw Data'!A2:A2501)</f>
        <v>1</v>
      </c>
    </row>
    <row r="34" customFormat="false" ht="15" hidden="false" customHeight="true" outlineLevel="0" collapsed="false">
      <c r="A34" s="7" t="s">
        <v>23</v>
      </c>
      <c r="B34" s="7" t="n">
        <f aca="false">COUNTIF('Raw Data'!M2:M2501,"High")+COUNTIF('Raw Data'!M2:M2501,"Moderate")+COUNTIF('Raw Data'!M2:M2501,"Low")</f>
        <v>2500</v>
      </c>
      <c r="C34" s="11" t="b">
        <f aca="false">B34=COUNTA('Raw Data'!A2:A2501)</f>
        <v>1</v>
      </c>
    </row>
    <row r="35" customFormat="false" ht="15" hidden="false" customHeight="true" outlineLevel="0" collapsed="false">
      <c r="A35" s="7" t="s">
        <v>22</v>
      </c>
      <c r="B35" s="7" t="n">
        <f aca="false">COUNTIF('Raw Data'!L2:L2501,"Yes")+COUNTIF('Raw Data'!L2:L2501,"No")</f>
        <v>2500</v>
      </c>
      <c r="C35" s="11" t="b">
        <f aca="false">B35=COUNTA('Raw Data'!A2:A2501)</f>
        <v>1</v>
      </c>
    </row>
    <row r="36" customFormat="false" ht="15" hidden="false" customHeight="true" outlineLevel="0" collapsed="false">
      <c r="A36" s="7" t="s">
        <v>18</v>
      </c>
      <c r="B36" s="7" t="n">
        <f aca="false">COUNTIF('Raw Data'!H2:H2501,"Healthy")+COUNTIF('Raw Data'!H2:H2501,"Damaged")</f>
        <v>2500</v>
      </c>
      <c r="C36" s="11" t="b">
        <f aca="false">B36=COUNTA('Raw Data'!A2:A2501)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12"/>
    <col collapsed="false" customWidth="true" hidden="false" outlineLevel="0" max="2" min="2" style="5" width="6"/>
    <col collapsed="false" customWidth="true" hidden="false" outlineLevel="0" max="3" min="3" style="5" width="9"/>
    <col collapsed="false" customWidth="true" hidden="false" outlineLevel="0" max="4" min="4" style="5" width="14"/>
    <col collapsed="false" customWidth="true" hidden="false" outlineLevel="0" max="5" min="5" style="5" width="9"/>
    <col collapsed="false" customWidth="true" hidden="false" outlineLevel="0" max="6" min="6" style="5" width="15"/>
    <col collapsed="false" customWidth="true" hidden="false" outlineLevel="0" max="8" min="7" style="5" width="17"/>
    <col collapsed="false" customWidth="true" hidden="false" outlineLevel="0" max="9" min="9" style="5" width="10"/>
    <col collapsed="false" customWidth="true" hidden="false" outlineLevel="0" max="10" min="10" style="5" width="9"/>
  </cols>
  <sheetData>
    <row r="1" customFormat="false" ht="15" hidden="false" customHeight="true" outlineLevel="0" collapsed="false">
      <c r="A1" s="6" t="s">
        <v>11</v>
      </c>
      <c r="B1" s="6" t="s">
        <v>12</v>
      </c>
      <c r="C1" s="6" t="s">
        <v>13</v>
      </c>
      <c r="D1" s="6" t="s">
        <v>14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60</v>
      </c>
      <c r="J1" s="6" t="s">
        <v>61</v>
      </c>
    </row>
    <row r="2" customFormat="false" ht="15" hidden="false" customHeight="true" outlineLevel="0" collapsed="false">
      <c r="A2" s="7" t="n">
        <f aca="false">'Raw Data'!A2</f>
        <v>17</v>
      </c>
      <c r="B2" s="7" t="n">
        <f aca="false">'Raw Data'!B2</f>
        <v>55</v>
      </c>
      <c r="C2" s="7" t="str">
        <f aca="false">'Raw Data'!C2</f>
        <v>Female</v>
      </c>
      <c r="D2" s="7" t="str">
        <f aca="false">'Raw Data'!D2</f>
        <v>Never</v>
      </c>
      <c r="E2" s="7" t="str">
        <f aca="false">'Raw Data'!J2</f>
        <v>Normal</v>
      </c>
      <c r="F2" s="7" t="n">
        <f aca="false">'Raw Data'!K2</f>
        <v>136.3</v>
      </c>
      <c r="G2" s="7" t="str">
        <f aca="false">'Raw Data'!L2</f>
        <v>No</v>
      </c>
      <c r="H2" s="7" t="str">
        <f aca="false">'Raw Data'!M2</f>
        <v>Low</v>
      </c>
      <c r="I2" s="7" t="n">
        <f aca="false">(IF(D2="Current",3,IF(D2="Former",1,0)))+(IF(E2="High",3,IF(E2="Normal",1,0)))+(IF(F2&gt;=240,2,IF(F2&gt;=200,1,0)))+(IF(G2="Yes",2,0))+(IF(H2="High",2,IF(H2="Moderate",1,0)))</f>
        <v>1</v>
      </c>
      <c r="J2" s="7" t="str">
        <f aca="false">IF(I2&gt;=8,"High",IF(I2&gt;=4,"Medium","Low"))</f>
        <v>Low</v>
      </c>
    </row>
    <row r="3" customFormat="false" ht="15" hidden="false" customHeight="true" outlineLevel="0" collapsed="false">
      <c r="A3" s="7" t="n">
        <f aca="false">'Raw Data'!A3</f>
        <v>18</v>
      </c>
      <c r="B3" s="7" t="n">
        <f aca="false">'Raw Data'!B3</f>
        <v>20</v>
      </c>
      <c r="C3" s="7" t="str">
        <f aca="false">'Raw Data'!C3</f>
        <v>Female</v>
      </c>
      <c r="D3" s="7" t="str">
        <f aca="false">'Raw Data'!D3</f>
        <v>Never</v>
      </c>
      <c r="E3" s="7" t="str">
        <f aca="false">'Raw Data'!J3</f>
        <v>Normal</v>
      </c>
      <c r="F3" s="7" t="n">
        <f aca="false">'Raw Data'!K3</f>
        <v>160.8</v>
      </c>
      <c r="G3" s="7" t="str">
        <f aca="false">'Raw Data'!L3</f>
        <v>No</v>
      </c>
      <c r="H3" s="7" t="str">
        <f aca="false">'Raw Data'!M3</f>
        <v>Low</v>
      </c>
      <c r="I3" s="7" t="n">
        <f aca="false">(IF(D3="Current",3,IF(D3="Former",1,0)))+(IF(E3="High",3,IF(E3="Normal",1,0)))+(IF(F3&gt;=240,2,IF(F3&gt;=200,1,0)))+(IF(G3="Yes",2,0))+(IF(H3="High",2,IF(H3="Moderate",1,0)))</f>
        <v>1</v>
      </c>
      <c r="J3" s="7" t="str">
        <f aca="false">IF(I3&gt;=8,"High",IF(I3&gt;=4,"Medium","Low"))</f>
        <v>Low</v>
      </c>
    </row>
    <row r="4" customFormat="false" ht="15" hidden="false" customHeight="true" outlineLevel="0" collapsed="false">
      <c r="A4" s="7" t="n">
        <f aca="false">'Raw Data'!A4</f>
        <v>31</v>
      </c>
      <c r="B4" s="7" t="n">
        <f aca="false">'Raw Data'!B4</f>
        <v>64</v>
      </c>
      <c r="C4" s="7" t="str">
        <f aca="false">'Raw Data'!C4</f>
        <v>Male</v>
      </c>
      <c r="D4" s="7" t="str">
        <f aca="false">'Raw Data'!D4</f>
        <v>Never</v>
      </c>
      <c r="E4" s="7" t="str">
        <f aca="false">'Raw Data'!J4</f>
        <v>Normal</v>
      </c>
      <c r="F4" s="7" t="n">
        <f aca="false">'Raw Data'!K4</f>
        <v>127.4</v>
      </c>
      <c r="G4" s="7" t="str">
        <f aca="false">'Raw Data'!L4</f>
        <v>No</v>
      </c>
      <c r="H4" s="7" t="str">
        <f aca="false">'Raw Data'!M4</f>
        <v>Low</v>
      </c>
      <c r="I4" s="7" t="n">
        <f aca="false">(IF(D4="Current",3,IF(D4="Former",1,0)))+(IF(E4="High",3,IF(E4="Normal",1,0)))+(IF(F4&gt;=240,2,IF(F4&gt;=200,1,0)))+(IF(G4="Yes",2,0))+(IF(H4="High",2,IF(H4="Moderate",1,0)))</f>
        <v>1</v>
      </c>
      <c r="J4" s="7" t="str">
        <f aca="false">IF(I4&gt;=8,"High",IF(I4&gt;=4,"Medium","Low"))</f>
        <v>Low</v>
      </c>
    </row>
    <row r="5" customFormat="false" ht="15" hidden="false" customHeight="true" outlineLevel="0" collapsed="false">
      <c r="A5" s="7" t="n">
        <f aca="false">'Raw Data'!A5</f>
        <v>115</v>
      </c>
      <c r="B5" s="7" t="n">
        <f aca="false">'Raw Data'!B5</f>
        <v>65</v>
      </c>
      <c r="C5" s="7" t="str">
        <f aca="false">'Raw Data'!C5</f>
        <v>Male</v>
      </c>
      <c r="D5" s="7" t="str">
        <f aca="false">'Raw Data'!D5</f>
        <v>Never</v>
      </c>
      <c r="E5" s="7" t="str">
        <f aca="false">'Raw Data'!J5</f>
        <v>Normal</v>
      </c>
      <c r="F5" s="7" t="n">
        <f aca="false">'Raw Data'!K5</f>
        <v>231.4</v>
      </c>
      <c r="G5" s="7" t="str">
        <f aca="false">'Raw Data'!L5</f>
        <v>No</v>
      </c>
      <c r="H5" s="7" t="str">
        <f aca="false">'Raw Data'!M5</f>
        <v>Low</v>
      </c>
      <c r="I5" s="7" t="n">
        <f aca="false">(IF(D5="Current",3,IF(D5="Former",1,0)))+(IF(E5="High",3,IF(E5="Normal",1,0)))+(IF(F5&gt;=240,2,IF(F5&gt;=200,1,0)))+(IF(G5="Yes",2,0))+(IF(H5="High",2,IF(H5="Moderate",1,0)))</f>
        <v>2</v>
      </c>
      <c r="J5" s="7" t="str">
        <f aca="false">IF(I5&gt;=8,"High",IF(I5&gt;=4,"Medium","Low"))</f>
        <v>Low</v>
      </c>
    </row>
    <row r="6" customFormat="false" ht="15" hidden="false" customHeight="true" outlineLevel="0" collapsed="false">
      <c r="A6" s="7" t="n">
        <f aca="false">'Raw Data'!A6</f>
        <v>135</v>
      </c>
      <c r="B6" s="7" t="n">
        <f aca="false">'Raw Data'!B6</f>
        <v>24</v>
      </c>
      <c r="C6" s="7" t="str">
        <f aca="false">'Raw Data'!C6</f>
        <v>Female</v>
      </c>
      <c r="D6" s="7" t="str">
        <f aca="false">'Raw Data'!D6</f>
        <v>Never</v>
      </c>
      <c r="E6" s="7" t="str">
        <f aca="false">'Raw Data'!J6</f>
        <v>Normal</v>
      </c>
      <c r="F6" s="7" t="n">
        <f aca="false">'Raw Data'!K6</f>
        <v>196.6</v>
      </c>
      <c r="G6" s="7" t="str">
        <f aca="false">'Raw Data'!L6</f>
        <v>No</v>
      </c>
      <c r="H6" s="7" t="str">
        <f aca="false">'Raw Data'!M6</f>
        <v>Low</v>
      </c>
      <c r="I6" s="7" t="n">
        <f aca="false">(IF(D6="Current",3,IF(D6="Former",1,0)))+(IF(E6="High",3,IF(E6="Normal",1,0)))+(IF(F6&gt;=240,2,IF(F6&gt;=200,1,0)))+(IF(G6="Yes",2,0))+(IF(H6="High",2,IF(H6="Moderate",1,0)))</f>
        <v>1</v>
      </c>
      <c r="J6" s="7" t="str">
        <f aca="false">IF(I6&gt;=8,"High",IF(I6&gt;=4,"Medium","Low"))</f>
        <v>Low</v>
      </c>
    </row>
    <row r="7" customFormat="false" ht="15" hidden="false" customHeight="true" outlineLevel="0" collapsed="false">
      <c r="A7" s="7" t="n">
        <f aca="false">'Raw Data'!A7</f>
        <v>140</v>
      </c>
      <c r="B7" s="7" t="n">
        <f aca="false">'Raw Data'!B7</f>
        <v>40</v>
      </c>
      <c r="C7" s="7" t="str">
        <f aca="false">'Raw Data'!C7</f>
        <v>Male</v>
      </c>
      <c r="D7" s="7" t="str">
        <f aca="false">'Raw Data'!D7</f>
        <v>Never</v>
      </c>
      <c r="E7" s="7" t="str">
        <f aca="false">'Raw Data'!J7</f>
        <v>Normal</v>
      </c>
      <c r="F7" s="7" t="n">
        <f aca="false">'Raw Data'!K7</f>
        <v>200.8</v>
      </c>
      <c r="G7" s="7" t="str">
        <f aca="false">'Raw Data'!L7</f>
        <v>No</v>
      </c>
      <c r="H7" s="7" t="str">
        <f aca="false">'Raw Data'!M7</f>
        <v>Low</v>
      </c>
      <c r="I7" s="7" t="n">
        <f aca="false">(IF(D7="Current",3,IF(D7="Former",1,0)))+(IF(E7="High",3,IF(E7="Normal",1,0)))+(IF(F7&gt;=240,2,IF(F7&gt;=200,1,0)))+(IF(G7="Yes",2,0))+(IF(H7="High",2,IF(H7="Moderate",1,0)))</f>
        <v>2</v>
      </c>
      <c r="J7" s="7" t="str">
        <f aca="false">IF(I7&gt;=8,"High",IF(I7&gt;=4,"Medium","Low"))</f>
        <v>Low</v>
      </c>
    </row>
    <row r="8" customFormat="false" ht="15" hidden="false" customHeight="true" outlineLevel="0" collapsed="false">
      <c r="A8" s="7" t="n">
        <f aca="false">'Raw Data'!A8</f>
        <v>154</v>
      </c>
      <c r="B8" s="7" t="n">
        <f aca="false">'Raw Data'!B8</f>
        <v>69</v>
      </c>
      <c r="C8" s="7" t="str">
        <f aca="false">'Raw Data'!C8</f>
        <v>Female</v>
      </c>
      <c r="D8" s="7" t="str">
        <f aca="false">'Raw Data'!D8</f>
        <v>Never</v>
      </c>
      <c r="E8" s="7" t="str">
        <f aca="false">'Raw Data'!J8</f>
        <v>Normal</v>
      </c>
      <c r="F8" s="7" t="n">
        <f aca="false">'Raw Data'!K8</f>
        <v>136.1</v>
      </c>
      <c r="G8" s="7" t="str">
        <f aca="false">'Raw Data'!L8</f>
        <v>No</v>
      </c>
      <c r="H8" s="7" t="str">
        <f aca="false">'Raw Data'!M8</f>
        <v>Low</v>
      </c>
      <c r="I8" s="7" t="n">
        <f aca="false">(IF(D8="Current",3,IF(D8="Former",1,0)))+(IF(E8="High",3,IF(E8="Normal",1,0)))+(IF(F8&gt;=240,2,IF(F8&gt;=200,1,0)))+(IF(G8="Yes",2,0))+(IF(H8="High",2,IF(H8="Moderate",1,0)))</f>
        <v>1</v>
      </c>
      <c r="J8" s="7" t="str">
        <f aca="false">IF(I8&gt;=8,"High",IF(I8&gt;=4,"Medium","Low"))</f>
        <v>Low</v>
      </c>
    </row>
    <row r="9" customFormat="false" ht="15" hidden="false" customHeight="true" outlineLevel="0" collapsed="false">
      <c r="A9" s="7" t="n">
        <f aca="false">'Raw Data'!A9</f>
        <v>159</v>
      </c>
      <c r="B9" s="7" t="n">
        <f aca="false">'Raw Data'!B9</f>
        <v>54</v>
      </c>
      <c r="C9" s="7" t="str">
        <f aca="false">'Raw Data'!C9</f>
        <v>Male</v>
      </c>
      <c r="D9" s="7" t="str">
        <f aca="false">'Raw Data'!D9</f>
        <v>Never</v>
      </c>
      <c r="E9" s="7" t="str">
        <f aca="false">'Raw Data'!J9</f>
        <v>Normal</v>
      </c>
      <c r="F9" s="7" t="n">
        <f aca="false">'Raw Data'!K9</f>
        <v>190.4</v>
      </c>
      <c r="G9" s="7" t="str">
        <f aca="false">'Raw Data'!L9</f>
        <v>No</v>
      </c>
      <c r="H9" s="7" t="str">
        <f aca="false">'Raw Data'!M9</f>
        <v>Low</v>
      </c>
      <c r="I9" s="7" t="n">
        <f aca="false">(IF(D9="Current",3,IF(D9="Former",1,0)))+(IF(E9="High",3,IF(E9="Normal",1,0)))+(IF(F9&gt;=240,2,IF(F9&gt;=200,1,0)))+(IF(G9="Yes",2,0))+(IF(H9="High",2,IF(H9="Moderate",1,0)))</f>
        <v>1</v>
      </c>
      <c r="J9" s="7" t="str">
        <f aca="false">IF(I9&gt;=8,"High",IF(I9&gt;=4,"Medium","Low"))</f>
        <v>Low</v>
      </c>
    </row>
    <row r="10" customFormat="false" ht="15" hidden="false" customHeight="true" outlineLevel="0" collapsed="false">
      <c r="A10" s="7" t="n">
        <f aca="false">'Raw Data'!A10</f>
        <v>193</v>
      </c>
      <c r="B10" s="7" t="n">
        <f aca="false">'Raw Data'!B10</f>
        <v>21</v>
      </c>
      <c r="C10" s="7" t="str">
        <f aca="false">'Raw Data'!C10</f>
        <v>Female</v>
      </c>
      <c r="D10" s="7" t="str">
        <f aca="false">'Raw Data'!D10</f>
        <v>Never</v>
      </c>
      <c r="E10" s="7" t="str">
        <f aca="false">'Raw Data'!J10</f>
        <v>Normal</v>
      </c>
      <c r="F10" s="7" t="n">
        <f aca="false">'Raw Data'!K10</f>
        <v>194.3</v>
      </c>
      <c r="G10" s="7" t="str">
        <f aca="false">'Raw Data'!L10</f>
        <v>No</v>
      </c>
      <c r="H10" s="7" t="str">
        <f aca="false">'Raw Data'!M10</f>
        <v>Low</v>
      </c>
      <c r="I10" s="7" t="n">
        <f aca="false">(IF(D10="Current",3,IF(D10="Former",1,0)))+(IF(E10="High",3,IF(E10="Normal",1,0)))+(IF(F10&gt;=240,2,IF(F10&gt;=200,1,0)))+(IF(G10="Yes",2,0))+(IF(H10="High",2,IF(H10="Moderate",1,0)))</f>
        <v>1</v>
      </c>
      <c r="J10" s="7" t="str">
        <f aca="false">IF(I10&gt;=8,"High",IF(I10&gt;=4,"Medium","Low"))</f>
        <v>Low</v>
      </c>
    </row>
    <row r="11" customFormat="false" ht="15" hidden="false" customHeight="true" outlineLevel="0" collapsed="false">
      <c r="A11" s="7" t="n">
        <f aca="false">'Raw Data'!A11</f>
        <v>215</v>
      </c>
      <c r="B11" s="7" t="n">
        <f aca="false">'Raw Data'!B11</f>
        <v>42</v>
      </c>
      <c r="C11" s="7" t="str">
        <f aca="false">'Raw Data'!C11</f>
        <v>Male</v>
      </c>
      <c r="D11" s="7" t="str">
        <f aca="false">'Raw Data'!D11</f>
        <v>Never</v>
      </c>
      <c r="E11" s="7" t="str">
        <f aca="false">'Raw Data'!J11</f>
        <v>Normal</v>
      </c>
      <c r="F11" s="7" t="n">
        <f aca="false">'Raw Data'!K11</f>
        <v>188.2</v>
      </c>
      <c r="G11" s="7" t="str">
        <f aca="false">'Raw Data'!L11</f>
        <v>No</v>
      </c>
      <c r="H11" s="7" t="str">
        <f aca="false">'Raw Data'!M11</f>
        <v>Low</v>
      </c>
      <c r="I11" s="7" t="n">
        <f aca="false">(IF(D11="Current",3,IF(D11="Former",1,0)))+(IF(E11="High",3,IF(E11="Normal",1,0)))+(IF(F11&gt;=240,2,IF(F11&gt;=200,1,0)))+(IF(G11="Yes",2,0))+(IF(H11="High",2,IF(H11="Moderate",1,0)))</f>
        <v>1</v>
      </c>
      <c r="J11" s="7" t="str">
        <f aca="false">IF(I11&gt;=8,"High",IF(I11&gt;=4,"Medium","Low"))</f>
        <v>Low</v>
      </c>
    </row>
    <row r="12" customFormat="false" ht="15" hidden="false" customHeight="true" outlineLevel="0" collapsed="false">
      <c r="A12" s="7" t="n">
        <f aca="false">'Raw Data'!A12</f>
        <v>233</v>
      </c>
      <c r="B12" s="7" t="n">
        <f aca="false">'Raw Data'!B12</f>
        <v>26</v>
      </c>
      <c r="C12" s="7" t="str">
        <f aca="false">'Raw Data'!C12</f>
        <v>Female</v>
      </c>
      <c r="D12" s="7" t="str">
        <f aca="false">'Raw Data'!D12</f>
        <v>Never</v>
      </c>
      <c r="E12" s="7" t="str">
        <f aca="false">'Raw Data'!J12</f>
        <v>Normal</v>
      </c>
      <c r="F12" s="7" t="n">
        <f aca="false">'Raw Data'!K12</f>
        <v>278.4</v>
      </c>
      <c r="G12" s="7" t="str">
        <f aca="false">'Raw Data'!L12</f>
        <v>No</v>
      </c>
      <c r="H12" s="7" t="str">
        <f aca="false">'Raw Data'!M12</f>
        <v>Low</v>
      </c>
      <c r="I12" s="7" t="n">
        <f aca="false">(IF(D12="Current",3,IF(D12="Former",1,0)))+(IF(E12="High",3,IF(E12="Normal",1,0)))+(IF(F12&gt;=240,2,IF(F12&gt;=200,1,0)))+(IF(G12="Yes",2,0))+(IF(H12="High",2,IF(H12="Moderate",1,0)))</f>
        <v>3</v>
      </c>
      <c r="J12" s="7" t="str">
        <f aca="false">IF(I12&gt;=8,"High",IF(I12&gt;=4,"Medium","Low"))</f>
        <v>Low</v>
      </c>
    </row>
    <row r="13" customFormat="false" ht="15" hidden="false" customHeight="true" outlineLevel="0" collapsed="false">
      <c r="A13" s="7" t="n">
        <f aca="false">'Raw Data'!A13</f>
        <v>240</v>
      </c>
      <c r="B13" s="7" t="n">
        <f aca="false">'Raw Data'!B13</f>
        <v>38</v>
      </c>
      <c r="C13" s="7" t="str">
        <f aca="false">'Raw Data'!C13</f>
        <v>Female</v>
      </c>
      <c r="D13" s="7" t="str">
        <f aca="false">'Raw Data'!D13</f>
        <v>Never</v>
      </c>
      <c r="E13" s="7" t="str">
        <f aca="false">'Raw Data'!J13</f>
        <v>Normal</v>
      </c>
      <c r="F13" s="7" t="n">
        <f aca="false">'Raw Data'!K13</f>
        <v>175.1</v>
      </c>
      <c r="G13" s="7" t="str">
        <f aca="false">'Raw Data'!L13</f>
        <v>No</v>
      </c>
      <c r="H13" s="7" t="str">
        <f aca="false">'Raw Data'!M13</f>
        <v>Low</v>
      </c>
      <c r="I13" s="7" t="n">
        <f aca="false">(IF(D13="Current",3,IF(D13="Former",1,0)))+(IF(E13="High",3,IF(E13="Normal",1,0)))+(IF(F13&gt;=240,2,IF(F13&gt;=200,1,0)))+(IF(G13="Yes",2,0))+(IF(H13="High",2,IF(H13="Moderate",1,0)))</f>
        <v>1</v>
      </c>
      <c r="J13" s="7" t="str">
        <f aca="false">IF(I13&gt;=8,"High",IF(I13&gt;=4,"Medium","Low"))</f>
        <v>Low</v>
      </c>
    </row>
    <row r="14" customFormat="false" ht="15" hidden="false" customHeight="true" outlineLevel="0" collapsed="false">
      <c r="A14" s="7" t="n">
        <f aca="false">'Raw Data'!A14</f>
        <v>243</v>
      </c>
      <c r="B14" s="7" t="n">
        <f aca="false">'Raw Data'!B14</f>
        <v>52</v>
      </c>
      <c r="C14" s="7" t="str">
        <f aca="false">'Raw Data'!C14</f>
        <v>Male</v>
      </c>
      <c r="D14" s="7" t="str">
        <f aca="false">'Raw Data'!D14</f>
        <v>Never</v>
      </c>
      <c r="E14" s="7" t="str">
        <f aca="false">'Raw Data'!J14</f>
        <v>Normal</v>
      </c>
      <c r="F14" s="7" t="n">
        <f aca="false">'Raw Data'!K14</f>
        <v>229</v>
      </c>
      <c r="G14" s="7" t="str">
        <f aca="false">'Raw Data'!L14</f>
        <v>No</v>
      </c>
      <c r="H14" s="7" t="str">
        <f aca="false">'Raw Data'!M14</f>
        <v>Low</v>
      </c>
      <c r="I14" s="7" t="n">
        <f aca="false">(IF(D14="Current",3,IF(D14="Former",1,0)))+(IF(E14="High",3,IF(E14="Normal",1,0)))+(IF(F14&gt;=240,2,IF(F14&gt;=200,1,0)))+(IF(G14="Yes",2,0))+(IF(H14="High",2,IF(H14="Moderate",1,0)))</f>
        <v>2</v>
      </c>
      <c r="J14" s="7" t="str">
        <f aca="false">IF(I14&gt;=8,"High",IF(I14&gt;=4,"Medium","Low"))</f>
        <v>Low</v>
      </c>
    </row>
    <row r="15" customFormat="false" ht="15" hidden="false" customHeight="true" outlineLevel="0" collapsed="false">
      <c r="A15" s="7" t="n">
        <f aca="false">'Raw Data'!A15</f>
        <v>288</v>
      </c>
      <c r="B15" s="7" t="n">
        <f aca="false">'Raw Data'!B15</f>
        <v>22</v>
      </c>
      <c r="C15" s="7" t="str">
        <f aca="false">'Raw Data'!C15</f>
        <v>Female</v>
      </c>
      <c r="D15" s="7" t="str">
        <f aca="false">'Raw Data'!D15</f>
        <v>Never</v>
      </c>
      <c r="E15" s="7" t="str">
        <f aca="false">'Raw Data'!J15</f>
        <v>Normal</v>
      </c>
      <c r="F15" s="7" t="n">
        <f aca="false">'Raw Data'!K15</f>
        <v>291.1</v>
      </c>
      <c r="G15" s="7" t="str">
        <f aca="false">'Raw Data'!L15</f>
        <v>No</v>
      </c>
      <c r="H15" s="7" t="str">
        <f aca="false">'Raw Data'!M15</f>
        <v>Low</v>
      </c>
      <c r="I15" s="7" t="n">
        <f aca="false">(IF(D15="Current",3,IF(D15="Former",1,0)))+(IF(E15="High",3,IF(E15="Normal",1,0)))+(IF(F15&gt;=240,2,IF(F15&gt;=200,1,0)))+(IF(G15="Yes",2,0))+(IF(H15="High",2,IF(H15="Moderate",1,0)))</f>
        <v>3</v>
      </c>
      <c r="J15" s="7" t="str">
        <f aca="false">IF(I15&gt;=8,"High",IF(I15&gt;=4,"Medium","Low"))</f>
        <v>Low</v>
      </c>
    </row>
    <row r="16" customFormat="false" ht="15" hidden="false" customHeight="true" outlineLevel="0" collapsed="false">
      <c r="A16" s="7" t="n">
        <f aca="false">'Raw Data'!A16</f>
        <v>300</v>
      </c>
      <c r="B16" s="7" t="n">
        <f aca="false">'Raw Data'!B16</f>
        <v>21</v>
      </c>
      <c r="C16" s="7" t="str">
        <f aca="false">'Raw Data'!C16</f>
        <v>Female</v>
      </c>
      <c r="D16" s="7" t="str">
        <f aca="false">'Raw Data'!D16</f>
        <v>Never</v>
      </c>
      <c r="E16" s="7" t="str">
        <f aca="false">'Raw Data'!J16</f>
        <v>Normal</v>
      </c>
      <c r="F16" s="7" t="n">
        <f aca="false">'Raw Data'!K16</f>
        <v>217.3</v>
      </c>
      <c r="G16" s="7" t="str">
        <f aca="false">'Raw Data'!L16</f>
        <v>No</v>
      </c>
      <c r="H16" s="7" t="str">
        <f aca="false">'Raw Data'!M16</f>
        <v>Low</v>
      </c>
      <c r="I16" s="7" t="n">
        <f aca="false">(IF(D16="Current",3,IF(D16="Former",1,0)))+(IF(E16="High",3,IF(E16="Normal",1,0)))+(IF(F16&gt;=240,2,IF(F16&gt;=200,1,0)))+(IF(G16="Yes",2,0))+(IF(H16="High",2,IF(H16="Moderate",1,0)))</f>
        <v>2</v>
      </c>
      <c r="J16" s="7" t="str">
        <f aca="false">IF(I16&gt;=8,"High",IF(I16&gt;=4,"Medium","Low"))</f>
        <v>Low</v>
      </c>
    </row>
    <row r="17" customFormat="false" ht="15" hidden="false" customHeight="true" outlineLevel="0" collapsed="false">
      <c r="A17" s="7" t="n">
        <f aca="false">'Raw Data'!A17</f>
        <v>303</v>
      </c>
      <c r="B17" s="7" t="n">
        <f aca="false">'Raw Data'!B17</f>
        <v>89</v>
      </c>
      <c r="C17" s="7" t="str">
        <f aca="false">'Raw Data'!C17</f>
        <v>Female</v>
      </c>
      <c r="D17" s="7" t="str">
        <f aca="false">'Raw Data'!D17</f>
        <v>Never</v>
      </c>
      <c r="E17" s="7" t="str">
        <f aca="false">'Raw Data'!J17</f>
        <v>Normal</v>
      </c>
      <c r="F17" s="7" t="n">
        <f aca="false">'Raw Data'!K17</f>
        <v>183.5</v>
      </c>
      <c r="G17" s="7" t="str">
        <f aca="false">'Raw Data'!L17</f>
        <v>No</v>
      </c>
      <c r="H17" s="7" t="str">
        <f aca="false">'Raw Data'!M17</f>
        <v>Low</v>
      </c>
      <c r="I17" s="7" t="n">
        <f aca="false">(IF(D17="Current",3,IF(D17="Former",1,0)))+(IF(E17="High",3,IF(E17="Normal",1,0)))+(IF(F17&gt;=240,2,IF(F17&gt;=200,1,0)))+(IF(G17="Yes",2,0))+(IF(H17="High",2,IF(H17="Moderate",1,0)))</f>
        <v>1</v>
      </c>
      <c r="J17" s="7" t="str">
        <f aca="false">IF(I17&gt;=8,"High",IF(I17&gt;=4,"Medium","Low"))</f>
        <v>Low</v>
      </c>
    </row>
    <row r="18" customFormat="false" ht="15" hidden="false" customHeight="true" outlineLevel="0" collapsed="false">
      <c r="A18" s="7" t="n">
        <f aca="false">'Raw Data'!A18</f>
        <v>317</v>
      </c>
      <c r="B18" s="7" t="n">
        <f aca="false">'Raw Data'!B18</f>
        <v>75</v>
      </c>
      <c r="C18" s="7" t="str">
        <f aca="false">'Raw Data'!C18</f>
        <v>Male</v>
      </c>
      <c r="D18" s="7" t="str">
        <f aca="false">'Raw Data'!D18</f>
        <v>Never</v>
      </c>
      <c r="E18" s="7" t="str">
        <f aca="false">'Raw Data'!J18</f>
        <v>Normal</v>
      </c>
      <c r="F18" s="7" t="n">
        <f aca="false">'Raw Data'!K18</f>
        <v>236.9</v>
      </c>
      <c r="G18" s="7" t="str">
        <f aca="false">'Raw Data'!L18</f>
        <v>No</v>
      </c>
      <c r="H18" s="7" t="str">
        <f aca="false">'Raw Data'!M18</f>
        <v>Low</v>
      </c>
      <c r="I18" s="7" t="n">
        <f aca="false">(IF(D18="Current",3,IF(D18="Former",1,0)))+(IF(E18="High",3,IF(E18="Normal",1,0)))+(IF(F18&gt;=240,2,IF(F18&gt;=200,1,0)))+(IF(G18="Yes",2,0))+(IF(H18="High",2,IF(H18="Moderate",1,0)))</f>
        <v>2</v>
      </c>
      <c r="J18" s="7" t="str">
        <f aca="false">IF(I18&gt;=8,"High",IF(I18&gt;=4,"Medium","Low"))</f>
        <v>Low</v>
      </c>
    </row>
    <row r="19" customFormat="false" ht="15" hidden="false" customHeight="true" outlineLevel="0" collapsed="false">
      <c r="A19" s="7" t="n">
        <f aca="false">'Raw Data'!A19</f>
        <v>340</v>
      </c>
      <c r="B19" s="7" t="n">
        <f aca="false">'Raw Data'!B19</f>
        <v>54</v>
      </c>
      <c r="C19" s="7" t="str">
        <f aca="false">'Raw Data'!C19</f>
        <v>Male</v>
      </c>
      <c r="D19" s="7" t="str">
        <f aca="false">'Raw Data'!D19</f>
        <v>Never</v>
      </c>
      <c r="E19" s="7" t="str">
        <f aca="false">'Raw Data'!J19</f>
        <v>Normal</v>
      </c>
      <c r="F19" s="7" t="n">
        <f aca="false">'Raw Data'!K19</f>
        <v>127</v>
      </c>
      <c r="G19" s="7" t="str">
        <f aca="false">'Raw Data'!L19</f>
        <v>No</v>
      </c>
      <c r="H19" s="7" t="str">
        <f aca="false">'Raw Data'!M19</f>
        <v>Low</v>
      </c>
      <c r="I19" s="7" t="n">
        <f aca="false">(IF(D19="Current",3,IF(D19="Former",1,0)))+(IF(E19="High",3,IF(E19="Normal",1,0)))+(IF(F19&gt;=240,2,IF(F19&gt;=200,1,0)))+(IF(G19="Yes",2,0))+(IF(H19="High",2,IF(H19="Moderate",1,0)))</f>
        <v>1</v>
      </c>
      <c r="J19" s="7" t="str">
        <f aca="false">IF(I19&gt;=8,"High",IF(I19&gt;=4,"Medium","Low"))</f>
        <v>Low</v>
      </c>
    </row>
    <row r="20" customFormat="false" ht="15" hidden="false" customHeight="true" outlineLevel="0" collapsed="false">
      <c r="A20" s="7" t="n">
        <f aca="false">'Raw Data'!A20</f>
        <v>370</v>
      </c>
      <c r="B20" s="7" t="n">
        <f aca="false">'Raw Data'!B20</f>
        <v>38</v>
      </c>
      <c r="C20" s="7" t="str">
        <f aca="false">'Raw Data'!C20</f>
        <v>Male</v>
      </c>
      <c r="D20" s="7" t="str">
        <f aca="false">'Raw Data'!D20</f>
        <v>Never</v>
      </c>
      <c r="E20" s="7" t="str">
        <f aca="false">'Raw Data'!J20</f>
        <v>Normal</v>
      </c>
      <c r="F20" s="7" t="n">
        <f aca="false">'Raw Data'!K20</f>
        <v>230.1</v>
      </c>
      <c r="G20" s="7" t="str">
        <f aca="false">'Raw Data'!L20</f>
        <v>No</v>
      </c>
      <c r="H20" s="7" t="str">
        <f aca="false">'Raw Data'!M20</f>
        <v>Low</v>
      </c>
      <c r="I20" s="7" t="n">
        <f aca="false">(IF(D20="Current",3,IF(D20="Former",1,0)))+(IF(E20="High",3,IF(E20="Normal",1,0)))+(IF(F20&gt;=240,2,IF(F20&gt;=200,1,0)))+(IF(G20="Yes",2,0))+(IF(H20="High",2,IF(H20="Moderate",1,0)))</f>
        <v>2</v>
      </c>
      <c r="J20" s="7" t="str">
        <f aca="false">IF(I20&gt;=8,"High",IF(I20&gt;=4,"Medium","Low"))</f>
        <v>Low</v>
      </c>
    </row>
    <row r="21" customFormat="false" ht="15" hidden="false" customHeight="true" outlineLevel="0" collapsed="false">
      <c r="A21" s="7" t="n">
        <f aca="false">'Raw Data'!A21</f>
        <v>399</v>
      </c>
      <c r="B21" s="7" t="n">
        <f aca="false">'Raw Data'!B21</f>
        <v>29</v>
      </c>
      <c r="C21" s="7" t="str">
        <f aca="false">'Raw Data'!C21</f>
        <v>Male</v>
      </c>
      <c r="D21" s="7" t="str">
        <f aca="false">'Raw Data'!D21</f>
        <v>Never</v>
      </c>
      <c r="E21" s="7" t="str">
        <f aca="false">'Raw Data'!J21</f>
        <v>Normal</v>
      </c>
      <c r="F21" s="7" t="n">
        <f aca="false">'Raw Data'!K21</f>
        <v>267.1</v>
      </c>
      <c r="G21" s="7" t="str">
        <f aca="false">'Raw Data'!L21</f>
        <v>No</v>
      </c>
      <c r="H21" s="7" t="str">
        <f aca="false">'Raw Data'!M21</f>
        <v>Low</v>
      </c>
      <c r="I21" s="7" t="n">
        <f aca="false">(IF(D21="Current",3,IF(D21="Former",1,0)))+(IF(E21="High",3,IF(E21="Normal",1,0)))+(IF(F21&gt;=240,2,IF(F21&gt;=200,1,0)))+(IF(G21="Yes",2,0))+(IF(H21="High",2,IF(H21="Moderate",1,0)))</f>
        <v>3</v>
      </c>
      <c r="J21" s="7" t="str">
        <f aca="false">IF(I21&gt;=8,"High",IF(I21&gt;=4,"Medium","Low"))</f>
        <v>Low</v>
      </c>
    </row>
    <row r="22" customFormat="false" ht="15" hidden="false" customHeight="true" outlineLevel="0" collapsed="false">
      <c r="A22" s="7" t="n">
        <f aca="false">'Raw Data'!A22</f>
        <v>403</v>
      </c>
      <c r="B22" s="7" t="n">
        <f aca="false">'Raw Data'!B22</f>
        <v>36</v>
      </c>
      <c r="C22" s="7" t="str">
        <f aca="false">'Raw Data'!C22</f>
        <v>Female</v>
      </c>
      <c r="D22" s="7" t="str">
        <f aca="false">'Raw Data'!D22</f>
        <v>Never</v>
      </c>
      <c r="E22" s="7" t="str">
        <f aca="false">'Raw Data'!J22</f>
        <v>Normal</v>
      </c>
      <c r="F22" s="7" t="n">
        <f aca="false">'Raw Data'!K22</f>
        <v>268.4</v>
      </c>
      <c r="G22" s="7" t="str">
        <f aca="false">'Raw Data'!L22</f>
        <v>No</v>
      </c>
      <c r="H22" s="7" t="str">
        <f aca="false">'Raw Data'!M22</f>
        <v>Low</v>
      </c>
      <c r="I22" s="7" t="n">
        <f aca="false">(IF(D22="Current",3,IF(D22="Former",1,0)))+(IF(E22="High",3,IF(E22="Normal",1,0)))+(IF(F22&gt;=240,2,IF(F22&gt;=200,1,0)))+(IF(G22="Yes",2,0))+(IF(H22="High",2,IF(H22="Moderate",1,0)))</f>
        <v>3</v>
      </c>
      <c r="J22" s="7" t="str">
        <f aca="false">IF(I22&gt;=8,"High",IF(I22&gt;=4,"Medium","Low"))</f>
        <v>Low</v>
      </c>
    </row>
    <row r="23" customFormat="false" ht="15" hidden="false" customHeight="true" outlineLevel="0" collapsed="false">
      <c r="A23" s="7" t="n">
        <f aca="false">'Raw Data'!A23</f>
        <v>408</v>
      </c>
      <c r="B23" s="7" t="n">
        <f aca="false">'Raw Data'!B23</f>
        <v>84</v>
      </c>
      <c r="C23" s="7" t="str">
        <f aca="false">'Raw Data'!C23</f>
        <v>Female</v>
      </c>
      <c r="D23" s="7" t="str">
        <f aca="false">'Raw Data'!D23</f>
        <v>Never</v>
      </c>
      <c r="E23" s="7" t="str">
        <f aca="false">'Raw Data'!J23</f>
        <v>Normal</v>
      </c>
      <c r="F23" s="7" t="n">
        <f aca="false">'Raw Data'!K23</f>
        <v>223.6</v>
      </c>
      <c r="G23" s="7" t="str">
        <f aca="false">'Raw Data'!L23</f>
        <v>No</v>
      </c>
      <c r="H23" s="7" t="str">
        <f aca="false">'Raw Data'!M23</f>
        <v>Low</v>
      </c>
      <c r="I23" s="7" t="n">
        <f aca="false">(IF(D23="Current",3,IF(D23="Former",1,0)))+(IF(E23="High",3,IF(E23="Normal",1,0)))+(IF(F23&gt;=240,2,IF(F23&gt;=200,1,0)))+(IF(G23="Yes",2,0))+(IF(H23="High",2,IF(H23="Moderate",1,0)))</f>
        <v>2</v>
      </c>
      <c r="J23" s="7" t="str">
        <f aca="false">IF(I23&gt;=8,"High",IF(I23&gt;=4,"Medium","Low"))</f>
        <v>Low</v>
      </c>
    </row>
    <row r="24" customFormat="false" ht="15" hidden="false" customHeight="true" outlineLevel="0" collapsed="false">
      <c r="A24" s="7" t="n">
        <f aca="false">'Raw Data'!A24</f>
        <v>425</v>
      </c>
      <c r="B24" s="7" t="n">
        <f aca="false">'Raw Data'!B24</f>
        <v>21</v>
      </c>
      <c r="C24" s="7" t="str">
        <f aca="false">'Raw Data'!C24</f>
        <v>Male</v>
      </c>
      <c r="D24" s="7" t="str">
        <f aca="false">'Raw Data'!D24</f>
        <v>Never</v>
      </c>
      <c r="E24" s="7" t="str">
        <f aca="false">'Raw Data'!J24</f>
        <v>Normal</v>
      </c>
      <c r="F24" s="7" t="n">
        <f aca="false">'Raw Data'!K24</f>
        <v>219.1</v>
      </c>
      <c r="G24" s="7" t="str">
        <f aca="false">'Raw Data'!L24</f>
        <v>No</v>
      </c>
      <c r="H24" s="7" t="str">
        <f aca="false">'Raw Data'!M24</f>
        <v>Low</v>
      </c>
      <c r="I24" s="7" t="n">
        <f aca="false">(IF(D24="Current",3,IF(D24="Former",1,0)))+(IF(E24="High",3,IF(E24="Normal",1,0)))+(IF(F24&gt;=240,2,IF(F24&gt;=200,1,0)))+(IF(G24="Yes",2,0))+(IF(H24="High",2,IF(H24="Moderate",1,0)))</f>
        <v>2</v>
      </c>
      <c r="J24" s="7" t="str">
        <f aca="false">IF(I24&gt;=8,"High",IF(I24&gt;=4,"Medium","Low"))</f>
        <v>Low</v>
      </c>
    </row>
    <row r="25" customFormat="false" ht="15" hidden="false" customHeight="true" outlineLevel="0" collapsed="false">
      <c r="A25" s="7" t="n">
        <f aca="false">'Raw Data'!A25</f>
        <v>429</v>
      </c>
      <c r="B25" s="7" t="n">
        <f aca="false">'Raw Data'!B25</f>
        <v>78</v>
      </c>
      <c r="C25" s="7" t="str">
        <f aca="false">'Raw Data'!C25</f>
        <v>Male</v>
      </c>
      <c r="D25" s="7" t="str">
        <f aca="false">'Raw Data'!D25</f>
        <v>Never</v>
      </c>
      <c r="E25" s="7" t="str">
        <f aca="false">'Raw Data'!J25</f>
        <v>Normal</v>
      </c>
      <c r="F25" s="7" t="n">
        <f aca="false">'Raw Data'!K25</f>
        <v>242.1</v>
      </c>
      <c r="G25" s="7" t="str">
        <f aca="false">'Raw Data'!L25</f>
        <v>No</v>
      </c>
      <c r="H25" s="7" t="str">
        <f aca="false">'Raw Data'!M25</f>
        <v>Low</v>
      </c>
      <c r="I25" s="7" t="n">
        <f aca="false">(IF(D25="Current",3,IF(D25="Former",1,0)))+(IF(E25="High",3,IF(E25="Normal",1,0)))+(IF(F25&gt;=240,2,IF(F25&gt;=200,1,0)))+(IF(G25="Yes",2,0))+(IF(H25="High",2,IF(H25="Moderate",1,0)))</f>
        <v>3</v>
      </c>
      <c r="J25" s="7" t="str">
        <f aca="false">IF(I25&gt;=8,"High",IF(I25&gt;=4,"Medium","Low"))</f>
        <v>Low</v>
      </c>
    </row>
    <row r="26" customFormat="false" ht="15" hidden="false" customHeight="true" outlineLevel="0" collapsed="false">
      <c r="A26" s="7" t="n">
        <f aca="false">'Raw Data'!A26</f>
        <v>434</v>
      </c>
      <c r="B26" s="7" t="n">
        <f aca="false">'Raw Data'!B26</f>
        <v>61</v>
      </c>
      <c r="C26" s="7" t="str">
        <f aca="false">'Raw Data'!C26</f>
        <v>Female</v>
      </c>
      <c r="D26" s="7" t="str">
        <f aca="false">'Raw Data'!D26</f>
        <v>Never</v>
      </c>
      <c r="E26" s="7" t="str">
        <f aca="false">'Raw Data'!J26</f>
        <v>Normal</v>
      </c>
      <c r="F26" s="7" t="n">
        <f aca="false">'Raw Data'!K26</f>
        <v>158.9</v>
      </c>
      <c r="G26" s="7" t="str">
        <f aca="false">'Raw Data'!L26</f>
        <v>No</v>
      </c>
      <c r="H26" s="7" t="str">
        <f aca="false">'Raw Data'!M26</f>
        <v>Low</v>
      </c>
      <c r="I26" s="7" t="n">
        <f aca="false">(IF(D26="Current",3,IF(D26="Former",1,0)))+(IF(E26="High",3,IF(E26="Normal",1,0)))+(IF(F26&gt;=240,2,IF(F26&gt;=200,1,0)))+(IF(G26="Yes",2,0))+(IF(H26="High",2,IF(H26="Moderate",1,0)))</f>
        <v>1</v>
      </c>
      <c r="J26" s="7" t="str">
        <f aca="false">IF(I26&gt;=8,"High",IF(I26&gt;=4,"Medium","Low"))</f>
        <v>Low</v>
      </c>
    </row>
    <row r="27" customFormat="false" ht="15" hidden="false" customHeight="true" outlineLevel="0" collapsed="false">
      <c r="A27" s="7" t="n">
        <f aca="false">'Raw Data'!A27</f>
        <v>443</v>
      </c>
      <c r="B27" s="7" t="n">
        <f aca="false">'Raw Data'!B27</f>
        <v>42</v>
      </c>
      <c r="C27" s="7" t="str">
        <f aca="false">'Raw Data'!C27</f>
        <v>Female</v>
      </c>
      <c r="D27" s="7" t="str">
        <f aca="false">'Raw Data'!D27</f>
        <v>Never</v>
      </c>
      <c r="E27" s="7" t="str">
        <f aca="false">'Raw Data'!J27</f>
        <v>Normal</v>
      </c>
      <c r="F27" s="7" t="n">
        <f aca="false">'Raw Data'!K27</f>
        <v>205.5</v>
      </c>
      <c r="G27" s="7" t="str">
        <f aca="false">'Raw Data'!L27</f>
        <v>No</v>
      </c>
      <c r="H27" s="7" t="str">
        <f aca="false">'Raw Data'!M27</f>
        <v>Low</v>
      </c>
      <c r="I27" s="7" t="n">
        <f aca="false">(IF(D27="Current",3,IF(D27="Former",1,0)))+(IF(E27="High",3,IF(E27="Normal",1,0)))+(IF(F27&gt;=240,2,IF(F27&gt;=200,1,0)))+(IF(G27="Yes",2,0))+(IF(H27="High",2,IF(H27="Moderate",1,0)))</f>
        <v>2</v>
      </c>
      <c r="J27" s="7" t="str">
        <f aca="false">IF(I27&gt;=8,"High",IF(I27&gt;=4,"Medium","Low"))</f>
        <v>Low</v>
      </c>
    </row>
    <row r="28" customFormat="false" ht="15" hidden="false" customHeight="true" outlineLevel="0" collapsed="false">
      <c r="A28" s="7" t="n">
        <f aca="false">'Raw Data'!A28</f>
        <v>455</v>
      </c>
      <c r="B28" s="7" t="n">
        <f aca="false">'Raw Data'!B28</f>
        <v>77</v>
      </c>
      <c r="C28" s="7" t="str">
        <f aca="false">'Raw Data'!C28</f>
        <v>Female</v>
      </c>
      <c r="D28" s="7" t="str">
        <f aca="false">'Raw Data'!D28</f>
        <v>Never</v>
      </c>
      <c r="E28" s="7" t="str">
        <f aca="false">'Raw Data'!J28</f>
        <v>Normal</v>
      </c>
      <c r="F28" s="7" t="n">
        <f aca="false">'Raw Data'!K28</f>
        <v>275.4</v>
      </c>
      <c r="G28" s="7" t="str">
        <f aca="false">'Raw Data'!L28</f>
        <v>No</v>
      </c>
      <c r="H28" s="7" t="str">
        <f aca="false">'Raw Data'!M28</f>
        <v>Low</v>
      </c>
      <c r="I28" s="7" t="n">
        <f aca="false">(IF(D28="Current",3,IF(D28="Former",1,0)))+(IF(E28="High",3,IF(E28="Normal",1,0)))+(IF(F28&gt;=240,2,IF(F28&gt;=200,1,0)))+(IF(G28="Yes",2,0))+(IF(H28="High",2,IF(H28="Moderate",1,0)))</f>
        <v>3</v>
      </c>
      <c r="J28" s="7" t="str">
        <f aca="false">IF(I28&gt;=8,"High",IF(I28&gt;=4,"Medium","Low"))</f>
        <v>Low</v>
      </c>
    </row>
    <row r="29" customFormat="false" ht="15" hidden="false" customHeight="true" outlineLevel="0" collapsed="false">
      <c r="A29" s="7" t="n">
        <f aca="false">'Raw Data'!A29</f>
        <v>477</v>
      </c>
      <c r="B29" s="7" t="n">
        <f aca="false">'Raw Data'!B29</f>
        <v>46</v>
      </c>
      <c r="C29" s="7" t="str">
        <f aca="false">'Raw Data'!C29</f>
        <v>Male</v>
      </c>
      <c r="D29" s="7" t="str">
        <f aca="false">'Raw Data'!D29</f>
        <v>Never</v>
      </c>
      <c r="E29" s="7" t="str">
        <f aca="false">'Raw Data'!J29</f>
        <v>Normal</v>
      </c>
      <c r="F29" s="7" t="n">
        <f aca="false">'Raw Data'!K29</f>
        <v>162.3</v>
      </c>
      <c r="G29" s="7" t="str">
        <f aca="false">'Raw Data'!L29</f>
        <v>No</v>
      </c>
      <c r="H29" s="7" t="str">
        <f aca="false">'Raw Data'!M29</f>
        <v>Low</v>
      </c>
      <c r="I29" s="7" t="n">
        <f aca="false">(IF(D29="Current",3,IF(D29="Former",1,0)))+(IF(E29="High",3,IF(E29="Normal",1,0)))+(IF(F29&gt;=240,2,IF(F29&gt;=200,1,0)))+(IF(G29="Yes",2,0))+(IF(H29="High",2,IF(H29="Moderate",1,0)))</f>
        <v>1</v>
      </c>
      <c r="J29" s="7" t="str">
        <f aca="false">IF(I29&gt;=8,"High",IF(I29&gt;=4,"Medium","Low"))</f>
        <v>Low</v>
      </c>
    </row>
    <row r="30" customFormat="false" ht="15" hidden="false" customHeight="true" outlineLevel="0" collapsed="false">
      <c r="A30" s="7" t="n">
        <f aca="false">'Raw Data'!A30</f>
        <v>488</v>
      </c>
      <c r="B30" s="7" t="n">
        <f aca="false">'Raw Data'!B30</f>
        <v>81</v>
      </c>
      <c r="C30" s="7" t="str">
        <f aca="false">'Raw Data'!C30</f>
        <v>Female</v>
      </c>
      <c r="D30" s="7" t="str">
        <f aca="false">'Raw Data'!D30</f>
        <v>Never</v>
      </c>
      <c r="E30" s="7" t="str">
        <f aca="false">'Raw Data'!J30</f>
        <v>Normal</v>
      </c>
      <c r="F30" s="7" t="n">
        <f aca="false">'Raw Data'!K30</f>
        <v>154.8</v>
      </c>
      <c r="G30" s="7" t="str">
        <f aca="false">'Raw Data'!L30</f>
        <v>No</v>
      </c>
      <c r="H30" s="7" t="str">
        <f aca="false">'Raw Data'!M30</f>
        <v>Low</v>
      </c>
      <c r="I30" s="7" t="n">
        <f aca="false">(IF(D30="Current",3,IF(D30="Former",1,0)))+(IF(E30="High",3,IF(E30="Normal",1,0)))+(IF(F30&gt;=240,2,IF(F30&gt;=200,1,0)))+(IF(G30="Yes",2,0))+(IF(H30="High",2,IF(H30="Moderate",1,0)))</f>
        <v>1</v>
      </c>
      <c r="J30" s="7" t="str">
        <f aca="false">IF(I30&gt;=8,"High",IF(I30&gt;=4,"Medium","Low"))</f>
        <v>Low</v>
      </c>
    </row>
    <row r="31" customFormat="false" ht="15" hidden="false" customHeight="true" outlineLevel="0" collapsed="false">
      <c r="A31" s="7" t="n">
        <f aca="false">'Raw Data'!A31</f>
        <v>490</v>
      </c>
      <c r="B31" s="7" t="n">
        <f aca="false">'Raw Data'!B31</f>
        <v>55</v>
      </c>
      <c r="C31" s="7" t="str">
        <f aca="false">'Raw Data'!C31</f>
        <v>Male</v>
      </c>
      <c r="D31" s="7" t="str">
        <f aca="false">'Raw Data'!D31</f>
        <v>Never</v>
      </c>
      <c r="E31" s="7" t="str">
        <f aca="false">'Raw Data'!J31</f>
        <v>Normal</v>
      </c>
      <c r="F31" s="7" t="n">
        <f aca="false">'Raw Data'!K31</f>
        <v>161.7</v>
      </c>
      <c r="G31" s="7" t="str">
        <f aca="false">'Raw Data'!L31</f>
        <v>No</v>
      </c>
      <c r="H31" s="7" t="str">
        <f aca="false">'Raw Data'!M31</f>
        <v>Low</v>
      </c>
      <c r="I31" s="7" t="n">
        <f aca="false">(IF(D31="Current",3,IF(D31="Former",1,0)))+(IF(E31="High",3,IF(E31="Normal",1,0)))+(IF(F31&gt;=240,2,IF(F31&gt;=200,1,0)))+(IF(G31="Yes",2,0))+(IF(H31="High",2,IF(H31="Moderate",1,0)))</f>
        <v>1</v>
      </c>
      <c r="J31" s="7" t="str">
        <f aca="false">IF(I31&gt;=8,"High",IF(I31&gt;=4,"Medium","Low"))</f>
        <v>Low</v>
      </c>
    </row>
    <row r="32" customFormat="false" ht="15" hidden="false" customHeight="true" outlineLevel="0" collapsed="false">
      <c r="A32" s="7" t="n">
        <f aca="false">'Raw Data'!A32</f>
        <v>492</v>
      </c>
      <c r="B32" s="7" t="n">
        <f aca="false">'Raw Data'!B32</f>
        <v>34</v>
      </c>
      <c r="C32" s="7" t="str">
        <f aca="false">'Raw Data'!C32</f>
        <v>Female</v>
      </c>
      <c r="D32" s="7" t="str">
        <f aca="false">'Raw Data'!D32</f>
        <v>Never</v>
      </c>
      <c r="E32" s="7" t="str">
        <f aca="false">'Raw Data'!J32</f>
        <v>Normal</v>
      </c>
      <c r="F32" s="7" t="n">
        <f aca="false">'Raw Data'!K32</f>
        <v>187</v>
      </c>
      <c r="G32" s="7" t="str">
        <f aca="false">'Raw Data'!L32</f>
        <v>No</v>
      </c>
      <c r="H32" s="7" t="str">
        <f aca="false">'Raw Data'!M32</f>
        <v>Low</v>
      </c>
      <c r="I32" s="7" t="n">
        <f aca="false">(IF(D32="Current",3,IF(D32="Former",1,0)))+(IF(E32="High",3,IF(E32="Normal",1,0)))+(IF(F32&gt;=240,2,IF(F32&gt;=200,1,0)))+(IF(G32="Yes",2,0))+(IF(H32="High",2,IF(H32="Moderate",1,0)))</f>
        <v>1</v>
      </c>
      <c r="J32" s="7" t="str">
        <f aca="false">IF(I32&gt;=8,"High",IF(I32&gt;=4,"Medium","Low"))</f>
        <v>Low</v>
      </c>
    </row>
    <row r="33" customFormat="false" ht="15" hidden="false" customHeight="true" outlineLevel="0" collapsed="false">
      <c r="A33" s="7" t="n">
        <f aca="false">'Raw Data'!A33</f>
        <v>499</v>
      </c>
      <c r="B33" s="7" t="n">
        <f aca="false">'Raw Data'!B33</f>
        <v>45</v>
      </c>
      <c r="C33" s="7" t="str">
        <f aca="false">'Raw Data'!C33</f>
        <v>Female</v>
      </c>
      <c r="D33" s="7" t="str">
        <f aca="false">'Raw Data'!D33</f>
        <v>Never</v>
      </c>
      <c r="E33" s="7" t="str">
        <f aca="false">'Raw Data'!J33</f>
        <v>Normal</v>
      </c>
      <c r="F33" s="7" t="n">
        <f aca="false">'Raw Data'!K33</f>
        <v>180.1</v>
      </c>
      <c r="G33" s="7" t="str">
        <f aca="false">'Raw Data'!L33</f>
        <v>No</v>
      </c>
      <c r="H33" s="7" t="str">
        <f aca="false">'Raw Data'!M33</f>
        <v>Low</v>
      </c>
      <c r="I33" s="7" t="n">
        <f aca="false">(IF(D33="Current",3,IF(D33="Former",1,0)))+(IF(E33="High",3,IF(E33="Normal",1,0)))+(IF(F33&gt;=240,2,IF(F33&gt;=200,1,0)))+(IF(G33="Yes",2,0))+(IF(H33="High",2,IF(H33="Moderate",1,0)))</f>
        <v>1</v>
      </c>
      <c r="J33" s="7" t="str">
        <f aca="false">IF(I33&gt;=8,"High",IF(I33&gt;=4,"Medium","Low"))</f>
        <v>Low</v>
      </c>
    </row>
    <row r="34" customFormat="false" ht="15" hidden="false" customHeight="true" outlineLevel="0" collapsed="false">
      <c r="A34" s="7" t="n">
        <f aca="false">'Raw Data'!A34</f>
        <v>505</v>
      </c>
      <c r="B34" s="7" t="n">
        <f aca="false">'Raw Data'!B34</f>
        <v>21</v>
      </c>
      <c r="C34" s="7" t="str">
        <f aca="false">'Raw Data'!C34</f>
        <v>Female</v>
      </c>
      <c r="D34" s="7" t="str">
        <f aca="false">'Raw Data'!D34</f>
        <v>Never</v>
      </c>
      <c r="E34" s="7" t="str">
        <f aca="false">'Raw Data'!J34</f>
        <v>Normal</v>
      </c>
      <c r="F34" s="7" t="n">
        <f aca="false">'Raw Data'!K34</f>
        <v>153.1</v>
      </c>
      <c r="G34" s="7" t="str">
        <f aca="false">'Raw Data'!L34</f>
        <v>No</v>
      </c>
      <c r="H34" s="7" t="str">
        <f aca="false">'Raw Data'!M34</f>
        <v>Low</v>
      </c>
      <c r="I34" s="7" t="n">
        <f aca="false">(IF(D34="Current",3,IF(D34="Former",1,0)))+(IF(E34="High",3,IF(E34="Normal",1,0)))+(IF(F34&gt;=240,2,IF(F34&gt;=200,1,0)))+(IF(G34="Yes",2,0))+(IF(H34="High",2,IF(H34="Moderate",1,0)))</f>
        <v>1</v>
      </c>
      <c r="J34" s="7" t="str">
        <f aca="false">IF(I34&gt;=8,"High",IF(I34&gt;=4,"Medium","Low"))</f>
        <v>Low</v>
      </c>
    </row>
    <row r="35" customFormat="false" ht="15" hidden="false" customHeight="true" outlineLevel="0" collapsed="false">
      <c r="A35" s="7" t="n">
        <f aca="false">'Raw Data'!A35</f>
        <v>506</v>
      </c>
      <c r="B35" s="7" t="n">
        <f aca="false">'Raw Data'!B35</f>
        <v>29</v>
      </c>
      <c r="C35" s="7" t="str">
        <f aca="false">'Raw Data'!C35</f>
        <v>Male</v>
      </c>
      <c r="D35" s="7" t="str">
        <f aca="false">'Raw Data'!D35</f>
        <v>Never</v>
      </c>
      <c r="E35" s="7" t="str">
        <f aca="false">'Raw Data'!J35</f>
        <v>Normal</v>
      </c>
      <c r="F35" s="7" t="n">
        <f aca="false">'Raw Data'!K35</f>
        <v>155.6</v>
      </c>
      <c r="G35" s="7" t="str">
        <f aca="false">'Raw Data'!L35</f>
        <v>No</v>
      </c>
      <c r="H35" s="7" t="str">
        <f aca="false">'Raw Data'!M35</f>
        <v>Low</v>
      </c>
      <c r="I35" s="7" t="n">
        <f aca="false">(IF(D35="Current",3,IF(D35="Former",1,0)))+(IF(E35="High",3,IF(E35="Normal",1,0)))+(IF(F35&gt;=240,2,IF(F35&gt;=200,1,0)))+(IF(G35="Yes",2,0))+(IF(H35="High",2,IF(H35="Moderate",1,0)))</f>
        <v>1</v>
      </c>
      <c r="J35" s="7" t="str">
        <f aca="false">IF(I35&gt;=8,"High",IF(I35&gt;=4,"Medium","Low"))</f>
        <v>Low</v>
      </c>
    </row>
    <row r="36" customFormat="false" ht="15" hidden="false" customHeight="true" outlineLevel="0" collapsed="false">
      <c r="A36" s="7" t="n">
        <f aca="false">'Raw Data'!A36</f>
        <v>526</v>
      </c>
      <c r="B36" s="7" t="n">
        <f aca="false">'Raw Data'!B36</f>
        <v>81</v>
      </c>
      <c r="C36" s="7" t="str">
        <f aca="false">'Raw Data'!C36</f>
        <v>Female</v>
      </c>
      <c r="D36" s="7" t="str">
        <f aca="false">'Raw Data'!D36</f>
        <v>Never</v>
      </c>
      <c r="E36" s="7" t="str">
        <f aca="false">'Raw Data'!J36</f>
        <v>Normal</v>
      </c>
      <c r="F36" s="7" t="n">
        <f aca="false">'Raw Data'!K36</f>
        <v>275.5</v>
      </c>
      <c r="G36" s="7" t="str">
        <f aca="false">'Raw Data'!L36</f>
        <v>No</v>
      </c>
      <c r="H36" s="7" t="str">
        <f aca="false">'Raw Data'!M36</f>
        <v>Low</v>
      </c>
      <c r="I36" s="7" t="n">
        <f aca="false">(IF(D36="Current",3,IF(D36="Former",1,0)))+(IF(E36="High",3,IF(E36="Normal",1,0)))+(IF(F36&gt;=240,2,IF(F36&gt;=200,1,0)))+(IF(G36="Yes",2,0))+(IF(H36="High",2,IF(H36="Moderate",1,0)))</f>
        <v>3</v>
      </c>
      <c r="J36" s="7" t="str">
        <f aca="false">IF(I36&gt;=8,"High",IF(I36&gt;=4,"Medium","Low"))</f>
        <v>Low</v>
      </c>
    </row>
    <row r="37" customFormat="false" ht="15" hidden="false" customHeight="true" outlineLevel="0" collapsed="false">
      <c r="A37" s="7" t="n">
        <f aca="false">'Raw Data'!A37</f>
        <v>542</v>
      </c>
      <c r="B37" s="7" t="n">
        <f aca="false">'Raw Data'!B37</f>
        <v>65</v>
      </c>
      <c r="C37" s="7" t="str">
        <f aca="false">'Raw Data'!C37</f>
        <v>Female</v>
      </c>
      <c r="D37" s="7" t="str">
        <f aca="false">'Raw Data'!D37</f>
        <v>Never</v>
      </c>
      <c r="E37" s="7" t="str">
        <f aca="false">'Raw Data'!J37</f>
        <v>Normal</v>
      </c>
      <c r="F37" s="7" t="n">
        <f aca="false">'Raw Data'!K37</f>
        <v>183.6</v>
      </c>
      <c r="G37" s="7" t="str">
        <f aca="false">'Raw Data'!L37</f>
        <v>No</v>
      </c>
      <c r="H37" s="7" t="str">
        <f aca="false">'Raw Data'!M37</f>
        <v>Low</v>
      </c>
      <c r="I37" s="7" t="n">
        <f aca="false">(IF(D37="Current",3,IF(D37="Former",1,0)))+(IF(E37="High",3,IF(E37="Normal",1,0)))+(IF(F37&gt;=240,2,IF(F37&gt;=200,1,0)))+(IF(G37="Yes",2,0))+(IF(H37="High",2,IF(H37="Moderate",1,0)))</f>
        <v>1</v>
      </c>
      <c r="J37" s="7" t="str">
        <f aca="false">IF(I37&gt;=8,"High",IF(I37&gt;=4,"Medium","Low"))</f>
        <v>Low</v>
      </c>
    </row>
    <row r="38" customFormat="false" ht="15" hidden="false" customHeight="true" outlineLevel="0" collapsed="false">
      <c r="A38" s="7" t="n">
        <f aca="false">'Raw Data'!A38</f>
        <v>543</v>
      </c>
      <c r="B38" s="7" t="n">
        <f aca="false">'Raw Data'!B38</f>
        <v>67</v>
      </c>
      <c r="C38" s="7" t="str">
        <f aca="false">'Raw Data'!C38</f>
        <v>Female</v>
      </c>
      <c r="D38" s="7" t="str">
        <f aca="false">'Raw Data'!D38</f>
        <v>Never</v>
      </c>
      <c r="E38" s="7" t="str">
        <f aca="false">'Raw Data'!J38</f>
        <v>Normal</v>
      </c>
      <c r="F38" s="7" t="n">
        <f aca="false">'Raw Data'!K38</f>
        <v>223.8</v>
      </c>
      <c r="G38" s="7" t="str">
        <f aca="false">'Raw Data'!L38</f>
        <v>No</v>
      </c>
      <c r="H38" s="7" t="str">
        <f aca="false">'Raw Data'!M38</f>
        <v>Low</v>
      </c>
      <c r="I38" s="7" t="n">
        <f aca="false">(IF(D38="Current",3,IF(D38="Former",1,0)))+(IF(E38="High",3,IF(E38="Normal",1,0)))+(IF(F38&gt;=240,2,IF(F38&gt;=200,1,0)))+(IF(G38="Yes",2,0))+(IF(H38="High",2,IF(H38="Moderate",1,0)))</f>
        <v>2</v>
      </c>
      <c r="J38" s="7" t="str">
        <f aca="false">IF(I38&gt;=8,"High",IF(I38&gt;=4,"Medium","Low"))</f>
        <v>Low</v>
      </c>
    </row>
    <row r="39" customFormat="false" ht="15" hidden="false" customHeight="true" outlineLevel="0" collapsed="false">
      <c r="A39" s="7" t="n">
        <f aca="false">'Raw Data'!A39</f>
        <v>553</v>
      </c>
      <c r="B39" s="7" t="n">
        <f aca="false">'Raw Data'!B39</f>
        <v>89</v>
      </c>
      <c r="C39" s="7" t="str">
        <f aca="false">'Raw Data'!C39</f>
        <v>Male</v>
      </c>
      <c r="D39" s="7" t="str">
        <f aca="false">'Raw Data'!D39</f>
        <v>Never</v>
      </c>
      <c r="E39" s="7" t="str">
        <f aca="false">'Raw Data'!J39</f>
        <v>Normal</v>
      </c>
      <c r="F39" s="7" t="n">
        <f aca="false">'Raw Data'!K39</f>
        <v>126.2</v>
      </c>
      <c r="G39" s="7" t="str">
        <f aca="false">'Raw Data'!L39</f>
        <v>No</v>
      </c>
      <c r="H39" s="7" t="str">
        <f aca="false">'Raw Data'!M39</f>
        <v>Low</v>
      </c>
      <c r="I39" s="7" t="n">
        <f aca="false">(IF(D39="Current",3,IF(D39="Former",1,0)))+(IF(E39="High",3,IF(E39="Normal",1,0)))+(IF(F39&gt;=240,2,IF(F39&gt;=200,1,0)))+(IF(G39="Yes",2,0))+(IF(H39="High",2,IF(H39="Moderate",1,0)))</f>
        <v>1</v>
      </c>
      <c r="J39" s="7" t="str">
        <f aca="false">IF(I39&gt;=8,"High",IF(I39&gt;=4,"Medium","Low"))</f>
        <v>Low</v>
      </c>
    </row>
    <row r="40" customFormat="false" ht="15" hidden="false" customHeight="true" outlineLevel="0" collapsed="false">
      <c r="A40" s="7" t="n">
        <f aca="false">'Raw Data'!A40</f>
        <v>554</v>
      </c>
      <c r="B40" s="7" t="n">
        <f aca="false">'Raw Data'!B40</f>
        <v>81</v>
      </c>
      <c r="C40" s="7" t="str">
        <f aca="false">'Raw Data'!C40</f>
        <v>Female</v>
      </c>
      <c r="D40" s="7" t="str">
        <f aca="false">'Raw Data'!D40</f>
        <v>Never</v>
      </c>
      <c r="E40" s="7" t="str">
        <f aca="false">'Raw Data'!J40</f>
        <v>Normal</v>
      </c>
      <c r="F40" s="7" t="n">
        <f aca="false">'Raw Data'!K40</f>
        <v>138.6</v>
      </c>
      <c r="G40" s="7" t="str">
        <f aca="false">'Raw Data'!L40</f>
        <v>No</v>
      </c>
      <c r="H40" s="7" t="str">
        <f aca="false">'Raw Data'!M40</f>
        <v>Low</v>
      </c>
      <c r="I40" s="7" t="n">
        <f aca="false">(IF(D40="Current",3,IF(D40="Former",1,0)))+(IF(E40="High",3,IF(E40="Normal",1,0)))+(IF(F40&gt;=240,2,IF(F40&gt;=200,1,0)))+(IF(G40="Yes",2,0))+(IF(H40="High",2,IF(H40="Moderate",1,0)))</f>
        <v>1</v>
      </c>
      <c r="J40" s="7" t="str">
        <f aca="false">IF(I40&gt;=8,"High",IF(I40&gt;=4,"Medium","Low"))</f>
        <v>Low</v>
      </c>
    </row>
    <row r="41" customFormat="false" ht="15" hidden="false" customHeight="true" outlineLevel="0" collapsed="false">
      <c r="A41" s="7" t="n">
        <f aca="false">'Raw Data'!A41</f>
        <v>570</v>
      </c>
      <c r="B41" s="7" t="n">
        <f aca="false">'Raw Data'!B41</f>
        <v>71</v>
      </c>
      <c r="C41" s="7" t="str">
        <f aca="false">'Raw Data'!C41</f>
        <v>Male</v>
      </c>
      <c r="D41" s="7" t="str">
        <f aca="false">'Raw Data'!D41</f>
        <v>Never</v>
      </c>
      <c r="E41" s="7" t="str">
        <f aca="false">'Raw Data'!J41</f>
        <v>Normal</v>
      </c>
      <c r="F41" s="7" t="n">
        <f aca="false">'Raw Data'!K41</f>
        <v>284.1</v>
      </c>
      <c r="G41" s="7" t="str">
        <f aca="false">'Raw Data'!L41</f>
        <v>No</v>
      </c>
      <c r="H41" s="7" t="str">
        <f aca="false">'Raw Data'!M41</f>
        <v>Low</v>
      </c>
      <c r="I41" s="7" t="n">
        <f aca="false">(IF(D41="Current",3,IF(D41="Former",1,0)))+(IF(E41="High",3,IF(E41="Normal",1,0)))+(IF(F41&gt;=240,2,IF(F41&gt;=200,1,0)))+(IF(G41="Yes",2,0))+(IF(H41="High",2,IF(H41="Moderate",1,0)))</f>
        <v>3</v>
      </c>
      <c r="J41" s="7" t="str">
        <f aca="false">IF(I41&gt;=8,"High",IF(I41&gt;=4,"Medium","Low"))</f>
        <v>Low</v>
      </c>
    </row>
    <row r="42" customFormat="false" ht="15" hidden="false" customHeight="true" outlineLevel="0" collapsed="false">
      <c r="A42" s="7" t="n">
        <f aca="false">'Raw Data'!A42</f>
        <v>581</v>
      </c>
      <c r="B42" s="7" t="n">
        <f aca="false">'Raw Data'!B42</f>
        <v>48</v>
      </c>
      <c r="C42" s="7" t="str">
        <f aca="false">'Raw Data'!C42</f>
        <v>Male</v>
      </c>
      <c r="D42" s="7" t="str">
        <f aca="false">'Raw Data'!D42</f>
        <v>Never</v>
      </c>
      <c r="E42" s="7" t="str">
        <f aca="false">'Raw Data'!J42</f>
        <v>Normal</v>
      </c>
      <c r="F42" s="7" t="n">
        <f aca="false">'Raw Data'!K42</f>
        <v>158.4</v>
      </c>
      <c r="G42" s="7" t="str">
        <f aca="false">'Raw Data'!L42</f>
        <v>No</v>
      </c>
      <c r="H42" s="7" t="str">
        <f aca="false">'Raw Data'!M42</f>
        <v>Low</v>
      </c>
      <c r="I42" s="7" t="n">
        <f aca="false">(IF(D42="Current",3,IF(D42="Former",1,0)))+(IF(E42="High",3,IF(E42="Normal",1,0)))+(IF(F42&gt;=240,2,IF(F42&gt;=200,1,0)))+(IF(G42="Yes",2,0))+(IF(H42="High",2,IF(H42="Moderate",1,0)))</f>
        <v>1</v>
      </c>
      <c r="J42" s="7" t="str">
        <f aca="false">IF(I42&gt;=8,"High",IF(I42&gt;=4,"Medium","Low"))</f>
        <v>Low</v>
      </c>
    </row>
    <row r="43" customFormat="false" ht="15" hidden="false" customHeight="true" outlineLevel="0" collapsed="false">
      <c r="A43" s="7" t="n">
        <f aca="false">'Raw Data'!A43</f>
        <v>586</v>
      </c>
      <c r="B43" s="7" t="n">
        <f aca="false">'Raw Data'!B43</f>
        <v>63</v>
      </c>
      <c r="C43" s="7" t="str">
        <f aca="false">'Raw Data'!C43</f>
        <v>Female</v>
      </c>
      <c r="D43" s="7" t="str">
        <f aca="false">'Raw Data'!D43</f>
        <v>Never</v>
      </c>
      <c r="E43" s="7" t="str">
        <f aca="false">'Raw Data'!J43</f>
        <v>Normal</v>
      </c>
      <c r="F43" s="7" t="n">
        <f aca="false">'Raw Data'!K43</f>
        <v>177.6</v>
      </c>
      <c r="G43" s="7" t="str">
        <f aca="false">'Raw Data'!L43</f>
        <v>No</v>
      </c>
      <c r="H43" s="7" t="str">
        <f aca="false">'Raw Data'!M43</f>
        <v>Low</v>
      </c>
      <c r="I43" s="7" t="n">
        <f aca="false">(IF(D43="Current",3,IF(D43="Former",1,0)))+(IF(E43="High",3,IF(E43="Normal",1,0)))+(IF(F43&gt;=240,2,IF(F43&gt;=200,1,0)))+(IF(G43="Yes",2,0))+(IF(H43="High",2,IF(H43="Moderate",1,0)))</f>
        <v>1</v>
      </c>
      <c r="J43" s="7" t="str">
        <f aca="false">IF(I43&gt;=8,"High",IF(I43&gt;=4,"Medium","Low"))</f>
        <v>Low</v>
      </c>
    </row>
    <row r="44" customFormat="false" ht="15" hidden="false" customHeight="true" outlineLevel="0" collapsed="false">
      <c r="A44" s="7" t="n">
        <f aca="false">'Raw Data'!A44</f>
        <v>601</v>
      </c>
      <c r="B44" s="7" t="n">
        <f aca="false">'Raw Data'!B44</f>
        <v>62</v>
      </c>
      <c r="C44" s="7" t="str">
        <f aca="false">'Raw Data'!C44</f>
        <v>Male</v>
      </c>
      <c r="D44" s="7" t="str">
        <f aca="false">'Raw Data'!D44</f>
        <v>Never</v>
      </c>
      <c r="E44" s="7" t="str">
        <f aca="false">'Raw Data'!J44</f>
        <v>Normal</v>
      </c>
      <c r="F44" s="7" t="n">
        <f aca="false">'Raw Data'!K44</f>
        <v>142.6</v>
      </c>
      <c r="G44" s="7" t="str">
        <f aca="false">'Raw Data'!L44</f>
        <v>No</v>
      </c>
      <c r="H44" s="7" t="str">
        <f aca="false">'Raw Data'!M44</f>
        <v>Low</v>
      </c>
      <c r="I44" s="7" t="n">
        <f aca="false">(IF(D44="Current",3,IF(D44="Former",1,0)))+(IF(E44="High",3,IF(E44="Normal",1,0)))+(IF(F44&gt;=240,2,IF(F44&gt;=200,1,0)))+(IF(G44="Yes",2,0))+(IF(H44="High",2,IF(H44="Moderate",1,0)))</f>
        <v>1</v>
      </c>
      <c r="J44" s="7" t="str">
        <f aca="false">IF(I44&gt;=8,"High",IF(I44&gt;=4,"Medium","Low"))</f>
        <v>Low</v>
      </c>
    </row>
    <row r="45" customFormat="false" ht="15" hidden="false" customHeight="true" outlineLevel="0" collapsed="false">
      <c r="A45" s="7" t="n">
        <f aca="false">'Raw Data'!A45</f>
        <v>624</v>
      </c>
      <c r="B45" s="7" t="n">
        <f aca="false">'Raw Data'!B45</f>
        <v>22</v>
      </c>
      <c r="C45" s="7" t="str">
        <f aca="false">'Raw Data'!C45</f>
        <v>Male</v>
      </c>
      <c r="D45" s="7" t="str">
        <f aca="false">'Raw Data'!D45</f>
        <v>Never</v>
      </c>
      <c r="E45" s="7" t="str">
        <f aca="false">'Raw Data'!J45</f>
        <v>Normal</v>
      </c>
      <c r="F45" s="7" t="n">
        <f aca="false">'Raw Data'!K45</f>
        <v>122.8</v>
      </c>
      <c r="G45" s="7" t="str">
        <f aca="false">'Raw Data'!L45</f>
        <v>No</v>
      </c>
      <c r="H45" s="7" t="str">
        <f aca="false">'Raw Data'!M45</f>
        <v>Low</v>
      </c>
      <c r="I45" s="7" t="n">
        <f aca="false">(IF(D45="Current",3,IF(D45="Former",1,0)))+(IF(E45="High",3,IF(E45="Normal",1,0)))+(IF(F45&gt;=240,2,IF(F45&gt;=200,1,0)))+(IF(G45="Yes",2,0))+(IF(H45="High",2,IF(H45="Moderate",1,0)))</f>
        <v>1</v>
      </c>
      <c r="J45" s="7" t="str">
        <f aca="false">IF(I45&gt;=8,"High",IF(I45&gt;=4,"Medium","Low"))</f>
        <v>Low</v>
      </c>
    </row>
    <row r="46" customFormat="false" ht="15" hidden="false" customHeight="true" outlineLevel="0" collapsed="false">
      <c r="A46" s="7" t="n">
        <f aca="false">'Raw Data'!A46</f>
        <v>648</v>
      </c>
      <c r="B46" s="7" t="n">
        <f aca="false">'Raw Data'!B46</f>
        <v>78</v>
      </c>
      <c r="C46" s="7" t="str">
        <f aca="false">'Raw Data'!C46</f>
        <v>Male</v>
      </c>
      <c r="D46" s="7" t="str">
        <f aca="false">'Raw Data'!D46</f>
        <v>Never</v>
      </c>
      <c r="E46" s="7" t="str">
        <f aca="false">'Raw Data'!J46</f>
        <v>Normal</v>
      </c>
      <c r="F46" s="7" t="n">
        <f aca="false">'Raw Data'!K46</f>
        <v>243.5</v>
      </c>
      <c r="G46" s="7" t="str">
        <f aca="false">'Raw Data'!L46</f>
        <v>No</v>
      </c>
      <c r="H46" s="7" t="str">
        <f aca="false">'Raw Data'!M46</f>
        <v>Low</v>
      </c>
      <c r="I46" s="7" t="n">
        <f aca="false">(IF(D46="Current",3,IF(D46="Former",1,0)))+(IF(E46="High",3,IF(E46="Normal",1,0)))+(IF(F46&gt;=240,2,IF(F46&gt;=200,1,0)))+(IF(G46="Yes",2,0))+(IF(H46="High",2,IF(H46="Moderate",1,0)))</f>
        <v>3</v>
      </c>
      <c r="J46" s="7" t="str">
        <f aca="false">IF(I46&gt;=8,"High",IF(I46&gt;=4,"Medium","Low"))</f>
        <v>Low</v>
      </c>
    </row>
    <row r="47" customFormat="false" ht="15" hidden="false" customHeight="true" outlineLevel="0" collapsed="false">
      <c r="A47" s="7" t="n">
        <f aca="false">'Raw Data'!A47</f>
        <v>680</v>
      </c>
      <c r="B47" s="7" t="n">
        <f aca="false">'Raw Data'!B47</f>
        <v>45</v>
      </c>
      <c r="C47" s="7" t="str">
        <f aca="false">'Raw Data'!C47</f>
        <v>Female</v>
      </c>
      <c r="D47" s="7" t="str">
        <f aca="false">'Raw Data'!D47</f>
        <v>Never</v>
      </c>
      <c r="E47" s="7" t="str">
        <f aca="false">'Raw Data'!J47</f>
        <v>Normal</v>
      </c>
      <c r="F47" s="7" t="n">
        <f aca="false">'Raw Data'!K47</f>
        <v>201.6</v>
      </c>
      <c r="G47" s="7" t="str">
        <f aca="false">'Raw Data'!L47</f>
        <v>No</v>
      </c>
      <c r="H47" s="7" t="str">
        <f aca="false">'Raw Data'!M47</f>
        <v>Low</v>
      </c>
      <c r="I47" s="7" t="n">
        <f aca="false">(IF(D47="Current",3,IF(D47="Former",1,0)))+(IF(E47="High",3,IF(E47="Normal",1,0)))+(IF(F47&gt;=240,2,IF(F47&gt;=200,1,0)))+(IF(G47="Yes",2,0))+(IF(H47="High",2,IF(H47="Moderate",1,0)))</f>
        <v>2</v>
      </c>
      <c r="J47" s="7" t="str">
        <f aca="false">IF(I47&gt;=8,"High",IF(I47&gt;=4,"Medium","Low"))</f>
        <v>Low</v>
      </c>
    </row>
    <row r="48" customFormat="false" ht="15" hidden="false" customHeight="true" outlineLevel="0" collapsed="false">
      <c r="A48" s="7" t="n">
        <f aca="false">'Raw Data'!A48</f>
        <v>709</v>
      </c>
      <c r="B48" s="7" t="n">
        <f aca="false">'Raw Data'!B48</f>
        <v>18</v>
      </c>
      <c r="C48" s="7" t="str">
        <f aca="false">'Raw Data'!C48</f>
        <v>Female</v>
      </c>
      <c r="D48" s="7" t="str">
        <f aca="false">'Raw Data'!D48</f>
        <v>Never</v>
      </c>
      <c r="E48" s="7" t="str">
        <f aca="false">'Raw Data'!J48</f>
        <v>Normal</v>
      </c>
      <c r="F48" s="7" t="n">
        <f aca="false">'Raw Data'!K48</f>
        <v>198.6</v>
      </c>
      <c r="G48" s="7" t="str">
        <f aca="false">'Raw Data'!L48</f>
        <v>No</v>
      </c>
      <c r="H48" s="7" t="str">
        <f aca="false">'Raw Data'!M48</f>
        <v>Low</v>
      </c>
      <c r="I48" s="7" t="n">
        <f aca="false">(IF(D48="Current",3,IF(D48="Former",1,0)))+(IF(E48="High",3,IF(E48="Normal",1,0)))+(IF(F48&gt;=240,2,IF(F48&gt;=200,1,0)))+(IF(G48="Yes",2,0))+(IF(H48="High",2,IF(H48="Moderate",1,0)))</f>
        <v>1</v>
      </c>
      <c r="J48" s="7" t="str">
        <f aca="false">IF(I48&gt;=8,"High",IF(I48&gt;=4,"Medium","Low"))</f>
        <v>Low</v>
      </c>
    </row>
    <row r="49" customFormat="false" ht="15" hidden="false" customHeight="true" outlineLevel="0" collapsed="false">
      <c r="A49" s="7" t="n">
        <f aca="false">'Raw Data'!A49</f>
        <v>710</v>
      </c>
      <c r="B49" s="7" t="n">
        <f aca="false">'Raw Data'!B49</f>
        <v>89</v>
      </c>
      <c r="C49" s="7" t="str">
        <f aca="false">'Raw Data'!C49</f>
        <v>Female</v>
      </c>
      <c r="D49" s="7" t="str">
        <f aca="false">'Raw Data'!D49</f>
        <v>Never</v>
      </c>
      <c r="E49" s="7" t="str">
        <f aca="false">'Raw Data'!J49</f>
        <v>Normal</v>
      </c>
      <c r="F49" s="7" t="n">
        <f aca="false">'Raw Data'!K49</f>
        <v>197.8</v>
      </c>
      <c r="G49" s="7" t="str">
        <f aca="false">'Raw Data'!L49</f>
        <v>No</v>
      </c>
      <c r="H49" s="7" t="str">
        <f aca="false">'Raw Data'!M49</f>
        <v>Low</v>
      </c>
      <c r="I49" s="7" t="n">
        <f aca="false">(IF(D49="Current",3,IF(D49="Former",1,0)))+(IF(E49="High",3,IF(E49="Normal",1,0)))+(IF(F49&gt;=240,2,IF(F49&gt;=200,1,0)))+(IF(G49="Yes",2,0))+(IF(H49="High",2,IF(H49="Moderate",1,0)))</f>
        <v>1</v>
      </c>
      <c r="J49" s="7" t="str">
        <f aca="false">IF(I49&gt;=8,"High",IF(I49&gt;=4,"Medium","Low"))</f>
        <v>Low</v>
      </c>
    </row>
    <row r="50" customFormat="false" ht="15" hidden="false" customHeight="true" outlineLevel="0" collapsed="false">
      <c r="A50" s="7" t="n">
        <f aca="false">'Raw Data'!A50</f>
        <v>716</v>
      </c>
      <c r="B50" s="7" t="n">
        <f aca="false">'Raw Data'!B50</f>
        <v>79</v>
      </c>
      <c r="C50" s="7" t="str">
        <f aca="false">'Raw Data'!C50</f>
        <v>Female</v>
      </c>
      <c r="D50" s="7" t="str">
        <f aca="false">'Raw Data'!D50</f>
        <v>Never</v>
      </c>
      <c r="E50" s="7" t="str">
        <f aca="false">'Raw Data'!J50</f>
        <v>Normal</v>
      </c>
      <c r="F50" s="7" t="n">
        <f aca="false">'Raw Data'!K50</f>
        <v>214.9</v>
      </c>
      <c r="G50" s="7" t="str">
        <f aca="false">'Raw Data'!L50</f>
        <v>No</v>
      </c>
      <c r="H50" s="7" t="str">
        <f aca="false">'Raw Data'!M50</f>
        <v>Low</v>
      </c>
      <c r="I50" s="7" t="n">
        <f aca="false">(IF(D50="Current",3,IF(D50="Former",1,0)))+(IF(E50="High",3,IF(E50="Normal",1,0)))+(IF(F50&gt;=240,2,IF(F50&gt;=200,1,0)))+(IF(G50="Yes",2,0))+(IF(H50="High",2,IF(H50="Moderate",1,0)))</f>
        <v>2</v>
      </c>
      <c r="J50" s="7" t="str">
        <f aca="false">IF(I50&gt;=8,"High",IF(I50&gt;=4,"Medium","Low"))</f>
        <v>Low</v>
      </c>
    </row>
    <row r="51" customFormat="false" ht="15" hidden="false" customHeight="true" outlineLevel="0" collapsed="false">
      <c r="A51" s="7" t="n">
        <f aca="false">'Raw Data'!A51</f>
        <v>729</v>
      </c>
      <c r="B51" s="7" t="n">
        <f aca="false">'Raw Data'!B51</f>
        <v>53</v>
      </c>
      <c r="C51" s="7" t="str">
        <f aca="false">'Raw Data'!C51</f>
        <v>Female</v>
      </c>
      <c r="D51" s="7" t="str">
        <f aca="false">'Raw Data'!D51</f>
        <v>Never</v>
      </c>
      <c r="E51" s="7" t="str">
        <f aca="false">'Raw Data'!J51</f>
        <v>Normal</v>
      </c>
      <c r="F51" s="7" t="n">
        <f aca="false">'Raw Data'!K51</f>
        <v>154.3</v>
      </c>
      <c r="G51" s="7" t="str">
        <f aca="false">'Raw Data'!L51</f>
        <v>No</v>
      </c>
      <c r="H51" s="7" t="str">
        <f aca="false">'Raw Data'!M51</f>
        <v>Low</v>
      </c>
      <c r="I51" s="7" t="n">
        <f aca="false">(IF(D51="Current",3,IF(D51="Former",1,0)))+(IF(E51="High",3,IF(E51="Normal",1,0)))+(IF(F51&gt;=240,2,IF(F51&gt;=200,1,0)))+(IF(G51="Yes",2,0))+(IF(H51="High",2,IF(H51="Moderate",1,0)))</f>
        <v>1</v>
      </c>
      <c r="J51" s="7" t="str">
        <f aca="false">IF(I51&gt;=8,"High",IF(I51&gt;=4,"Medium","Low"))</f>
        <v>Low</v>
      </c>
    </row>
    <row r="52" customFormat="false" ht="15" hidden="false" customHeight="true" outlineLevel="0" collapsed="false">
      <c r="A52" s="7" t="n">
        <f aca="false">'Raw Data'!A52</f>
        <v>733</v>
      </c>
      <c r="B52" s="7" t="n">
        <f aca="false">'Raw Data'!B52</f>
        <v>20</v>
      </c>
      <c r="C52" s="7" t="str">
        <f aca="false">'Raw Data'!C52</f>
        <v>Male</v>
      </c>
      <c r="D52" s="7" t="str">
        <f aca="false">'Raw Data'!D52</f>
        <v>Never</v>
      </c>
      <c r="E52" s="7" t="str">
        <f aca="false">'Raw Data'!J52</f>
        <v>Normal</v>
      </c>
      <c r="F52" s="7" t="n">
        <f aca="false">'Raw Data'!K52</f>
        <v>143.2</v>
      </c>
      <c r="G52" s="7" t="str">
        <f aca="false">'Raw Data'!L52</f>
        <v>No</v>
      </c>
      <c r="H52" s="7" t="str">
        <f aca="false">'Raw Data'!M52</f>
        <v>Low</v>
      </c>
      <c r="I52" s="7" t="n">
        <f aca="false">(IF(D52="Current",3,IF(D52="Former",1,0)))+(IF(E52="High",3,IF(E52="Normal",1,0)))+(IF(F52&gt;=240,2,IF(F52&gt;=200,1,0)))+(IF(G52="Yes",2,0))+(IF(H52="High",2,IF(H52="Moderate",1,0)))</f>
        <v>1</v>
      </c>
      <c r="J52" s="7" t="str">
        <f aca="false">IF(I52&gt;=8,"High",IF(I52&gt;=4,"Medium","Low"))</f>
        <v>Low</v>
      </c>
    </row>
    <row r="53" customFormat="false" ht="15" hidden="false" customHeight="true" outlineLevel="0" collapsed="false">
      <c r="A53" s="7" t="n">
        <f aca="false">'Raw Data'!A53</f>
        <v>773</v>
      </c>
      <c r="B53" s="7" t="n">
        <f aca="false">'Raw Data'!B53</f>
        <v>36</v>
      </c>
      <c r="C53" s="7" t="str">
        <f aca="false">'Raw Data'!C53</f>
        <v>Male</v>
      </c>
      <c r="D53" s="7" t="str">
        <f aca="false">'Raw Data'!D53</f>
        <v>Never</v>
      </c>
      <c r="E53" s="7" t="str">
        <f aca="false">'Raw Data'!J53</f>
        <v>Normal</v>
      </c>
      <c r="F53" s="7" t="n">
        <f aca="false">'Raw Data'!K53</f>
        <v>272.1</v>
      </c>
      <c r="G53" s="7" t="str">
        <f aca="false">'Raw Data'!L53</f>
        <v>No</v>
      </c>
      <c r="H53" s="7" t="str">
        <f aca="false">'Raw Data'!M53</f>
        <v>Low</v>
      </c>
      <c r="I53" s="7" t="n">
        <f aca="false">(IF(D53="Current",3,IF(D53="Former",1,0)))+(IF(E53="High",3,IF(E53="Normal",1,0)))+(IF(F53&gt;=240,2,IF(F53&gt;=200,1,0)))+(IF(G53="Yes",2,0))+(IF(H53="High",2,IF(H53="Moderate",1,0)))</f>
        <v>3</v>
      </c>
      <c r="J53" s="7" t="str">
        <f aca="false">IF(I53&gt;=8,"High",IF(I53&gt;=4,"Medium","Low"))</f>
        <v>Low</v>
      </c>
    </row>
    <row r="54" customFormat="false" ht="15" hidden="false" customHeight="true" outlineLevel="0" collapsed="false">
      <c r="A54" s="7" t="n">
        <f aca="false">'Raw Data'!A54</f>
        <v>796</v>
      </c>
      <c r="B54" s="7" t="n">
        <f aca="false">'Raw Data'!B54</f>
        <v>49</v>
      </c>
      <c r="C54" s="7" t="str">
        <f aca="false">'Raw Data'!C54</f>
        <v>Female</v>
      </c>
      <c r="D54" s="7" t="str">
        <f aca="false">'Raw Data'!D54</f>
        <v>Never</v>
      </c>
      <c r="E54" s="7" t="str">
        <f aca="false">'Raw Data'!J54</f>
        <v>Normal</v>
      </c>
      <c r="F54" s="7" t="n">
        <f aca="false">'Raw Data'!K54</f>
        <v>139</v>
      </c>
      <c r="G54" s="7" t="str">
        <f aca="false">'Raw Data'!L54</f>
        <v>No</v>
      </c>
      <c r="H54" s="7" t="str">
        <f aca="false">'Raw Data'!M54</f>
        <v>Low</v>
      </c>
      <c r="I54" s="7" t="n">
        <f aca="false">(IF(D54="Current",3,IF(D54="Former",1,0)))+(IF(E54="High",3,IF(E54="Normal",1,0)))+(IF(F54&gt;=240,2,IF(F54&gt;=200,1,0)))+(IF(G54="Yes",2,0))+(IF(H54="High",2,IF(H54="Moderate",1,0)))</f>
        <v>1</v>
      </c>
      <c r="J54" s="7" t="str">
        <f aca="false">IF(I54&gt;=8,"High",IF(I54&gt;=4,"Medium","Low"))</f>
        <v>Low</v>
      </c>
    </row>
    <row r="55" customFormat="false" ht="15" hidden="false" customHeight="true" outlineLevel="0" collapsed="false">
      <c r="A55" s="7" t="n">
        <f aca="false">'Raw Data'!A55</f>
        <v>807</v>
      </c>
      <c r="B55" s="7" t="n">
        <f aca="false">'Raw Data'!B55</f>
        <v>89</v>
      </c>
      <c r="C55" s="7" t="str">
        <f aca="false">'Raw Data'!C55</f>
        <v>Male</v>
      </c>
      <c r="D55" s="7" t="str">
        <f aca="false">'Raw Data'!D55</f>
        <v>Never</v>
      </c>
      <c r="E55" s="7" t="str">
        <f aca="false">'Raw Data'!J55</f>
        <v>Normal</v>
      </c>
      <c r="F55" s="7" t="n">
        <f aca="false">'Raw Data'!K55</f>
        <v>139.7</v>
      </c>
      <c r="G55" s="7" t="str">
        <f aca="false">'Raw Data'!L55</f>
        <v>No</v>
      </c>
      <c r="H55" s="7" t="str">
        <f aca="false">'Raw Data'!M55</f>
        <v>Low</v>
      </c>
      <c r="I55" s="7" t="n">
        <f aca="false">(IF(D55="Current",3,IF(D55="Former",1,0)))+(IF(E55="High",3,IF(E55="Normal",1,0)))+(IF(F55&gt;=240,2,IF(F55&gt;=200,1,0)))+(IF(G55="Yes",2,0))+(IF(H55="High",2,IF(H55="Moderate",1,0)))</f>
        <v>1</v>
      </c>
      <c r="J55" s="7" t="str">
        <f aca="false">IF(I55&gt;=8,"High",IF(I55&gt;=4,"Medium","Low"))</f>
        <v>Low</v>
      </c>
    </row>
    <row r="56" customFormat="false" ht="15" hidden="false" customHeight="true" outlineLevel="0" collapsed="false">
      <c r="A56" s="7" t="n">
        <f aca="false">'Raw Data'!A56</f>
        <v>815</v>
      </c>
      <c r="B56" s="7" t="n">
        <f aca="false">'Raw Data'!B56</f>
        <v>85</v>
      </c>
      <c r="C56" s="7" t="str">
        <f aca="false">'Raw Data'!C56</f>
        <v>Female</v>
      </c>
      <c r="D56" s="7" t="str">
        <f aca="false">'Raw Data'!D56</f>
        <v>Never</v>
      </c>
      <c r="E56" s="7" t="str">
        <f aca="false">'Raw Data'!J56</f>
        <v>Normal</v>
      </c>
      <c r="F56" s="7" t="n">
        <f aca="false">'Raw Data'!K56</f>
        <v>258.7</v>
      </c>
      <c r="G56" s="7" t="str">
        <f aca="false">'Raw Data'!L56</f>
        <v>No</v>
      </c>
      <c r="H56" s="7" t="str">
        <f aca="false">'Raw Data'!M56</f>
        <v>Low</v>
      </c>
      <c r="I56" s="7" t="n">
        <f aca="false">(IF(D56="Current",3,IF(D56="Former",1,0)))+(IF(E56="High",3,IF(E56="Normal",1,0)))+(IF(F56&gt;=240,2,IF(F56&gt;=200,1,0)))+(IF(G56="Yes",2,0))+(IF(H56="High",2,IF(H56="Moderate",1,0)))</f>
        <v>3</v>
      </c>
      <c r="J56" s="7" t="str">
        <f aca="false">IF(I56&gt;=8,"High",IF(I56&gt;=4,"Medium","Low"))</f>
        <v>Low</v>
      </c>
    </row>
    <row r="57" customFormat="false" ht="15" hidden="false" customHeight="true" outlineLevel="0" collapsed="false">
      <c r="A57" s="7" t="n">
        <f aca="false">'Raw Data'!A57</f>
        <v>823</v>
      </c>
      <c r="B57" s="7" t="n">
        <f aca="false">'Raw Data'!B57</f>
        <v>29</v>
      </c>
      <c r="C57" s="7" t="str">
        <f aca="false">'Raw Data'!C57</f>
        <v>Male</v>
      </c>
      <c r="D57" s="7" t="str">
        <f aca="false">'Raw Data'!D57</f>
        <v>Never</v>
      </c>
      <c r="E57" s="7" t="str">
        <f aca="false">'Raw Data'!J57</f>
        <v>Normal</v>
      </c>
      <c r="F57" s="7" t="n">
        <f aca="false">'Raw Data'!K57</f>
        <v>277.2</v>
      </c>
      <c r="G57" s="7" t="str">
        <f aca="false">'Raw Data'!L57</f>
        <v>No</v>
      </c>
      <c r="H57" s="7" t="str">
        <f aca="false">'Raw Data'!M57</f>
        <v>Low</v>
      </c>
      <c r="I57" s="7" t="n">
        <f aca="false">(IF(D57="Current",3,IF(D57="Former",1,0)))+(IF(E57="High",3,IF(E57="Normal",1,0)))+(IF(F57&gt;=240,2,IF(F57&gt;=200,1,0)))+(IF(G57="Yes",2,0))+(IF(H57="High",2,IF(H57="Moderate",1,0)))</f>
        <v>3</v>
      </c>
      <c r="J57" s="7" t="str">
        <f aca="false">IF(I57&gt;=8,"High",IF(I57&gt;=4,"Medium","Low"))</f>
        <v>Low</v>
      </c>
    </row>
    <row r="58" customFormat="false" ht="15" hidden="false" customHeight="true" outlineLevel="0" collapsed="false">
      <c r="A58" s="7" t="n">
        <f aca="false">'Raw Data'!A58</f>
        <v>892</v>
      </c>
      <c r="B58" s="7" t="n">
        <f aca="false">'Raw Data'!B58</f>
        <v>23</v>
      </c>
      <c r="C58" s="7" t="str">
        <f aca="false">'Raw Data'!C58</f>
        <v>Female</v>
      </c>
      <c r="D58" s="7" t="str">
        <f aca="false">'Raw Data'!D58</f>
        <v>Never</v>
      </c>
      <c r="E58" s="7" t="str">
        <f aca="false">'Raw Data'!J58</f>
        <v>Normal</v>
      </c>
      <c r="F58" s="7" t="n">
        <f aca="false">'Raw Data'!K58</f>
        <v>269.7</v>
      </c>
      <c r="G58" s="7" t="str">
        <f aca="false">'Raw Data'!L58</f>
        <v>No</v>
      </c>
      <c r="H58" s="7" t="str">
        <f aca="false">'Raw Data'!M58</f>
        <v>Low</v>
      </c>
      <c r="I58" s="7" t="n">
        <f aca="false">(IF(D58="Current",3,IF(D58="Former",1,0)))+(IF(E58="High",3,IF(E58="Normal",1,0)))+(IF(F58&gt;=240,2,IF(F58&gt;=200,1,0)))+(IF(G58="Yes",2,0))+(IF(H58="High",2,IF(H58="Moderate",1,0)))</f>
        <v>3</v>
      </c>
      <c r="J58" s="7" t="str">
        <f aca="false">IF(I58&gt;=8,"High",IF(I58&gt;=4,"Medium","Low"))</f>
        <v>Low</v>
      </c>
    </row>
    <row r="59" customFormat="false" ht="15" hidden="false" customHeight="true" outlineLevel="0" collapsed="false">
      <c r="A59" s="7" t="n">
        <f aca="false">'Raw Data'!A59</f>
        <v>895</v>
      </c>
      <c r="B59" s="7" t="n">
        <f aca="false">'Raw Data'!B59</f>
        <v>23</v>
      </c>
      <c r="C59" s="7" t="str">
        <f aca="false">'Raw Data'!C59</f>
        <v>Female</v>
      </c>
      <c r="D59" s="7" t="str">
        <f aca="false">'Raw Data'!D59</f>
        <v>Never</v>
      </c>
      <c r="E59" s="7" t="str">
        <f aca="false">'Raw Data'!J59</f>
        <v>Normal</v>
      </c>
      <c r="F59" s="7" t="n">
        <f aca="false">'Raw Data'!K59</f>
        <v>222.8</v>
      </c>
      <c r="G59" s="7" t="str">
        <f aca="false">'Raw Data'!L59</f>
        <v>No</v>
      </c>
      <c r="H59" s="7" t="str">
        <f aca="false">'Raw Data'!M59</f>
        <v>Low</v>
      </c>
      <c r="I59" s="7" t="n">
        <f aca="false">(IF(D59="Current",3,IF(D59="Former",1,0)))+(IF(E59="High",3,IF(E59="Normal",1,0)))+(IF(F59&gt;=240,2,IF(F59&gt;=200,1,0)))+(IF(G59="Yes",2,0))+(IF(H59="High",2,IF(H59="Moderate",1,0)))</f>
        <v>2</v>
      </c>
      <c r="J59" s="7" t="str">
        <f aca="false">IF(I59&gt;=8,"High",IF(I59&gt;=4,"Medium","Low"))</f>
        <v>Low</v>
      </c>
    </row>
    <row r="60" customFormat="false" ht="15" hidden="false" customHeight="true" outlineLevel="0" collapsed="false">
      <c r="A60" s="7" t="n">
        <f aca="false">'Raw Data'!A60</f>
        <v>910</v>
      </c>
      <c r="B60" s="7" t="n">
        <f aca="false">'Raw Data'!B60</f>
        <v>56</v>
      </c>
      <c r="C60" s="7" t="str">
        <f aca="false">'Raw Data'!C60</f>
        <v>Male</v>
      </c>
      <c r="D60" s="7" t="str">
        <f aca="false">'Raw Data'!D60</f>
        <v>Never</v>
      </c>
      <c r="E60" s="7" t="str">
        <f aca="false">'Raw Data'!J60</f>
        <v>Normal</v>
      </c>
      <c r="F60" s="7" t="n">
        <f aca="false">'Raw Data'!K60</f>
        <v>152</v>
      </c>
      <c r="G60" s="7" t="str">
        <f aca="false">'Raw Data'!L60</f>
        <v>No</v>
      </c>
      <c r="H60" s="7" t="str">
        <f aca="false">'Raw Data'!M60</f>
        <v>Low</v>
      </c>
      <c r="I60" s="7" t="n">
        <f aca="false">(IF(D60="Current",3,IF(D60="Former",1,0)))+(IF(E60="High",3,IF(E60="Normal",1,0)))+(IF(F60&gt;=240,2,IF(F60&gt;=200,1,0)))+(IF(G60="Yes",2,0))+(IF(H60="High",2,IF(H60="Moderate",1,0)))</f>
        <v>1</v>
      </c>
      <c r="J60" s="7" t="str">
        <f aca="false">IF(I60&gt;=8,"High",IF(I60&gt;=4,"Medium","Low"))</f>
        <v>Low</v>
      </c>
    </row>
    <row r="61" customFormat="false" ht="15" hidden="false" customHeight="true" outlineLevel="0" collapsed="false">
      <c r="A61" s="7" t="n">
        <f aca="false">'Raw Data'!A61</f>
        <v>917</v>
      </c>
      <c r="B61" s="7" t="n">
        <f aca="false">'Raw Data'!B61</f>
        <v>45</v>
      </c>
      <c r="C61" s="7" t="str">
        <f aca="false">'Raw Data'!C61</f>
        <v>Male</v>
      </c>
      <c r="D61" s="7" t="str">
        <f aca="false">'Raw Data'!D61</f>
        <v>Never</v>
      </c>
      <c r="E61" s="7" t="str">
        <f aca="false">'Raw Data'!J61</f>
        <v>Normal</v>
      </c>
      <c r="F61" s="7" t="n">
        <f aca="false">'Raw Data'!K61</f>
        <v>231.1</v>
      </c>
      <c r="G61" s="7" t="str">
        <f aca="false">'Raw Data'!L61</f>
        <v>No</v>
      </c>
      <c r="H61" s="7" t="str">
        <f aca="false">'Raw Data'!M61</f>
        <v>Low</v>
      </c>
      <c r="I61" s="7" t="n">
        <f aca="false">(IF(D61="Current",3,IF(D61="Former",1,0)))+(IF(E61="High",3,IF(E61="Normal",1,0)))+(IF(F61&gt;=240,2,IF(F61&gt;=200,1,0)))+(IF(G61="Yes",2,0))+(IF(H61="High",2,IF(H61="Moderate",1,0)))</f>
        <v>2</v>
      </c>
      <c r="J61" s="7" t="str">
        <f aca="false">IF(I61&gt;=8,"High",IF(I61&gt;=4,"Medium","Low"))</f>
        <v>Low</v>
      </c>
    </row>
    <row r="62" customFormat="false" ht="15" hidden="false" customHeight="true" outlineLevel="0" collapsed="false">
      <c r="A62" s="7" t="n">
        <f aca="false">'Raw Data'!A62</f>
        <v>920</v>
      </c>
      <c r="B62" s="7" t="n">
        <f aca="false">'Raw Data'!B62</f>
        <v>59</v>
      </c>
      <c r="C62" s="7" t="str">
        <f aca="false">'Raw Data'!C62</f>
        <v>Male</v>
      </c>
      <c r="D62" s="7" t="str">
        <f aca="false">'Raw Data'!D62</f>
        <v>Never</v>
      </c>
      <c r="E62" s="7" t="str">
        <f aca="false">'Raw Data'!J62</f>
        <v>Normal</v>
      </c>
      <c r="F62" s="7" t="n">
        <f aca="false">'Raw Data'!K62</f>
        <v>168.8</v>
      </c>
      <c r="G62" s="7" t="str">
        <f aca="false">'Raw Data'!L62</f>
        <v>No</v>
      </c>
      <c r="H62" s="7" t="str">
        <f aca="false">'Raw Data'!M62</f>
        <v>Low</v>
      </c>
      <c r="I62" s="7" t="n">
        <f aca="false">(IF(D62="Current",3,IF(D62="Former",1,0)))+(IF(E62="High",3,IF(E62="Normal",1,0)))+(IF(F62&gt;=240,2,IF(F62&gt;=200,1,0)))+(IF(G62="Yes",2,0))+(IF(H62="High",2,IF(H62="Moderate",1,0)))</f>
        <v>1</v>
      </c>
      <c r="J62" s="7" t="str">
        <f aca="false">IF(I62&gt;=8,"High",IF(I62&gt;=4,"Medium","Low"))</f>
        <v>Low</v>
      </c>
    </row>
    <row r="63" customFormat="false" ht="15" hidden="false" customHeight="true" outlineLevel="0" collapsed="false">
      <c r="A63" s="7" t="n">
        <f aca="false">'Raw Data'!A63</f>
        <v>921</v>
      </c>
      <c r="B63" s="7" t="n">
        <f aca="false">'Raw Data'!B63</f>
        <v>37</v>
      </c>
      <c r="C63" s="7" t="str">
        <f aca="false">'Raw Data'!C63</f>
        <v>Male</v>
      </c>
      <c r="D63" s="7" t="str">
        <f aca="false">'Raw Data'!D63</f>
        <v>Never</v>
      </c>
      <c r="E63" s="7" t="str">
        <f aca="false">'Raw Data'!J63</f>
        <v>Normal</v>
      </c>
      <c r="F63" s="7" t="n">
        <f aca="false">'Raw Data'!K63</f>
        <v>121</v>
      </c>
      <c r="G63" s="7" t="str">
        <f aca="false">'Raw Data'!L63</f>
        <v>No</v>
      </c>
      <c r="H63" s="7" t="str">
        <f aca="false">'Raw Data'!M63</f>
        <v>Low</v>
      </c>
      <c r="I63" s="7" t="n">
        <f aca="false">(IF(D63="Current",3,IF(D63="Former",1,0)))+(IF(E63="High",3,IF(E63="Normal",1,0)))+(IF(F63&gt;=240,2,IF(F63&gt;=200,1,0)))+(IF(G63="Yes",2,0))+(IF(H63="High",2,IF(H63="Moderate",1,0)))</f>
        <v>1</v>
      </c>
      <c r="J63" s="7" t="str">
        <f aca="false">IF(I63&gt;=8,"High",IF(I63&gt;=4,"Medium","Low"))</f>
        <v>Low</v>
      </c>
    </row>
    <row r="64" customFormat="false" ht="15" hidden="false" customHeight="true" outlineLevel="0" collapsed="false">
      <c r="A64" s="7" t="n">
        <f aca="false">'Raw Data'!A64</f>
        <v>929</v>
      </c>
      <c r="B64" s="7" t="n">
        <f aca="false">'Raw Data'!B64</f>
        <v>48</v>
      </c>
      <c r="C64" s="7" t="str">
        <f aca="false">'Raw Data'!C64</f>
        <v>Female</v>
      </c>
      <c r="D64" s="7" t="str">
        <f aca="false">'Raw Data'!D64</f>
        <v>Never</v>
      </c>
      <c r="E64" s="7" t="str">
        <f aca="false">'Raw Data'!J64</f>
        <v>Normal</v>
      </c>
      <c r="F64" s="7" t="n">
        <f aca="false">'Raw Data'!K64</f>
        <v>127.6</v>
      </c>
      <c r="G64" s="7" t="str">
        <f aca="false">'Raw Data'!L64</f>
        <v>No</v>
      </c>
      <c r="H64" s="7" t="str">
        <f aca="false">'Raw Data'!M64</f>
        <v>Low</v>
      </c>
      <c r="I64" s="7" t="n">
        <f aca="false">(IF(D64="Current",3,IF(D64="Former",1,0)))+(IF(E64="High",3,IF(E64="Normal",1,0)))+(IF(F64&gt;=240,2,IF(F64&gt;=200,1,0)))+(IF(G64="Yes",2,0))+(IF(H64="High",2,IF(H64="Moderate",1,0)))</f>
        <v>1</v>
      </c>
      <c r="J64" s="7" t="str">
        <f aca="false">IF(I64&gt;=8,"High",IF(I64&gt;=4,"Medium","Low"))</f>
        <v>Low</v>
      </c>
    </row>
    <row r="65" customFormat="false" ht="15" hidden="false" customHeight="true" outlineLevel="0" collapsed="false">
      <c r="A65" s="7" t="n">
        <f aca="false">'Raw Data'!A65</f>
        <v>963</v>
      </c>
      <c r="B65" s="7" t="n">
        <f aca="false">'Raw Data'!B65</f>
        <v>23</v>
      </c>
      <c r="C65" s="7" t="str">
        <f aca="false">'Raw Data'!C65</f>
        <v>Male</v>
      </c>
      <c r="D65" s="7" t="str">
        <f aca="false">'Raw Data'!D65</f>
        <v>Never</v>
      </c>
      <c r="E65" s="7" t="str">
        <f aca="false">'Raw Data'!J65</f>
        <v>Normal</v>
      </c>
      <c r="F65" s="7" t="n">
        <f aca="false">'Raw Data'!K65</f>
        <v>132.3</v>
      </c>
      <c r="G65" s="7" t="str">
        <f aca="false">'Raw Data'!L65</f>
        <v>No</v>
      </c>
      <c r="H65" s="7" t="str">
        <f aca="false">'Raw Data'!M65</f>
        <v>Low</v>
      </c>
      <c r="I65" s="7" t="n">
        <f aca="false">(IF(D65="Current",3,IF(D65="Former",1,0)))+(IF(E65="High",3,IF(E65="Normal",1,0)))+(IF(F65&gt;=240,2,IF(F65&gt;=200,1,0)))+(IF(G65="Yes",2,0))+(IF(H65="High",2,IF(H65="Moderate",1,0)))</f>
        <v>1</v>
      </c>
      <c r="J65" s="7" t="str">
        <f aca="false">IF(I65&gt;=8,"High",IF(I65&gt;=4,"Medium","Low"))</f>
        <v>Low</v>
      </c>
    </row>
    <row r="66" customFormat="false" ht="15" hidden="false" customHeight="true" outlineLevel="0" collapsed="false">
      <c r="A66" s="7" t="n">
        <f aca="false">'Raw Data'!A66</f>
        <v>972</v>
      </c>
      <c r="B66" s="7" t="n">
        <f aca="false">'Raw Data'!B66</f>
        <v>50</v>
      </c>
      <c r="C66" s="7" t="str">
        <f aca="false">'Raw Data'!C66</f>
        <v>Female</v>
      </c>
      <c r="D66" s="7" t="str">
        <f aca="false">'Raw Data'!D66</f>
        <v>Never</v>
      </c>
      <c r="E66" s="7" t="str">
        <f aca="false">'Raw Data'!J66</f>
        <v>Normal</v>
      </c>
      <c r="F66" s="7" t="n">
        <f aca="false">'Raw Data'!K66</f>
        <v>236.9</v>
      </c>
      <c r="G66" s="7" t="str">
        <f aca="false">'Raw Data'!L66</f>
        <v>No</v>
      </c>
      <c r="H66" s="7" t="str">
        <f aca="false">'Raw Data'!M66</f>
        <v>Low</v>
      </c>
      <c r="I66" s="7" t="n">
        <f aca="false">(IF(D66="Current",3,IF(D66="Former",1,0)))+(IF(E66="High",3,IF(E66="Normal",1,0)))+(IF(F66&gt;=240,2,IF(F66&gt;=200,1,0)))+(IF(G66="Yes",2,0))+(IF(H66="High",2,IF(H66="Moderate",1,0)))</f>
        <v>2</v>
      </c>
      <c r="J66" s="7" t="str">
        <f aca="false">IF(I66&gt;=8,"High",IF(I66&gt;=4,"Medium","Low"))</f>
        <v>Low</v>
      </c>
    </row>
    <row r="67" customFormat="false" ht="15" hidden="false" customHeight="true" outlineLevel="0" collapsed="false">
      <c r="A67" s="7" t="n">
        <f aca="false">'Raw Data'!A67</f>
        <v>992</v>
      </c>
      <c r="B67" s="7" t="n">
        <f aca="false">'Raw Data'!B67</f>
        <v>30</v>
      </c>
      <c r="C67" s="7" t="str">
        <f aca="false">'Raw Data'!C67</f>
        <v>Female</v>
      </c>
      <c r="D67" s="7" t="str">
        <f aca="false">'Raw Data'!D67</f>
        <v>Never</v>
      </c>
      <c r="E67" s="7" t="str">
        <f aca="false">'Raw Data'!J67</f>
        <v>Normal</v>
      </c>
      <c r="F67" s="7" t="n">
        <f aca="false">'Raw Data'!K67</f>
        <v>157.8</v>
      </c>
      <c r="G67" s="7" t="str">
        <f aca="false">'Raw Data'!L67</f>
        <v>No</v>
      </c>
      <c r="H67" s="7" t="str">
        <f aca="false">'Raw Data'!M67</f>
        <v>Low</v>
      </c>
      <c r="I67" s="7" t="n">
        <f aca="false">(IF(D67="Current",3,IF(D67="Former",1,0)))+(IF(E67="High",3,IF(E67="Normal",1,0)))+(IF(F67&gt;=240,2,IF(F67&gt;=200,1,0)))+(IF(G67="Yes",2,0))+(IF(H67="High",2,IF(H67="Moderate",1,0)))</f>
        <v>1</v>
      </c>
      <c r="J67" s="7" t="str">
        <f aca="false">IF(I67&gt;=8,"High",IF(I67&gt;=4,"Medium","Low"))</f>
        <v>Low</v>
      </c>
    </row>
    <row r="68" customFormat="false" ht="15" hidden="false" customHeight="true" outlineLevel="0" collapsed="false">
      <c r="A68" s="7" t="n">
        <f aca="false">'Raw Data'!A68</f>
        <v>1003</v>
      </c>
      <c r="B68" s="7" t="n">
        <f aca="false">'Raw Data'!B68</f>
        <v>64</v>
      </c>
      <c r="C68" s="7" t="str">
        <f aca="false">'Raw Data'!C68</f>
        <v>Female</v>
      </c>
      <c r="D68" s="7" t="str">
        <f aca="false">'Raw Data'!D68</f>
        <v>Never</v>
      </c>
      <c r="E68" s="7" t="str">
        <f aca="false">'Raw Data'!J68</f>
        <v>Normal</v>
      </c>
      <c r="F68" s="7" t="n">
        <f aca="false">'Raw Data'!K68</f>
        <v>283.1</v>
      </c>
      <c r="G68" s="7" t="str">
        <f aca="false">'Raw Data'!L68</f>
        <v>No</v>
      </c>
      <c r="H68" s="7" t="str">
        <f aca="false">'Raw Data'!M68</f>
        <v>Low</v>
      </c>
      <c r="I68" s="7" t="n">
        <f aca="false">(IF(D68="Current",3,IF(D68="Former",1,0)))+(IF(E68="High",3,IF(E68="Normal",1,0)))+(IF(F68&gt;=240,2,IF(F68&gt;=200,1,0)))+(IF(G68="Yes",2,0))+(IF(H68="High",2,IF(H68="Moderate",1,0)))</f>
        <v>3</v>
      </c>
      <c r="J68" s="7" t="str">
        <f aca="false">IF(I68&gt;=8,"High",IF(I68&gt;=4,"Medium","Low"))</f>
        <v>Low</v>
      </c>
    </row>
    <row r="69" customFormat="false" ht="15" hidden="false" customHeight="true" outlineLevel="0" collapsed="false">
      <c r="A69" s="7" t="n">
        <f aca="false">'Raw Data'!A69</f>
        <v>1049</v>
      </c>
      <c r="B69" s="7" t="n">
        <f aca="false">'Raw Data'!B69</f>
        <v>45</v>
      </c>
      <c r="C69" s="7" t="str">
        <f aca="false">'Raw Data'!C69</f>
        <v>Male</v>
      </c>
      <c r="D69" s="7" t="str">
        <f aca="false">'Raw Data'!D69</f>
        <v>Never</v>
      </c>
      <c r="E69" s="7" t="str">
        <f aca="false">'Raw Data'!J69</f>
        <v>Normal</v>
      </c>
      <c r="F69" s="7" t="n">
        <f aca="false">'Raw Data'!K69</f>
        <v>165.4</v>
      </c>
      <c r="G69" s="7" t="str">
        <f aca="false">'Raw Data'!L69</f>
        <v>No</v>
      </c>
      <c r="H69" s="7" t="str">
        <f aca="false">'Raw Data'!M69</f>
        <v>Low</v>
      </c>
      <c r="I69" s="7" t="n">
        <f aca="false">(IF(D69="Current",3,IF(D69="Former",1,0)))+(IF(E69="High",3,IF(E69="Normal",1,0)))+(IF(F69&gt;=240,2,IF(F69&gt;=200,1,0)))+(IF(G69="Yes",2,0))+(IF(H69="High",2,IF(H69="Moderate",1,0)))</f>
        <v>1</v>
      </c>
      <c r="J69" s="7" t="str">
        <f aca="false">IF(I69&gt;=8,"High",IF(I69&gt;=4,"Medium","Low"))</f>
        <v>Low</v>
      </c>
    </row>
    <row r="70" customFormat="false" ht="15" hidden="false" customHeight="true" outlineLevel="0" collapsed="false">
      <c r="A70" s="7" t="n">
        <f aca="false">'Raw Data'!A70</f>
        <v>1059</v>
      </c>
      <c r="B70" s="7" t="n">
        <f aca="false">'Raw Data'!B70</f>
        <v>55</v>
      </c>
      <c r="C70" s="7" t="str">
        <f aca="false">'Raw Data'!C70</f>
        <v>Male</v>
      </c>
      <c r="D70" s="7" t="str">
        <f aca="false">'Raw Data'!D70</f>
        <v>Never</v>
      </c>
      <c r="E70" s="7" t="str">
        <f aca="false">'Raw Data'!J70</f>
        <v>Normal</v>
      </c>
      <c r="F70" s="7" t="n">
        <f aca="false">'Raw Data'!K70</f>
        <v>226.9</v>
      </c>
      <c r="G70" s="7" t="str">
        <f aca="false">'Raw Data'!L70</f>
        <v>No</v>
      </c>
      <c r="H70" s="7" t="str">
        <f aca="false">'Raw Data'!M70</f>
        <v>Low</v>
      </c>
      <c r="I70" s="7" t="n">
        <f aca="false">(IF(D70="Current",3,IF(D70="Former",1,0)))+(IF(E70="High",3,IF(E70="Normal",1,0)))+(IF(F70&gt;=240,2,IF(F70&gt;=200,1,0)))+(IF(G70="Yes",2,0))+(IF(H70="High",2,IF(H70="Moderate",1,0)))</f>
        <v>2</v>
      </c>
      <c r="J70" s="7" t="str">
        <f aca="false">IF(I70&gt;=8,"High",IF(I70&gt;=4,"Medium","Low"))</f>
        <v>Low</v>
      </c>
    </row>
    <row r="71" customFormat="false" ht="15" hidden="false" customHeight="true" outlineLevel="0" collapsed="false">
      <c r="A71" s="7" t="n">
        <f aca="false">'Raw Data'!A71</f>
        <v>1072</v>
      </c>
      <c r="B71" s="7" t="n">
        <f aca="false">'Raw Data'!B71</f>
        <v>21</v>
      </c>
      <c r="C71" s="7" t="str">
        <f aca="false">'Raw Data'!C71</f>
        <v>Male</v>
      </c>
      <c r="D71" s="7" t="str">
        <f aca="false">'Raw Data'!D71</f>
        <v>Never</v>
      </c>
      <c r="E71" s="7" t="str">
        <f aca="false">'Raw Data'!J71</f>
        <v>Normal</v>
      </c>
      <c r="F71" s="7" t="n">
        <f aca="false">'Raw Data'!K71</f>
        <v>279.8</v>
      </c>
      <c r="G71" s="7" t="str">
        <f aca="false">'Raw Data'!L71</f>
        <v>No</v>
      </c>
      <c r="H71" s="7" t="str">
        <f aca="false">'Raw Data'!M71</f>
        <v>Low</v>
      </c>
      <c r="I71" s="7" t="n">
        <f aca="false">(IF(D71="Current",3,IF(D71="Former",1,0)))+(IF(E71="High",3,IF(E71="Normal",1,0)))+(IF(F71&gt;=240,2,IF(F71&gt;=200,1,0)))+(IF(G71="Yes",2,0))+(IF(H71="High",2,IF(H71="Moderate",1,0)))</f>
        <v>3</v>
      </c>
      <c r="J71" s="7" t="str">
        <f aca="false">IF(I71&gt;=8,"High",IF(I71&gt;=4,"Medium","Low"))</f>
        <v>Low</v>
      </c>
    </row>
    <row r="72" customFormat="false" ht="15" hidden="false" customHeight="true" outlineLevel="0" collapsed="false">
      <c r="A72" s="7" t="n">
        <f aca="false">'Raw Data'!A72</f>
        <v>1085</v>
      </c>
      <c r="B72" s="7" t="n">
        <f aca="false">'Raw Data'!B72</f>
        <v>24</v>
      </c>
      <c r="C72" s="7" t="str">
        <f aca="false">'Raw Data'!C72</f>
        <v>Male</v>
      </c>
      <c r="D72" s="7" t="str">
        <f aca="false">'Raw Data'!D72</f>
        <v>Never</v>
      </c>
      <c r="E72" s="7" t="str">
        <f aca="false">'Raw Data'!J72</f>
        <v>Normal</v>
      </c>
      <c r="F72" s="7" t="n">
        <f aca="false">'Raw Data'!K72</f>
        <v>208.8</v>
      </c>
      <c r="G72" s="7" t="str">
        <f aca="false">'Raw Data'!L72</f>
        <v>No</v>
      </c>
      <c r="H72" s="7" t="str">
        <f aca="false">'Raw Data'!M72</f>
        <v>Low</v>
      </c>
      <c r="I72" s="7" t="n">
        <f aca="false">(IF(D72="Current",3,IF(D72="Former",1,0)))+(IF(E72="High",3,IF(E72="Normal",1,0)))+(IF(F72&gt;=240,2,IF(F72&gt;=200,1,0)))+(IF(G72="Yes",2,0))+(IF(H72="High",2,IF(H72="Moderate",1,0)))</f>
        <v>2</v>
      </c>
      <c r="J72" s="7" t="str">
        <f aca="false">IF(I72&gt;=8,"High",IF(I72&gt;=4,"Medium","Low"))</f>
        <v>Low</v>
      </c>
    </row>
    <row r="73" customFormat="false" ht="15" hidden="false" customHeight="true" outlineLevel="0" collapsed="false">
      <c r="A73" s="7" t="n">
        <f aca="false">'Raw Data'!A73</f>
        <v>1087</v>
      </c>
      <c r="B73" s="7" t="n">
        <f aca="false">'Raw Data'!B73</f>
        <v>34</v>
      </c>
      <c r="C73" s="7" t="str">
        <f aca="false">'Raw Data'!C73</f>
        <v>Female</v>
      </c>
      <c r="D73" s="7" t="str">
        <f aca="false">'Raw Data'!D73</f>
        <v>Never</v>
      </c>
      <c r="E73" s="7" t="str">
        <f aca="false">'Raw Data'!J73</f>
        <v>Normal</v>
      </c>
      <c r="F73" s="7" t="n">
        <f aca="false">'Raw Data'!K73</f>
        <v>236.2</v>
      </c>
      <c r="G73" s="7" t="str">
        <f aca="false">'Raw Data'!L73</f>
        <v>No</v>
      </c>
      <c r="H73" s="7" t="str">
        <f aca="false">'Raw Data'!M73</f>
        <v>Low</v>
      </c>
      <c r="I73" s="7" t="n">
        <f aca="false">(IF(D73="Current",3,IF(D73="Former",1,0)))+(IF(E73="High",3,IF(E73="Normal",1,0)))+(IF(F73&gt;=240,2,IF(F73&gt;=200,1,0)))+(IF(G73="Yes",2,0))+(IF(H73="High",2,IF(H73="Moderate",1,0)))</f>
        <v>2</v>
      </c>
      <c r="J73" s="7" t="str">
        <f aca="false">IF(I73&gt;=8,"High",IF(I73&gt;=4,"Medium","Low"))</f>
        <v>Low</v>
      </c>
    </row>
    <row r="74" customFormat="false" ht="15" hidden="false" customHeight="true" outlineLevel="0" collapsed="false">
      <c r="A74" s="7" t="n">
        <f aca="false">'Raw Data'!A74</f>
        <v>1093</v>
      </c>
      <c r="B74" s="7" t="n">
        <f aca="false">'Raw Data'!B74</f>
        <v>37</v>
      </c>
      <c r="C74" s="7" t="str">
        <f aca="false">'Raw Data'!C74</f>
        <v>Male</v>
      </c>
      <c r="D74" s="7" t="str">
        <f aca="false">'Raw Data'!D74</f>
        <v>Never</v>
      </c>
      <c r="E74" s="7" t="str">
        <f aca="false">'Raw Data'!J74</f>
        <v>Normal</v>
      </c>
      <c r="F74" s="7" t="n">
        <f aca="false">'Raw Data'!K74</f>
        <v>277.1</v>
      </c>
      <c r="G74" s="7" t="str">
        <f aca="false">'Raw Data'!L74</f>
        <v>No</v>
      </c>
      <c r="H74" s="7" t="str">
        <f aca="false">'Raw Data'!M74</f>
        <v>Low</v>
      </c>
      <c r="I74" s="7" t="n">
        <f aca="false">(IF(D74="Current",3,IF(D74="Former",1,0)))+(IF(E74="High",3,IF(E74="Normal",1,0)))+(IF(F74&gt;=240,2,IF(F74&gt;=200,1,0)))+(IF(G74="Yes",2,0))+(IF(H74="High",2,IF(H74="Moderate",1,0)))</f>
        <v>3</v>
      </c>
      <c r="J74" s="7" t="str">
        <f aca="false">IF(I74&gt;=8,"High",IF(I74&gt;=4,"Medium","Low"))</f>
        <v>Low</v>
      </c>
    </row>
    <row r="75" customFormat="false" ht="15" hidden="false" customHeight="true" outlineLevel="0" collapsed="false">
      <c r="A75" s="7" t="n">
        <f aca="false">'Raw Data'!A75</f>
        <v>1097</v>
      </c>
      <c r="B75" s="7" t="n">
        <f aca="false">'Raw Data'!B75</f>
        <v>79</v>
      </c>
      <c r="C75" s="7" t="str">
        <f aca="false">'Raw Data'!C75</f>
        <v>Female</v>
      </c>
      <c r="D75" s="7" t="str">
        <f aca="false">'Raw Data'!D75</f>
        <v>Never</v>
      </c>
      <c r="E75" s="7" t="str">
        <f aca="false">'Raw Data'!J75</f>
        <v>Normal</v>
      </c>
      <c r="F75" s="7" t="n">
        <f aca="false">'Raw Data'!K75</f>
        <v>145.3</v>
      </c>
      <c r="G75" s="7" t="str">
        <f aca="false">'Raw Data'!L75</f>
        <v>No</v>
      </c>
      <c r="H75" s="7" t="str">
        <f aca="false">'Raw Data'!M75</f>
        <v>Low</v>
      </c>
      <c r="I75" s="7" t="n">
        <f aca="false">(IF(D75="Current",3,IF(D75="Former",1,0)))+(IF(E75="High",3,IF(E75="Normal",1,0)))+(IF(F75&gt;=240,2,IF(F75&gt;=200,1,0)))+(IF(G75="Yes",2,0))+(IF(H75="High",2,IF(H75="Moderate",1,0)))</f>
        <v>1</v>
      </c>
      <c r="J75" s="7" t="str">
        <f aca="false">IF(I75&gt;=8,"High",IF(I75&gt;=4,"Medium","Low"))</f>
        <v>Low</v>
      </c>
    </row>
    <row r="76" customFormat="false" ht="15" hidden="false" customHeight="true" outlineLevel="0" collapsed="false">
      <c r="A76" s="7" t="n">
        <f aca="false">'Raw Data'!A76</f>
        <v>1122</v>
      </c>
      <c r="B76" s="7" t="n">
        <f aca="false">'Raw Data'!B76</f>
        <v>81</v>
      </c>
      <c r="C76" s="7" t="str">
        <f aca="false">'Raw Data'!C76</f>
        <v>Male</v>
      </c>
      <c r="D76" s="7" t="str">
        <f aca="false">'Raw Data'!D76</f>
        <v>Never</v>
      </c>
      <c r="E76" s="7" t="str">
        <f aca="false">'Raw Data'!J76</f>
        <v>Normal</v>
      </c>
      <c r="F76" s="7" t="n">
        <f aca="false">'Raw Data'!K76</f>
        <v>197.3</v>
      </c>
      <c r="G76" s="7" t="str">
        <f aca="false">'Raw Data'!L76</f>
        <v>No</v>
      </c>
      <c r="H76" s="7" t="str">
        <f aca="false">'Raw Data'!M76</f>
        <v>Low</v>
      </c>
      <c r="I76" s="7" t="n">
        <f aca="false">(IF(D76="Current",3,IF(D76="Former",1,0)))+(IF(E76="High",3,IF(E76="Normal",1,0)))+(IF(F76&gt;=240,2,IF(F76&gt;=200,1,0)))+(IF(G76="Yes",2,0))+(IF(H76="High",2,IF(H76="Moderate",1,0)))</f>
        <v>1</v>
      </c>
      <c r="J76" s="7" t="str">
        <f aca="false">IF(I76&gt;=8,"High",IF(I76&gt;=4,"Medium","Low"))</f>
        <v>Low</v>
      </c>
    </row>
    <row r="77" customFormat="false" ht="15" hidden="false" customHeight="true" outlineLevel="0" collapsed="false">
      <c r="A77" s="7" t="n">
        <f aca="false">'Raw Data'!A77</f>
        <v>1124</v>
      </c>
      <c r="B77" s="7" t="n">
        <f aca="false">'Raw Data'!B77</f>
        <v>76</v>
      </c>
      <c r="C77" s="7" t="str">
        <f aca="false">'Raw Data'!C77</f>
        <v>Male</v>
      </c>
      <c r="D77" s="7" t="str">
        <f aca="false">'Raw Data'!D77</f>
        <v>Never</v>
      </c>
      <c r="E77" s="7" t="str">
        <f aca="false">'Raw Data'!J77</f>
        <v>Normal</v>
      </c>
      <c r="F77" s="7" t="n">
        <f aca="false">'Raw Data'!K77</f>
        <v>217.9</v>
      </c>
      <c r="G77" s="7" t="str">
        <f aca="false">'Raw Data'!L77</f>
        <v>No</v>
      </c>
      <c r="H77" s="7" t="str">
        <f aca="false">'Raw Data'!M77</f>
        <v>Low</v>
      </c>
      <c r="I77" s="7" t="n">
        <f aca="false">(IF(D77="Current",3,IF(D77="Former",1,0)))+(IF(E77="High",3,IF(E77="Normal",1,0)))+(IF(F77&gt;=240,2,IF(F77&gt;=200,1,0)))+(IF(G77="Yes",2,0))+(IF(H77="High",2,IF(H77="Moderate",1,0)))</f>
        <v>2</v>
      </c>
      <c r="J77" s="7" t="str">
        <f aca="false">IF(I77&gt;=8,"High",IF(I77&gt;=4,"Medium","Low"))</f>
        <v>Low</v>
      </c>
    </row>
    <row r="78" customFormat="false" ht="15" hidden="false" customHeight="true" outlineLevel="0" collapsed="false">
      <c r="A78" s="7" t="n">
        <f aca="false">'Raw Data'!A78</f>
        <v>1137</v>
      </c>
      <c r="B78" s="7" t="n">
        <f aca="false">'Raw Data'!B78</f>
        <v>65</v>
      </c>
      <c r="C78" s="7" t="str">
        <f aca="false">'Raw Data'!C78</f>
        <v>Male</v>
      </c>
      <c r="D78" s="7" t="str">
        <f aca="false">'Raw Data'!D78</f>
        <v>Never</v>
      </c>
      <c r="E78" s="7" t="str">
        <f aca="false">'Raw Data'!J78</f>
        <v>Normal</v>
      </c>
      <c r="F78" s="7" t="n">
        <f aca="false">'Raw Data'!K78</f>
        <v>131.7</v>
      </c>
      <c r="G78" s="7" t="str">
        <f aca="false">'Raw Data'!L78</f>
        <v>No</v>
      </c>
      <c r="H78" s="7" t="str">
        <f aca="false">'Raw Data'!M78</f>
        <v>Low</v>
      </c>
      <c r="I78" s="7" t="n">
        <f aca="false">(IF(D78="Current",3,IF(D78="Former",1,0)))+(IF(E78="High",3,IF(E78="Normal",1,0)))+(IF(F78&gt;=240,2,IF(F78&gt;=200,1,0)))+(IF(G78="Yes",2,0))+(IF(H78="High",2,IF(H78="Moderate",1,0)))</f>
        <v>1</v>
      </c>
      <c r="J78" s="7" t="str">
        <f aca="false">IF(I78&gt;=8,"High",IF(I78&gt;=4,"Medium","Low"))</f>
        <v>Low</v>
      </c>
    </row>
    <row r="79" customFormat="false" ht="15" hidden="false" customHeight="true" outlineLevel="0" collapsed="false">
      <c r="A79" s="7" t="n">
        <f aca="false">'Raw Data'!A79</f>
        <v>1146</v>
      </c>
      <c r="B79" s="7" t="n">
        <f aca="false">'Raw Data'!B79</f>
        <v>45</v>
      </c>
      <c r="C79" s="7" t="str">
        <f aca="false">'Raw Data'!C79</f>
        <v>Female</v>
      </c>
      <c r="D79" s="7" t="str">
        <f aca="false">'Raw Data'!D79</f>
        <v>Never</v>
      </c>
      <c r="E79" s="7" t="str">
        <f aca="false">'Raw Data'!J79</f>
        <v>Normal</v>
      </c>
      <c r="F79" s="7" t="n">
        <f aca="false">'Raw Data'!K79</f>
        <v>134.6</v>
      </c>
      <c r="G79" s="7" t="str">
        <f aca="false">'Raw Data'!L79</f>
        <v>No</v>
      </c>
      <c r="H79" s="7" t="str">
        <f aca="false">'Raw Data'!M79</f>
        <v>Low</v>
      </c>
      <c r="I79" s="7" t="n">
        <f aca="false">(IF(D79="Current",3,IF(D79="Former",1,0)))+(IF(E79="High",3,IF(E79="Normal",1,0)))+(IF(F79&gt;=240,2,IF(F79&gt;=200,1,0)))+(IF(G79="Yes",2,0))+(IF(H79="High",2,IF(H79="Moderate",1,0)))</f>
        <v>1</v>
      </c>
      <c r="J79" s="7" t="str">
        <f aca="false">IF(I79&gt;=8,"High",IF(I79&gt;=4,"Medium","Low"))</f>
        <v>Low</v>
      </c>
    </row>
    <row r="80" customFormat="false" ht="15" hidden="false" customHeight="true" outlineLevel="0" collapsed="false">
      <c r="A80" s="7" t="n">
        <f aca="false">'Raw Data'!A80</f>
        <v>1149</v>
      </c>
      <c r="B80" s="7" t="n">
        <f aca="false">'Raw Data'!B80</f>
        <v>27</v>
      </c>
      <c r="C80" s="7" t="str">
        <f aca="false">'Raw Data'!C80</f>
        <v>Female</v>
      </c>
      <c r="D80" s="7" t="str">
        <f aca="false">'Raw Data'!D80</f>
        <v>Never</v>
      </c>
      <c r="E80" s="7" t="str">
        <f aca="false">'Raw Data'!J80</f>
        <v>Normal</v>
      </c>
      <c r="F80" s="7" t="n">
        <f aca="false">'Raw Data'!K80</f>
        <v>294.3</v>
      </c>
      <c r="G80" s="7" t="str">
        <f aca="false">'Raw Data'!L80</f>
        <v>No</v>
      </c>
      <c r="H80" s="7" t="str">
        <f aca="false">'Raw Data'!M80</f>
        <v>Low</v>
      </c>
      <c r="I80" s="7" t="n">
        <f aca="false">(IF(D80="Current",3,IF(D80="Former",1,0)))+(IF(E80="High",3,IF(E80="Normal",1,0)))+(IF(F80&gt;=240,2,IF(F80&gt;=200,1,0)))+(IF(G80="Yes",2,0))+(IF(H80="High",2,IF(H80="Moderate",1,0)))</f>
        <v>3</v>
      </c>
      <c r="J80" s="7" t="str">
        <f aca="false">IF(I80&gt;=8,"High",IF(I80&gt;=4,"Medium","Low"))</f>
        <v>Low</v>
      </c>
    </row>
    <row r="81" customFormat="false" ht="15" hidden="false" customHeight="true" outlineLevel="0" collapsed="false">
      <c r="A81" s="7" t="n">
        <f aca="false">'Raw Data'!A81</f>
        <v>1171</v>
      </c>
      <c r="B81" s="7" t="n">
        <f aca="false">'Raw Data'!B81</f>
        <v>51</v>
      </c>
      <c r="C81" s="7" t="str">
        <f aca="false">'Raw Data'!C81</f>
        <v>Female</v>
      </c>
      <c r="D81" s="7" t="str">
        <f aca="false">'Raw Data'!D81</f>
        <v>Never</v>
      </c>
      <c r="E81" s="7" t="str">
        <f aca="false">'Raw Data'!J81</f>
        <v>Normal</v>
      </c>
      <c r="F81" s="7" t="n">
        <f aca="false">'Raw Data'!K81</f>
        <v>157.1</v>
      </c>
      <c r="G81" s="7" t="str">
        <f aca="false">'Raw Data'!L81</f>
        <v>No</v>
      </c>
      <c r="H81" s="7" t="str">
        <f aca="false">'Raw Data'!M81</f>
        <v>Low</v>
      </c>
      <c r="I81" s="7" t="n">
        <f aca="false">(IF(D81="Current",3,IF(D81="Former",1,0)))+(IF(E81="High",3,IF(E81="Normal",1,0)))+(IF(F81&gt;=240,2,IF(F81&gt;=200,1,0)))+(IF(G81="Yes",2,0))+(IF(H81="High",2,IF(H81="Moderate",1,0)))</f>
        <v>1</v>
      </c>
      <c r="J81" s="7" t="str">
        <f aca="false">IF(I81&gt;=8,"High",IF(I81&gt;=4,"Medium","Low"))</f>
        <v>Low</v>
      </c>
    </row>
    <row r="82" customFormat="false" ht="15" hidden="false" customHeight="true" outlineLevel="0" collapsed="false">
      <c r="A82" s="7" t="n">
        <f aca="false">'Raw Data'!A82</f>
        <v>1185</v>
      </c>
      <c r="B82" s="7" t="n">
        <f aca="false">'Raw Data'!B82</f>
        <v>57</v>
      </c>
      <c r="C82" s="7" t="str">
        <f aca="false">'Raw Data'!C82</f>
        <v>Female</v>
      </c>
      <c r="D82" s="7" t="str">
        <f aca="false">'Raw Data'!D82</f>
        <v>Never</v>
      </c>
      <c r="E82" s="7" t="str">
        <f aca="false">'Raw Data'!J82</f>
        <v>Normal</v>
      </c>
      <c r="F82" s="7" t="n">
        <f aca="false">'Raw Data'!K82</f>
        <v>269</v>
      </c>
      <c r="G82" s="7" t="str">
        <f aca="false">'Raw Data'!L82</f>
        <v>No</v>
      </c>
      <c r="H82" s="7" t="str">
        <f aca="false">'Raw Data'!M82</f>
        <v>Low</v>
      </c>
      <c r="I82" s="7" t="n">
        <f aca="false">(IF(D82="Current",3,IF(D82="Former",1,0)))+(IF(E82="High",3,IF(E82="Normal",1,0)))+(IF(F82&gt;=240,2,IF(F82&gt;=200,1,0)))+(IF(G82="Yes",2,0))+(IF(H82="High",2,IF(H82="Moderate",1,0)))</f>
        <v>3</v>
      </c>
      <c r="J82" s="7" t="str">
        <f aca="false">IF(I82&gt;=8,"High",IF(I82&gt;=4,"Medium","Low"))</f>
        <v>Low</v>
      </c>
    </row>
    <row r="83" customFormat="false" ht="15" hidden="false" customHeight="true" outlineLevel="0" collapsed="false">
      <c r="A83" s="7" t="n">
        <f aca="false">'Raw Data'!A83</f>
        <v>1188</v>
      </c>
      <c r="B83" s="7" t="n">
        <f aca="false">'Raw Data'!B83</f>
        <v>26</v>
      </c>
      <c r="C83" s="7" t="str">
        <f aca="false">'Raw Data'!C83</f>
        <v>Male</v>
      </c>
      <c r="D83" s="7" t="str">
        <f aca="false">'Raw Data'!D83</f>
        <v>Never</v>
      </c>
      <c r="E83" s="7" t="str">
        <f aca="false">'Raw Data'!J83</f>
        <v>Normal</v>
      </c>
      <c r="F83" s="7" t="n">
        <f aca="false">'Raw Data'!K83</f>
        <v>191.6</v>
      </c>
      <c r="G83" s="7" t="str">
        <f aca="false">'Raw Data'!L83</f>
        <v>No</v>
      </c>
      <c r="H83" s="7" t="str">
        <f aca="false">'Raw Data'!M83</f>
        <v>Low</v>
      </c>
      <c r="I83" s="7" t="n">
        <f aca="false">(IF(D83="Current",3,IF(D83="Former",1,0)))+(IF(E83="High",3,IF(E83="Normal",1,0)))+(IF(F83&gt;=240,2,IF(F83&gt;=200,1,0)))+(IF(G83="Yes",2,0))+(IF(H83="High",2,IF(H83="Moderate",1,0)))</f>
        <v>1</v>
      </c>
      <c r="J83" s="7" t="str">
        <f aca="false">IF(I83&gt;=8,"High",IF(I83&gt;=4,"Medium","Low"))</f>
        <v>Low</v>
      </c>
    </row>
    <row r="84" customFormat="false" ht="15" hidden="false" customHeight="true" outlineLevel="0" collapsed="false">
      <c r="A84" s="7" t="n">
        <f aca="false">'Raw Data'!A84</f>
        <v>1202</v>
      </c>
      <c r="B84" s="7" t="n">
        <f aca="false">'Raw Data'!B84</f>
        <v>20</v>
      </c>
      <c r="C84" s="7" t="str">
        <f aca="false">'Raw Data'!C84</f>
        <v>Female</v>
      </c>
      <c r="D84" s="7" t="str">
        <f aca="false">'Raw Data'!D84</f>
        <v>Never</v>
      </c>
      <c r="E84" s="7" t="str">
        <f aca="false">'Raw Data'!J84</f>
        <v>Normal</v>
      </c>
      <c r="F84" s="7" t="n">
        <f aca="false">'Raw Data'!K84</f>
        <v>165.5</v>
      </c>
      <c r="G84" s="7" t="str">
        <f aca="false">'Raw Data'!L84</f>
        <v>No</v>
      </c>
      <c r="H84" s="7" t="str">
        <f aca="false">'Raw Data'!M84</f>
        <v>Low</v>
      </c>
      <c r="I84" s="7" t="n">
        <f aca="false">(IF(D84="Current",3,IF(D84="Former",1,0)))+(IF(E84="High",3,IF(E84="Normal",1,0)))+(IF(F84&gt;=240,2,IF(F84&gt;=200,1,0)))+(IF(G84="Yes",2,0))+(IF(H84="High",2,IF(H84="Moderate",1,0)))</f>
        <v>1</v>
      </c>
      <c r="J84" s="7" t="str">
        <f aca="false">IF(I84&gt;=8,"High",IF(I84&gt;=4,"Medium","Low"))</f>
        <v>Low</v>
      </c>
    </row>
    <row r="85" customFormat="false" ht="15" hidden="false" customHeight="true" outlineLevel="0" collapsed="false">
      <c r="A85" s="7" t="n">
        <f aca="false">'Raw Data'!A85</f>
        <v>1206</v>
      </c>
      <c r="B85" s="7" t="n">
        <f aca="false">'Raw Data'!B85</f>
        <v>68</v>
      </c>
      <c r="C85" s="7" t="str">
        <f aca="false">'Raw Data'!C85</f>
        <v>Male</v>
      </c>
      <c r="D85" s="7" t="str">
        <f aca="false">'Raw Data'!D85</f>
        <v>Never</v>
      </c>
      <c r="E85" s="7" t="str">
        <f aca="false">'Raw Data'!J85</f>
        <v>Normal</v>
      </c>
      <c r="F85" s="7" t="n">
        <f aca="false">'Raw Data'!K85</f>
        <v>234.7</v>
      </c>
      <c r="G85" s="7" t="str">
        <f aca="false">'Raw Data'!L85</f>
        <v>No</v>
      </c>
      <c r="H85" s="7" t="str">
        <f aca="false">'Raw Data'!M85</f>
        <v>Low</v>
      </c>
      <c r="I85" s="7" t="n">
        <f aca="false">(IF(D85="Current",3,IF(D85="Former",1,0)))+(IF(E85="High",3,IF(E85="Normal",1,0)))+(IF(F85&gt;=240,2,IF(F85&gt;=200,1,0)))+(IF(G85="Yes",2,0))+(IF(H85="High",2,IF(H85="Moderate",1,0)))</f>
        <v>2</v>
      </c>
      <c r="J85" s="7" t="str">
        <f aca="false">IF(I85&gt;=8,"High",IF(I85&gt;=4,"Medium","Low"))</f>
        <v>Low</v>
      </c>
    </row>
    <row r="86" customFormat="false" ht="15" hidden="false" customHeight="true" outlineLevel="0" collapsed="false">
      <c r="A86" s="7" t="n">
        <f aca="false">'Raw Data'!A86</f>
        <v>1216</v>
      </c>
      <c r="B86" s="7" t="n">
        <f aca="false">'Raw Data'!B86</f>
        <v>24</v>
      </c>
      <c r="C86" s="7" t="str">
        <f aca="false">'Raw Data'!C86</f>
        <v>Male</v>
      </c>
      <c r="D86" s="7" t="str">
        <f aca="false">'Raw Data'!D86</f>
        <v>Never</v>
      </c>
      <c r="E86" s="7" t="str">
        <f aca="false">'Raw Data'!J86</f>
        <v>Normal</v>
      </c>
      <c r="F86" s="7" t="n">
        <f aca="false">'Raw Data'!K86</f>
        <v>120.2</v>
      </c>
      <c r="G86" s="7" t="str">
        <f aca="false">'Raw Data'!L86</f>
        <v>No</v>
      </c>
      <c r="H86" s="7" t="str">
        <f aca="false">'Raw Data'!M86</f>
        <v>Low</v>
      </c>
      <c r="I86" s="7" t="n">
        <f aca="false">(IF(D86="Current",3,IF(D86="Former",1,0)))+(IF(E86="High",3,IF(E86="Normal",1,0)))+(IF(F86&gt;=240,2,IF(F86&gt;=200,1,0)))+(IF(G86="Yes",2,0))+(IF(H86="High",2,IF(H86="Moderate",1,0)))</f>
        <v>1</v>
      </c>
      <c r="J86" s="7" t="str">
        <f aca="false">IF(I86&gt;=8,"High",IF(I86&gt;=4,"Medium","Low"))</f>
        <v>Low</v>
      </c>
    </row>
    <row r="87" customFormat="false" ht="15" hidden="false" customHeight="true" outlineLevel="0" collapsed="false">
      <c r="A87" s="7" t="n">
        <f aca="false">'Raw Data'!A87</f>
        <v>1218</v>
      </c>
      <c r="B87" s="7" t="n">
        <f aca="false">'Raw Data'!B87</f>
        <v>70</v>
      </c>
      <c r="C87" s="7" t="str">
        <f aca="false">'Raw Data'!C87</f>
        <v>Female</v>
      </c>
      <c r="D87" s="7" t="str">
        <f aca="false">'Raw Data'!D87</f>
        <v>Never</v>
      </c>
      <c r="E87" s="7" t="str">
        <f aca="false">'Raw Data'!J87</f>
        <v>Normal</v>
      </c>
      <c r="F87" s="7" t="n">
        <f aca="false">'Raw Data'!K87</f>
        <v>230.5</v>
      </c>
      <c r="G87" s="7" t="str">
        <f aca="false">'Raw Data'!L87</f>
        <v>No</v>
      </c>
      <c r="H87" s="7" t="str">
        <f aca="false">'Raw Data'!M87</f>
        <v>Low</v>
      </c>
      <c r="I87" s="7" t="n">
        <f aca="false">(IF(D87="Current",3,IF(D87="Former",1,0)))+(IF(E87="High",3,IF(E87="Normal",1,0)))+(IF(F87&gt;=240,2,IF(F87&gt;=200,1,0)))+(IF(G87="Yes",2,0))+(IF(H87="High",2,IF(H87="Moderate",1,0)))</f>
        <v>2</v>
      </c>
      <c r="J87" s="7" t="str">
        <f aca="false">IF(I87&gt;=8,"High",IF(I87&gt;=4,"Medium","Low"))</f>
        <v>Low</v>
      </c>
    </row>
    <row r="88" customFormat="false" ht="15" hidden="false" customHeight="true" outlineLevel="0" collapsed="false">
      <c r="A88" s="7" t="n">
        <f aca="false">'Raw Data'!A88</f>
        <v>1222</v>
      </c>
      <c r="B88" s="7" t="n">
        <f aca="false">'Raw Data'!B88</f>
        <v>82</v>
      </c>
      <c r="C88" s="7" t="str">
        <f aca="false">'Raw Data'!C88</f>
        <v>Female</v>
      </c>
      <c r="D88" s="7" t="str">
        <f aca="false">'Raw Data'!D88</f>
        <v>Never</v>
      </c>
      <c r="E88" s="7" t="str">
        <f aca="false">'Raw Data'!J88</f>
        <v>Normal</v>
      </c>
      <c r="F88" s="7" t="n">
        <f aca="false">'Raw Data'!K88</f>
        <v>166.3</v>
      </c>
      <c r="G88" s="7" t="str">
        <f aca="false">'Raw Data'!L88</f>
        <v>No</v>
      </c>
      <c r="H88" s="7" t="str">
        <f aca="false">'Raw Data'!M88</f>
        <v>Low</v>
      </c>
      <c r="I88" s="7" t="n">
        <f aca="false">(IF(D88="Current",3,IF(D88="Former",1,0)))+(IF(E88="High",3,IF(E88="Normal",1,0)))+(IF(F88&gt;=240,2,IF(F88&gt;=200,1,0)))+(IF(G88="Yes",2,0))+(IF(H88="High",2,IF(H88="Moderate",1,0)))</f>
        <v>1</v>
      </c>
      <c r="J88" s="7" t="str">
        <f aca="false">IF(I88&gt;=8,"High",IF(I88&gt;=4,"Medium","Low"))</f>
        <v>Low</v>
      </c>
    </row>
    <row r="89" customFormat="false" ht="15" hidden="false" customHeight="true" outlineLevel="0" collapsed="false">
      <c r="A89" s="7" t="n">
        <f aca="false">'Raw Data'!A89</f>
        <v>1223</v>
      </c>
      <c r="B89" s="7" t="n">
        <f aca="false">'Raw Data'!B89</f>
        <v>71</v>
      </c>
      <c r="C89" s="7" t="str">
        <f aca="false">'Raw Data'!C89</f>
        <v>Male</v>
      </c>
      <c r="D89" s="7" t="str">
        <f aca="false">'Raw Data'!D89</f>
        <v>Never</v>
      </c>
      <c r="E89" s="7" t="str">
        <f aca="false">'Raw Data'!J89</f>
        <v>Normal</v>
      </c>
      <c r="F89" s="7" t="n">
        <f aca="false">'Raw Data'!K89</f>
        <v>215.3</v>
      </c>
      <c r="G89" s="7" t="str">
        <f aca="false">'Raw Data'!L89</f>
        <v>No</v>
      </c>
      <c r="H89" s="7" t="str">
        <f aca="false">'Raw Data'!M89</f>
        <v>Low</v>
      </c>
      <c r="I89" s="7" t="n">
        <f aca="false">(IF(D89="Current",3,IF(D89="Former",1,0)))+(IF(E89="High",3,IF(E89="Normal",1,0)))+(IF(F89&gt;=240,2,IF(F89&gt;=200,1,0)))+(IF(G89="Yes",2,0))+(IF(H89="High",2,IF(H89="Moderate",1,0)))</f>
        <v>2</v>
      </c>
      <c r="J89" s="7" t="str">
        <f aca="false">IF(I89&gt;=8,"High",IF(I89&gt;=4,"Medium","Low"))</f>
        <v>Low</v>
      </c>
    </row>
    <row r="90" customFormat="false" ht="15" hidden="false" customHeight="true" outlineLevel="0" collapsed="false">
      <c r="A90" s="7" t="n">
        <f aca="false">'Raw Data'!A90</f>
        <v>1237</v>
      </c>
      <c r="B90" s="7" t="n">
        <f aca="false">'Raw Data'!B90</f>
        <v>85</v>
      </c>
      <c r="C90" s="7" t="str">
        <f aca="false">'Raw Data'!C90</f>
        <v>Male</v>
      </c>
      <c r="D90" s="7" t="str">
        <f aca="false">'Raw Data'!D90</f>
        <v>Never</v>
      </c>
      <c r="E90" s="7" t="str">
        <f aca="false">'Raw Data'!J90</f>
        <v>Normal</v>
      </c>
      <c r="F90" s="7" t="n">
        <f aca="false">'Raw Data'!K90</f>
        <v>214.9</v>
      </c>
      <c r="G90" s="7" t="str">
        <f aca="false">'Raw Data'!L90</f>
        <v>No</v>
      </c>
      <c r="H90" s="7" t="str">
        <f aca="false">'Raw Data'!M90</f>
        <v>Low</v>
      </c>
      <c r="I90" s="7" t="n">
        <f aca="false">(IF(D90="Current",3,IF(D90="Former",1,0)))+(IF(E90="High",3,IF(E90="Normal",1,0)))+(IF(F90&gt;=240,2,IF(F90&gt;=200,1,0)))+(IF(G90="Yes",2,0))+(IF(H90="High",2,IF(H90="Moderate",1,0)))</f>
        <v>2</v>
      </c>
      <c r="J90" s="7" t="str">
        <f aca="false">IF(I90&gt;=8,"High",IF(I90&gt;=4,"Medium","Low"))</f>
        <v>Low</v>
      </c>
    </row>
    <row r="91" customFormat="false" ht="15" hidden="false" customHeight="true" outlineLevel="0" collapsed="false">
      <c r="A91" s="7" t="n">
        <f aca="false">'Raw Data'!A91</f>
        <v>1247</v>
      </c>
      <c r="B91" s="7" t="n">
        <f aca="false">'Raw Data'!B91</f>
        <v>43</v>
      </c>
      <c r="C91" s="7" t="str">
        <f aca="false">'Raw Data'!C91</f>
        <v>Female</v>
      </c>
      <c r="D91" s="7" t="str">
        <f aca="false">'Raw Data'!D91</f>
        <v>Never</v>
      </c>
      <c r="E91" s="7" t="str">
        <f aca="false">'Raw Data'!J91</f>
        <v>Normal</v>
      </c>
      <c r="F91" s="7" t="n">
        <f aca="false">'Raw Data'!K91</f>
        <v>247</v>
      </c>
      <c r="G91" s="7" t="str">
        <f aca="false">'Raw Data'!L91</f>
        <v>No</v>
      </c>
      <c r="H91" s="7" t="str">
        <f aca="false">'Raw Data'!M91</f>
        <v>Low</v>
      </c>
      <c r="I91" s="7" t="n">
        <f aca="false">(IF(D91="Current",3,IF(D91="Former",1,0)))+(IF(E91="High",3,IF(E91="Normal",1,0)))+(IF(F91&gt;=240,2,IF(F91&gt;=200,1,0)))+(IF(G91="Yes",2,0))+(IF(H91="High",2,IF(H91="Moderate",1,0)))</f>
        <v>3</v>
      </c>
      <c r="J91" s="7" t="str">
        <f aca="false">IF(I91&gt;=8,"High",IF(I91&gt;=4,"Medium","Low"))</f>
        <v>Low</v>
      </c>
    </row>
    <row r="92" customFormat="false" ht="15" hidden="false" customHeight="true" outlineLevel="0" collapsed="false">
      <c r="A92" s="7" t="n">
        <f aca="false">'Raw Data'!A92</f>
        <v>1287</v>
      </c>
      <c r="B92" s="7" t="n">
        <f aca="false">'Raw Data'!B92</f>
        <v>25</v>
      </c>
      <c r="C92" s="7" t="str">
        <f aca="false">'Raw Data'!C92</f>
        <v>Male</v>
      </c>
      <c r="D92" s="7" t="str">
        <f aca="false">'Raw Data'!D92</f>
        <v>Never</v>
      </c>
      <c r="E92" s="7" t="str">
        <f aca="false">'Raw Data'!J92</f>
        <v>Normal</v>
      </c>
      <c r="F92" s="7" t="n">
        <f aca="false">'Raw Data'!K92</f>
        <v>248.3</v>
      </c>
      <c r="G92" s="7" t="str">
        <f aca="false">'Raw Data'!L92</f>
        <v>No</v>
      </c>
      <c r="H92" s="7" t="str">
        <f aca="false">'Raw Data'!M92</f>
        <v>Low</v>
      </c>
      <c r="I92" s="7" t="n">
        <f aca="false">(IF(D92="Current",3,IF(D92="Former",1,0)))+(IF(E92="High",3,IF(E92="Normal",1,0)))+(IF(F92&gt;=240,2,IF(F92&gt;=200,1,0)))+(IF(G92="Yes",2,0))+(IF(H92="High",2,IF(H92="Moderate",1,0)))</f>
        <v>3</v>
      </c>
      <c r="J92" s="7" t="str">
        <f aca="false">IF(I92&gt;=8,"High",IF(I92&gt;=4,"Medium","Low"))</f>
        <v>Low</v>
      </c>
    </row>
    <row r="93" customFormat="false" ht="15" hidden="false" customHeight="true" outlineLevel="0" collapsed="false">
      <c r="A93" s="7" t="n">
        <f aca="false">'Raw Data'!A93</f>
        <v>1326</v>
      </c>
      <c r="B93" s="7" t="n">
        <f aca="false">'Raw Data'!B93</f>
        <v>24</v>
      </c>
      <c r="C93" s="7" t="str">
        <f aca="false">'Raw Data'!C93</f>
        <v>Female</v>
      </c>
      <c r="D93" s="7" t="str">
        <f aca="false">'Raw Data'!D93</f>
        <v>Never</v>
      </c>
      <c r="E93" s="7" t="str">
        <f aca="false">'Raw Data'!J93</f>
        <v>Normal</v>
      </c>
      <c r="F93" s="7" t="n">
        <f aca="false">'Raw Data'!K93</f>
        <v>137.1</v>
      </c>
      <c r="G93" s="7" t="str">
        <f aca="false">'Raw Data'!L93</f>
        <v>No</v>
      </c>
      <c r="H93" s="7" t="str">
        <f aca="false">'Raw Data'!M93</f>
        <v>Low</v>
      </c>
      <c r="I93" s="7" t="n">
        <f aca="false">(IF(D93="Current",3,IF(D93="Former",1,0)))+(IF(E93="High",3,IF(E93="Normal",1,0)))+(IF(F93&gt;=240,2,IF(F93&gt;=200,1,0)))+(IF(G93="Yes",2,0))+(IF(H93="High",2,IF(H93="Moderate",1,0)))</f>
        <v>1</v>
      </c>
      <c r="J93" s="7" t="str">
        <f aca="false">IF(I93&gt;=8,"High",IF(I93&gt;=4,"Medium","Low"))</f>
        <v>Low</v>
      </c>
    </row>
    <row r="94" customFormat="false" ht="15" hidden="false" customHeight="true" outlineLevel="0" collapsed="false">
      <c r="A94" s="7" t="n">
        <f aca="false">'Raw Data'!A94</f>
        <v>1327</v>
      </c>
      <c r="B94" s="7" t="n">
        <f aca="false">'Raw Data'!B94</f>
        <v>25</v>
      </c>
      <c r="C94" s="7" t="str">
        <f aca="false">'Raw Data'!C94</f>
        <v>Female</v>
      </c>
      <c r="D94" s="7" t="str">
        <f aca="false">'Raw Data'!D94</f>
        <v>Never</v>
      </c>
      <c r="E94" s="7" t="str">
        <f aca="false">'Raw Data'!J94</f>
        <v>Normal</v>
      </c>
      <c r="F94" s="7" t="n">
        <f aca="false">'Raw Data'!K94</f>
        <v>164.7</v>
      </c>
      <c r="G94" s="7" t="str">
        <f aca="false">'Raw Data'!L94</f>
        <v>No</v>
      </c>
      <c r="H94" s="7" t="str">
        <f aca="false">'Raw Data'!M94</f>
        <v>Low</v>
      </c>
      <c r="I94" s="7" t="n">
        <f aca="false">(IF(D94="Current",3,IF(D94="Former",1,0)))+(IF(E94="High",3,IF(E94="Normal",1,0)))+(IF(F94&gt;=240,2,IF(F94&gt;=200,1,0)))+(IF(G94="Yes",2,0))+(IF(H94="High",2,IF(H94="Moderate",1,0)))</f>
        <v>1</v>
      </c>
      <c r="J94" s="7" t="str">
        <f aca="false">IF(I94&gt;=8,"High",IF(I94&gt;=4,"Medium","Low"))</f>
        <v>Low</v>
      </c>
    </row>
    <row r="95" customFormat="false" ht="15" hidden="false" customHeight="true" outlineLevel="0" collapsed="false">
      <c r="A95" s="7" t="n">
        <f aca="false">'Raw Data'!A95</f>
        <v>1333</v>
      </c>
      <c r="B95" s="7" t="n">
        <f aca="false">'Raw Data'!B95</f>
        <v>75</v>
      </c>
      <c r="C95" s="7" t="str">
        <f aca="false">'Raw Data'!C95</f>
        <v>Female</v>
      </c>
      <c r="D95" s="7" t="str">
        <f aca="false">'Raw Data'!D95</f>
        <v>Never</v>
      </c>
      <c r="E95" s="7" t="str">
        <f aca="false">'Raw Data'!J95</f>
        <v>Normal</v>
      </c>
      <c r="F95" s="7" t="n">
        <f aca="false">'Raw Data'!K95</f>
        <v>178.7</v>
      </c>
      <c r="G95" s="7" t="str">
        <f aca="false">'Raw Data'!L95</f>
        <v>No</v>
      </c>
      <c r="H95" s="7" t="str">
        <f aca="false">'Raw Data'!M95</f>
        <v>Low</v>
      </c>
      <c r="I95" s="7" t="n">
        <f aca="false">(IF(D95="Current",3,IF(D95="Former",1,0)))+(IF(E95="High",3,IF(E95="Normal",1,0)))+(IF(F95&gt;=240,2,IF(F95&gt;=200,1,0)))+(IF(G95="Yes",2,0))+(IF(H95="High",2,IF(H95="Moderate",1,0)))</f>
        <v>1</v>
      </c>
      <c r="J95" s="7" t="str">
        <f aca="false">IF(I95&gt;=8,"High",IF(I95&gt;=4,"Medium","Low"))</f>
        <v>Low</v>
      </c>
    </row>
    <row r="96" customFormat="false" ht="15" hidden="false" customHeight="true" outlineLevel="0" collapsed="false">
      <c r="A96" s="7" t="n">
        <f aca="false">'Raw Data'!A96</f>
        <v>1339</v>
      </c>
      <c r="B96" s="7" t="n">
        <f aca="false">'Raw Data'!B96</f>
        <v>61</v>
      </c>
      <c r="C96" s="7" t="str">
        <f aca="false">'Raw Data'!C96</f>
        <v>Male</v>
      </c>
      <c r="D96" s="7" t="str">
        <f aca="false">'Raw Data'!D96</f>
        <v>Never</v>
      </c>
      <c r="E96" s="7" t="str">
        <f aca="false">'Raw Data'!J96</f>
        <v>Normal</v>
      </c>
      <c r="F96" s="7" t="n">
        <f aca="false">'Raw Data'!K96</f>
        <v>238</v>
      </c>
      <c r="G96" s="7" t="str">
        <f aca="false">'Raw Data'!L96</f>
        <v>No</v>
      </c>
      <c r="H96" s="7" t="str">
        <f aca="false">'Raw Data'!M96</f>
        <v>Low</v>
      </c>
      <c r="I96" s="7" t="n">
        <f aca="false">(IF(D96="Current",3,IF(D96="Former",1,0)))+(IF(E96="High",3,IF(E96="Normal",1,0)))+(IF(F96&gt;=240,2,IF(F96&gt;=200,1,0)))+(IF(G96="Yes",2,0))+(IF(H96="High",2,IF(H96="Moderate",1,0)))</f>
        <v>2</v>
      </c>
      <c r="J96" s="7" t="str">
        <f aca="false">IF(I96&gt;=8,"High",IF(I96&gt;=4,"Medium","Low"))</f>
        <v>Low</v>
      </c>
    </row>
    <row r="97" customFormat="false" ht="15" hidden="false" customHeight="true" outlineLevel="0" collapsed="false">
      <c r="A97" s="7" t="n">
        <f aca="false">'Raw Data'!A97</f>
        <v>1344</v>
      </c>
      <c r="B97" s="7" t="n">
        <f aca="false">'Raw Data'!B97</f>
        <v>39</v>
      </c>
      <c r="C97" s="7" t="str">
        <f aca="false">'Raw Data'!C97</f>
        <v>Female</v>
      </c>
      <c r="D97" s="7" t="str">
        <f aca="false">'Raw Data'!D97</f>
        <v>Never</v>
      </c>
      <c r="E97" s="7" t="str">
        <f aca="false">'Raw Data'!J97</f>
        <v>Normal</v>
      </c>
      <c r="F97" s="7" t="n">
        <f aca="false">'Raw Data'!K97</f>
        <v>156.4</v>
      </c>
      <c r="G97" s="7" t="str">
        <f aca="false">'Raw Data'!L97</f>
        <v>No</v>
      </c>
      <c r="H97" s="7" t="str">
        <f aca="false">'Raw Data'!M97</f>
        <v>Low</v>
      </c>
      <c r="I97" s="7" t="n">
        <f aca="false">(IF(D97="Current",3,IF(D97="Former",1,0)))+(IF(E97="High",3,IF(E97="Normal",1,0)))+(IF(F97&gt;=240,2,IF(F97&gt;=200,1,0)))+(IF(G97="Yes",2,0))+(IF(H97="High",2,IF(H97="Moderate",1,0)))</f>
        <v>1</v>
      </c>
      <c r="J97" s="7" t="str">
        <f aca="false">IF(I97&gt;=8,"High",IF(I97&gt;=4,"Medium","Low"))</f>
        <v>Low</v>
      </c>
    </row>
    <row r="98" customFormat="false" ht="15" hidden="false" customHeight="true" outlineLevel="0" collapsed="false">
      <c r="A98" s="7" t="n">
        <f aca="false">'Raw Data'!A98</f>
        <v>1348</v>
      </c>
      <c r="B98" s="7" t="n">
        <f aca="false">'Raw Data'!B98</f>
        <v>21</v>
      </c>
      <c r="C98" s="7" t="str">
        <f aca="false">'Raw Data'!C98</f>
        <v>Male</v>
      </c>
      <c r="D98" s="7" t="str">
        <f aca="false">'Raw Data'!D98</f>
        <v>Never</v>
      </c>
      <c r="E98" s="7" t="str">
        <f aca="false">'Raw Data'!J98</f>
        <v>Normal</v>
      </c>
      <c r="F98" s="7" t="n">
        <f aca="false">'Raw Data'!K98</f>
        <v>165.1</v>
      </c>
      <c r="G98" s="7" t="str">
        <f aca="false">'Raw Data'!L98</f>
        <v>No</v>
      </c>
      <c r="H98" s="7" t="str">
        <f aca="false">'Raw Data'!M98</f>
        <v>Low</v>
      </c>
      <c r="I98" s="7" t="n">
        <f aca="false">(IF(D98="Current",3,IF(D98="Former",1,0)))+(IF(E98="High",3,IF(E98="Normal",1,0)))+(IF(F98&gt;=240,2,IF(F98&gt;=200,1,0)))+(IF(G98="Yes",2,0))+(IF(H98="High",2,IF(H98="Moderate",1,0)))</f>
        <v>1</v>
      </c>
      <c r="J98" s="7" t="str">
        <f aca="false">IF(I98&gt;=8,"High",IF(I98&gt;=4,"Medium","Low"))</f>
        <v>Low</v>
      </c>
    </row>
    <row r="99" customFormat="false" ht="15" hidden="false" customHeight="true" outlineLevel="0" collapsed="false">
      <c r="A99" s="7" t="n">
        <f aca="false">'Raw Data'!A99</f>
        <v>1356</v>
      </c>
      <c r="B99" s="7" t="n">
        <f aca="false">'Raw Data'!B99</f>
        <v>69</v>
      </c>
      <c r="C99" s="7" t="str">
        <f aca="false">'Raw Data'!C99</f>
        <v>Male</v>
      </c>
      <c r="D99" s="7" t="str">
        <f aca="false">'Raw Data'!D99</f>
        <v>Never</v>
      </c>
      <c r="E99" s="7" t="str">
        <f aca="false">'Raw Data'!J99</f>
        <v>Normal</v>
      </c>
      <c r="F99" s="7" t="n">
        <f aca="false">'Raw Data'!K99</f>
        <v>216.9</v>
      </c>
      <c r="G99" s="7" t="str">
        <f aca="false">'Raw Data'!L99</f>
        <v>No</v>
      </c>
      <c r="H99" s="7" t="str">
        <f aca="false">'Raw Data'!M99</f>
        <v>Low</v>
      </c>
      <c r="I99" s="7" t="n">
        <f aca="false">(IF(D99="Current",3,IF(D99="Former",1,0)))+(IF(E99="High",3,IF(E99="Normal",1,0)))+(IF(F99&gt;=240,2,IF(F99&gt;=200,1,0)))+(IF(G99="Yes",2,0))+(IF(H99="High",2,IF(H99="Moderate",1,0)))</f>
        <v>2</v>
      </c>
      <c r="J99" s="7" t="str">
        <f aca="false">IF(I99&gt;=8,"High",IF(I99&gt;=4,"Medium","Low"))</f>
        <v>Low</v>
      </c>
    </row>
    <row r="100" customFormat="false" ht="15" hidden="false" customHeight="true" outlineLevel="0" collapsed="false">
      <c r="A100" s="7" t="n">
        <f aca="false">'Raw Data'!A100</f>
        <v>1361</v>
      </c>
      <c r="B100" s="7" t="n">
        <f aca="false">'Raw Data'!B100</f>
        <v>82</v>
      </c>
      <c r="C100" s="7" t="str">
        <f aca="false">'Raw Data'!C100</f>
        <v>Male</v>
      </c>
      <c r="D100" s="7" t="str">
        <f aca="false">'Raw Data'!D100</f>
        <v>Never</v>
      </c>
      <c r="E100" s="7" t="str">
        <f aca="false">'Raw Data'!J100</f>
        <v>Normal</v>
      </c>
      <c r="F100" s="7" t="n">
        <f aca="false">'Raw Data'!K100</f>
        <v>129.4</v>
      </c>
      <c r="G100" s="7" t="str">
        <f aca="false">'Raw Data'!L100</f>
        <v>No</v>
      </c>
      <c r="H100" s="7" t="str">
        <f aca="false">'Raw Data'!M100</f>
        <v>Low</v>
      </c>
      <c r="I100" s="7" t="n">
        <f aca="false">(IF(D100="Current",3,IF(D100="Former",1,0)))+(IF(E100="High",3,IF(E100="Normal",1,0)))+(IF(F100&gt;=240,2,IF(F100&gt;=200,1,0)))+(IF(G100="Yes",2,0))+(IF(H100="High",2,IF(H100="Moderate",1,0)))</f>
        <v>1</v>
      </c>
      <c r="J100" s="7" t="str">
        <f aca="false">IF(I100&gt;=8,"High",IF(I100&gt;=4,"Medium","Low"))</f>
        <v>Low</v>
      </c>
    </row>
    <row r="101" customFormat="false" ht="15" hidden="false" customHeight="true" outlineLevel="0" collapsed="false">
      <c r="A101" s="7" t="n">
        <f aca="false">'Raw Data'!A101</f>
        <v>1365</v>
      </c>
      <c r="B101" s="7" t="n">
        <f aca="false">'Raw Data'!B101</f>
        <v>20</v>
      </c>
      <c r="C101" s="7" t="str">
        <f aca="false">'Raw Data'!C101</f>
        <v>Female</v>
      </c>
      <c r="D101" s="7" t="str">
        <f aca="false">'Raw Data'!D101</f>
        <v>Never</v>
      </c>
      <c r="E101" s="7" t="str">
        <f aca="false">'Raw Data'!J101</f>
        <v>Normal</v>
      </c>
      <c r="F101" s="7" t="n">
        <f aca="false">'Raw Data'!K101</f>
        <v>223.9</v>
      </c>
      <c r="G101" s="7" t="str">
        <f aca="false">'Raw Data'!L101</f>
        <v>No</v>
      </c>
      <c r="H101" s="7" t="str">
        <f aca="false">'Raw Data'!M101</f>
        <v>Low</v>
      </c>
      <c r="I101" s="7" t="n">
        <f aca="false">(IF(D101="Current",3,IF(D101="Former",1,0)))+(IF(E101="High",3,IF(E101="Normal",1,0)))+(IF(F101&gt;=240,2,IF(F101&gt;=200,1,0)))+(IF(G101="Yes",2,0))+(IF(H101="High",2,IF(H101="Moderate",1,0)))</f>
        <v>2</v>
      </c>
      <c r="J101" s="7" t="str">
        <f aca="false">IF(I101&gt;=8,"High",IF(I101&gt;=4,"Medium","Low"))</f>
        <v>Low</v>
      </c>
    </row>
    <row r="102" customFormat="false" ht="15" hidden="false" customHeight="true" outlineLevel="0" collapsed="false">
      <c r="A102" s="7" t="n">
        <f aca="false">'Raw Data'!A102</f>
        <v>1377</v>
      </c>
      <c r="B102" s="7" t="n">
        <f aca="false">'Raw Data'!B102</f>
        <v>67</v>
      </c>
      <c r="C102" s="7" t="str">
        <f aca="false">'Raw Data'!C102</f>
        <v>Female</v>
      </c>
      <c r="D102" s="7" t="str">
        <f aca="false">'Raw Data'!D102</f>
        <v>Never</v>
      </c>
      <c r="E102" s="7" t="str">
        <f aca="false">'Raw Data'!J102</f>
        <v>Normal</v>
      </c>
      <c r="F102" s="7" t="n">
        <f aca="false">'Raw Data'!K102</f>
        <v>122.5</v>
      </c>
      <c r="G102" s="7" t="str">
        <f aca="false">'Raw Data'!L102</f>
        <v>No</v>
      </c>
      <c r="H102" s="7" t="str">
        <f aca="false">'Raw Data'!M102</f>
        <v>Low</v>
      </c>
      <c r="I102" s="7" t="n">
        <f aca="false">(IF(D102="Current",3,IF(D102="Former",1,0)))+(IF(E102="High",3,IF(E102="Normal",1,0)))+(IF(F102&gt;=240,2,IF(F102&gt;=200,1,0)))+(IF(G102="Yes",2,0))+(IF(H102="High",2,IF(H102="Moderate",1,0)))</f>
        <v>1</v>
      </c>
      <c r="J102" s="7" t="str">
        <f aca="false">IF(I102&gt;=8,"High",IF(I102&gt;=4,"Medium","Low"))</f>
        <v>Low</v>
      </c>
    </row>
    <row r="103" customFormat="false" ht="15" hidden="false" customHeight="true" outlineLevel="0" collapsed="false">
      <c r="A103" s="7" t="n">
        <f aca="false">'Raw Data'!A103</f>
        <v>1385</v>
      </c>
      <c r="B103" s="7" t="n">
        <f aca="false">'Raw Data'!B103</f>
        <v>59</v>
      </c>
      <c r="C103" s="7" t="str">
        <f aca="false">'Raw Data'!C103</f>
        <v>Male</v>
      </c>
      <c r="D103" s="7" t="str">
        <f aca="false">'Raw Data'!D103</f>
        <v>Never</v>
      </c>
      <c r="E103" s="7" t="str">
        <f aca="false">'Raw Data'!J103</f>
        <v>Normal</v>
      </c>
      <c r="F103" s="7" t="n">
        <f aca="false">'Raw Data'!K103</f>
        <v>143.1</v>
      </c>
      <c r="G103" s="7" t="str">
        <f aca="false">'Raw Data'!L103</f>
        <v>No</v>
      </c>
      <c r="H103" s="7" t="str">
        <f aca="false">'Raw Data'!M103</f>
        <v>Low</v>
      </c>
      <c r="I103" s="7" t="n">
        <f aca="false">(IF(D103="Current",3,IF(D103="Former",1,0)))+(IF(E103="High",3,IF(E103="Normal",1,0)))+(IF(F103&gt;=240,2,IF(F103&gt;=200,1,0)))+(IF(G103="Yes",2,0))+(IF(H103="High",2,IF(H103="Moderate",1,0)))</f>
        <v>1</v>
      </c>
      <c r="J103" s="7" t="str">
        <f aca="false">IF(I103&gt;=8,"High",IF(I103&gt;=4,"Medium","Low"))</f>
        <v>Low</v>
      </c>
    </row>
    <row r="104" customFormat="false" ht="15" hidden="false" customHeight="true" outlineLevel="0" collapsed="false">
      <c r="A104" s="7" t="n">
        <f aca="false">'Raw Data'!A104</f>
        <v>1403</v>
      </c>
      <c r="B104" s="7" t="n">
        <f aca="false">'Raw Data'!B104</f>
        <v>43</v>
      </c>
      <c r="C104" s="7" t="str">
        <f aca="false">'Raw Data'!C104</f>
        <v>Female</v>
      </c>
      <c r="D104" s="7" t="str">
        <f aca="false">'Raw Data'!D104</f>
        <v>Never</v>
      </c>
      <c r="E104" s="7" t="str">
        <f aca="false">'Raw Data'!J104</f>
        <v>Normal</v>
      </c>
      <c r="F104" s="7" t="n">
        <f aca="false">'Raw Data'!K104</f>
        <v>159</v>
      </c>
      <c r="G104" s="7" t="str">
        <f aca="false">'Raw Data'!L104</f>
        <v>No</v>
      </c>
      <c r="H104" s="7" t="str">
        <f aca="false">'Raw Data'!M104</f>
        <v>Low</v>
      </c>
      <c r="I104" s="7" t="n">
        <f aca="false">(IF(D104="Current",3,IF(D104="Former",1,0)))+(IF(E104="High",3,IF(E104="Normal",1,0)))+(IF(F104&gt;=240,2,IF(F104&gt;=200,1,0)))+(IF(G104="Yes",2,0))+(IF(H104="High",2,IF(H104="Moderate",1,0)))</f>
        <v>1</v>
      </c>
      <c r="J104" s="7" t="str">
        <f aca="false">IF(I104&gt;=8,"High",IF(I104&gt;=4,"Medium","Low"))</f>
        <v>Low</v>
      </c>
    </row>
    <row r="105" customFormat="false" ht="15" hidden="false" customHeight="true" outlineLevel="0" collapsed="false">
      <c r="A105" s="7" t="n">
        <f aca="false">'Raw Data'!A105</f>
        <v>1456</v>
      </c>
      <c r="B105" s="7" t="n">
        <f aca="false">'Raw Data'!B105</f>
        <v>23</v>
      </c>
      <c r="C105" s="7" t="str">
        <f aca="false">'Raw Data'!C105</f>
        <v>Female</v>
      </c>
      <c r="D105" s="7" t="str">
        <f aca="false">'Raw Data'!D105</f>
        <v>Never</v>
      </c>
      <c r="E105" s="7" t="str">
        <f aca="false">'Raw Data'!J105</f>
        <v>Normal</v>
      </c>
      <c r="F105" s="7" t="n">
        <f aca="false">'Raw Data'!K105</f>
        <v>237.8</v>
      </c>
      <c r="G105" s="7" t="str">
        <f aca="false">'Raw Data'!L105</f>
        <v>No</v>
      </c>
      <c r="H105" s="7" t="str">
        <f aca="false">'Raw Data'!M105</f>
        <v>Low</v>
      </c>
      <c r="I105" s="7" t="n">
        <f aca="false">(IF(D105="Current",3,IF(D105="Former",1,0)))+(IF(E105="High",3,IF(E105="Normal",1,0)))+(IF(F105&gt;=240,2,IF(F105&gt;=200,1,0)))+(IF(G105="Yes",2,0))+(IF(H105="High",2,IF(H105="Moderate",1,0)))</f>
        <v>2</v>
      </c>
      <c r="J105" s="7" t="str">
        <f aca="false">IF(I105&gt;=8,"High",IF(I105&gt;=4,"Medium","Low"))</f>
        <v>Low</v>
      </c>
    </row>
    <row r="106" customFormat="false" ht="15" hidden="false" customHeight="true" outlineLevel="0" collapsed="false">
      <c r="A106" s="7" t="n">
        <f aca="false">'Raw Data'!A106</f>
        <v>1469</v>
      </c>
      <c r="B106" s="7" t="n">
        <f aca="false">'Raw Data'!B106</f>
        <v>62</v>
      </c>
      <c r="C106" s="7" t="str">
        <f aca="false">'Raw Data'!C106</f>
        <v>Female</v>
      </c>
      <c r="D106" s="7" t="str">
        <f aca="false">'Raw Data'!D106</f>
        <v>Never</v>
      </c>
      <c r="E106" s="7" t="str">
        <f aca="false">'Raw Data'!J106</f>
        <v>Normal</v>
      </c>
      <c r="F106" s="7" t="n">
        <f aca="false">'Raw Data'!K106</f>
        <v>127.6</v>
      </c>
      <c r="G106" s="7" t="str">
        <f aca="false">'Raw Data'!L106</f>
        <v>No</v>
      </c>
      <c r="H106" s="7" t="str">
        <f aca="false">'Raw Data'!M106</f>
        <v>Low</v>
      </c>
      <c r="I106" s="7" t="n">
        <f aca="false">(IF(D106="Current",3,IF(D106="Former",1,0)))+(IF(E106="High",3,IF(E106="Normal",1,0)))+(IF(F106&gt;=240,2,IF(F106&gt;=200,1,0)))+(IF(G106="Yes",2,0))+(IF(H106="High",2,IF(H106="Moderate",1,0)))</f>
        <v>1</v>
      </c>
      <c r="J106" s="7" t="str">
        <f aca="false">IF(I106&gt;=8,"High",IF(I106&gt;=4,"Medium","Low"))</f>
        <v>Low</v>
      </c>
    </row>
    <row r="107" customFormat="false" ht="15" hidden="false" customHeight="true" outlineLevel="0" collapsed="false">
      <c r="A107" s="7" t="n">
        <f aca="false">'Raw Data'!A107</f>
        <v>1483</v>
      </c>
      <c r="B107" s="7" t="n">
        <f aca="false">'Raw Data'!B107</f>
        <v>61</v>
      </c>
      <c r="C107" s="7" t="str">
        <f aca="false">'Raw Data'!C107</f>
        <v>Female</v>
      </c>
      <c r="D107" s="7" t="str">
        <f aca="false">'Raw Data'!D107</f>
        <v>Never</v>
      </c>
      <c r="E107" s="7" t="str">
        <f aca="false">'Raw Data'!J107</f>
        <v>Normal</v>
      </c>
      <c r="F107" s="7" t="n">
        <f aca="false">'Raw Data'!K107</f>
        <v>120.2</v>
      </c>
      <c r="G107" s="7" t="str">
        <f aca="false">'Raw Data'!L107</f>
        <v>No</v>
      </c>
      <c r="H107" s="7" t="str">
        <f aca="false">'Raw Data'!M107</f>
        <v>Low</v>
      </c>
      <c r="I107" s="7" t="n">
        <f aca="false">(IF(D107="Current",3,IF(D107="Former",1,0)))+(IF(E107="High",3,IF(E107="Normal",1,0)))+(IF(F107&gt;=240,2,IF(F107&gt;=200,1,0)))+(IF(G107="Yes",2,0))+(IF(H107="High",2,IF(H107="Moderate",1,0)))</f>
        <v>1</v>
      </c>
      <c r="J107" s="7" t="str">
        <f aca="false">IF(I107&gt;=8,"High",IF(I107&gt;=4,"Medium","Low"))</f>
        <v>Low</v>
      </c>
    </row>
    <row r="108" customFormat="false" ht="15" hidden="false" customHeight="true" outlineLevel="0" collapsed="false">
      <c r="A108" s="7" t="n">
        <f aca="false">'Raw Data'!A108</f>
        <v>1522</v>
      </c>
      <c r="B108" s="7" t="n">
        <f aca="false">'Raw Data'!B108</f>
        <v>28</v>
      </c>
      <c r="C108" s="7" t="str">
        <f aca="false">'Raw Data'!C108</f>
        <v>Female</v>
      </c>
      <c r="D108" s="7" t="str">
        <f aca="false">'Raw Data'!D108</f>
        <v>Never</v>
      </c>
      <c r="E108" s="7" t="str">
        <f aca="false">'Raw Data'!J108</f>
        <v>Normal</v>
      </c>
      <c r="F108" s="7" t="n">
        <f aca="false">'Raw Data'!K108</f>
        <v>217.1</v>
      </c>
      <c r="G108" s="7" t="str">
        <f aca="false">'Raw Data'!L108</f>
        <v>No</v>
      </c>
      <c r="H108" s="7" t="str">
        <f aca="false">'Raw Data'!M108</f>
        <v>Low</v>
      </c>
      <c r="I108" s="7" t="n">
        <f aca="false">(IF(D108="Current",3,IF(D108="Former",1,0)))+(IF(E108="High",3,IF(E108="Normal",1,0)))+(IF(F108&gt;=240,2,IF(F108&gt;=200,1,0)))+(IF(G108="Yes",2,0))+(IF(H108="High",2,IF(H108="Moderate",1,0)))</f>
        <v>2</v>
      </c>
      <c r="J108" s="7" t="str">
        <f aca="false">IF(I108&gt;=8,"High",IF(I108&gt;=4,"Medium","Low"))</f>
        <v>Low</v>
      </c>
    </row>
    <row r="109" customFormat="false" ht="15" hidden="false" customHeight="true" outlineLevel="0" collapsed="false">
      <c r="A109" s="7" t="n">
        <f aca="false">'Raw Data'!A109</f>
        <v>1574</v>
      </c>
      <c r="B109" s="7" t="n">
        <f aca="false">'Raw Data'!B109</f>
        <v>64</v>
      </c>
      <c r="C109" s="7" t="str">
        <f aca="false">'Raw Data'!C109</f>
        <v>Female</v>
      </c>
      <c r="D109" s="7" t="str">
        <f aca="false">'Raw Data'!D109</f>
        <v>Never</v>
      </c>
      <c r="E109" s="7" t="str">
        <f aca="false">'Raw Data'!J109</f>
        <v>Normal</v>
      </c>
      <c r="F109" s="7" t="n">
        <f aca="false">'Raw Data'!K109</f>
        <v>153.1</v>
      </c>
      <c r="G109" s="7" t="str">
        <f aca="false">'Raw Data'!L109</f>
        <v>No</v>
      </c>
      <c r="H109" s="7" t="str">
        <f aca="false">'Raw Data'!M109</f>
        <v>Low</v>
      </c>
      <c r="I109" s="7" t="n">
        <f aca="false">(IF(D109="Current",3,IF(D109="Former",1,0)))+(IF(E109="High",3,IF(E109="Normal",1,0)))+(IF(F109&gt;=240,2,IF(F109&gt;=200,1,0)))+(IF(G109="Yes",2,0))+(IF(H109="High",2,IF(H109="Moderate",1,0)))</f>
        <v>1</v>
      </c>
      <c r="J109" s="7" t="str">
        <f aca="false">IF(I109&gt;=8,"High",IF(I109&gt;=4,"Medium","Low"))</f>
        <v>Low</v>
      </c>
    </row>
    <row r="110" customFormat="false" ht="15" hidden="false" customHeight="true" outlineLevel="0" collapsed="false">
      <c r="A110" s="7" t="n">
        <f aca="false">'Raw Data'!A110</f>
        <v>1578</v>
      </c>
      <c r="B110" s="7" t="n">
        <f aca="false">'Raw Data'!B110</f>
        <v>87</v>
      </c>
      <c r="C110" s="7" t="str">
        <f aca="false">'Raw Data'!C110</f>
        <v>Male</v>
      </c>
      <c r="D110" s="7" t="str">
        <f aca="false">'Raw Data'!D110</f>
        <v>Never</v>
      </c>
      <c r="E110" s="7" t="str">
        <f aca="false">'Raw Data'!J110</f>
        <v>Normal</v>
      </c>
      <c r="F110" s="7" t="n">
        <f aca="false">'Raw Data'!K110</f>
        <v>135</v>
      </c>
      <c r="G110" s="7" t="str">
        <f aca="false">'Raw Data'!L110</f>
        <v>No</v>
      </c>
      <c r="H110" s="7" t="str">
        <f aca="false">'Raw Data'!M110</f>
        <v>Low</v>
      </c>
      <c r="I110" s="7" t="n">
        <f aca="false">(IF(D110="Current",3,IF(D110="Former",1,0)))+(IF(E110="High",3,IF(E110="Normal",1,0)))+(IF(F110&gt;=240,2,IF(F110&gt;=200,1,0)))+(IF(G110="Yes",2,0))+(IF(H110="High",2,IF(H110="Moderate",1,0)))</f>
        <v>1</v>
      </c>
      <c r="J110" s="7" t="str">
        <f aca="false">IF(I110&gt;=8,"High",IF(I110&gt;=4,"Medium","Low"))</f>
        <v>Low</v>
      </c>
    </row>
    <row r="111" customFormat="false" ht="15" hidden="false" customHeight="true" outlineLevel="0" collapsed="false">
      <c r="A111" s="7" t="n">
        <f aca="false">'Raw Data'!A111</f>
        <v>1587</v>
      </c>
      <c r="B111" s="7" t="n">
        <f aca="false">'Raw Data'!B111</f>
        <v>41</v>
      </c>
      <c r="C111" s="7" t="str">
        <f aca="false">'Raw Data'!C111</f>
        <v>Male</v>
      </c>
      <c r="D111" s="7" t="str">
        <f aca="false">'Raw Data'!D111</f>
        <v>Never</v>
      </c>
      <c r="E111" s="7" t="str">
        <f aca="false">'Raw Data'!J111</f>
        <v>Normal</v>
      </c>
      <c r="F111" s="7" t="n">
        <f aca="false">'Raw Data'!K111</f>
        <v>199</v>
      </c>
      <c r="G111" s="7" t="str">
        <f aca="false">'Raw Data'!L111</f>
        <v>No</v>
      </c>
      <c r="H111" s="7" t="str">
        <f aca="false">'Raw Data'!M111</f>
        <v>Low</v>
      </c>
      <c r="I111" s="7" t="n">
        <f aca="false">(IF(D111="Current",3,IF(D111="Former",1,0)))+(IF(E111="High",3,IF(E111="Normal",1,0)))+(IF(F111&gt;=240,2,IF(F111&gt;=200,1,0)))+(IF(G111="Yes",2,0))+(IF(H111="High",2,IF(H111="Moderate",1,0)))</f>
        <v>1</v>
      </c>
      <c r="J111" s="7" t="str">
        <f aca="false">IF(I111&gt;=8,"High",IF(I111&gt;=4,"Medium","Low"))</f>
        <v>Low</v>
      </c>
    </row>
    <row r="112" customFormat="false" ht="15" hidden="false" customHeight="true" outlineLevel="0" collapsed="false">
      <c r="A112" s="7" t="n">
        <f aca="false">'Raw Data'!A112</f>
        <v>1595</v>
      </c>
      <c r="B112" s="7" t="n">
        <f aca="false">'Raw Data'!B112</f>
        <v>82</v>
      </c>
      <c r="C112" s="7" t="str">
        <f aca="false">'Raw Data'!C112</f>
        <v>Female</v>
      </c>
      <c r="D112" s="7" t="str">
        <f aca="false">'Raw Data'!D112</f>
        <v>Never</v>
      </c>
      <c r="E112" s="7" t="str">
        <f aca="false">'Raw Data'!J112</f>
        <v>Normal</v>
      </c>
      <c r="F112" s="7" t="n">
        <f aca="false">'Raw Data'!K112</f>
        <v>253.6</v>
      </c>
      <c r="G112" s="7" t="str">
        <f aca="false">'Raw Data'!L112</f>
        <v>No</v>
      </c>
      <c r="H112" s="7" t="str">
        <f aca="false">'Raw Data'!M112</f>
        <v>Low</v>
      </c>
      <c r="I112" s="7" t="n">
        <f aca="false">(IF(D112="Current",3,IF(D112="Former",1,0)))+(IF(E112="High",3,IF(E112="Normal",1,0)))+(IF(F112&gt;=240,2,IF(F112&gt;=200,1,0)))+(IF(G112="Yes",2,0))+(IF(H112="High",2,IF(H112="Moderate",1,0)))</f>
        <v>3</v>
      </c>
      <c r="J112" s="7" t="str">
        <f aca="false">IF(I112&gt;=8,"High",IF(I112&gt;=4,"Medium","Low"))</f>
        <v>Low</v>
      </c>
    </row>
    <row r="113" customFormat="false" ht="15" hidden="false" customHeight="true" outlineLevel="0" collapsed="false">
      <c r="A113" s="7" t="n">
        <f aca="false">'Raw Data'!A113</f>
        <v>1604</v>
      </c>
      <c r="B113" s="7" t="n">
        <f aca="false">'Raw Data'!B113</f>
        <v>84</v>
      </c>
      <c r="C113" s="7" t="str">
        <f aca="false">'Raw Data'!C113</f>
        <v>Female</v>
      </c>
      <c r="D113" s="7" t="str">
        <f aca="false">'Raw Data'!D113</f>
        <v>Never</v>
      </c>
      <c r="E113" s="7" t="str">
        <f aca="false">'Raw Data'!J113</f>
        <v>Normal</v>
      </c>
      <c r="F113" s="7" t="n">
        <f aca="false">'Raw Data'!K113</f>
        <v>277.6</v>
      </c>
      <c r="G113" s="7" t="str">
        <f aca="false">'Raw Data'!L113</f>
        <v>No</v>
      </c>
      <c r="H113" s="7" t="str">
        <f aca="false">'Raw Data'!M113</f>
        <v>Low</v>
      </c>
      <c r="I113" s="7" t="n">
        <f aca="false">(IF(D113="Current",3,IF(D113="Former",1,0)))+(IF(E113="High",3,IF(E113="Normal",1,0)))+(IF(F113&gt;=240,2,IF(F113&gt;=200,1,0)))+(IF(G113="Yes",2,0))+(IF(H113="High",2,IF(H113="Moderate",1,0)))</f>
        <v>3</v>
      </c>
      <c r="J113" s="7" t="str">
        <f aca="false">IF(I113&gt;=8,"High",IF(I113&gt;=4,"Medium","Low"))</f>
        <v>Low</v>
      </c>
    </row>
    <row r="114" customFormat="false" ht="15" hidden="false" customHeight="true" outlineLevel="0" collapsed="false">
      <c r="A114" s="7" t="n">
        <f aca="false">'Raw Data'!A114</f>
        <v>1613</v>
      </c>
      <c r="B114" s="7" t="n">
        <f aca="false">'Raw Data'!B114</f>
        <v>49</v>
      </c>
      <c r="C114" s="7" t="str">
        <f aca="false">'Raw Data'!C114</f>
        <v>Female</v>
      </c>
      <c r="D114" s="7" t="str">
        <f aca="false">'Raw Data'!D114</f>
        <v>Never</v>
      </c>
      <c r="E114" s="7" t="str">
        <f aca="false">'Raw Data'!J114</f>
        <v>Normal</v>
      </c>
      <c r="F114" s="7" t="n">
        <f aca="false">'Raw Data'!K114</f>
        <v>131</v>
      </c>
      <c r="G114" s="7" t="str">
        <f aca="false">'Raw Data'!L114</f>
        <v>No</v>
      </c>
      <c r="H114" s="7" t="str">
        <f aca="false">'Raw Data'!M114</f>
        <v>Low</v>
      </c>
      <c r="I114" s="7" t="n">
        <f aca="false">(IF(D114="Current",3,IF(D114="Former",1,0)))+(IF(E114="High",3,IF(E114="Normal",1,0)))+(IF(F114&gt;=240,2,IF(F114&gt;=200,1,0)))+(IF(G114="Yes",2,0))+(IF(H114="High",2,IF(H114="Moderate",1,0)))</f>
        <v>1</v>
      </c>
      <c r="J114" s="7" t="str">
        <f aca="false">IF(I114&gt;=8,"High",IF(I114&gt;=4,"Medium","Low"))</f>
        <v>Low</v>
      </c>
    </row>
    <row r="115" customFormat="false" ht="15" hidden="false" customHeight="true" outlineLevel="0" collapsed="false">
      <c r="A115" s="7" t="n">
        <f aca="false">'Raw Data'!A115</f>
        <v>1618</v>
      </c>
      <c r="B115" s="7" t="n">
        <f aca="false">'Raw Data'!B115</f>
        <v>73</v>
      </c>
      <c r="C115" s="7" t="str">
        <f aca="false">'Raw Data'!C115</f>
        <v>Male</v>
      </c>
      <c r="D115" s="7" t="str">
        <f aca="false">'Raw Data'!D115</f>
        <v>Never</v>
      </c>
      <c r="E115" s="7" t="str">
        <f aca="false">'Raw Data'!J115</f>
        <v>Normal</v>
      </c>
      <c r="F115" s="7" t="n">
        <f aca="false">'Raw Data'!K115</f>
        <v>195.8</v>
      </c>
      <c r="G115" s="7" t="str">
        <f aca="false">'Raw Data'!L115</f>
        <v>No</v>
      </c>
      <c r="H115" s="7" t="str">
        <f aca="false">'Raw Data'!M115</f>
        <v>Low</v>
      </c>
      <c r="I115" s="7" t="n">
        <f aca="false">(IF(D115="Current",3,IF(D115="Former",1,0)))+(IF(E115="High",3,IF(E115="Normal",1,0)))+(IF(F115&gt;=240,2,IF(F115&gt;=200,1,0)))+(IF(G115="Yes",2,0))+(IF(H115="High",2,IF(H115="Moderate",1,0)))</f>
        <v>1</v>
      </c>
      <c r="J115" s="7" t="str">
        <f aca="false">IF(I115&gt;=8,"High",IF(I115&gt;=4,"Medium","Low"))</f>
        <v>Low</v>
      </c>
    </row>
    <row r="116" customFormat="false" ht="15" hidden="false" customHeight="true" outlineLevel="0" collapsed="false">
      <c r="A116" s="7" t="n">
        <f aca="false">'Raw Data'!A116</f>
        <v>1620</v>
      </c>
      <c r="B116" s="7" t="n">
        <f aca="false">'Raw Data'!B116</f>
        <v>29</v>
      </c>
      <c r="C116" s="7" t="str">
        <f aca="false">'Raw Data'!C116</f>
        <v>Female</v>
      </c>
      <c r="D116" s="7" t="str">
        <f aca="false">'Raw Data'!D116</f>
        <v>Never</v>
      </c>
      <c r="E116" s="7" t="str">
        <f aca="false">'Raw Data'!J116</f>
        <v>Normal</v>
      </c>
      <c r="F116" s="7" t="n">
        <f aca="false">'Raw Data'!K116</f>
        <v>145.4</v>
      </c>
      <c r="G116" s="7" t="str">
        <f aca="false">'Raw Data'!L116</f>
        <v>No</v>
      </c>
      <c r="H116" s="7" t="str">
        <f aca="false">'Raw Data'!M116</f>
        <v>Low</v>
      </c>
      <c r="I116" s="7" t="n">
        <f aca="false">(IF(D116="Current",3,IF(D116="Former",1,0)))+(IF(E116="High",3,IF(E116="Normal",1,0)))+(IF(F116&gt;=240,2,IF(F116&gt;=200,1,0)))+(IF(G116="Yes",2,0))+(IF(H116="High",2,IF(H116="Moderate",1,0)))</f>
        <v>1</v>
      </c>
      <c r="J116" s="7" t="str">
        <f aca="false">IF(I116&gt;=8,"High",IF(I116&gt;=4,"Medium","Low"))</f>
        <v>Low</v>
      </c>
    </row>
    <row r="117" customFormat="false" ht="15" hidden="false" customHeight="true" outlineLevel="0" collapsed="false">
      <c r="A117" s="7" t="n">
        <f aca="false">'Raw Data'!A117</f>
        <v>1634</v>
      </c>
      <c r="B117" s="7" t="n">
        <f aca="false">'Raw Data'!B117</f>
        <v>85</v>
      </c>
      <c r="C117" s="7" t="str">
        <f aca="false">'Raw Data'!C117</f>
        <v>Male</v>
      </c>
      <c r="D117" s="7" t="str">
        <f aca="false">'Raw Data'!D117</f>
        <v>Never</v>
      </c>
      <c r="E117" s="7" t="str">
        <f aca="false">'Raw Data'!J117</f>
        <v>Normal</v>
      </c>
      <c r="F117" s="7" t="n">
        <f aca="false">'Raw Data'!K117</f>
        <v>275.5</v>
      </c>
      <c r="G117" s="7" t="str">
        <f aca="false">'Raw Data'!L117</f>
        <v>No</v>
      </c>
      <c r="H117" s="7" t="str">
        <f aca="false">'Raw Data'!M117</f>
        <v>Low</v>
      </c>
      <c r="I117" s="7" t="n">
        <f aca="false">(IF(D117="Current",3,IF(D117="Former",1,0)))+(IF(E117="High",3,IF(E117="Normal",1,0)))+(IF(F117&gt;=240,2,IF(F117&gt;=200,1,0)))+(IF(G117="Yes",2,0))+(IF(H117="High",2,IF(H117="Moderate",1,0)))</f>
        <v>3</v>
      </c>
      <c r="J117" s="7" t="str">
        <f aca="false">IF(I117&gt;=8,"High",IF(I117&gt;=4,"Medium","Low"))</f>
        <v>Low</v>
      </c>
    </row>
    <row r="118" customFormat="false" ht="15" hidden="false" customHeight="true" outlineLevel="0" collapsed="false">
      <c r="A118" s="7" t="n">
        <f aca="false">'Raw Data'!A118</f>
        <v>1637</v>
      </c>
      <c r="B118" s="7" t="n">
        <f aca="false">'Raw Data'!B118</f>
        <v>66</v>
      </c>
      <c r="C118" s="7" t="str">
        <f aca="false">'Raw Data'!C118</f>
        <v>Female</v>
      </c>
      <c r="D118" s="7" t="str">
        <f aca="false">'Raw Data'!D118</f>
        <v>Never</v>
      </c>
      <c r="E118" s="7" t="str">
        <f aca="false">'Raw Data'!J118</f>
        <v>Normal</v>
      </c>
      <c r="F118" s="7" t="n">
        <f aca="false">'Raw Data'!K118</f>
        <v>284.9</v>
      </c>
      <c r="G118" s="7" t="str">
        <f aca="false">'Raw Data'!L118</f>
        <v>No</v>
      </c>
      <c r="H118" s="7" t="str">
        <f aca="false">'Raw Data'!M118</f>
        <v>Low</v>
      </c>
      <c r="I118" s="7" t="n">
        <f aca="false">(IF(D118="Current",3,IF(D118="Former",1,0)))+(IF(E118="High",3,IF(E118="Normal",1,0)))+(IF(F118&gt;=240,2,IF(F118&gt;=200,1,0)))+(IF(G118="Yes",2,0))+(IF(H118="High",2,IF(H118="Moderate",1,0)))</f>
        <v>3</v>
      </c>
      <c r="J118" s="7" t="str">
        <f aca="false">IF(I118&gt;=8,"High",IF(I118&gt;=4,"Medium","Low"))</f>
        <v>Low</v>
      </c>
    </row>
    <row r="119" customFormat="false" ht="15" hidden="false" customHeight="true" outlineLevel="0" collapsed="false">
      <c r="A119" s="7" t="n">
        <f aca="false">'Raw Data'!A119</f>
        <v>1645</v>
      </c>
      <c r="B119" s="7" t="n">
        <f aca="false">'Raw Data'!B119</f>
        <v>39</v>
      </c>
      <c r="C119" s="7" t="str">
        <f aca="false">'Raw Data'!C119</f>
        <v>Male</v>
      </c>
      <c r="D119" s="7" t="str">
        <f aca="false">'Raw Data'!D119</f>
        <v>Never</v>
      </c>
      <c r="E119" s="7" t="str">
        <f aca="false">'Raw Data'!J119</f>
        <v>Normal</v>
      </c>
      <c r="F119" s="7" t="n">
        <f aca="false">'Raw Data'!K119</f>
        <v>199.9</v>
      </c>
      <c r="G119" s="7" t="str">
        <f aca="false">'Raw Data'!L119</f>
        <v>No</v>
      </c>
      <c r="H119" s="7" t="str">
        <f aca="false">'Raw Data'!M119</f>
        <v>Low</v>
      </c>
      <c r="I119" s="7" t="n">
        <f aca="false">(IF(D119="Current",3,IF(D119="Former",1,0)))+(IF(E119="High",3,IF(E119="Normal",1,0)))+(IF(F119&gt;=240,2,IF(F119&gt;=200,1,0)))+(IF(G119="Yes",2,0))+(IF(H119="High",2,IF(H119="Moderate",1,0)))</f>
        <v>1</v>
      </c>
      <c r="J119" s="7" t="str">
        <f aca="false">IF(I119&gt;=8,"High",IF(I119&gt;=4,"Medium","Low"))</f>
        <v>Low</v>
      </c>
    </row>
    <row r="120" customFormat="false" ht="15" hidden="false" customHeight="true" outlineLevel="0" collapsed="false">
      <c r="A120" s="7" t="n">
        <f aca="false">'Raw Data'!A120</f>
        <v>1648</v>
      </c>
      <c r="B120" s="7" t="n">
        <f aca="false">'Raw Data'!B120</f>
        <v>34</v>
      </c>
      <c r="C120" s="7" t="str">
        <f aca="false">'Raw Data'!C120</f>
        <v>Female</v>
      </c>
      <c r="D120" s="7" t="str">
        <f aca="false">'Raw Data'!D120</f>
        <v>Never</v>
      </c>
      <c r="E120" s="7" t="str">
        <f aca="false">'Raw Data'!J120</f>
        <v>Normal</v>
      </c>
      <c r="F120" s="7" t="n">
        <f aca="false">'Raw Data'!K120</f>
        <v>127.8</v>
      </c>
      <c r="G120" s="7" t="str">
        <f aca="false">'Raw Data'!L120</f>
        <v>No</v>
      </c>
      <c r="H120" s="7" t="str">
        <f aca="false">'Raw Data'!M120</f>
        <v>Low</v>
      </c>
      <c r="I120" s="7" t="n">
        <f aca="false">(IF(D120="Current",3,IF(D120="Former",1,0)))+(IF(E120="High",3,IF(E120="Normal",1,0)))+(IF(F120&gt;=240,2,IF(F120&gt;=200,1,0)))+(IF(G120="Yes",2,0))+(IF(H120="High",2,IF(H120="Moderate",1,0)))</f>
        <v>1</v>
      </c>
      <c r="J120" s="7" t="str">
        <f aca="false">IF(I120&gt;=8,"High",IF(I120&gt;=4,"Medium","Low"))</f>
        <v>Low</v>
      </c>
    </row>
    <row r="121" customFormat="false" ht="15" hidden="false" customHeight="true" outlineLevel="0" collapsed="false">
      <c r="A121" s="7" t="n">
        <f aca="false">'Raw Data'!A121</f>
        <v>1651</v>
      </c>
      <c r="B121" s="7" t="n">
        <f aca="false">'Raw Data'!B121</f>
        <v>37</v>
      </c>
      <c r="C121" s="7" t="str">
        <f aca="false">'Raw Data'!C121</f>
        <v>Female</v>
      </c>
      <c r="D121" s="7" t="str">
        <f aca="false">'Raw Data'!D121</f>
        <v>Never</v>
      </c>
      <c r="E121" s="7" t="str">
        <f aca="false">'Raw Data'!J121</f>
        <v>Normal</v>
      </c>
      <c r="F121" s="7" t="n">
        <f aca="false">'Raw Data'!K121</f>
        <v>297.6</v>
      </c>
      <c r="G121" s="7" t="str">
        <f aca="false">'Raw Data'!L121</f>
        <v>No</v>
      </c>
      <c r="H121" s="7" t="str">
        <f aca="false">'Raw Data'!M121</f>
        <v>Low</v>
      </c>
      <c r="I121" s="7" t="n">
        <f aca="false">(IF(D121="Current",3,IF(D121="Former",1,0)))+(IF(E121="High",3,IF(E121="Normal",1,0)))+(IF(F121&gt;=240,2,IF(F121&gt;=200,1,0)))+(IF(G121="Yes",2,0))+(IF(H121="High",2,IF(H121="Moderate",1,0)))</f>
        <v>3</v>
      </c>
      <c r="J121" s="7" t="str">
        <f aca="false">IF(I121&gt;=8,"High",IF(I121&gt;=4,"Medium","Low"))</f>
        <v>Low</v>
      </c>
    </row>
    <row r="122" customFormat="false" ht="15" hidden="false" customHeight="true" outlineLevel="0" collapsed="false">
      <c r="A122" s="7" t="n">
        <f aca="false">'Raw Data'!A122</f>
        <v>1675</v>
      </c>
      <c r="B122" s="7" t="n">
        <f aca="false">'Raw Data'!B122</f>
        <v>42</v>
      </c>
      <c r="C122" s="7" t="str">
        <f aca="false">'Raw Data'!C122</f>
        <v>Female</v>
      </c>
      <c r="D122" s="7" t="str">
        <f aca="false">'Raw Data'!D122</f>
        <v>Never</v>
      </c>
      <c r="E122" s="7" t="str">
        <f aca="false">'Raw Data'!J122</f>
        <v>Normal</v>
      </c>
      <c r="F122" s="7" t="n">
        <f aca="false">'Raw Data'!K122</f>
        <v>282.1</v>
      </c>
      <c r="G122" s="7" t="str">
        <f aca="false">'Raw Data'!L122</f>
        <v>No</v>
      </c>
      <c r="H122" s="7" t="str">
        <f aca="false">'Raw Data'!M122</f>
        <v>Low</v>
      </c>
      <c r="I122" s="7" t="n">
        <f aca="false">(IF(D122="Current",3,IF(D122="Former",1,0)))+(IF(E122="High",3,IF(E122="Normal",1,0)))+(IF(F122&gt;=240,2,IF(F122&gt;=200,1,0)))+(IF(G122="Yes",2,0))+(IF(H122="High",2,IF(H122="Moderate",1,0)))</f>
        <v>3</v>
      </c>
      <c r="J122" s="7" t="str">
        <f aca="false">IF(I122&gt;=8,"High",IF(I122&gt;=4,"Medium","Low"))</f>
        <v>Low</v>
      </c>
    </row>
    <row r="123" customFormat="false" ht="15" hidden="false" customHeight="true" outlineLevel="0" collapsed="false">
      <c r="A123" s="7" t="n">
        <f aca="false">'Raw Data'!A123</f>
        <v>1687</v>
      </c>
      <c r="B123" s="7" t="n">
        <f aca="false">'Raw Data'!B123</f>
        <v>63</v>
      </c>
      <c r="C123" s="7" t="str">
        <f aca="false">'Raw Data'!C123</f>
        <v>Male</v>
      </c>
      <c r="D123" s="7" t="str">
        <f aca="false">'Raw Data'!D123</f>
        <v>Never</v>
      </c>
      <c r="E123" s="7" t="str">
        <f aca="false">'Raw Data'!J123</f>
        <v>Normal</v>
      </c>
      <c r="F123" s="7" t="n">
        <f aca="false">'Raw Data'!K123</f>
        <v>187.7</v>
      </c>
      <c r="G123" s="7" t="str">
        <f aca="false">'Raw Data'!L123</f>
        <v>No</v>
      </c>
      <c r="H123" s="7" t="str">
        <f aca="false">'Raw Data'!M123</f>
        <v>Low</v>
      </c>
      <c r="I123" s="7" t="n">
        <f aca="false">(IF(D123="Current",3,IF(D123="Former",1,0)))+(IF(E123="High",3,IF(E123="Normal",1,0)))+(IF(F123&gt;=240,2,IF(F123&gt;=200,1,0)))+(IF(G123="Yes",2,0))+(IF(H123="High",2,IF(H123="Moderate",1,0)))</f>
        <v>1</v>
      </c>
      <c r="J123" s="7" t="str">
        <f aca="false">IF(I123&gt;=8,"High",IF(I123&gt;=4,"Medium","Low"))</f>
        <v>Low</v>
      </c>
    </row>
    <row r="124" customFormat="false" ht="15" hidden="false" customHeight="true" outlineLevel="0" collapsed="false">
      <c r="A124" s="7" t="n">
        <f aca="false">'Raw Data'!A124</f>
        <v>1712</v>
      </c>
      <c r="B124" s="7" t="n">
        <f aca="false">'Raw Data'!B124</f>
        <v>83</v>
      </c>
      <c r="C124" s="7" t="str">
        <f aca="false">'Raw Data'!C124</f>
        <v>Female</v>
      </c>
      <c r="D124" s="7" t="str">
        <f aca="false">'Raw Data'!D124</f>
        <v>Never</v>
      </c>
      <c r="E124" s="7" t="str">
        <f aca="false">'Raw Data'!J124</f>
        <v>Normal</v>
      </c>
      <c r="F124" s="7" t="n">
        <f aca="false">'Raw Data'!K124</f>
        <v>165.6</v>
      </c>
      <c r="G124" s="7" t="str">
        <f aca="false">'Raw Data'!L124</f>
        <v>No</v>
      </c>
      <c r="H124" s="7" t="str">
        <f aca="false">'Raw Data'!M124</f>
        <v>Low</v>
      </c>
      <c r="I124" s="7" t="n">
        <f aca="false">(IF(D124="Current",3,IF(D124="Former",1,0)))+(IF(E124="High",3,IF(E124="Normal",1,0)))+(IF(F124&gt;=240,2,IF(F124&gt;=200,1,0)))+(IF(G124="Yes",2,0))+(IF(H124="High",2,IF(H124="Moderate",1,0)))</f>
        <v>1</v>
      </c>
      <c r="J124" s="7" t="str">
        <f aca="false">IF(I124&gt;=8,"High",IF(I124&gt;=4,"Medium","Low"))</f>
        <v>Low</v>
      </c>
    </row>
    <row r="125" customFormat="false" ht="15" hidden="false" customHeight="true" outlineLevel="0" collapsed="false">
      <c r="A125" s="7" t="n">
        <f aca="false">'Raw Data'!A125</f>
        <v>1713</v>
      </c>
      <c r="B125" s="7" t="n">
        <f aca="false">'Raw Data'!B125</f>
        <v>33</v>
      </c>
      <c r="C125" s="7" t="str">
        <f aca="false">'Raw Data'!C125</f>
        <v>Female</v>
      </c>
      <c r="D125" s="7" t="str">
        <f aca="false">'Raw Data'!D125</f>
        <v>Never</v>
      </c>
      <c r="E125" s="7" t="str">
        <f aca="false">'Raw Data'!J125</f>
        <v>Normal</v>
      </c>
      <c r="F125" s="7" t="n">
        <f aca="false">'Raw Data'!K125</f>
        <v>282.4</v>
      </c>
      <c r="G125" s="7" t="str">
        <f aca="false">'Raw Data'!L125</f>
        <v>No</v>
      </c>
      <c r="H125" s="7" t="str">
        <f aca="false">'Raw Data'!M125</f>
        <v>Low</v>
      </c>
      <c r="I125" s="7" t="n">
        <f aca="false">(IF(D125="Current",3,IF(D125="Former",1,0)))+(IF(E125="High",3,IF(E125="Normal",1,0)))+(IF(F125&gt;=240,2,IF(F125&gt;=200,1,0)))+(IF(G125="Yes",2,0))+(IF(H125="High",2,IF(H125="Moderate",1,0)))</f>
        <v>3</v>
      </c>
      <c r="J125" s="7" t="str">
        <f aca="false">IF(I125&gt;=8,"High",IF(I125&gt;=4,"Medium","Low"))</f>
        <v>Low</v>
      </c>
    </row>
    <row r="126" customFormat="false" ht="15" hidden="false" customHeight="true" outlineLevel="0" collapsed="false">
      <c r="A126" s="7" t="n">
        <f aca="false">'Raw Data'!A126</f>
        <v>1729</v>
      </c>
      <c r="B126" s="7" t="n">
        <f aca="false">'Raw Data'!B126</f>
        <v>34</v>
      </c>
      <c r="C126" s="7" t="str">
        <f aca="false">'Raw Data'!C126</f>
        <v>Female</v>
      </c>
      <c r="D126" s="7" t="str">
        <f aca="false">'Raw Data'!D126</f>
        <v>Never</v>
      </c>
      <c r="E126" s="7" t="str">
        <f aca="false">'Raw Data'!J126</f>
        <v>Normal</v>
      </c>
      <c r="F126" s="7" t="n">
        <f aca="false">'Raw Data'!K126</f>
        <v>271.7</v>
      </c>
      <c r="G126" s="7" t="str">
        <f aca="false">'Raw Data'!L126</f>
        <v>No</v>
      </c>
      <c r="H126" s="7" t="str">
        <f aca="false">'Raw Data'!M126</f>
        <v>Low</v>
      </c>
      <c r="I126" s="7" t="n">
        <f aca="false">(IF(D126="Current",3,IF(D126="Former",1,0)))+(IF(E126="High",3,IF(E126="Normal",1,0)))+(IF(F126&gt;=240,2,IF(F126&gt;=200,1,0)))+(IF(G126="Yes",2,0))+(IF(H126="High",2,IF(H126="Moderate",1,0)))</f>
        <v>3</v>
      </c>
      <c r="J126" s="7" t="str">
        <f aca="false">IF(I126&gt;=8,"High",IF(I126&gt;=4,"Medium","Low"))</f>
        <v>Low</v>
      </c>
    </row>
    <row r="127" customFormat="false" ht="15" hidden="false" customHeight="true" outlineLevel="0" collapsed="false">
      <c r="A127" s="7" t="n">
        <f aca="false">'Raw Data'!A127</f>
        <v>1730</v>
      </c>
      <c r="B127" s="7" t="n">
        <f aca="false">'Raw Data'!B127</f>
        <v>65</v>
      </c>
      <c r="C127" s="7" t="str">
        <f aca="false">'Raw Data'!C127</f>
        <v>Male</v>
      </c>
      <c r="D127" s="7" t="str">
        <f aca="false">'Raw Data'!D127</f>
        <v>Never</v>
      </c>
      <c r="E127" s="7" t="str">
        <f aca="false">'Raw Data'!J127</f>
        <v>Normal</v>
      </c>
      <c r="F127" s="7" t="n">
        <f aca="false">'Raw Data'!K127</f>
        <v>188.3</v>
      </c>
      <c r="G127" s="7" t="str">
        <f aca="false">'Raw Data'!L127</f>
        <v>No</v>
      </c>
      <c r="H127" s="7" t="str">
        <f aca="false">'Raw Data'!M127</f>
        <v>Low</v>
      </c>
      <c r="I127" s="7" t="n">
        <f aca="false">(IF(D127="Current",3,IF(D127="Former",1,0)))+(IF(E127="High",3,IF(E127="Normal",1,0)))+(IF(F127&gt;=240,2,IF(F127&gt;=200,1,0)))+(IF(G127="Yes",2,0))+(IF(H127="High",2,IF(H127="Moderate",1,0)))</f>
        <v>1</v>
      </c>
      <c r="J127" s="7" t="str">
        <f aca="false">IF(I127&gt;=8,"High",IF(I127&gt;=4,"Medium","Low"))</f>
        <v>Low</v>
      </c>
    </row>
    <row r="128" customFormat="false" ht="15" hidden="false" customHeight="true" outlineLevel="0" collapsed="false">
      <c r="A128" s="7" t="n">
        <f aca="false">'Raw Data'!A128</f>
        <v>1735</v>
      </c>
      <c r="B128" s="7" t="n">
        <f aca="false">'Raw Data'!B128</f>
        <v>86</v>
      </c>
      <c r="C128" s="7" t="str">
        <f aca="false">'Raw Data'!C128</f>
        <v>Male</v>
      </c>
      <c r="D128" s="7" t="str">
        <f aca="false">'Raw Data'!D128</f>
        <v>Never</v>
      </c>
      <c r="E128" s="7" t="str">
        <f aca="false">'Raw Data'!J128</f>
        <v>Normal</v>
      </c>
      <c r="F128" s="7" t="n">
        <f aca="false">'Raw Data'!K128</f>
        <v>168.5</v>
      </c>
      <c r="G128" s="7" t="str">
        <f aca="false">'Raw Data'!L128</f>
        <v>No</v>
      </c>
      <c r="H128" s="7" t="str">
        <f aca="false">'Raw Data'!M128</f>
        <v>Low</v>
      </c>
      <c r="I128" s="7" t="n">
        <f aca="false">(IF(D128="Current",3,IF(D128="Former",1,0)))+(IF(E128="High",3,IF(E128="Normal",1,0)))+(IF(F128&gt;=240,2,IF(F128&gt;=200,1,0)))+(IF(G128="Yes",2,0))+(IF(H128="High",2,IF(H128="Moderate",1,0)))</f>
        <v>1</v>
      </c>
      <c r="J128" s="7" t="str">
        <f aca="false">IF(I128&gt;=8,"High",IF(I128&gt;=4,"Medium","Low"))</f>
        <v>Low</v>
      </c>
    </row>
    <row r="129" customFormat="false" ht="15" hidden="false" customHeight="true" outlineLevel="0" collapsed="false">
      <c r="A129" s="7" t="n">
        <f aca="false">'Raw Data'!A129</f>
        <v>1744</v>
      </c>
      <c r="B129" s="7" t="n">
        <f aca="false">'Raw Data'!B129</f>
        <v>58</v>
      </c>
      <c r="C129" s="7" t="str">
        <f aca="false">'Raw Data'!C129</f>
        <v>Female</v>
      </c>
      <c r="D129" s="7" t="str">
        <f aca="false">'Raw Data'!D129</f>
        <v>Never</v>
      </c>
      <c r="E129" s="7" t="str">
        <f aca="false">'Raw Data'!J129</f>
        <v>Normal</v>
      </c>
      <c r="F129" s="7" t="n">
        <f aca="false">'Raw Data'!K129</f>
        <v>233.1</v>
      </c>
      <c r="G129" s="7" t="str">
        <f aca="false">'Raw Data'!L129</f>
        <v>No</v>
      </c>
      <c r="H129" s="7" t="str">
        <f aca="false">'Raw Data'!M129</f>
        <v>Low</v>
      </c>
      <c r="I129" s="7" t="n">
        <f aca="false">(IF(D129="Current",3,IF(D129="Former",1,0)))+(IF(E129="High",3,IF(E129="Normal",1,0)))+(IF(F129&gt;=240,2,IF(F129&gt;=200,1,0)))+(IF(G129="Yes",2,0))+(IF(H129="High",2,IF(H129="Moderate",1,0)))</f>
        <v>2</v>
      </c>
      <c r="J129" s="7" t="str">
        <f aca="false">IF(I129&gt;=8,"High",IF(I129&gt;=4,"Medium","Low"))</f>
        <v>Low</v>
      </c>
    </row>
    <row r="130" customFormat="false" ht="15" hidden="false" customHeight="true" outlineLevel="0" collapsed="false">
      <c r="A130" s="7" t="n">
        <f aca="false">'Raw Data'!A130</f>
        <v>1746</v>
      </c>
      <c r="B130" s="7" t="n">
        <f aca="false">'Raw Data'!B130</f>
        <v>37</v>
      </c>
      <c r="C130" s="7" t="str">
        <f aca="false">'Raw Data'!C130</f>
        <v>Female</v>
      </c>
      <c r="D130" s="7" t="str">
        <f aca="false">'Raw Data'!D130</f>
        <v>Never</v>
      </c>
      <c r="E130" s="7" t="str">
        <f aca="false">'Raw Data'!J130</f>
        <v>Normal</v>
      </c>
      <c r="F130" s="7" t="n">
        <f aca="false">'Raw Data'!K130</f>
        <v>241.4</v>
      </c>
      <c r="G130" s="7" t="str">
        <f aca="false">'Raw Data'!L130</f>
        <v>No</v>
      </c>
      <c r="H130" s="7" t="str">
        <f aca="false">'Raw Data'!M130</f>
        <v>Low</v>
      </c>
      <c r="I130" s="7" t="n">
        <f aca="false">(IF(D130="Current",3,IF(D130="Former",1,0)))+(IF(E130="High",3,IF(E130="Normal",1,0)))+(IF(F130&gt;=240,2,IF(F130&gt;=200,1,0)))+(IF(G130="Yes",2,0))+(IF(H130="High",2,IF(H130="Moderate",1,0)))</f>
        <v>3</v>
      </c>
      <c r="J130" s="7" t="str">
        <f aca="false">IF(I130&gt;=8,"High",IF(I130&gt;=4,"Medium","Low"))</f>
        <v>Low</v>
      </c>
    </row>
    <row r="131" customFormat="false" ht="15" hidden="false" customHeight="true" outlineLevel="0" collapsed="false">
      <c r="A131" s="7" t="n">
        <f aca="false">'Raw Data'!A131</f>
        <v>1760</v>
      </c>
      <c r="B131" s="7" t="n">
        <f aca="false">'Raw Data'!B131</f>
        <v>52</v>
      </c>
      <c r="C131" s="7" t="str">
        <f aca="false">'Raw Data'!C131</f>
        <v>Female</v>
      </c>
      <c r="D131" s="7" t="str">
        <f aca="false">'Raw Data'!D131</f>
        <v>Never</v>
      </c>
      <c r="E131" s="7" t="str">
        <f aca="false">'Raw Data'!J131</f>
        <v>Normal</v>
      </c>
      <c r="F131" s="7" t="n">
        <f aca="false">'Raw Data'!K131</f>
        <v>294.4</v>
      </c>
      <c r="G131" s="7" t="str">
        <f aca="false">'Raw Data'!L131</f>
        <v>No</v>
      </c>
      <c r="H131" s="7" t="str">
        <f aca="false">'Raw Data'!M131</f>
        <v>Low</v>
      </c>
      <c r="I131" s="7" t="n">
        <f aca="false">(IF(D131="Current",3,IF(D131="Former",1,0)))+(IF(E131="High",3,IF(E131="Normal",1,0)))+(IF(F131&gt;=240,2,IF(F131&gt;=200,1,0)))+(IF(G131="Yes",2,0))+(IF(H131="High",2,IF(H131="Moderate",1,0)))</f>
        <v>3</v>
      </c>
      <c r="J131" s="7" t="str">
        <f aca="false">IF(I131&gt;=8,"High",IF(I131&gt;=4,"Medium","Low"))</f>
        <v>Low</v>
      </c>
    </row>
    <row r="132" customFormat="false" ht="15" hidden="false" customHeight="true" outlineLevel="0" collapsed="false">
      <c r="A132" s="7" t="n">
        <f aca="false">'Raw Data'!A132</f>
        <v>1778</v>
      </c>
      <c r="B132" s="7" t="n">
        <f aca="false">'Raw Data'!B132</f>
        <v>65</v>
      </c>
      <c r="C132" s="7" t="str">
        <f aca="false">'Raw Data'!C132</f>
        <v>Female</v>
      </c>
      <c r="D132" s="7" t="str">
        <f aca="false">'Raw Data'!D132</f>
        <v>Never</v>
      </c>
      <c r="E132" s="7" t="str">
        <f aca="false">'Raw Data'!J132</f>
        <v>Normal</v>
      </c>
      <c r="F132" s="7" t="n">
        <f aca="false">'Raw Data'!K132</f>
        <v>174.2</v>
      </c>
      <c r="G132" s="7" t="str">
        <f aca="false">'Raw Data'!L132</f>
        <v>No</v>
      </c>
      <c r="H132" s="7" t="str">
        <f aca="false">'Raw Data'!M132</f>
        <v>Low</v>
      </c>
      <c r="I132" s="7" t="n">
        <f aca="false">(IF(D132="Current",3,IF(D132="Former",1,0)))+(IF(E132="High",3,IF(E132="Normal",1,0)))+(IF(F132&gt;=240,2,IF(F132&gt;=200,1,0)))+(IF(G132="Yes",2,0))+(IF(H132="High",2,IF(H132="Moderate",1,0)))</f>
        <v>1</v>
      </c>
      <c r="J132" s="7" t="str">
        <f aca="false">IF(I132&gt;=8,"High",IF(I132&gt;=4,"Medium","Low"))</f>
        <v>Low</v>
      </c>
    </row>
    <row r="133" customFormat="false" ht="15" hidden="false" customHeight="true" outlineLevel="0" collapsed="false">
      <c r="A133" s="7" t="n">
        <f aca="false">'Raw Data'!A133</f>
        <v>1793</v>
      </c>
      <c r="B133" s="7" t="n">
        <f aca="false">'Raw Data'!B133</f>
        <v>51</v>
      </c>
      <c r="C133" s="7" t="str">
        <f aca="false">'Raw Data'!C133</f>
        <v>Female</v>
      </c>
      <c r="D133" s="7" t="str">
        <f aca="false">'Raw Data'!D133</f>
        <v>Never</v>
      </c>
      <c r="E133" s="7" t="str">
        <f aca="false">'Raw Data'!J133</f>
        <v>Normal</v>
      </c>
      <c r="F133" s="7" t="n">
        <f aca="false">'Raw Data'!K133</f>
        <v>248.9</v>
      </c>
      <c r="G133" s="7" t="str">
        <f aca="false">'Raw Data'!L133</f>
        <v>No</v>
      </c>
      <c r="H133" s="7" t="str">
        <f aca="false">'Raw Data'!M133</f>
        <v>Low</v>
      </c>
      <c r="I133" s="7" t="n">
        <f aca="false">(IF(D133="Current",3,IF(D133="Former",1,0)))+(IF(E133="High",3,IF(E133="Normal",1,0)))+(IF(F133&gt;=240,2,IF(F133&gt;=200,1,0)))+(IF(G133="Yes",2,0))+(IF(H133="High",2,IF(H133="Moderate",1,0)))</f>
        <v>3</v>
      </c>
      <c r="J133" s="7" t="str">
        <f aca="false">IF(I133&gt;=8,"High",IF(I133&gt;=4,"Medium","Low"))</f>
        <v>Low</v>
      </c>
    </row>
    <row r="134" customFormat="false" ht="15" hidden="false" customHeight="true" outlineLevel="0" collapsed="false">
      <c r="A134" s="7" t="n">
        <f aca="false">'Raw Data'!A134</f>
        <v>1798</v>
      </c>
      <c r="B134" s="7" t="n">
        <f aca="false">'Raw Data'!B134</f>
        <v>28</v>
      </c>
      <c r="C134" s="7" t="str">
        <f aca="false">'Raw Data'!C134</f>
        <v>Female</v>
      </c>
      <c r="D134" s="7" t="str">
        <f aca="false">'Raw Data'!D134</f>
        <v>Never</v>
      </c>
      <c r="E134" s="7" t="str">
        <f aca="false">'Raw Data'!J134</f>
        <v>Normal</v>
      </c>
      <c r="F134" s="7" t="n">
        <f aca="false">'Raw Data'!K134</f>
        <v>223.3</v>
      </c>
      <c r="G134" s="7" t="str">
        <f aca="false">'Raw Data'!L134</f>
        <v>No</v>
      </c>
      <c r="H134" s="7" t="str">
        <f aca="false">'Raw Data'!M134</f>
        <v>Low</v>
      </c>
      <c r="I134" s="7" t="n">
        <f aca="false">(IF(D134="Current",3,IF(D134="Former",1,0)))+(IF(E134="High",3,IF(E134="Normal",1,0)))+(IF(F134&gt;=240,2,IF(F134&gt;=200,1,0)))+(IF(G134="Yes",2,0))+(IF(H134="High",2,IF(H134="Moderate",1,0)))</f>
        <v>2</v>
      </c>
      <c r="J134" s="7" t="str">
        <f aca="false">IF(I134&gt;=8,"High",IF(I134&gt;=4,"Medium","Low"))</f>
        <v>Low</v>
      </c>
    </row>
    <row r="135" customFormat="false" ht="15" hidden="false" customHeight="true" outlineLevel="0" collapsed="false">
      <c r="A135" s="7" t="n">
        <f aca="false">'Raw Data'!A135</f>
        <v>1805</v>
      </c>
      <c r="B135" s="7" t="n">
        <f aca="false">'Raw Data'!B135</f>
        <v>79</v>
      </c>
      <c r="C135" s="7" t="str">
        <f aca="false">'Raw Data'!C135</f>
        <v>Male</v>
      </c>
      <c r="D135" s="7" t="str">
        <f aca="false">'Raw Data'!D135</f>
        <v>Never</v>
      </c>
      <c r="E135" s="7" t="str">
        <f aca="false">'Raw Data'!J135</f>
        <v>Normal</v>
      </c>
      <c r="F135" s="7" t="n">
        <f aca="false">'Raw Data'!K135</f>
        <v>175.9</v>
      </c>
      <c r="G135" s="7" t="str">
        <f aca="false">'Raw Data'!L135</f>
        <v>No</v>
      </c>
      <c r="H135" s="7" t="str">
        <f aca="false">'Raw Data'!M135</f>
        <v>Low</v>
      </c>
      <c r="I135" s="7" t="n">
        <f aca="false">(IF(D135="Current",3,IF(D135="Former",1,0)))+(IF(E135="High",3,IF(E135="Normal",1,0)))+(IF(F135&gt;=240,2,IF(F135&gt;=200,1,0)))+(IF(G135="Yes",2,0))+(IF(H135="High",2,IF(H135="Moderate",1,0)))</f>
        <v>1</v>
      </c>
      <c r="J135" s="7" t="str">
        <f aca="false">IF(I135&gt;=8,"High",IF(I135&gt;=4,"Medium","Low"))</f>
        <v>Low</v>
      </c>
    </row>
    <row r="136" customFormat="false" ht="15" hidden="false" customHeight="true" outlineLevel="0" collapsed="false">
      <c r="A136" s="7" t="n">
        <f aca="false">'Raw Data'!A136</f>
        <v>1812</v>
      </c>
      <c r="B136" s="7" t="n">
        <f aca="false">'Raw Data'!B136</f>
        <v>80</v>
      </c>
      <c r="C136" s="7" t="str">
        <f aca="false">'Raw Data'!C136</f>
        <v>Male</v>
      </c>
      <c r="D136" s="7" t="str">
        <f aca="false">'Raw Data'!D136</f>
        <v>Never</v>
      </c>
      <c r="E136" s="7" t="str">
        <f aca="false">'Raw Data'!J136</f>
        <v>Normal</v>
      </c>
      <c r="F136" s="7" t="n">
        <f aca="false">'Raw Data'!K136</f>
        <v>163.2</v>
      </c>
      <c r="G136" s="7" t="str">
        <f aca="false">'Raw Data'!L136</f>
        <v>No</v>
      </c>
      <c r="H136" s="7" t="str">
        <f aca="false">'Raw Data'!M136</f>
        <v>Low</v>
      </c>
      <c r="I136" s="7" t="n">
        <f aca="false">(IF(D136="Current",3,IF(D136="Former",1,0)))+(IF(E136="High",3,IF(E136="Normal",1,0)))+(IF(F136&gt;=240,2,IF(F136&gt;=200,1,0)))+(IF(G136="Yes",2,0))+(IF(H136="High",2,IF(H136="Moderate",1,0)))</f>
        <v>1</v>
      </c>
      <c r="J136" s="7" t="str">
        <f aca="false">IF(I136&gt;=8,"High",IF(I136&gt;=4,"Medium","Low"))</f>
        <v>Low</v>
      </c>
    </row>
    <row r="137" customFormat="false" ht="15" hidden="false" customHeight="true" outlineLevel="0" collapsed="false">
      <c r="A137" s="7" t="n">
        <f aca="false">'Raw Data'!A137</f>
        <v>1815</v>
      </c>
      <c r="B137" s="7" t="n">
        <f aca="false">'Raw Data'!B137</f>
        <v>79</v>
      </c>
      <c r="C137" s="7" t="str">
        <f aca="false">'Raw Data'!C137</f>
        <v>Female</v>
      </c>
      <c r="D137" s="7" t="str">
        <f aca="false">'Raw Data'!D137</f>
        <v>Never</v>
      </c>
      <c r="E137" s="7" t="str">
        <f aca="false">'Raw Data'!J137</f>
        <v>Normal</v>
      </c>
      <c r="F137" s="7" t="n">
        <f aca="false">'Raw Data'!K137</f>
        <v>274.5</v>
      </c>
      <c r="G137" s="7" t="str">
        <f aca="false">'Raw Data'!L137</f>
        <v>No</v>
      </c>
      <c r="H137" s="7" t="str">
        <f aca="false">'Raw Data'!M137</f>
        <v>Low</v>
      </c>
      <c r="I137" s="7" t="n">
        <f aca="false">(IF(D137="Current",3,IF(D137="Former",1,0)))+(IF(E137="High",3,IF(E137="Normal",1,0)))+(IF(F137&gt;=240,2,IF(F137&gt;=200,1,0)))+(IF(G137="Yes",2,0))+(IF(H137="High",2,IF(H137="Moderate",1,0)))</f>
        <v>3</v>
      </c>
      <c r="J137" s="7" t="str">
        <f aca="false">IF(I137&gt;=8,"High",IF(I137&gt;=4,"Medium","Low"))</f>
        <v>Low</v>
      </c>
    </row>
    <row r="138" customFormat="false" ht="15" hidden="false" customHeight="true" outlineLevel="0" collapsed="false">
      <c r="A138" s="7" t="n">
        <f aca="false">'Raw Data'!A138</f>
        <v>1825</v>
      </c>
      <c r="B138" s="7" t="n">
        <f aca="false">'Raw Data'!B138</f>
        <v>47</v>
      </c>
      <c r="C138" s="7" t="str">
        <f aca="false">'Raw Data'!C138</f>
        <v>Female</v>
      </c>
      <c r="D138" s="7" t="str">
        <f aca="false">'Raw Data'!D138</f>
        <v>Never</v>
      </c>
      <c r="E138" s="7" t="str">
        <f aca="false">'Raw Data'!J138</f>
        <v>Normal</v>
      </c>
      <c r="F138" s="7" t="n">
        <f aca="false">'Raw Data'!K138</f>
        <v>124.3</v>
      </c>
      <c r="G138" s="7" t="str">
        <f aca="false">'Raw Data'!L138</f>
        <v>No</v>
      </c>
      <c r="H138" s="7" t="str">
        <f aca="false">'Raw Data'!M138</f>
        <v>Low</v>
      </c>
      <c r="I138" s="7" t="n">
        <f aca="false">(IF(D138="Current",3,IF(D138="Former",1,0)))+(IF(E138="High",3,IF(E138="Normal",1,0)))+(IF(F138&gt;=240,2,IF(F138&gt;=200,1,0)))+(IF(G138="Yes",2,0))+(IF(H138="High",2,IF(H138="Moderate",1,0)))</f>
        <v>1</v>
      </c>
      <c r="J138" s="7" t="str">
        <f aca="false">IF(I138&gt;=8,"High",IF(I138&gt;=4,"Medium","Low"))</f>
        <v>Low</v>
      </c>
    </row>
    <row r="139" customFormat="false" ht="15" hidden="false" customHeight="true" outlineLevel="0" collapsed="false">
      <c r="A139" s="7" t="n">
        <f aca="false">'Raw Data'!A139</f>
        <v>1830</v>
      </c>
      <c r="B139" s="7" t="n">
        <f aca="false">'Raw Data'!B139</f>
        <v>86</v>
      </c>
      <c r="C139" s="7" t="str">
        <f aca="false">'Raw Data'!C139</f>
        <v>Female</v>
      </c>
      <c r="D139" s="7" t="str">
        <f aca="false">'Raw Data'!D139</f>
        <v>Never</v>
      </c>
      <c r="E139" s="7" t="str">
        <f aca="false">'Raw Data'!J139</f>
        <v>Normal</v>
      </c>
      <c r="F139" s="7" t="n">
        <f aca="false">'Raw Data'!K139</f>
        <v>136.1</v>
      </c>
      <c r="G139" s="7" t="str">
        <f aca="false">'Raw Data'!L139</f>
        <v>No</v>
      </c>
      <c r="H139" s="7" t="str">
        <f aca="false">'Raw Data'!M139</f>
        <v>Low</v>
      </c>
      <c r="I139" s="7" t="n">
        <f aca="false">(IF(D139="Current",3,IF(D139="Former",1,0)))+(IF(E139="High",3,IF(E139="Normal",1,0)))+(IF(F139&gt;=240,2,IF(F139&gt;=200,1,0)))+(IF(G139="Yes",2,0))+(IF(H139="High",2,IF(H139="Moderate",1,0)))</f>
        <v>1</v>
      </c>
      <c r="J139" s="7" t="str">
        <f aca="false">IF(I139&gt;=8,"High",IF(I139&gt;=4,"Medium","Low"))</f>
        <v>Low</v>
      </c>
    </row>
    <row r="140" customFormat="false" ht="15" hidden="false" customHeight="true" outlineLevel="0" collapsed="false">
      <c r="A140" s="7" t="n">
        <f aca="false">'Raw Data'!A140</f>
        <v>1850</v>
      </c>
      <c r="B140" s="7" t="n">
        <f aca="false">'Raw Data'!B140</f>
        <v>26</v>
      </c>
      <c r="C140" s="7" t="str">
        <f aca="false">'Raw Data'!C140</f>
        <v>Female</v>
      </c>
      <c r="D140" s="7" t="str">
        <f aca="false">'Raw Data'!D140</f>
        <v>Never</v>
      </c>
      <c r="E140" s="7" t="str">
        <f aca="false">'Raw Data'!J140</f>
        <v>Normal</v>
      </c>
      <c r="F140" s="7" t="n">
        <f aca="false">'Raw Data'!K140</f>
        <v>271.8</v>
      </c>
      <c r="G140" s="7" t="str">
        <f aca="false">'Raw Data'!L140</f>
        <v>No</v>
      </c>
      <c r="H140" s="7" t="str">
        <f aca="false">'Raw Data'!M140</f>
        <v>Low</v>
      </c>
      <c r="I140" s="7" t="n">
        <f aca="false">(IF(D140="Current",3,IF(D140="Former",1,0)))+(IF(E140="High",3,IF(E140="Normal",1,0)))+(IF(F140&gt;=240,2,IF(F140&gt;=200,1,0)))+(IF(G140="Yes",2,0))+(IF(H140="High",2,IF(H140="Moderate",1,0)))</f>
        <v>3</v>
      </c>
      <c r="J140" s="7" t="str">
        <f aca="false">IF(I140&gt;=8,"High",IF(I140&gt;=4,"Medium","Low"))</f>
        <v>Low</v>
      </c>
    </row>
    <row r="141" customFormat="false" ht="15" hidden="false" customHeight="true" outlineLevel="0" collapsed="false">
      <c r="A141" s="7" t="n">
        <f aca="false">'Raw Data'!A141</f>
        <v>1859</v>
      </c>
      <c r="B141" s="7" t="n">
        <f aca="false">'Raw Data'!B141</f>
        <v>74</v>
      </c>
      <c r="C141" s="7" t="str">
        <f aca="false">'Raw Data'!C141</f>
        <v>Male</v>
      </c>
      <c r="D141" s="7" t="str">
        <f aca="false">'Raw Data'!D141</f>
        <v>Never</v>
      </c>
      <c r="E141" s="7" t="str">
        <f aca="false">'Raw Data'!J141</f>
        <v>Normal</v>
      </c>
      <c r="F141" s="7" t="n">
        <f aca="false">'Raw Data'!K141</f>
        <v>141</v>
      </c>
      <c r="G141" s="7" t="str">
        <f aca="false">'Raw Data'!L141</f>
        <v>No</v>
      </c>
      <c r="H141" s="7" t="str">
        <f aca="false">'Raw Data'!M141</f>
        <v>Low</v>
      </c>
      <c r="I141" s="7" t="n">
        <f aca="false">(IF(D141="Current",3,IF(D141="Former",1,0)))+(IF(E141="High",3,IF(E141="Normal",1,0)))+(IF(F141&gt;=240,2,IF(F141&gt;=200,1,0)))+(IF(G141="Yes",2,0))+(IF(H141="High",2,IF(H141="Moderate",1,0)))</f>
        <v>1</v>
      </c>
      <c r="J141" s="7" t="str">
        <f aca="false">IF(I141&gt;=8,"High",IF(I141&gt;=4,"Medium","Low"))</f>
        <v>Low</v>
      </c>
    </row>
    <row r="142" customFormat="false" ht="15" hidden="false" customHeight="true" outlineLevel="0" collapsed="false">
      <c r="A142" s="7" t="n">
        <f aca="false">'Raw Data'!A142</f>
        <v>1876</v>
      </c>
      <c r="B142" s="7" t="n">
        <f aca="false">'Raw Data'!B142</f>
        <v>71</v>
      </c>
      <c r="C142" s="7" t="str">
        <f aca="false">'Raw Data'!C142</f>
        <v>Male</v>
      </c>
      <c r="D142" s="7" t="str">
        <f aca="false">'Raw Data'!D142</f>
        <v>Never</v>
      </c>
      <c r="E142" s="7" t="str">
        <f aca="false">'Raw Data'!J142</f>
        <v>Normal</v>
      </c>
      <c r="F142" s="7" t="n">
        <f aca="false">'Raw Data'!K142</f>
        <v>239.3</v>
      </c>
      <c r="G142" s="7" t="str">
        <f aca="false">'Raw Data'!L142</f>
        <v>No</v>
      </c>
      <c r="H142" s="7" t="str">
        <f aca="false">'Raw Data'!M142</f>
        <v>Low</v>
      </c>
      <c r="I142" s="7" t="n">
        <f aca="false">(IF(D142="Current",3,IF(D142="Former",1,0)))+(IF(E142="High",3,IF(E142="Normal",1,0)))+(IF(F142&gt;=240,2,IF(F142&gt;=200,1,0)))+(IF(G142="Yes",2,0))+(IF(H142="High",2,IF(H142="Moderate",1,0)))</f>
        <v>2</v>
      </c>
      <c r="J142" s="7" t="str">
        <f aca="false">IF(I142&gt;=8,"High",IF(I142&gt;=4,"Medium","Low"))</f>
        <v>Low</v>
      </c>
    </row>
    <row r="143" customFormat="false" ht="15" hidden="false" customHeight="true" outlineLevel="0" collapsed="false">
      <c r="A143" s="7" t="n">
        <f aca="false">'Raw Data'!A143</f>
        <v>1891</v>
      </c>
      <c r="B143" s="7" t="n">
        <f aca="false">'Raw Data'!B143</f>
        <v>55</v>
      </c>
      <c r="C143" s="7" t="str">
        <f aca="false">'Raw Data'!C143</f>
        <v>Male</v>
      </c>
      <c r="D143" s="7" t="str">
        <f aca="false">'Raw Data'!D143</f>
        <v>Never</v>
      </c>
      <c r="E143" s="7" t="str">
        <f aca="false">'Raw Data'!J143</f>
        <v>Normal</v>
      </c>
      <c r="F143" s="7" t="n">
        <f aca="false">'Raw Data'!K143</f>
        <v>236.1</v>
      </c>
      <c r="G143" s="7" t="str">
        <f aca="false">'Raw Data'!L143</f>
        <v>No</v>
      </c>
      <c r="H143" s="7" t="str">
        <f aca="false">'Raw Data'!M143</f>
        <v>Low</v>
      </c>
      <c r="I143" s="7" t="n">
        <f aca="false">(IF(D143="Current",3,IF(D143="Former",1,0)))+(IF(E143="High",3,IF(E143="Normal",1,0)))+(IF(F143&gt;=240,2,IF(F143&gt;=200,1,0)))+(IF(G143="Yes",2,0))+(IF(H143="High",2,IF(H143="Moderate",1,0)))</f>
        <v>2</v>
      </c>
      <c r="J143" s="7" t="str">
        <f aca="false">IF(I143&gt;=8,"High",IF(I143&gt;=4,"Medium","Low"))</f>
        <v>Low</v>
      </c>
    </row>
    <row r="144" customFormat="false" ht="15" hidden="false" customHeight="true" outlineLevel="0" collapsed="false">
      <c r="A144" s="7" t="n">
        <f aca="false">'Raw Data'!A144</f>
        <v>1897</v>
      </c>
      <c r="B144" s="7" t="n">
        <f aca="false">'Raw Data'!B144</f>
        <v>87</v>
      </c>
      <c r="C144" s="7" t="str">
        <f aca="false">'Raw Data'!C144</f>
        <v>Female</v>
      </c>
      <c r="D144" s="7" t="str">
        <f aca="false">'Raw Data'!D144</f>
        <v>Never</v>
      </c>
      <c r="E144" s="7" t="str">
        <f aca="false">'Raw Data'!J144</f>
        <v>Normal</v>
      </c>
      <c r="F144" s="7" t="n">
        <f aca="false">'Raw Data'!K144</f>
        <v>144.2</v>
      </c>
      <c r="G144" s="7" t="str">
        <f aca="false">'Raw Data'!L144</f>
        <v>No</v>
      </c>
      <c r="H144" s="7" t="str">
        <f aca="false">'Raw Data'!M144</f>
        <v>Low</v>
      </c>
      <c r="I144" s="7" t="n">
        <f aca="false">(IF(D144="Current",3,IF(D144="Former",1,0)))+(IF(E144="High",3,IF(E144="Normal",1,0)))+(IF(F144&gt;=240,2,IF(F144&gt;=200,1,0)))+(IF(G144="Yes",2,0))+(IF(H144="High",2,IF(H144="Moderate",1,0)))</f>
        <v>1</v>
      </c>
      <c r="J144" s="7" t="str">
        <f aca="false">IF(I144&gt;=8,"High",IF(I144&gt;=4,"Medium","Low"))</f>
        <v>Low</v>
      </c>
    </row>
    <row r="145" customFormat="false" ht="15" hidden="false" customHeight="true" outlineLevel="0" collapsed="false">
      <c r="A145" s="7" t="n">
        <f aca="false">'Raw Data'!A145</f>
        <v>1900</v>
      </c>
      <c r="B145" s="7" t="n">
        <f aca="false">'Raw Data'!B145</f>
        <v>21</v>
      </c>
      <c r="C145" s="7" t="str">
        <f aca="false">'Raw Data'!C145</f>
        <v>Male</v>
      </c>
      <c r="D145" s="7" t="str">
        <f aca="false">'Raw Data'!D145</f>
        <v>Never</v>
      </c>
      <c r="E145" s="7" t="str">
        <f aca="false">'Raw Data'!J145</f>
        <v>Normal</v>
      </c>
      <c r="F145" s="7" t="n">
        <f aca="false">'Raw Data'!K145</f>
        <v>137.5</v>
      </c>
      <c r="G145" s="7" t="str">
        <f aca="false">'Raw Data'!L145</f>
        <v>No</v>
      </c>
      <c r="H145" s="7" t="str">
        <f aca="false">'Raw Data'!M145</f>
        <v>Low</v>
      </c>
      <c r="I145" s="7" t="n">
        <f aca="false">(IF(D145="Current",3,IF(D145="Former",1,0)))+(IF(E145="High",3,IF(E145="Normal",1,0)))+(IF(F145&gt;=240,2,IF(F145&gt;=200,1,0)))+(IF(G145="Yes",2,0))+(IF(H145="High",2,IF(H145="Moderate",1,0)))</f>
        <v>1</v>
      </c>
      <c r="J145" s="7" t="str">
        <f aca="false">IF(I145&gt;=8,"High",IF(I145&gt;=4,"Medium","Low"))</f>
        <v>Low</v>
      </c>
    </row>
    <row r="146" customFormat="false" ht="15" hidden="false" customHeight="true" outlineLevel="0" collapsed="false">
      <c r="A146" s="7" t="n">
        <f aca="false">'Raw Data'!A146</f>
        <v>1902</v>
      </c>
      <c r="B146" s="7" t="n">
        <f aca="false">'Raw Data'!B146</f>
        <v>52</v>
      </c>
      <c r="C146" s="7" t="str">
        <f aca="false">'Raw Data'!C146</f>
        <v>Female</v>
      </c>
      <c r="D146" s="7" t="str">
        <f aca="false">'Raw Data'!D146</f>
        <v>Never</v>
      </c>
      <c r="E146" s="7" t="str">
        <f aca="false">'Raw Data'!J146</f>
        <v>Normal</v>
      </c>
      <c r="F146" s="7" t="n">
        <f aca="false">'Raw Data'!K146</f>
        <v>133.3</v>
      </c>
      <c r="G146" s="7" t="str">
        <f aca="false">'Raw Data'!L146</f>
        <v>No</v>
      </c>
      <c r="H146" s="7" t="str">
        <f aca="false">'Raw Data'!M146</f>
        <v>Low</v>
      </c>
      <c r="I146" s="7" t="n">
        <f aca="false">(IF(D146="Current",3,IF(D146="Former",1,0)))+(IF(E146="High",3,IF(E146="Normal",1,0)))+(IF(F146&gt;=240,2,IF(F146&gt;=200,1,0)))+(IF(G146="Yes",2,0))+(IF(H146="High",2,IF(H146="Moderate",1,0)))</f>
        <v>1</v>
      </c>
      <c r="J146" s="7" t="str">
        <f aca="false">IF(I146&gt;=8,"High",IF(I146&gt;=4,"Medium","Low"))</f>
        <v>Low</v>
      </c>
    </row>
    <row r="147" customFormat="false" ht="15" hidden="false" customHeight="true" outlineLevel="0" collapsed="false">
      <c r="A147" s="7" t="n">
        <f aca="false">'Raw Data'!A147</f>
        <v>1936</v>
      </c>
      <c r="B147" s="7" t="n">
        <f aca="false">'Raw Data'!B147</f>
        <v>30</v>
      </c>
      <c r="C147" s="7" t="str">
        <f aca="false">'Raw Data'!C147</f>
        <v>Male</v>
      </c>
      <c r="D147" s="7" t="str">
        <f aca="false">'Raw Data'!D147</f>
        <v>Never</v>
      </c>
      <c r="E147" s="7" t="str">
        <f aca="false">'Raw Data'!J147</f>
        <v>Normal</v>
      </c>
      <c r="F147" s="7" t="n">
        <f aca="false">'Raw Data'!K147</f>
        <v>285.6</v>
      </c>
      <c r="G147" s="7" t="str">
        <f aca="false">'Raw Data'!L147</f>
        <v>No</v>
      </c>
      <c r="H147" s="7" t="str">
        <f aca="false">'Raw Data'!M147</f>
        <v>Low</v>
      </c>
      <c r="I147" s="7" t="n">
        <f aca="false">(IF(D147="Current",3,IF(D147="Former",1,0)))+(IF(E147="High",3,IF(E147="Normal",1,0)))+(IF(F147&gt;=240,2,IF(F147&gt;=200,1,0)))+(IF(G147="Yes",2,0))+(IF(H147="High",2,IF(H147="Moderate",1,0)))</f>
        <v>3</v>
      </c>
      <c r="J147" s="7" t="str">
        <f aca="false">IF(I147&gt;=8,"High",IF(I147&gt;=4,"Medium","Low"))</f>
        <v>Low</v>
      </c>
    </row>
    <row r="148" customFormat="false" ht="15" hidden="false" customHeight="true" outlineLevel="0" collapsed="false">
      <c r="A148" s="7" t="n">
        <f aca="false">'Raw Data'!A148</f>
        <v>1948</v>
      </c>
      <c r="B148" s="7" t="n">
        <f aca="false">'Raw Data'!B148</f>
        <v>45</v>
      </c>
      <c r="C148" s="7" t="str">
        <f aca="false">'Raw Data'!C148</f>
        <v>Female</v>
      </c>
      <c r="D148" s="7" t="str">
        <f aca="false">'Raw Data'!D148</f>
        <v>Never</v>
      </c>
      <c r="E148" s="7" t="str">
        <f aca="false">'Raw Data'!J148</f>
        <v>Normal</v>
      </c>
      <c r="F148" s="7" t="n">
        <f aca="false">'Raw Data'!K148</f>
        <v>293.6</v>
      </c>
      <c r="G148" s="7" t="str">
        <f aca="false">'Raw Data'!L148</f>
        <v>No</v>
      </c>
      <c r="H148" s="7" t="str">
        <f aca="false">'Raw Data'!M148</f>
        <v>Low</v>
      </c>
      <c r="I148" s="7" t="n">
        <f aca="false">(IF(D148="Current",3,IF(D148="Former",1,0)))+(IF(E148="High",3,IF(E148="Normal",1,0)))+(IF(F148&gt;=240,2,IF(F148&gt;=200,1,0)))+(IF(G148="Yes",2,0))+(IF(H148="High",2,IF(H148="Moderate",1,0)))</f>
        <v>3</v>
      </c>
      <c r="J148" s="7" t="str">
        <f aca="false">IF(I148&gt;=8,"High",IF(I148&gt;=4,"Medium","Low"))</f>
        <v>Low</v>
      </c>
    </row>
    <row r="149" customFormat="false" ht="15" hidden="false" customHeight="true" outlineLevel="0" collapsed="false">
      <c r="A149" s="7" t="n">
        <f aca="false">'Raw Data'!A149</f>
        <v>1952</v>
      </c>
      <c r="B149" s="7" t="n">
        <f aca="false">'Raw Data'!B149</f>
        <v>83</v>
      </c>
      <c r="C149" s="7" t="str">
        <f aca="false">'Raw Data'!C149</f>
        <v>Female</v>
      </c>
      <c r="D149" s="7" t="str">
        <f aca="false">'Raw Data'!D149</f>
        <v>Never</v>
      </c>
      <c r="E149" s="7" t="str">
        <f aca="false">'Raw Data'!J149</f>
        <v>Normal</v>
      </c>
      <c r="F149" s="7" t="n">
        <f aca="false">'Raw Data'!K149</f>
        <v>242.8</v>
      </c>
      <c r="G149" s="7" t="str">
        <f aca="false">'Raw Data'!L149</f>
        <v>No</v>
      </c>
      <c r="H149" s="7" t="str">
        <f aca="false">'Raw Data'!M149</f>
        <v>Low</v>
      </c>
      <c r="I149" s="7" t="n">
        <f aca="false">(IF(D149="Current",3,IF(D149="Former",1,0)))+(IF(E149="High",3,IF(E149="Normal",1,0)))+(IF(F149&gt;=240,2,IF(F149&gt;=200,1,0)))+(IF(G149="Yes",2,0))+(IF(H149="High",2,IF(H149="Moderate",1,0)))</f>
        <v>3</v>
      </c>
      <c r="J149" s="7" t="str">
        <f aca="false">IF(I149&gt;=8,"High",IF(I149&gt;=4,"Medium","Low"))</f>
        <v>Low</v>
      </c>
    </row>
    <row r="150" customFormat="false" ht="15" hidden="false" customHeight="true" outlineLevel="0" collapsed="false">
      <c r="A150" s="7" t="n">
        <f aca="false">'Raw Data'!A150</f>
        <v>1970</v>
      </c>
      <c r="B150" s="7" t="n">
        <f aca="false">'Raw Data'!B150</f>
        <v>47</v>
      </c>
      <c r="C150" s="7" t="str">
        <f aca="false">'Raw Data'!C150</f>
        <v>Male</v>
      </c>
      <c r="D150" s="7" t="str">
        <f aca="false">'Raw Data'!D150</f>
        <v>Never</v>
      </c>
      <c r="E150" s="7" t="str">
        <f aca="false">'Raw Data'!J150</f>
        <v>Normal</v>
      </c>
      <c r="F150" s="7" t="n">
        <f aca="false">'Raw Data'!K150</f>
        <v>228.1</v>
      </c>
      <c r="G150" s="7" t="str">
        <f aca="false">'Raw Data'!L150</f>
        <v>No</v>
      </c>
      <c r="H150" s="7" t="str">
        <f aca="false">'Raw Data'!M150</f>
        <v>Low</v>
      </c>
      <c r="I150" s="7" t="n">
        <f aca="false">(IF(D150="Current",3,IF(D150="Former",1,0)))+(IF(E150="High",3,IF(E150="Normal",1,0)))+(IF(F150&gt;=240,2,IF(F150&gt;=200,1,0)))+(IF(G150="Yes",2,0))+(IF(H150="High",2,IF(H150="Moderate",1,0)))</f>
        <v>2</v>
      </c>
      <c r="J150" s="7" t="str">
        <f aca="false">IF(I150&gt;=8,"High",IF(I150&gt;=4,"Medium","Low"))</f>
        <v>Low</v>
      </c>
    </row>
    <row r="151" customFormat="false" ht="15" hidden="false" customHeight="true" outlineLevel="0" collapsed="false">
      <c r="A151" s="7" t="n">
        <f aca="false">'Raw Data'!A151</f>
        <v>1971</v>
      </c>
      <c r="B151" s="7" t="n">
        <f aca="false">'Raw Data'!B151</f>
        <v>55</v>
      </c>
      <c r="C151" s="7" t="str">
        <f aca="false">'Raw Data'!C151</f>
        <v>Male</v>
      </c>
      <c r="D151" s="7" t="str">
        <f aca="false">'Raw Data'!D151</f>
        <v>Never</v>
      </c>
      <c r="E151" s="7" t="str">
        <f aca="false">'Raw Data'!J151</f>
        <v>Normal</v>
      </c>
      <c r="F151" s="7" t="n">
        <f aca="false">'Raw Data'!K151</f>
        <v>133.7</v>
      </c>
      <c r="G151" s="7" t="str">
        <f aca="false">'Raw Data'!L151</f>
        <v>No</v>
      </c>
      <c r="H151" s="7" t="str">
        <f aca="false">'Raw Data'!M151</f>
        <v>Low</v>
      </c>
      <c r="I151" s="7" t="n">
        <f aca="false">(IF(D151="Current",3,IF(D151="Former",1,0)))+(IF(E151="High",3,IF(E151="Normal",1,0)))+(IF(F151&gt;=240,2,IF(F151&gt;=200,1,0)))+(IF(G151="Yes",2,0))+(IF(H151="High",2,IF(H151="Moderate",1,0)))</f>
        <v>1</v>
      </c>
      <c r="J151" s="7" t="str">
        <f aca="false">IF(I151&gt;=8,"High",IF(I151&gt;=4,"Medium","Low"))</f>
        <v>Low</v>
      </c>
    </row>
    <row r="152" customFormat="false" ht="15" hidden="false" customHeight="true" outlineLevel="0" collapsed="false">
      <c r="A152" s="7" t="n">
        <f aca="false">'Raw Data'!A152</f>
        <v>1974</v>
      </c>
      <c r="B152" s="7" t="n">
        <f aca="false">'Raw Data'!B152</f>
        <v>65</v>
      </c>
      <c r="C152" s="7" t="str">
        <f aca="false">'Raw Data'!C152</f>
        <v>Male</v>
      </c>
      <c r="D152" s="7" t="str">
        <f aca="false">'Raw Data'!D152</f>
        <v>Never</v>
      </c>
      <c r="E152" s="7" t="str">
        <f aca="false">'Raw Data'!J152</f>
        <v>Normal</v>
      </c>
      <c r="F152" s="7" t="n">
        <f aca="false">'Raw Data'!K152</f>
        <v>188</v>
      </c>
      <c r="G152" s="7" t="str">
        <f aca="false">'Raw Data'!L152</f>
        <v>No</v>
      </c>
      <c r="H152" s="7" t="str">
        <f aca="false">'Raw Data'!M152</f>
        <v>Low</v>
      </c>
      <c r="I152" s="7" t="n">
        <f aca="false">(IF(D152="Current",3,IF(D152="Former",1,0)))+(IF(E152="High",3,IF(E152="Normal",1,0)))+(IF(F152&gt;=240,2,IF(F152&gt;=200,1,0)))+(IF(G152="Yes",2,0))+(IF(H152="High",2,IF(H152="Moderate",1,0)))</f>
        <v>1</v>
      </c>
      <c r="J152" s="7" t="str">
        <f aca="false">IF(I152&gt;=8,"High",IF(I152&gt;=4,"Medium","Low"))</f>
        <v>Low</v>
      </c>
    </row>
    <row r="153" customFormat="false" ht="15" hidden="false" customHeight="true" outlineLevel="0" collapsed="false">
      <c r="A153" s="7" t="n">
        <f aca="false">'Raw Data'!A153</f>
        <v>1982</v>
      </c>
      <c r="B153" s="7" t="n">
        <f aca="false">'Raw Data'!B153</f>
        <v>54</v>
      </c>
      <c r="C153" s="7" t="str">
        <f aca="false">'Raw Data'!C153</f>
        <v>Female</v>
      </c>
      <c r="D153" s="7" t="str">
        <f aca="false">'Raw Data'!D153</f>
        <v>Never</v>
      </c>
      <c r="E153" s="7" t="str">
        <f aca="false">'Raw Data'!J153</f>
        <v>Normal</v>
      </c>
      <c r="F153" s="7" t="n">
        <f aca="false">'Raw Data'!K153</f>
        <v>185.1</v>
      </c>
      <c r="G153" s="7" t="str">
        <f aca="false">'Raw Data'!L153</f>
        <v>No</v>
      </c>
      <c r="H153" s="7" t="str">
        <f aca="false">'Raw Data'!M153</f>
        <v>Low</v>
      </c>
      <c r="I153" s="7" t="n">
        <f aca="false">(IF(D153="Current",3,IF(D153="Former",1,0)))+(IF(E153="High",3,IF(E153="Normal",1,0)))+(IF(F153&gt;=240,2,IF(F153&gt;=200,1,0)))+(IF(G153="Yes",2,0))+(IF(H153="High",2,IF(H153="Moderate",1,0)))</f>
        <v>1</v>
      </c>
      <c r="J153" s="7" t="str">
        <f aca="false">IF(I153&gt;=8,"High",IF(I153&gt;=4,"Medium","Low"))</f>
        <v>Low</v>
      </c>
    </row>
    <row r="154" customFormat="false" ht="15" hidden="false" customHeight="true" outlineLevel="0" collapsed="false">
      <c r="A154" s="7" t="n">
        <f aca="false">'Raw Data'!A154</f>
        <v>1986</v>
      </c>
      <c r="B154" s="7" t="n">
        <f aca="false">'Raw Data'!B154</f>
        <v>58</v>
      </c>
      <c r="C154" s="7" t="str">
        <f aca="false">'Raw Data'!C154</f>
        <v>Male</v>
      </c>
      <c r="D154" s="7" t="str">
        <f aca="false">'Raw Data'!D154</f>
        <v>Never</v>
      </c>
      <c r="E154" s="7" t="str">
        <f aca="false">'Raw Data'!J154</f>
        <v>Normal</v>
      </c>
      <c r="F154" s="7" t="n">
        <f aca="false">'Raw Data'!K154</f>
        <v>252.1</v>
      </c>
      <c r="G154" s="7" t="str">
        <f aca="false">'Raw Data'!L154</f>
        <v>No</v>
      </c>
      <c r="H154" s="7" t="str">
        <f aca="false">'Raw Data'!M154</f>
        <v>Low</v>
      </c>
      <c r="I154" s="7" t="n">
        <f aca="false">(IF(D154="Current",3,IF(D154="Former",1,0)))+(IF(E154="High",3,IF(E154="Normal",1,0)))+(IF(F154&gt;=240,2,IF(F154&gt;=200,1,0)))+(IF(G154="Yes",2,0))+(IF(H154="High",2,IF(H154="Moderate",1,0)))</f>
        <v>3</v>
      </c>
      <c r="J154" s="7" t="str">
        <f aca="false">IF(I154&gt;=8,"High",IF(I154&gt;=4,"Medium","Low"))</f>
        <v>Low</v>
      </c>
    </row>
    <row r="155" customFormat="false" ht="15" hidden="false" customHeight="true" outlineLevel="0" collapsed="false">
      <c r="A155" s="7" t="n">
        <f aca="false">'Raw Data'!A155</f>
        <v>2002</v>
      </c>
      <c r="B155" s="7" t="n">
        <f aca="false">'Raw Data'!B155</f>
        <v>84</v>
      </c>
      <c r="C155" s="7" t="str">
        <f aca="false">'Raw Data'!C155</f>
        <v>Male</v>
      </c>
      <c r="D155" s="7" t="str">
        <f aca="false">'Raw Data'!D155</f>
        <v>Never</v>
      </c>
      <c r="E155" s="7" t="str">
        <f aca="false">'Raw Data'!J155</f>
        <v>Normal</v>
      </c>
      <c r="F155" s="7" t="n">
        <f aca="false">'Raw Data'!K155</f>
        <v>295</v>
      </c>
      <c r="G155" s="7" t="str">
        <f aca="false">'Raw Data'!L155</f>
        <v>No</v>
      </c>
      <c r="H155" s="7" t="str">
        <f aca="false">'Raw Data'!M155</f>
        <v>Low</v>
      </c>
      <c r="I155" s="7" t="n">
        <f aca="false">(IF(D155="Current",3,IF(D155="Former",1,0)))+(IF(E155="High",3,IF(E155="Normal",1,0)))+(IF(F155&gt;=240,2,IF(F155&gt;=200,1,0)))+(IF(G155="Yes",2,0))+(IF(H155="High",2,IF(H155="Moderate",1,0)))</f>
        <v>3</v>
      </c>
      <c r="J155" s="7" t="str">
        <f aca="false">IF(I155&gt;=8,"High",IF(I155&gt;=4,"Medium","Low"))</f>
        <v>Low</v>
      </c>
    </row>
    <row r="156" customFormat="false" ht="15" hidden="false" customHeight="true" outlineLevel="0" collapsed="false">
      <c r="A156" s="7" t="n">
        <f aca="false">'Raw Data'!A156</f>
        <v>2025</v>
      </c>
      <c r="B156" s="7" t="n">
        <f aca="false">'Raw Data'!B156</f>
        <v>27</v>
      </c>
      <c r="C156" s="7" t="str">
        <f aca="false">'Raw Data'!C156</f>
        <v>Female</v>
      </c>
      <c r="D156" s="7" t="str">
        <f aca="false">'Raw Data'!D156</f>
        <v>Never</v>
      </c>
      <c r="E156" s="7" t="str">
        <f aca="false">'Raw Data'!J156</f>
        <v>Normal</v>
      </c>
      <c r="F156" s="7" t="n">
        <f aca="false">'Raw Data'!K156</f>
        <v>162</v>
      </c>
      <c r="G156" s="7" t="str">
        <f aca="false">'Raw Data'!L156</f>
        <v>No</v>
      </c>
      <c r="H156" s="7" t="str">
        <f aca="false">'Raw Data'!M156</f>
        <v>Low</v>
      </c>
      <c r="I156" s="7" t="n">
        <f aca="false">(IF(D156="Current",3,IF(D156="Former",1,0)))+(IF(E156="High",3,IF(E156="Normal",1,0)))+(IF(F156&gt;=240,2,IF(F156&gt;=200,1,0)))+(IF(G156="Yes",2,0))+(IF(H156="High",2,IF(H156="Moderate",1,0)))</f>
        <v>1</v>
      </c>
      <c r="J156" s="7" t="str">
        <f aca="false">IF(I156&gt;=8,"High",IF(I156&gt;=4,"Medium","Low"))</f>
        <v>Low</v>
      </c>
    </row>
    <row r="157" customFormat="false" ht="15" hidden="false" customHeight="true" outlineLevel="0" collapsed="false">
      <c r="A157" s="7" t="n">
        <f aca="false">'Raw Data'!A157</f>
        <v>2032</v>
      </c>
      <c r="B157" s="7" t="n">
        <f aca="false">'Raw Data'!B157</f>
        <v>34</v>
      </c>
      <c r="C157" s="7" t="str">
        <f aca="false">'Raw Data'!C157</f>
        <v>Female</v>
      </c>
      <c r="D157" s="7" t="str">
        <f aca="false">'Raw Data'!D157</f>
        <v>Never</v>
      </c>
      <c r="E157" s="7" t="str">
        <f aca="false">'Raw Data'!J157</f>
        <v>Normal</v>
      </c>
      <c r="F157" s="7" t="n">
        <f aca="false">'Raw Data'!K157</f>
        <v>290.8</v>
      </c>
      <c r="G157" s="7" t="str">
        <f aca="false">'Raw Data'!L157</f>
        <v>No</v>
      </c>
      <c r="H157" s="7" t="str">
        <f aca="false">'Raw Data'!M157</f>
        <v>Low</v>
      </c>
      <c r="I157" s="7" t="n">
        <f aca="false">(IF(D157="Current",3,IF(D157="Former",1,0)))+(IF(E157="High",3,IF(E157="Normal",1,0)))+(IF(F157&gt;=240,2,IF(F157&gt;=200,1,0)))+(IF(G157="Yes",2,0))+(IF(H157="High",2,IF(H157="Moderate",1,0)))</f>
        <v>3</v>
      </c>
      <c r="J157" s="7" t="str">
        <f aca="false">IF(I157&gt;=8,"High",IF(I157&gt;=4,"Medium","Low"))</f>
        <v>Low</v>
      </c>
    </row>
    <row r="158" customFormat="false" ht="15" hidden="false" customHeight="true" outlineLevel="0" collapsed="false">
      <c r="A158" s="7" t="n">
        <f aca="false">'Raw Data'!A158</f>
        <v>2044</v>
      </c>
      <c r="B158" s="7" t="n">
        <f aca="false">'Raw Data'!B158</f>
        <v>20</v>
      </c>
      <c r="C158" s="7" t="str">
        <f aca="false">'Raw Data'!C158</f>
        <v>Male</v>
      </c>
      <c r="D158" s="7" t="str">
        <f aca="false">'Raw Data'!D158</f>
        <v>Never</v>
      </c>
      <c r="E158" s="7" t="str">
        <f aca="false">'Raw Data'!J158</f>
        <v>Normal</v>
      </c>
      <c r="F158" s="7" t="n">
        <f aca="false">'Raw Data'!K158</f>
        <v>231.3</v>
      </c>
      <c r="G158" s="7" t="str">
        <f aca="false">'Raw Data'!L158</f>
        <v>No</v>
      </c>
      <c r="H158" s="7" t="str">
        <f aca="false">'Raw Data'!M158</f>
        <v>Low</v>
      </c>
      <c r="I158" s="7" t="n">
        <f aca="false">(IF(D158="Current",3,IF(D158="Former",1,0)))+(IF(E158="High",3,IF(E158="Normal",1,0)))+(IF(F158&gt;=240,2,IF(F158&gt;=200,1,0)))+(IF(G158="Yes",2,0))+(IF(H158="High",2,IF(H158="Moderate",1,0)))</f>
        <v>2</v>
      </c>
      <c r="J158" s="7" t="str">
        <f aca="false">IF(I158&gt;=8,"High",IF(I158&gt;=4,"Medium","Low"))</f>
        <v>Low</v>
      </c>
    </row>
    <row r="159" customFormat="false" ht="15" hidden="false" customHeight="true" outlineLevel="0" collapsed="false">
      <c r="A159" s="7" t="n">
        <f aca="false">'Raw Data'!A159</f>
        <v>2048</v>
      </c>
      <c r="B159" s="7" t="n">
        <f aca="false">'Raw Data'!B159</f>
        <v>87</v>
      </c>
      <c r="C159" s="7" t="str">
        <f aca="false">'Raw Data'!C159</f>
        <v>Male</v>
      </c>
      <c r="D159" s="7" t="str">
        <f aca="false">'Raw Data'!D159</f>
        <v>Never</v>
      </c>
      <c r="E159" s="7" t="str">
        <f aca="false">'Raw Data'!J159</f>
        <v>Normal</v>
      </c>
      <c r="F159" s="7" t="n">
        <f aca="false">'Raw Data'!K159</f>
        <v>224.5</v>
      </c>
      <c r="G159" s="7" t="str">
        <f aca="false">'Raw Data'!L159</f>
        <v>No</v>
      </c>
      <c r="H159" s="7" t="str">
        <f aca="false">'Raw Data'!M159</f>
        <v>Low</v>
      </c>
      <c r="I159" s="7" t="n">
        <f aca="false">(IF(D159="Current",3,IF(D159="Former",1,0)))+(IF(E159="High",3,IF(E159="Normal",1,0)))+(IF(F159&gt;=240,2,IF(F159&gt;=200,1,0)))+(IF(G159="Yes",2,0))+(IF(H159="High",2,IF(H159="Moderate",1,0)))</f>
        <v>2</v>
      </c>
      <c r="J159" s="7" t="str">
        <f aca="false">IF(I159&gt;=8,"High",IF(I159&gt;=4,"Medium","Low"))</f>
        <v>Low</v>
      </c>
    </row>
    <row r="160" customFormat="false" ht="15" hidden="false" customHeight="true" outlineLevel="0" collapsed="false">
      <c r="A160" s="7" t="n">
        <f aca="false">'Raw Data'!A160</f>
        <v>2057</v>
      </c>
      <c r="B160" s="7" t="n">
        <f aca="false">'Raw Data'!B160</f>
        <v>69</v>
      </c>
      <c r="C160" s="7" t="str">
        <f aca="false">'Raw Data'!C160</f>
        <v>Female</v>
      </c>
      <c r="D160" s="7" t="str">
        <f aca="false">'Raw Data'!D160</f>
        <v>Never</v>
      </c>
      <c r="E160" s="7" t="str">
        <f aca="false">'Raw Data'!J160</f>
        <v>Normal</v>
      </c>
      <c r="F160" s="7" t="n">
        <f aca="false">'Raw Data'!K160</f>
        <v>172.7</v>
      </c>
      <c r="G160" s="7" t="str">
        <f aca="false">'Raw Data'!L160</f>
        <v>No</v>
      </c>
      <c r="H160" s="7" t="str">
        <f aca="false">'Raw Data'!M160</f>
        <v>Low</v>
      </c>
      <c r="I160" s="7" t="n">
        <f aca="false">(IF(D160="Current",3,IF(D160="Former",1,0)))+(IF(E160="High",3,IF(E160="Normal",1,0)))+(IF(F160&gt;=240,2,IF(F160&gt;=200,1,0)))+(IF(G160="Yes",2,0))+(IF(H160="High",2,IF(H160="Moderate",1,0)))</f>
        <v>1</v>
      </c>
      <c r="J160" s="7" t="str">
        <f aca="false">IF(I160&gt;=8,"High",IF(I160&gt;=4,"Medium","Low"))</f>
        <v>Low</v>
      </c>
    </row>
    <row r="161" customFormat="false" ht="15" hidden="false" customHeight="true" outlineLevel="0" collapsed="false">
      <c r="A161" s="7" t="n">
        <f aca="false">'Raw Data'!A161</f>
        <v>2064</v>
      </c>
      <c r="B161" s="7" t="n">
        <f aca="false">'Raw Data'!B161</f>
        <v>44</v>
      </c>
      <c r="C161" s="7" t="str">
        <f aca="false">'Raw Data'!C161</f>
        <v>Male</v>
      </c>
      <c r="D161" s="7" t="str">
        <f aca="false">'Raw Data'!D161</f>
        <v>Never</v>
      </c>
      <c r="E161" s="7" t="str">
        <f aca="false">'Raw Data'!J161</f>
        <v>Normal</v>
      </c>
      <c r="F161" s="7" t="n">
        <f aca="false">'Raw Data'!K161</f>
        <v>277.7</v>
      </c>
      <c r="G161" s="7" t="str">
        <f aca="false">'Raw Data'!L161</f>
        <v>No</v>
      </c>
      <c r="H161" s="7" t="str">
        <f aca="false">'Raw Data'!M161</f>
        <v>Low</v>
      </c>
      <c r="I161" s="7" t="n">
        <f aca="false">(IF(D161="Current",3,IF(D161="Former",1,0)))+(IF(E161="High",3,IF(E161="Normal",1,0)))+(IF(F161&gt;=240,2,IF(F161&gt;=200,1,0)))+(IF(G161="Yes",2,0))+(IF(H161="High",2,IF(H161="Moderate",1,0)))</f>
        <v>3</v>
      </c>
      <c r="J161" s="7" t="str">
        <f aca="false">IF(I161&gt;=8,"High",IF(I161&gt;=4,"Medium","Low"))</f>
        <v>Low</v>
      </c>
    </row>
    <row r="162" customFormat="false" ht="15" hidden="false" customHeight="true" outlineLevel="0" collapsed="false">
      <c r="A162" s="7" t="n">
        <f aca="false">'Raw Data'!A162</f>
        <v>2067</v>
      </c>
      <c r="B162" s="7" t="n">
        <f aca="false">'Raw Data'!B162</f>
        <v>57</v>
      </c>
      <c r="C162" s="7" t="str">
        <f aca="false">'Raw Data'!C162</f>
        <v>Male</v>
      </c>
      <c r="D162" s="7" t="str">
        <f aca="false">'Raw Data'!D162</f>
        <v>Never</v>
      </c>
      <c r="E162" s="7" t="str">
        <f aca="false">'Raw Data'!J162</f>
        <v>Normal</v>
      </c>
      <c r="F162" s="7" t="n">
        <f aca="false">'Raw Data'!K162</f>
        <v>214.1</v>
      </c>
      <c r="G162" s="7" t="str">
        <f aca="false">'Raw Data'!L162</f>
        <v>No</v>
      </c>
      <c r="H162" s="7" t="str">
        <f aca="false">'Raw Data'!M162</f>
        <v>Low</v>
      </c>
      <c r="I162" s="7" t="n">
        <f aca="false">(IF(D162="Current",3,IF(D162="Former",1,0)))+(IF(E162="High",3,IF(E162="Normal",1,0)))+(IF(F162&gt;=240,2,IF(F162&gt;=200,1,0)))+(IF(G162="Yes",2,0))+(IF(H162="High",2,IF(H162="Moderate",1,0)))</f>
        <v>2</v>
      </c>
      <c r="J162" s="7" t="str">
        <f aca="false">IF(I162&gt;=8,"High",IF(I162&gt;=4,"Medium","Low"))</f>
        <v>Low</v>
      </c>
    </row>
    <row r="163" customFormat="false" ht="15" hidden="false" customHeight="true" outlineLevel="0" collapsed="false">
      <c r="A163" s="7" t="n">
        <f aca="false">'Raw Data'!A163</f>
        <v>2069</v>
      </c>
      <c r="B163" s="7" t="n">
        <f aca="false">'Raw Data'!B163</f>
        <v>21</v>
      </c>
      <c r="C163" s="7" t="str">
        <f aca="false">'Raw Data'!C163</f>
        <v>Female</v>
      </c>
      <c r="D163" s="7" t="str">
        <f aca="false">'Raw Data'!D163</f>
        <v>Never</v>
      </c>
      <c r="E163" s="7" t="str">
        <f aca="false">'Raw Data'!J163</f>
        <v>Normal</v>
      </c>
      <c r="F163" s="7" t="n">
        <f aca="false">'Raw Data'!K163</f>
        <v>272.6</v>
      </c>
      <c r="G163" s="7" t="str">
        <f aca="false">'Raw Data'!L163</f>
        <v>No</v>
      </c>
      <c r="H163" s="7" t="str">
        <f aca="false">'Raw Data'!M163</f>
        <v>Low</v>
      </c>
      <c r="I163" s="7" t="n">
        <f aca="false">(IF(D163="Current",3,IF(D163="Former",1,0)))+(IF(E163="High",3,IF(E163="Normal",1,0)))+(IF(F163&gt;=240,2,IF(F163&gt;=200,1,0)))+(IF(G163="Yes",2,0))+(IF(H163="High",2,IF(H163="Moderate",1,0)))</f>
        <v>3</v>
      </c>
      <c r="J163" s="7" t="str">
        <f aca="false">IF(I163&gt;=8,"High",IF(I163&gt;=4,"Medium","Low"))</f>
        <v>Low</v>
      </c>
    </row>
    <row r="164" customFormat="false" ht="15" hidden="false" customHeight="true" outlineLevel="0" collapsed="false">
      <c r="A164" s="7" t="n">
        <f aca="false">'Raw Data'!A164</f>
        <v>2076</v>
      </c>
      <c r="B164" s="7" t="n">
        <f aca="false">'Raw Data'!B164</f>
        <v>35</v>
      </c>
      <c r="C164" s="7" t="str">
        <f aca="false">'Raw Data'!C164</f>
        <v>Female</v>
      </c>
      <c r="D164" s="7" t="str">
        <f aca="false">'Raw Data'!D164</f>
        <v>Never</v>
      </c>
      <c r="E164" s="7" t="str">
        <f aca="false">'Raw Data'!J164</f>
        <v>Normal</v>
      </c>
      <c r="F164" s="7" t="n">
        <f aca="false">'Raw Data'!K164</f>
        <v>275.9</v>
      </c>
      <c r="G164" s="7" t="str">
        <f aca="false">'Raw Data'!L164</f>
        <v>No</v>
      </c>
      <c r="H164" s="7" t="str">
        <f aca="false">'Raw Data'!M164</f>
        <v>Low</v>
      </c>
      <c r="I164" s="7" t="n">
        <f aca="false">(IF(D164="Current",3,IF(D164="Former",1,0)))+(IF(E164="High",3,IF(E164="Normal",1,0)))+(IF(F164&gt;=240,2,IF(F164&gt;=200,1,0)))+(IF(G164="Yes",2,0))+(IF(H164="High",2,IF(H164="Moderate",1,0)))</f>
        <v>3</v>
      </c>
      <c r="J164" s="7" t="str">
        <f aca="false">IF(I164&gt;=8,"High",IF(I164&gt;=4,"Medium","Low"))</f>
        <v>Low</v>
      </c>
    </row>
    <row r="165" customFormat="false" ht="15" hidden="false" customHeight="true" outlineLevel="0" collapsed="false">
      <c r="A165" s="7" t="n">
        <f aca="false">'Raw Data'!A165</f>
        <v>2097</v>
      </c>
      <c r="B165" s="7" t="n">
        <f aca="false">'Raw Data'!B165</f>
        <v>59</v>
      </c>
      <c r="C165" s="7" t="str">
        <f aca="false">'Raw Data'!C165</f>
        <v>Female</v>
      </c>
      <c r="D165" s="7" t="str">
        <f aca="false">'Raw Data'!D165</f>
        <v>Never</v>
      </c>
      <c r="E165" s="7" t="str">
        <f aca="false">'Raw Data'!J165</f>
        <v>Normal</v>
      </c>
      <c r="F165" s="7" t="n">
        <f aca="false">'Raw Data'!K165</f>
        <v>248</v>
      </c>
      <c r="G165" s="7" t="str">
        <f aca="false">'Raw Data'!L165</f>
        <v>No</v>
      </c>
      <c r="H165" s="7" t="str">
        <f aca="false">'Raw Data'!M165</f>
        <v>Low</v>
      </c>
      <c r="I165" s="7" t="n">
        <f aca="false">(IF(D165="Current",3,IF(D165="Former",1,0)))+(IF(E165="High",3,IF(E165="Normal",1,0)))+(IF(F165&gt;=240,2,IF(F165&gt;=200,1,0)))+(IF(G165="Yes",2,0))+(IF(H165="High",2,IF(H165="Moderate",1,0)))</f>
        <v>3</v>
      </c>
      <c r="J165" s="7" t="str">
        <f aca="false">IF(I165&gt;=8,"High",IF(I165&gt;=4,"Medium","Low"))</f>
        <v>Low</v>
      </c>
    </row>
    <row r="166" customFormat="false" ht="15" hidden="false" customHeight="true" outlineLevel="0" collapsed="false">
      <c r="A166" s="7" t="n">
        <f aca="false">'Raw Data'!A166</f>
        <v>2101</v>
      </c>
      <c r="B166" s="7" t="n">
        <f aca="false">'Raw Data'!B166</f>
        <v>34</v>
      </c>
      <c r="C166" s="7" t="str">
        <f aca="false">'Raw Data'!C166</f>
        <v>Male</v>
      </c>
      <c r="D166" s="7" t="str">
        <f aca="false">'Raw Data'!D166</f>
        <v>Never</v>
      </c>
      <c r="E166" s="7" t="str">
        <f aca="false">'Raw Data'!J166</f>
        <v>Normal</v>
      </c>
      <c r="F166" s="7" t="n">
        <f aca="false">'Raw Data'!K166</f>
        <v>248.4</v>
      </c>
      <c r="G166" s="7" t="str">
        <f aca="false">'Raw Data'!L166</f>
        <v>No</v>
      </c>
      <c r="H166" s="7" t="str">
        <f aca="false">'Raw Data'!M166</f>
        <v>Low</v>
      </c>
      <c r="I166" s="7" t="n">
        <f aca="false">(IF(D166="Current",3,IF(D166="Former",1,0)))+(IF(E166="High",3,IF(E166="Normal",1,0)))+(IF(F166&gt;=240,2,IF(F166&gt;=200,1,0)))+(IF(G166="Yes",2,0))+(IF(H166="High",2,IF(H166="Moderate",1,0)))</f>
        <v>3</v>
      </c>
      <c r="J166" s="7" t="str">
        <f aca="false">IF(I166&gt;=8,"High",IF(I166&gt;=4,"Medium","Low"))</f>
        <v>Low</v>
      </c>
    </row>
    <row r="167" customFormat="false" ht="15" hidden="false" customHeight="true" outlineLevel="0" collapsed="false">
      <c r="A167" s="7" t="n">
        <f aca="false">'Raw Data'!A167</f>
        <v>2143</v>
      </c>
      <c r="B167" s="7" t="n">
        <f aca="false">'Raw Data'!B167</f>
        <v>65</v>
      </c>
      <c r="C167" s="7" t="str">
        <f aca="false">'Raw Data'!C167</f>
        <v>Female</v>
      </c>
      <c r="D167" s="7" t="str">
        <f aca="false">'Raw Data'!D167</f>
        <v>Never</v>
      </c>
      <c r="E167" s="7" t="str">
        <f aca="false">'Raw Data'!J167</f>
        <v>Normal</v>
      </c>
      <c r="F167" s="7" t="n">
        <f aca="false">'Raw Data'!K167</f>
        <v>213.3</v>
      </c>
      <c r="G167" s="7" t="str">
        <f aca="false">'Raw Data'!L167</f>
        <v>No</v>
      </c>
      <c r="H167" s="7" t="str">
        <f aca="false">'Raw Data'!M167</f>
        <v>Low</v>
      </c>
      <c r="I167" s="7" t="n">
        <f aca="false">(IF(D167="Current",3,IF(D167="Former",1,0)))+(IF(E167="High",3,IF(E167="Normal",1,0)))+(IF(F167&gt;=240,2,IF(F167&gt;=200,1,0)))+(IF(G167="Yes",2,0))+(IF(H167="High",2,IF(H167="Moderate",1,0)))</f>
        <v>2</v>
      </c>
      <c r="J167" s="7" t="str">
        <f aca="false">IF(I167&gt;=8,"High",IF(I167&gt;=4,"Medium","Low"))</f>
        <v>Low</v>
      </c>
    </row>
    <row r="168" customFormat="false" ht="15" hidden="false" customHeight="true" outlineLevel="0" collapsed="false">
      <c r="A168" s="7" t="n">
        <f aca="false">'Raw Data'!A168</f>
        <v>2145</v>
      </c>
      <c r="B168" s="7" t="n">
        <f aca="false">'Raw Data'!B168</f>
        <v>84</v>
      </c>
      <c r="C168" s="7" t="str">
        <f aca="false">'Raw Data'!C168</f>
        <v>Male</v>
      </c>
      <c r="D168" s="7" t="str">
        <f aca="false">'Raw Data'!D168</f>
        <v>Never</v>
      </c>
      <c r="E168" s="7" t="str">
        <f aca="false">'Raw Data'!J168</f>
        <v>Normal</v>
      </c>
      <c r="F168" s="7" t="n">
        <f aca="false">'Raw Data'!K168</f>
        <v>257.9</v>
      </c>
      <c r="G168" s="7" t="str">
        <f aca="false">'Raw Data'!L168</f>
        <v>No</v>
      </c>
      <c r="H168" s="7" t="str">
        <f aca="false">'Raw Data'!M168</f>
        <v>Low</v>
      </c>
      <c r="I168" s="7" t="n">
        <f aca="false">(IF(D168="Current",3,IF(D168="Former",1,0)))+(IF(E168="High",3,IF(E168="Normal",1,0)))+(IF(F168&gt;=240,2,IF(F168&gt;=200,1,0)))+(IF(G168="Yes",2,0))+(IF(H168="High",2,IF(H168="Moderate",1,0)))</f>
        <v>3</v>
      </c>
      <c r="J168" s="7" t="str">
        <f aca="false">IF(I168&gt;=8,"High",IF(I168&gt;=4,"Medium","Low"))</f>
        <v>Low</v>
      </c>
    </row>
    <row r="169" customFormat="false" ht="15" hidden="false" customHeight="true" outlineLevel="0" collapsed="false">
      <c r="A169" s="7" t="n">
        <f aca="false">'Raw Data'!A169</f>
        <v>2171</v>
      </c>
      <c r="B169" s="7" t="n">
        <f aca="false">'Raw Data'!B169</f>
        <v>25</v>
      </c>
      <c r="C169" s="7" t="str">
        <f aca="false">'Raw Data'!C169</f>
        <v>Male</v>
      </c>
      <c r="D169" s="7" t="str">
        <f aca="false">'Raw Data'!D169</f>
        <v>Never</v>
      </c>
      <c r="E169" s="7" t="str">
        <f aca="false">'Raw Data'!J169</f>
        <v>Normal</v>
      </c>
      <c r="F169" s="7" t="n">
        <f aca="false">'Raw Data'!K169</f>
        <v>283.7</v>
      </c>
      <c r="G169" s="7" t="str">
        <f aca="false">'Raw Data'!L169</f>
        <v>No</v>
      </c>
      <c r="H169" s="7" t="str">
        <f aca="false">'Raw Data'!M169</f>
        <v>Low</v>
      </c>
      <c r="I169" s="7" t="n">
        <f aca="false">(IF(D169="Current",3,IF(D169="Former",1,0)))+(IF(E169="High",3,IF(E169="Normal",1,0)))+(IF(F169&gt;=240,2,IF(F169&gt;=200,1,0)))+(IF(G169="Yes",2,0))+(IF(H169="High",2,IF(H169="Moderate",1,0)))</f>
        <v>3</v>
      </c>
      <c r="J169" s="7" t="str">
        <f aca="false">IF(I169&gt;=8,"High",IF(I169&gt;=4,"Medium","Low"))</f>
        <v>Low</v>
      </c>
    </row>
    <row r="170" customFormat="false" ht="15" hidden="false" customHeight="true" outlineLevel="0" collapsed="false">
      <c r="A170" s="7" t="n">
        <f aca="false">'Raw Data'!A170</f>
        <v>2175</v>
      </c>
      <c r="B170" s="7" t="n">
        <f aca="false">'Raw Data'!B170</f>
        <v>27</v>
      </c>
      <c r="C170" s="7" t="str">
        <f aca="false">'Raw Data'!C170</f>
        <v>Male</v>
      </c>
      <c r="D170" s="7" t="str">
        <f aca="false">'Raw Data'!D170</f>
        <v>Never</v>
      </c>
      <c r="E170" s="7" t="str">
        <f aca="false">'Raw Data'!J170</f>
        <v>Normal</v>
      </c>
      <c r="F170" s="7" t="n">
        <f aca="false">'Raw Data'!K170</f>
        <v>205.6</v>
      </c>
      <c r="G170" s="7" t="str">
        <f aca="false">'Raw Data'!L170</f>
        <v>No</v>
      </c>
      <c r="H170" s="7" t="str">
        <f aca="false">'Raw Data'!M170</f>
        <v>Low</v>
      </c>
      <c r="I170" s="7" t="n">
        <f aca="false">(IF(D170="Current",3,IF(D170="Former",1,0)))+(IF(E170="High",3,IF(E170="Normal",1,0)))+(IF(F170&gt;=240,2,IF(F170&gt;=200,1,0)))+(IF(G170="Yes",2,0))+(IF(H170="High",2,IF(H170="Moderate",1,0)))</f>
        <v>2</v>
      </c>
      <c r="J170" s="7" t="str">
        <f aca="false">IF(I170&gt;=8,"High",IF(I170&gt;=4,"Medium","Low"))</f>
        <v>Low</v>
      </c>
    </row>
    <row r="171" customFormat="false" ht="15" hidden="false" customHeight="true" outlineLevel="0" collapsed="false">
      <c r="A171" s="7" t="n">
        <f aca="false">'Raw Data'!A171</f>
        <v>2189</v>
      </c>
      <c r="B171" s="7" t="n">
        <f aca="false">'Raw Data'!B171</f>
        <v>29</v>
      </c>
      <c r="C171" s="7" t="str">
        <f aca="false">'Raw Data'!C171</f>
        <v>Male</v>
      </c>
      <c r="D171" s="7" t="str">
        <f aca="false">'Raw Data'!D171</f>
        <v>Never</v>
      </c>
      <c r="E171" s="7" t="str">
        <f aca="false">'Raw Data'!J171</f>
        <v>Normal</v>
      </c>
      <c r="F171" s="7" t="n">
        <f aca="false">'Raw Data'!K171</f>
        <v>163.8</v>
      </c>
      <c r="G171" s="7" t="str">
        <f aca="false">'Raw Data'!L171</f>
        <v>No</v>
      </c>
      <c r="H171" s="7" t="str">
        <f aca="false">'Raw Data'!M171</f>
        <v>Low</v>
      </c>
      <c r="I171" s="7" t="n">
        <f aca="false">(IF(D171="Current",3,IF(D171="Former",1,0)))+(IF(E171="High",3,IF(E171="Normal",1,0)))+(IF(F171&gt;=240,2,IF(F171&gt;=200,1,0)))+(IF(G171="Yes",2,0))+(IF(H171="High",2,IF(H171="Moderate",1,0)))</f>
        <v>1</v>
      </c>
      <c r="J171" s="7" t="str">
        <f aca="false">IF(I171&gt;=8,"High",IF(I171&gt;=4,"Medium","Low"))</f>
        <v>Low</v>
      </c>
    </row>
    <row r="172" customFormat="false" ht="15" hidden="false" customHeight="true" outlineLevel="0" collapsed="false">
      <c r="A172" s="7" t="n">
        <f aca="false">'Raw Data'!A172</f>
        <v>2190</v>
      </c>
      <c r="B172" s="7" t="n">
        <f aca="false">'Raw Data'!B172</f>
        <v>18</v>
      </c>
      <c r="C172" s="7" t="str">
        <f aca="false">'Raw Data'!C172</f>
        <v>Female</v>
      </c>
      <c r="D172" s="7" t="str">
        <f aca="false">'Raw Data'!D172</f>
        <v>Never</v>
      </c>
      <c r="E172" s="7" t="str">
        <f aca="false">'Raw Data'!J172</f>
        <v>Normal</v>
      </c>
      <c r="F172" s="7" t="n">
        <f aca="false">'Raw Data'!K172</f>
        <v>147.2</v>
      </c>
      <c r="G172" s="7" t="str">
        <f aca="false">'Raw Data'!L172</f>
        <v>No</v>
      </c>
      <c r="H172" s="7" t="str">
        <f aca="false">'Raw Data'!M172</f>
        <v>Low</v>
      </c>
      <c r="I172" s="7" t="n">
        <f aca="false">(IF(D172="Current",3,IF(D172="Former",1,0)))+(IF(E172="High",3,IF(E172="Normal",1,0)))+(IF(F172&gt;=240,2,IF(F172&gt;=200,1,0)))+(IF(G172="Yes",2,0))+(IF(H172="High",2,IF(H172="Moderate",1,0)))</f>
        <v>1</v>
      </c>
      <c r="J172" s="7" t="str">
        <f aca="false">IF(I172&gt;=8,"High",IF(I172&gt;=4,"Medium","Low"))</f>
        <v>Low</v>
      </c>
    </row>
    <row r="173" customFormat="false" ht="15" hidden="false" customHeight="true" outlineLevel="0" collapsed="false">
      <c r="A173" s="7" t="n">
        <f aca="false">'Raw Data'!A173</f>
        <v>2200</v>
      </c>
      <c r="B173" s="7" t="n">
        <f aca="false">'Raw Data'!B173</f>
        <v>42</v>
      </c>
      <c r="C173" s="7" t="str">
        <f aca="false">'Raw Data'!C173</f>
        <v>Male</v>
      </c>
      <c r="D173" s="7" t="str">
        <f aca="false">'Raw Data'!D173</f>
        <v>Never</v>
      </c>
      <c r="E173" s="7" t="str">
        <f aca="false">'Raw Data'!J173</f>
        <v>Normal</v>
      </c>
      <c r="F173" s="7" t="n">
        <f aca="false">'Raw Data'!K173</f>
        <v>213.7</v>
      </c>
      <c r="G173" s="7" t="str">
        <f aca="false">'Raw Data'!L173</f>
        <v>No</v>
      </c>
      <c r="H173" s="7" t="str">
        <f aca="false">'Raw Data'!M173</f>
        <v>Low</v>
      </c>
      <c r="I173" s="7" t="n">
        <f aca="false">(IF(D173="Current",3,IF(D173="Former",1,0)))+(IF(E173="High",3,IF(E173="Normal",1,0)))+(IF(F173&gt;=240,2,IF(F173&gt;=200,1,0)))+(IF(G173="Yes",2,0))+(IF(H173="High",2,IF(H173="Moderate",1,0)))</f>
        <v>2</v>
      </c>
      <c r="J173" s="7" t="str">
        <f aca="false">IF(I173&gt;=8,"High",IF(I173&gt;=4,"Medium","Low"))</f>
        <v>Low</v>
      </c>
    </row>
    <row r="174" customFormat="false" ht="15" hidden="false" customHeight="true" outlineLevel="0" collapsed="false">
      <c r="A174" s="7" t="n">
        <f aca="false">'Raw Data'!A174</f>
        <v>2208</v>
      </c>
      <c r="B174" s="7" t="n">
        <f aca="false">'Raw Data'!B174</f>
        <v>87</v>
      </c>
      <c r="C174" s="7" t="str">
        <f aca="false">'Raw Data'!C174</f>
        <v>Male</v>
      </c>
      <c r="D174" s="7" t="str">
        <f aca="false">'Raw Data'!D174</f>
        <v>Never</v>
      </c>
      <c r="E174" s="7" t="str">
        <f aca="false">'Raw Data'!J174</f>
        <v>Normal</v>
      </c>
      <c r="F174" s="7" t="n">
        <f aca="false">'Raw Data'!K174</f>
        <v>249.4</v>
      </c>
      <c r="G174" s="7" t="str">
        <f aca="false">'Raw Data'!L174</f>
        <v>No</v>
      </c>
      <c r="H174" s="7" t="str">
        <f aca="false">'Raw Data'!M174</f>
        <v>Low</v>
      </c>
      <c r="I174" s="7" t="n">
        <f aca="false">(IF(D174="Current",3,IF(D174="Former",1,0)))+(IF(E174="High",3,IF(E174="Normal",1,0)))+(IF(F174&gt;=240,2,IF(F174&gt;=200,1,0)))+(IF(G174="Yes",2,0))+(IF(H174="High",2,IF(H174="Moderate",1,0)))</f>
        <v>3</v>
      </c>
      <c r="J174" s="7" t="str">
        <f aca="false">IF(I174&gt;=8,"High",IF(I174&gt;=4,"Medium","Low"))</f>
        <v>Low</v>
      </c>
    </row>
    <row r="175" customFormat="false" ht="15" hidden="false" customHeight="true" outlineLevel="0" collapsed="false">
      <c r="A175" s="7" t="n">
        <f aca="false">'Raw Data'!A175</f>
        <v>2212</v>
      </c>
      <c r="B175" s="7" t="n">
        <f aca="false">'Raw Data'!B175</f>
        <v>84</v>
      </c>
      <c r="C175" s="7" t="str">
        <f aca="false">'Raw Data'!C175</f>
        <v>Female</v>
      </c>
      <c r="D175" s="7" t="str">
        <f aca="false">'Raw Data'!D175</f>
        <v>Never</v>
      </c>
      <c r="E175" s="7" t="str">
        <f aca="false">'Raw Data'!J175</f>
        <v>Normal</v>
      </c>
      <c r="F175" s="7" t="n">
        <f aca="false">'Raw Data'!K175</f>
        <v>285.5</v>
      </c>
      <c r="G175" s="7" t="str">
        <f aca="false">'Raw Data'!L175</f>
        <v>No</v>
      </c>
      <c r="H175" s="7" t="str">
        <f aca="false">'Raw Data'!M175</f>
        <v>Low</v>
      </c>
      <c r="I175" s="7" t="n">
        <f aca="false">(IF(D175="Current",3,IF(D175="Former",1,0)))+(IF(E175="High",3,IF(E175="Normal",1,0)))+(IF(F175&gt;=240,2,IF(F175&gt;=200,1,0)))+(IF(G175="Yes",2,0))+(IF(H175="High",2,IF(H175="Moderate",1,0)))</f>
        <v>3</v>
      </c>
      <c r="J175" s="7" t="str">
        <f aca="false">IF(I175&gt;=8,"High",IF(I175&gt;=4,"Medium","Low"))</f>
        <v>Low</v>
      </c>
    </row>
    <row r="176" customFormat="false" ht="15" hidden="false" customHeight="true" outlineLevel="0" collapsed="false">
      <c r="A176" s="7" t="n">
        <f aca="false">'Raw Data'!A176</f>
        <v>2215</v>
      </c>
      <c r="B176" s="7" t="n">
        <f aca="false">'Raw Data'!B176</f>
        <v>71</v>
      </c>
      <c r="C176" s="7" t="str">
        <f aca="false">'Raw Data'!C176</f>
        <v>Male</v>
      </c>
      <c r="D176" s="7" t="str">
        <f aca="false">'Raw Data'!D176</f>
        <v>Never</v>
      </c>
      <c r="E176" s="7" t="str">
        <f aca="false">'Raw Data'!J176</f>
        <v>Normal</v>
      </c>
      <c r="F176" s="7" t="n">
        <f aca="false">'Raw Data'!K176</f>
        <v>147.9</v>
      </c>
      <c r="G176" s="7" t="str">
        <f aca="false">'Raw Data'!L176</f>
        <v>No</v>
      </c>
      <c r="H176" s="7" t="str">
        <f aca="false">'Raw Data'!M176</f>
        <v>Low</v>
      </c>
      <c r="I176" s="7" t="n">
        <f aca="false">(IF(D176="Current",3,IF(D176="Former",1,0)))+(IF(E176="High",3,IF(E176="Normal",1,0)))+(IF(F176&gt;=240,2,IF(F176&gt;=200,1,0)))+(IF(G176="Yes",2,0))+(IF(H176="High",2,IF(H176="Moderate",1,0)))</f>
        <v>1</v>
      </c>
      <c r="J176" s="7" t="str">
        <f aca="false">IF(I176&gt;=8,"High",IF(I176&gt;=4,"Medium","Low"))</f>
        <v>Low</v>
      </c>
    </row>
    <row r="177" customFormat="false" ht="15" hidden="false" customHeight="true" outlineLevel="0" collapsed="false">
      <c r="A177" s="7" t="n">
        <f aca="false">'Raw Data'!A177</f>
        <v>2227</v>
      </c>
      <c r="B177" s="7" t="n">
        <f aca="false">'Raw Data'!B177</f>
        <v>50</v>
      </c>
      <c r="C177" s="7" t="str">
        <f aca="false">'Raw Data'!C177</f>
        <v>Female</v>
      </c>
      <c r="D177" s="7" t="str">
        <f aca="false">'Raw Data'!D177</f>
        <v>Never</v>
      </c>
      <c r="E177" s="7" t="str">
        <f aca="false">'Raw Data'!J177</f>
        <v>Normal</v>
      </c>
      <c r="F177" s="7" t="n">
        <f aca="false">'Raw Data'!K177</f>
        <v>273.9</v>
      </c>
      <c r="G177" s="7" t="str">
        <f aca="false">'Raw Data'!L177</f>
        <v>No</v>
      </c>
      <c r="H177" s="7" t="str">
        <f aca="false">'Raw Data'!M177</f>
        <v>Low</v>
      </c>
      <c r="I177" s="7" t="n">
        <f aca="false">(IF(D177="Current",3,IF(D177="Former",1,0)))+(IF(E177="High",3,IF(E177="Normal",1,0)))+(IF(F177&gt;=240,2,IF(F177&gt;=200,1,0)))+(IF(G177="Yes",2,0))+(IF(H177="High",2,IF(H177="Moderate",1,0)))</f>
        <v>3</v>
      </c>
      <c r="J177" s="7" t="str">
        <f aca="false">IF(I177&gt;=8,"High",IF(I177&gt;=4,"Medium","Low"))</f>
        <v>Low</v>
      </c>
    </row>
    <row r="178" customFormat="false" ht="15" hidden="false" customHeight="true" outlineLevel="0" collapsed="false">
      <c r="A178" s="7" t="n">
        <f aca="false">'Raw Data'!A178</f>
        <v>2238</v>
      </c>
      <c r="B178" s="7" t="n">
        <f aca="false">'Raw Data'!B178</f>
        <v>20</v>
      </c>
      <c r="C178" s="7" t="str">
        <f aca="false">'Raw Data'!C178</f>
        <v>Female</v>
      </c>
      <c r="D178" s="7" t="str">
        <f aca="false">'Raw Data'!D178</f>
        <v>Never</v>
      </c>
      <c r="E178" s="7" t="str">
        <f aca="false">'Raw Data'!J178</f>
        <v>Normal</v>
      </c>
      <c r="F178" s="7" t="n">
        <f aca="false">'Raw Data'!K178</f>
        <v>208.5</v>
      </c>
      <c r="G178" s="7" t="str">
        <f aca="false">'Raw Data'!L178</f>
        <v>No</v>
      </c>
      <c r="H178" s="7" t="str">
        <f aca="false">'Raw Data'!M178</f>
        <v>Low</v>
      </c>
      <c r="I178" s="7" t="n">
        <f aca="false">(IF(D178="Current",3,IF(D178="Former",1,0)))+(IF(E178="High",3,IF(E178="Normal",1,0)))+(IF(F178&gt;=240,2,IF(F178&gt;=200,1,0)))+(IF(G178="Yes",2,0))+(IF(H178="High",2,IF(H178="Moderate",1,0)))</f>
        <v>2</v>
      </c>
      <c r="J178" s="7" t="str">
        <f aca="false">IF(I178&gt;=8,"High",IF(I178&gt;=4,"Medium","Low"))</f>
        <v>Low</v>
      </c>
    </row>
    <row r="179" customFormat="false" ht="15" hidden="false" customHeight="true" outlineLevel="0" collapsed="false">
      <c r="A179" s="7" t="n">
        <f aca="false">'Raw Data'!A179</f>
        <v>2254</v>
      </c>
      <c r="B179" s="7" t="n">
        <f aca="false">'Raw Data'!B179</f>
        <v>33</v>
      </c>
      <c r="C179" s="7" t="str">
        <f aca="false">'Raw Data'!C179</f>
        <v>Female</v>
      </c>
      <c r="D179" s="7" t="str">
        <f aca="false">'Raw Data'!D179</f>
        <v>Never</v>
      </c>
      <c r="E179" s="7" t="str">
        <f aca="false">'Raw Data'!J179</f>
        <v>Normal</v>
      </c>
      <c r="F179" s="7" t="n">
        <f aca="false">'Raw Data'!K179</f>
        <v>170.4</v>
      </c>
      <c r="G179" s="7" t="str">
        <f aca="false">'Raw Data'!L179</f>
        <v>No</v>
      </c>
      <c r="H179" s="7" t="str">
        <f aca="false">'Raw Data'!M179</f>
        <v>Low</v>
      </c>
      <c r="I179" s="7" t="n">
        <f aca="false">(IF(D179="Current",3,IF(D179="Former",1,0)))+(IF(E179="High",3,IF(E179="Normal",1,0)))+(IF(F179&gt;=240,2,IF(F179&gt;=200,1,0)))+(IF(G179="Yes",2,0))+(IF(H179="High",2,IF(H179="Moderate",1,0)))</f>
        <v>1</v>
      </c>
      <c r="J179" s="7" t="str">
        <f aca="false">IF(I179&gt;=8,"High",IF(I179&gt;=4,"Medium","Low"))</f>
        <v>Low</v>
      </c>
    </row>
    <row r="180" customFormat="false" ht="15" hidden="false" customHeight="true" outlineLevel="0" collapsed="false">
      <c r="A180" s="7" t="n">
        <f aca="false">'Raw Data'!A180</f>
        <v>2258</v>
      </c>
      <c r="B180" s="7" t="n">
        <f aca="false">'Raw Data'!B180</f>
        <v>59</v>
      </c>
      <c r="C180" s="7" t="str">
        <f aca="false">'Raw Data'!C180</f>
        <v>Male</v>
      </c>
      <c r="D180" s="7" t="str">
        <f aca="false">'Raw Data'!D180</f>
        <v>Never</v>
      </c>
      <c r="E180" s="7" t="str">
        <f aca="false">'Raw Data'!J180</f>
        <v>Normal</v>
      </c>
      <c r="F180" s="7" t="n">
        <f aca="false">'Raw Data'!K180</f>
        <v>299.3</v>
      </c>
      <c r="G180" s="7" t="str">
        <f aca="false">'Raw Data'!L180</f>
        <v>No</v>
      </c>
      <c r="H180" s="7" t="str">
        <f aca="false">'Raw Data'!M180</f>
        <v>Low</v>
      </c>
      <c r="I180" s="7" t="n">
        <f aca="false">(IF(D180="Current",3,IF(D180="Former",1,0)))+(IF(E180="High",3,IF(E180="Normal",1,0)))+(IF(F180&gt;=240,2,IF(F180&gt;=200,1,0)))+(IF(G180="Yes",2,0))+(IF(H180="High",2,IF(H180="Moderate",1,0)))</f>
        <v>3</v>
      </c>
      <c r="J180" s="7" t="str">
        <f aca="false">IF(I180&gt;=8,"High",IF(I180&gt;=4,"Medium","Low"))</f>
        <v>Low</v>
      </c>
    </row>
    <row r="181" customFormat="false" ht="15" hidden="false" customHeight="true" outlineLevel="0" collapsed="false">
      <c r="A181" s="7" t="n">
        <f aca="false">'Raw Data'!A181</f>
        <v>2272</v>
      </c>
      <c r="B181" s="7" t="n">
        <f aca="false">'Raw Data'!B181</f>
        <v>84</v>
      </c>
      <c r="C181" s="7" t="str">
        <f aca="false">'Raw Data'!C181</f>
        <v>Male</v>
      </c>
      <c r="D181" s="7" t="str">
        <f aca="false">'Raw Data'!D181</f>
        <v>Never</v>
      </c>
      <c r="E181" s="7" t="str">
        <f aca="false">'Raw Data'!J181</f>
        <v>Normal</v>
      </c>
      <c r="F181" s="7" t="n">
        <f aca="false">'Raw Data'!K181</f>
        <v>125</v>
      </c>
      <c r="G181" s="7" t="str">
        <f aca="false">'Raw Data'!L181</f>
        <v>No</v>
      </c>
      <c r="H181" s="7" t="str">
        <f aca="false">'Raw Data'!M181</f>
        <v>Low</v>
      </c>
      <c r="I181" s="7" t="n">
        <f aca="false">(IF(D181="Current",3,IF(D181="Former",1,0)))+(IF(E181="High",3,IF(E181="Normal",1,0)))+(IF(F181&gt;=240,2,IF(F181&gt;=200,1,0)))+(IF(G181="Yes",2,0))+(IF(H181="High",2,IF(H181="Moderate",1,0)))</f>
        <v>1</v>
      </c>
      <c r="J181" s="7" t="str">
        <f aca="false">IF(I181&gt;=8,"High",IF(I181&gt;=4,"Medium","Low"))</f>
        <v>Low</v>
      </c>
    </row>
    <row r="182" customFormat="false" ht="15" hidden="false" customHeight="true" outlineLevel="0" collapsed="false">
      <c r="A182" s="7" t="n">
        <f aca="false">'Raw Data'!A182</f>
        <v>2278</v>
      </c>
      <c r="B182" s="7" t="n">
        <f aca="false">'Raw Data'!B182</f>
        <v>89</v>
      </c>
      <c r="C182" s="7" t="str">
        <f aca="false">'Raw Data'!C182</f>
        <v>Female</v>
      </c>
      <c r="D182" s="7" t="str">
        <f aca="false">'Raw Data'!D182</f>
        <v>Never</v>
      </c>
      <c r="E182" s="7" t="str">
        <f aca="false">'Raw Data'!J182</f>
        <v>Normal</v>
      </c>
      <c r="F182" s="7" t="n">
        <f aca="false">'Raw Data'!K182</f>
        <v>245.4</v>
      </c>
      <c r="G182" s="7" t="str">
        <f aca="false">'Raw Data'!L182</f>
        <v>No</v>
      </c>
      <c r="H182" s="7" t="str">
        <f aca="false">'Raw Data'!M182</f>
        <v>Low</v>
      </c>
      <c r="I182" s="7" t="n">
        <f aca="false">(IF(D182="Current",3,IF(D182="Former",1,0)))+(IF(E182="High",3,IF(E182="Normal",1,0)))+(IF(F182&gt;=240,2,IF(F182&gt;=200,1,0)))+(IF(G182="Yes",2,0))+(IF(H182="High",2,IF(H182="Moderate",1,0)))</f>
        <v>3</v>
      </c>
      <c r="J182" s="7" t="str">
        <f aca="false">IF(I182&gt;=8,"High",IF(I182&gt;=4,"Medium","Low"))</f>
        <v>Low</v>
      </c>
    </row>
    <row r="183" customFormat="false" ht="15" hidden="false" customHeight="true" outlineLevel="0" collapsed="false">
      <c r="A183" s="7" t="n">
        <f aca="false">'Raw Data'!A183</f>
        <v>2282</v>
      </c>
      <c r="B183" s="7" t="n">
        <f aca="false">'Raw Data'!B183</f>
        <v>34</v>
      </c>
      <c r="C183" s="7" t="str">
        <f aca="false">'Raw Data'!C183</f>
        <v>Male</v>
      </c>
      <c r="D183" s="7" t="str">
        <f aca="false">'Raw Data'!D183</f>
        <v>Never</v>
      </c>
      <c r="E183" s="7" t="str">
        <f aca="false">'Raw Data'!J183</f>
        <v>Normal</v>
      </c>
      <c r="F183" s="7" t="n">
        <f aca="false">'Raw Data'!K183</f>
        <v>132.4</v>
      </c>
      <c r="G183" s="7" t="str">
        <f aca="false">'Raw Data'!L183</f>
        <v>No</v>
      </c>
      <c r="H183" s="7" t="str">
        <f aca="false">'Raw Data'!M183</f>
        <v>Low</v>
      </c>
      <c r="I183" s="7" t="n">
        <f aca="false">(IF(D183="Current",3,IF(D183="Former",1,0)))+(IF(E183="High",3,IF(E183="Normal",1,0)))+(IF(F183&gt;=240,2,IF(F183&gt;=200,1,0)))+(IF(G183="Yes",2,0))+(IF(H183="High",2,IF(H183="Moderate",1,0)))</f>
        <v>1</v>
      </c>
      <c r="J183" s="7" t="str">
        <f aca="false">IF(I183&gt;=8,"High",IF(I183&gt;=4,"Medium","Low"))</f>
        <v>Low</v>
      </c>
    </row>
    <row r="184" customFormat="false" ht="15" hidden="false" customHeight="true" outlineLevel="0" collapsed="false">
      <c r="A184" s="7" t="n">
        <f aca="false">'Raw Data'!A184</f>
        <v>2301</v>
      </c>
      <c r="B184" s="7" t="n">
        <f aca="false">'Raw Data'!B184</f>
        <v>36</v>
      </c>
      <c r="C184" s="7" t="str">
        <f aca="false">'Raw Data'!C184</f>
        <v>Male</v>
      </c>
      <c r="D184" s="7" t="str">
        <f aca="false">'Raw Data'!D184</f>
        <v>Never</v>
      </c>
      <c r="E184" s="7" t="str">
        <f aca="false">'Raw Data'!J184</f>
        <v>Normal</v>
      </c>
      <c r="F184" s="7" t="n">
        <f aca="false">'Raw Data'!K184</f>
        <v>261.3</v>
      </c>
      <c r="G184" s="7" t="str">
        <f aca="false">'Raw Data'!L184</f>
        <v>No</v>
      </c>
      <c r="H184" s="7" t="str">
        <f aca="false">'Raw Data'!M184</f>
        <v>Low</v>
      </c>
      <c r="I184" s="7" t="n">
        <f aca="false">(IF(D184="Current",3,IF(D184="Former",1,0)))+(IF(E184="High",3,IF(E184="Normal",1,0)))+(IF(F184&gt;=240,2,IF(F184&gt;=200,1,0)))+(IF(G184="Yes",2,0))+(IF(H184="High",2,IF(H184="Moderate",1,0)))</f>
        <v>3</v>
      </c>
      <c r="J184" s="7" t="str">
        <f aca="false">IF(I184&gt;=8,"High",IF(I184&gt;=4,"Medium","Low"))</f>
        <v>Low</v>
      </c>
    </row>
    <row r="185" customFormat="false" ht="15" hidden="false" customHeight="true" outlineLevel="0" collapsed="false">
      <c r="A185" s="7" t="n">
        <f aca="false">'Raw Data'!A185</f>
        <v>2312</v>
      </c>
      <c r="B185" s="7" t="n">
        <f aca="false">'Raw Data'!B185</f>
        <v>32</v>
      </c>
      <c r="C185" s="7" t="str">
        <f aca="false">'Raw Data'!C185</f>
        <v>Female</v>
      </c>
      <c r="D185" s="7" t="str">
        <f aca="false">'Raw Data'!D185</f>
        <v>Never</v>
      </c>
      <c r="E185" s="7" t="str">
        <f aca="false">'Raw Data'!J185</f>
        <v>Normal</v>
      </c>
      <c r="F185" s="7" t="n">
        <f aca="false">'Raw Data'!K185</f>
        <v>281</v>
      </c>
      <c r="G185" s="7" t="str">
        <f aca="false">'Raw Data'!L185</f>
        <v>No</v>
      </c>
      <c r="H185" s="7" t="str">
        <f aca="false">'Raw Data'!M185</f>
        <v>Low</v>
      </c>
      <c r="I185" s="7" t="n">
        <f aca="false">(IF(D185="Current",3,IF(D185="Former",1,0)))+(IF(E185="High",3,IF(E185="Normal",1,0)))+(IF(F185&gt;=240,2,IF(F185&gt;=200,1,0)))+(IF(G185="Yes",2,0))+(IF(H185="High",2,IF(H185="Moderate",1,0)))</f>
        <v>3</v>
      </c>
      <c r="J185" s="7" t="str">
        <f aca="false">IF(I185&gt;=8,"High",IF(I185&gt;=4,"Medium","Low"))</f>
        <v>Low</v>
      </c>
    </row>
    <row r="186" customFormat="false" ht="15" hidden="false" customHeight="true" outlineLevel="0" collapsed="false">
      <c r="A186" s="7" t="n">
        <f aca="false">'Raw Data'!A186</f>
        <v>2313</v>
      </c>
      <c r="B186" s="7" t="n">
        <f aca="false">'Raw Data'!B186</f>
        <v>54</v>
      </c>
      <c r="C186" s="7" t="str">
        <f aca="false">'Raw Data'!C186</f>
        <v>Female</v>
      </c>
      <c r="D186" s="7" t="str">
        <f aca="false">'Raw Data'!D186</f>
        <v>Never</v>
      </c>
      <c r="E186" s="7" t="str">
        <f aca="false">'Raw Data'!J186</f>
        <v>Normal</v>
      </c>
      <c r="F186" s="7" t="n">
        <f aca="false">'Raw Data'!K186</f>
        <v>247.2</v>
      </c>
      <c r="G186" s="7" t="str">
        <f aca="false">'Raw Data'!L186</f>
        <v>No</v>
      </c>
      <c r="H186" s="7" t="str">
        <f aca="false">'Raw Data'!M186</f>
        <v>Low</v>
      </c>
      <c r="I186" s="7" t="n">
        <f aca="false">(IF(D186="Current",3,IF(D186="Former",1,0)))+(IF(E186="High",3,IF(E186="Normal",1,0)))+(IF(F186&gt;=240,2,IF(F186&gt;=200,1,0)))+(IF(G186="Yes",2,0))+(IF(H186="High",2,IF(H186="Moderate",1,0)))</f>
        <v>3</v>
      </c>
      <c r="J186" s="7" t="str">
        <f aca="false">IF(I186&gt;=8,"High",IF(I186&gt;=4,"Medium","Low"))</f>
        <v>Low</v>
      </c>
    </row>
    <row r="187" customFormat="false" ht="15" hidden="false" customHeight="true" outlineLevel="0" collapsed="false">
      <c r="A187" s="7" t="n">
        <f aca="false">'Raw Data'!A187</f>
        <v>2315</v>
      </c>
      <c r="B187" s="7" t="n">
        <f aca="false">'Raw Data'!B187</f>
        <v>78</v>
      </c>
      <c r="C187" s="7" t="str">
        <f aca="false">'Raw Data'!C187</f>
        <v>Female</v>
      </c>
      <c r="D187" s="7" t="str">
        <f aca="false">'Raw Data'!D187</f>
        <v>Never</v>
      </c>
      <c r="E187" s="7" t="str">
        <f aca="false">'Raw Data'!J187</f>
        <v>Normal</v>
      </c>
      <c r="F187" s="7" t="n">
        <f aca="false">'Raw Data'!K187</f>
        <v>206.6</v>
      </c>
      <c r="G187" s="7" t="str">
        <f aca="false">'Raw Data'!L187</f>
        <v>No</v>
      </c>
      <c r="H187" s="7" t="str">
        <f aca="false">'Raw Data'!M187</f>
        <v>Low</v>
      </c>
      <c r="I187" s="7" t="n">
        <f aca="false">(IF(D187="Current",3,IF(D187="Former",1,0)))+(IF(E187="High",3,IF(E187="Normal",1,0)))+(IF(F187&gt;=240,2,IF(F187&gt;=200,1,0)))+(IF(G187="Yes",2,0))+(IF(H187="High",2,IF(H187="Moderate",1,0)))</f>
        <v>2</v>
      </c>
      <c r="J187" s="7" t="str">
        <f aca="false">IF(I187&gt;=8,"High",IF(I187&gt;=4,"Medium","Low"))</f>
        <v>Low</v>
      </c>
    </row>
    <row r="188" customFormat="false" ht="15" hidden="false" customHeight="true" outlineLevel="0" collapsed="false">
      <c r="A188" s="7" t="n">
        <f aca="false">'Raw Data'!A188</f>
        <v>2341</v>
      </c>
      <c r="B188" s="7" t="n">
        <f aca="false">'Raw Data'!B188</f>
        <v>44</v>
      </c>
      <c r="C188" s="7" t="str">
        <f aca="false">'Raw Data'!C188</f>
        <v>Male</v>
      </c>
      <c r="D188" s="7" t="str">
        <f aca="false">'Raw Data'!D188</f>
        <v>Never</v>
      </c>
      <c r="E188" s="7" t="str">
        <f aca="false">'Raw Data'!J188</f>
        <v>Normal</v>
      </c>
      <c r="F188" s="7" t="n">
        <f aca="false">'Raw Data'!K188</f>
        <v>221.1</v>
      </c>
      <c r="G188" s="7" t="str">
        <f aca="false">'Raw Data'!L188</f>
        <v>No</v>
      </c>
      <c r="H188" s="7" t="str">
        <f aca="false">'Raw Data'!M188</f>
        <v>Low</v>
      </c>
      <c r="I188" s="7" t="n">
        <f aca="false">(IF(D188="Current",3,IF(D188="Former",1,0)))+(IF(E188="High",3,IF(E188="Normal",1,0)))+(IF(F188&gt;=240,2,IF(F188&gt;=200,1,0)))+(IF(G188="Yes",2,0))+(IF(H188="High",2,IF(H188="Moderate",1,0)))</f>
        <v>2</v>
      </c>
      <c r="J188" s="7" t="str">
        <f aca="false">IF(I188&gt;=8,"High",IF(I188&gt;=4,"Medium","Low"))</f>
        <v>Low</v>
      </c>
    </row>
    <row r="189" customFormat="false" ht="15" hidden="false" customHeight="true" outlineLevel="0" collapsed="false">
      <c r="A189" s="7" t="n">
        <f aca="false">'Raw Data'!A189</f>
        <v>2355</v>
      </c>
      <c r="B189" s="7" t="n">
        <f aca="false">'Raw Data'!B189</f>
        <v>43</v>
      </c>
      <c r="C189" s="7" t="str">
        <f aca="false">'Raw Data'!C189</f>
        <v>Male</v>
      </c>
      <c r="D189" s="7" t="str">
        <f aca="false">'Raw Data'!D189</f>
        <v>Never</v>
      </c>
      <c r="E189" s="7" t="str">
        <f aca="false">'Raw Data'!J189</f>
        <v>Normal</v>
      </c>
      <c r="F189" s="7" t="n">
        <f aca="false">'Raw Data'!K189</f>
        <v>297.7</v>
      </c>
      <c r="G189" s="7" t="str">
        <f aca="false">'Raw Data'!L189</f>
        <v>No</v>
      </c>
      <c r="H189" s="7" t="str">
        <f aca="false">'Raw Data'!M189</f>
        <v>Low</v>
      </c>
      <c r="I189" s="7" t="n">
        <f aca="false">(IF(D189="Current",3,IF(D189="Former",1,0)))+(IF(E189="High",3,IF(E189="Normal",1,0)))+(IF(F189&gt;=240,2,IF(F189&gt;=200,1,0)))+(IF(G189="Yes",2,0))+(IF(H189="High",2,IF(H189="Moderate",1,0)))</f>
        <v>3</v>
      </c>
      <c r="J189" s="7" t="str">
        <f aca="false">IF(I189&gt;=8,"High",IF(I189&gt;=4,"Medium","Low"))</f>
        <v>Low</v>
      </c>
    </row>
    <row r="190" customFormat="false" ht="15" hidden="false" customHeight="true" outlineLevel="0" collapsed="false">
      <c r="A190" s="7" t="n">
        <f aca="false">'Raw Data'!A190</f>
        <v>2361</v>
      </c>
      <c r="B190" s="7" t="n">
        <f aca="false">'Raw Data'!B190</f>
        <v>40</v>
      </c>
      <c r="C190" s="7" t="str">
        <f aca="false">'Raw Data'!C190</f>
        <v>Female</v>
      </c>
      <c r="D190" s="7" t="str">
        <f aca="false">'Raw Data'!D190</f>
        <v>Never</v>
      </c>
      <c r="E190" s="7" t="str">
        <f aca="false">'Raw Data'!J190</f>
        <v>Normal</v>
      </c>
      <c r="F190" s="7" t="n">
        <f aca="false">'Raw Data'!K190</f>
        <v>234.4</v>
      </c>
      <c r="G190" s="7" t="str">
        <f aca="false">'Raw Data'!L190</f>
        <v>No</v>
      </c>
      <c r="H190" s="7" t="str">
        <f aca="false">'Raw Data'!M190</f>
        <v>Low</v>
      </c>
      <c r="I190" s="7" t="n">
        <f aca="false">(IF(D190="Current",3,IF(D190="Former",1,0)))+(IF(E190="High",3,IF(E190="Normal",1,0)))+(IF(F190&gt;=240,2,IF(F190&gt;=200,1,0)))+(IF(G190="Yes",2,0))+(IF(H190="High",2,IF(H190="Moderate",1,0)))</f>
        <v>2</v>
      </c>
      <c r="J190" s="7" t="str">
        <f aca="false">IF(I190&gt;=8,"High",IF(I190&gt;=4,"Medium","Low"))</f>
        <v>Low</v>
      </c>
    </row>
    <row r="191" customFormat="false" ht="15" hidden="false" customHeight="true" outlineLevel="0" collapsed="false">
      <c r="A191" s="7" t="n">
        <f aca="false">'Raw Data'!A191</f>
        <v>2366</v>
      </c>
      <c r="B191" s="7" t="n">
        <f aca="false">'Raw Data'!B191</f>
        <v>32</v>
      </c>
      <c r="C191" s="7" t="str">
        <f aca="false">'Raw Data'!C191</f>
        <v>Female</v>
      </c>
      <c r="D191" s="7" t="str">
        <f aca="false">'Raw Data'!D191</f>
        <v>Never</v>
      </c>
      <c r="E191" s="7" t="str">
        <f aca="false">'Raw Data'!J191</f>
        <v>Normal</v>
      </c>
      <c r="F191" s="7" t="n">
        <f aca="false">'Raw Data'!K191</f>
        <v>205.8</v>
      </c>
      <c r="G191" s="7" t="str">
        <f aca="false">'Raw Data'!L191</f>
        <v>No</v>
      </c>
      <c r="H191" s="7" t="str">
        <f aca="false">'Raw Data'!M191</f>
        <v>Low</v>
      </c>
      <c r="I191" s="7" t="n">
        <f aca="false">(IF(D191="Current",3,IF(D191="Former",1,0)))+(IF(E191="High",3,IF(E191="Normal",1,0)))+(IF(F191&gt;=240,2,IF(F191&gt;=200,1,0)))+(IF(G191="Yes",2,0))+(IF(H191="High",2,IF(H191="Moderate",1,0)))</f>
        <v>2</v>
      </c>
      <c r="J191" s="7" t="str">
        <f aca="false">IF(I191&gt;=8,"High",IF(I191&gt;=4,"Medium","Low"))</f>
        <v>Low</v>
      </c>
    </row>
    <row r="192" customFormat="false" ht="15" hidden="false" customHeight="true" outlineLevel="0" collapsed="false">
      <c r="A192" s="7" t="n">
        <f aca="false">'Raw Data'!A192</f>
        <v>2381</v>
      </c>
      <c r="B192" s="7" t="n">
        <f aca="false">'Raw Data'!B192</f>
        <v>46</v>
      </c>
      <c r="C192" s="7" t="str">
        <f aca="false">'Raw Data'!C192</f>
        <v>Male</v>
      </c>
      <c r="D192" s="7" t="str">
        <f aca="false">'Raw Data'!D192</f>
        <v>Never</v>
      </c>
      <c r="E192" s="7" t="str">
        <f aca="false">'Raw Data'!J192</f>
        <v>Normal</v>
      </c>
      <c r="F192" s="7" t="n">
        <f aca="false">'Raw Data'!K192</f>
        <v>256.8</v>
      </c>
      <c r="G192" s="7" t="str">
        <f aca="false">'Raw Data'!L192</f>
        <v>No</v>
      </c>
      <c r="H192" s="7" t="str">
        <f aca="false">'Raw Data'!M192</f>
        <v>Low</v>
      </c>
      <c r="I192" s="7" t="n">
        <f aca="false">(IF(D192="Current",3,IF(D192="Former",1,0)))+(IF(E192="High",3,IF(E192="Normal",1,0)))+(IF(F192&gt;=240,2,IF(F192&gt;=200,1,0)))+(IF(G192="Yes",2,0))+(IF(H192="High",2,IF(H192="Moderate",1,0)))</f>
        <v>3</v>
      </c>
      <c r="J192" s="7" t="str">
        <f aca="false">IF(I192&gt;=8,"High",IF(I192&gt;=4,"Medium","Low"))</f>
        <v>Low</v>
      </c>
    </row>
    <row r="193" customFormat="false" ht="15" hidden="false" customHeight="true" outlineLevel="0" collapsed="false">
      <c r="A193" s="7" t="n">
        <f aca="false">'Raw Data'!A193</f>
        <v>2382</v>
      </c>
      <c r="B193" s="7" t="n">
        <f aca="false">'Raw Data'!B193</f>
        <v>43</v>
      </c>
      <c r="C193" s="7" t="str">
        <f aca="false">'Raw Data'!C193</f>
        <v>Male</v>
      </c>
      <c r="D193" s="7" t="str">
        <f aca="false">'Raw Data'!D193</f>
        <v>Never</v>
      </c>
      <c r="E193" s="7" t="str">
        <f aca="false">'Raw Data'!J193</f>
        <v>Normal</v>
      </c>
      <c r="F193" s="7" t="n">
        <f aca="false">'Raw Data'!K193</f>
        <v>160.6</v>
      </c>
      <c r="G193" s="7" t="str">
        <f aca="false">'Raw Data'!L193</f>
        <v>No</v>
      </c>
      <c r="H193" s="7" t="str">
        <f aca="false">'Raw Data'!M193</f>
        <v>Low</v>
      </c>
      <c r="I193" s="7" t="n">
        <f aca="false">(IF(D193="Current",3,IF(D193="Former",1,0)))+(IF(E193="High",3,IF(E193="Normal",1,0)))+(IF(F193&gt;=240,2,IF(F193&gt;=200,1,0)))+(IF(G193="Yes",2,0))+(IF(H193="High",2,IF(H193="Moderate",1,0)))</f>
        <v>1</v>
      </c>
      <c r="J193" s="7" t="str">
        <f aca="false">IF(I193&gt;=8,"High",IF(I193&gt;=4,"Medium","Low"))</f>
        <v>Low</v>
      </c>
    </row>
    <row r="194" customFormat="false" ht="15" hidden="false" customHeight="true" outlineLevel="0" collapsed="false">
      <c r="A194" s="7" t="n">
        <f aca="false">'Raw Data'!A194</f>
        <v>2384</v>
      </c>
      <c r="B194" s="7" t="n">
        <f aca="false">'Raw Data'!B194</f>
        <v>79</v>
      </c>
      <c r="C194" s="7" t="str">
        <f aca="false">'Raw Data'!C194</f>
        <v>Male</v>
      </c>
      <c r="D194" s="7" t="str">
        <f aca="false">'Raw Data'!D194</f>
        <v>Never</v>
      </c>
      <c r="E194" s="7" t="str">
        <f aca="false">'Raw Data'!J194</f>
        <v>Normal</v>
      </c>
      <c r="F194" s="7" t="n">
        <f aca="false">'Raw Data'!K194</f>
        <v>133.6</v>
      </c>
      <c r="G194" s="7" t="str">
        <f aca="false">'Raw Data'!L194</f>
        <v>No</v>
      </c>
      <c r="H194" s="7" t="str">
        <f aca="false">'Raw Data'!M194</f>
        <v>Low</v>
      </c>
      <c r="I194" s="7" t="n">
        <f aca="false">(IF(D194="Current",3,IF(D194="Former",1,0)))+(IF(E194="High",3,IF(E194="Normal",1,0)))+(IF(F194&gt;=240,2,IF(F194&gt;=200,1,0)))+(IF(G194="Yes",2,0))+(IF(H194="High",2,IF(H194="Moderate",1,0)))</f>
        <v>1</v>
      </c>
      <c r="J194" s="7" t="str">
        <f aca="false">IF(I194&gt;=8,"High",IF(I194&gt;=4,"Medium","Low"))</f>
        <v>Low</v>
      </c>
    </row>
    <row r="195" customFormat="false" ht="15" hidden="false" customHeight="true" outlineLevel="0" collapsed="false">
      <c r="A195" s="7" t="n">
        <f aca="false">'Raw Data'!A195</f>
        <v>2397</v>
      </c>
      <c r="B195" s="7" t="n">
        <f aca="false">'Raw Data'!B195</f>
        <v>74</v>
      </c>
      <c r="C195" s="7" t="str">
        <f aca="false">'Raw Data'!C195</f>
        <v>Female</v>
      </c>
      <c r="D195" s="7" t="str">
        <f aca="false">'Raw Data'!D195</f>
        <v>Never</v>
      </c>
      <c r="E195" s="7" t="str">
        <f aca="false">'Raw Data'!J195</f>
        <v>Normal</v>
      </c>
      <c r="F195" s="7" t="n">
        <f aca="false">'Raw Data'!K195</f>
        <v>182</v>
      </c>
      <c r="G195" s="7" t="str">
        <f aca="false">'Raw Data'!L195</f>
        <v>No</v>
      </c>
      <c r="H195" s="7" t="str">
        <f aca="false">'Raw Data'!M195</f>
        <v>Low</v>
      </c>
      <c r="I195" s="7" t="n">
        <f aca="false">(IF(D195="Current",3,IF(D195="Former",1,0)))+(IF(E195="High",3,IF(E195="Normal",1,0)))+(IF(F195&gt;=240,2,IF(F195&gt;=200,1,0)))+(IF(G195="Yes",2,0))+(IF(H195="High",2,IF(H195="Moderate",1,0)))</f>
        <v>1</v>
      </c>
      <c r="J195" s="7" t="str">
        <f aca="false">IF(I195&gt;=8,"High",IF(I195&gt;=4,"Medium","Low"))</f>
        <v>Low</v>
      </c>
    </row>
    <row r="196" customFormat="false" ht="15" hidden="false" customHeight="true" outlineLevel="0" collapsed="false">
      <c r="A196" s="7" t="n">
        <f aca="false">'Raw Data'!A196</f>
        <v>2404</v>
      </c>
      <c r="B196" s="7" t="n">
        <f aca="false">'Raw Data'!B196</f>
        <v>54</v>
      </c>
      <c r="C196" s="7" t="str">
        <f aca="false">'Raw Data'!C196</f>
        <v>Male</v>
      </c>
      <c r="D196" s="7" t="str">
        <f aca="false">'Raw Data'!D196</f>
        <v>Never</v>
      </c>
      <c r="E196" s="7" t="str">
        <f aca="false">'Raw Data'!J196</f>
        <v>Normal</v>
      </c>
      <c r="F196" s="7" t="n">
        <f aca="false">'Raw Data'!K196</f>
        <v>173.2</v>
      </c>
      <c r="G196" s="7" t="str">
        <f aca="false">'Raw Data'!L196</f>
        <v>No</v>
      </c>
      <c r="H196" s="7" t="str">
        <f aca="false">'Raw Data'!M196</f>
        <v>Low</v>
      </c>
      <c r="I196" s="7" t="n">
        <f aca="false">(IF(D196="Current",3,IF(D196="Former",1,0)))+(IF(E196="High",3,IF(E196="Normal",1,0)))+(IF(F196&gt;=240,2,IF(F196&gt;=200,1,0)))+(IF(G196="Yes",2,0))+(IF(H196="High",2,IF(H196="Moderate",1,0)))</f>
        <v>1</v>
      </c>
      <c r="J196" s="7" t="str">
        <f aca="false">IF(I196&gt;=8,"High",IF(I196&gt;=4,"Medium","Low"))</f>
        <v>Low</v>
      </c>
    </row>
    <row r="197" customFormat="false" ht="15" hidden="false" customHeight="true" outlineLevel="0" collapsed="false">
      <c r="A197" s="7" t="n">
        <f aca="false">'Raw Data'!A197</f>
        <v>2405</v>
      </c>
      <c r="B197" s="7" t="n">
        <f aca="false">'Raw Data'!B197</f>
        <v>25</v>
      </c>
      <c r="C197" s="7" t="str">
        <f aca="false">'Raw Data'!C197</f>
        <v>Male</v>
      </c>
      <c r="D197" s="7" t="str">
        <f aca="false">'Raw Data'!D197</f>
        <v>Never</v>
      </c>
      <c r="E197" s="7" t="str">
        <f aca="false">'Raw Data'!J197</f>
        <v>Normal</v>
      </c>
      <c r="F197" s="7" t="n">
        <f aca="false">'Raw Data'!K197</f>
        <v>135.8</v>
      </c>
      <c r="G197" s="7" t="str">
        <f aca="false">'Raw Data'!L197</f>
        <v>No</v>
      </c>
      <c r="H197" s="7" t="str">
        <f aca="false">'Raw Data'!M197</f>
        <v>Low</v>
      </c>
      <c r="I197" s="7" t="n">
        <f aca="false">(IF(D197="Current",3,IF(D197="Former",1,0)))+(IF(E197="High",3,IF(E197="Normal",1,0)))+(IF(F197&gt;=240,2,IF(F197&gt;=200,1,0)))+(IF(G197="Yes",2,0))+(IF(H197="High",2,IF(H197="Moderate",1,0)))</f>
        <v>1</v>
      </c>
      <c r="J197" s="7" t="str">
        <f aca="false">IF(I197&gt;=8,"High",IF(I197&gt;=4,"Medium","Low"))</f>
        <v>Low</v>
      </c>
    </row>
    <row r="198" customFormat="false" ht="15" hidden="false" customHeight="true" outlineLevel="0" collapsed="false">
      <c r="A198" s="7" t="n">
        <f aca="false">'Raw Data'!A198</f>
        <v>2406</v>
      </c>
      <c r="B198" s="7" t="n">
        <f aca="false">'Raw Data'!B198</f>
        <v>28</v>
      </c>
      <c r="C198" s="7" t="str">
        <f aca="false">'Raw Data'!C198</f>
        <v>Female</v>
      </c>
      <c r="D198" s="7" t="str">
        <f aca="false">'Raw Data'!D198</f>
        <v>Never</v>
      </c>
      <c r="E198" s="7" t="str">
        <f aca="false">'Raw Data'!J198</f>
        <v>Normal</v>
      </c>
      <c r="F198" s="7" t="n">
        <f aca="false">'Raw Data'!K198</f>
        <v>131.2</v>
      </c>
      <c r="G198" s="7" t="str">
        <f aca="false">'Raw Data'!L198</f>
        <v>No</v>
      </c>
      <c r="H198" s="7" t="str">
        <f aca="false">'Raw Data'!M198</f>
        <v>Low</v>
      </c>
      <c r="I198" s="7" t="n">
        <f aca="false">(IF(D198="Current",3,IF(D198="Former",1,0)))+(IF(E198="High",3,IF(E198="Normal",1,0)))+(IF(F198&gt;=240,2,IF(F198&gt;=200,1,0)))+(IF(G198="Yes",2,0))+(IF(H198="High",2,IF(H198="Moderate",1,0)))</f>
        <v>1</v>
      </c>
      <c r="J198" s="7" t="str">
        <f aca="false">IF(I198&gt;=8,"High",IF(I198&gt;=4,"Medium","Low"))</f>
        <v>Low</v>
      </c>
    </row>
    <row r="199" customFormat="false" ht="15" hidden="false" customHeight="true" outlineLevel="0" collapsed="false">
      <c r="A199" s="7" t="n">
        <f aca="false">'Raw Data'!A199</f>
        <v>2409</v>
      </c>
      <c r="B199" s="7" t="n">
        <f aca="false">'Raw Data'!B199</f>
        <v>81</v>
      </c>
      <c r="C199" s="7" t="str">
        <f aca="false">'Raw Data'!C199</f>
        <v>Male</v>
      </c>
      <c r="D199" s="7" t="str">
        <f aca="false">'Raw Data'!D199</f>
        <v>Never</v>
      </c>
      <c r="E199" s="7" t="str">
        <f aca="false">'Raw Data'!J199</f>
        <v>Normal</v>
      </c>
      <c r="F199" s="7" t="n">
        <f aca="false">'Raw Data'!K199</f>
        <v>230.5</v>
      </c>
      <c r="G199" s="7" t="str">
        <f aca="false">'Raw Data'!L199</f>
        <v>No</v>
      </c>
      <c r="H199" s="7" t="str">
        <f aca="false">'Raw Data'!M199</f>
        <v>Low</v>
      </c>
      <c r="I199" s="7" t="n">
        <f aca="false">(IF(D199="Current",3,IF(D199="Former",1,0)))+(IF(E199="High",3,IF(E199="Normal",1,0)))+(IF(F199&gt;=240,2,IF(F199&gt;=200,1,0)))+(IF(G199="Yes",2,0))+(IF(H199="High",2,IF(H199="Moderate",1,0)))</f>
        <v>2</v>
      </c>
      <c r="J199" s="7" t="str">
        <f aca="false">IF(I199&gt;=8,"High",IF(I199&gt;=4,"Medium","Low"))</f>
        <v>Low</v>
      </c>
    </row>
    <row r="200" customFormat="false" ht="15" hidden="false" customHeight="true" outlineLevel="0" collapsed="false">
      <c r="A200" s="7" t="n">
        <f aca="false">'Raw Data'!A200</f>
        <v>2418</v>
      </c>
      <c r="B200" s="7" t="n">
        <f aca="false">'Raw Data'!B200</f>
        <v>76</v>
      </c>
      <c r="C200" s="7" t="str">
        <f aca="false">'Raw Data'!C200</f>
        <v>Male</v>
      </c>
      <c r="D200" s="7" t="str">
        <f aca="false">'Raw Data'!D200</f>
        <v>Never</v>
      </c>
      <c r="E200" s="7" t="str">
        <f aca="false">'Raw Data'!J200</f>
        <v>Normal</v>
      </c>
      <c r="F200" s="7" t="n">
        <f aca="false">'Raw Data'!K200</f>
        <v>222.6</v>
      </c>
      <c r="G200" s="7" t="str">
        <f aca="false">'Raw Data'!L200</f>
        <v>No</v>
      </c>
      <c r="H200" s="7" t="str">
        <f aca="false">'Raw Data'!M200</f>
        <v>Low</v>
      </c>
      <c r="I200" s="7" t="n">
        <f aca="false">(IF(D200="Current",3,IF(D200="Former",1,0)))+(IF(E200="High",3,IF(E200="Normal",1,0)))+(IF(F200&gt;=240,2,IF(F200&gt;=200,1,0)))+(IF(G200="Yes",2,0))+(IF(H200="High",2,IF(H200="Moderate",1,0)))</f>
        <v>2</v>
      </c>
      <c r="J200" s="7" t="str">
        <f aca="false">IF(I200&gt;=8,"High",IF(I200&gt;=4,"Medium","Low"))</f>
        <v>Low</v>
      </c>
    </row>
    <row r="201" customFormat="false" ht="15" hidden="false" customHeight="true" outlineLevel="0" collapsed="false">
      <c r="A201" s="7" t="n">
        <f aca="false">'Raw Data'!A201</f>
        <v>2462</v>
      </c>
      <c r="B201" s="7" t="n">
        <f aca="false">'Raw Data'!B201</f>
        <v>77</v>
      </c>
      <c r="C201" s="7" t="str">
        <f aca="false">'Raw Data'!C201</f>
        <v>Male</v>
      </c>
      <c r="D201" s="7" t="str">
        <f aca="false">'Raw Data'!D201</f>
        <v>Never</v>
      </c>
      <c r="E201" s="7" t="str">
        <f aca="false">'Raw Data'!J201</f>
        <v>Normal</v>
      </c>
      <c r="F201" s="7" t="n">
        <f aca="false">'Raw Data'!K201</f>
        <v>286.8</v>
      </c>
      <c r="G201" s="7" t="str">
        <f aca="false">'Raw Data'!L201</f>
        <v>No</v>
      </c>
      <c r="H201" s="7" t="str">
        <f aca="false">'Raw Data'!M201</f>
        <v>Low</v>
      </c>
      <c r="I201" s="7" t="n">
        <f aca="false">(IF(D201="Current",3,IF(D201="Former",1,0)))+(IF(E201="High",3,IF(E201="Normal",1,0)))+(IF(F201&gt;=240,2,IF(F201&gt;=200,1,0)))+(IF(G201="Yes",2,0))+(IF(H201="High",2,IF(H201="Moderate",1,0)))</f>
        <v>3</v>
      </c>
      <c r="J201" s="7" t="str">
        <f aca="false">IF(I201&gt;=8,"High",IF(I201&gt;=4,"Medium","Low"))</f>
        <v>Low</v>
      </c>
    </row>
    <row r="202" customFormat="false" ht="15" hidden="false" customHeight="true" outlineLevel="0" collapsed="false">
      <c r="A202" s="7" t="n">
        <f aca="false">'Raw Data'!A202</f>
        <v>2471</v>
      </c>
      <c r="B202" s="7" t="n">
        <f aca="false">'Raw Data'!B202</f>
        <v>79</v>
      </c>
      <c r="C202" s="7" t="str">
        <f aca="false">'Raw Data'!C202</f>
        <v>Male</v>
      </c>
      <c r="D202" s="7" t="str">
        <f aca="false">'Raw Data'!D202</f>
        <v>Never</v>
      </c>
      <c r="E202" s="7" t="str">
        <f aca="false">'Raw Data'!J202</f>
        <v>Normal</v>
      </c>
      <c r="F202" s="7" t="n">
        <f aca="false">'Raw Data'!K202</f>
        <v>212.2</v>
      </c>
      <c r="G202" s="7" t="str">
        <f aca="false">'Raw Data'!L202</f>
        <v>No</v>
      </c>
      <c r="H202" s="7" t="str">
        <f aca="false">'Raw Data'!M202</f>
        <v>Low</v>
      </c>
      <c r="I202" s="7" t="n">
        <f aca="false">(IF(D202="Current",3,IF(D202="Former",1,0)))+(IF(E202="High",3,IF(E202="Normal",1,0)))+(IF(F202&gt;=240,2,IF(F202&gt;=200,1,0)))+(IF(G202="Yes",2,0))+(IF(H202="High",2,IF(H202="Moderate",1,0)))</f>
        <v>2</v>
      </c>
      <c r="J202" s="7" t="str">
        <f aca="false">IF(I202&gt;=8,"High",IF(I202&gt;=4,"Medium","Low"))</f>
        <v>Low</v>
      </c>
    </row>
    <row r="203" customFormat="false" ht="15" hidden="false" customHeight="true" outlineLevel="0" collapsed="false">
      <c r="A203" s="7" t="n">
        <f aca="false">'Raw Data'!A203</f>
        <v>2489</v>
      </c>
      <c r="B203" s="7" t="n">
        <f aca="false">'Raw Data'!B203</f>
        <v>61</v>
      </c>
      <c r="C203" s="7" t="str">
        <f aca="false">'Raw Data'!C203</f>
        <v>Female</v>
      </c>
      <c r="D203" s="7" t="str">
        <f aca="false">'Raw Data'!D203</f>
        <v>Never</v>
      </c>
      <c r="E203" s="7" t="str">
        <f aca="false">'Raw Data'!J203</f>
        <v>Normal</v>
      </c>
      <c r="F203" s="7" t="n">
        <f aca="false">'Raw Data'!K203</f>
        <v>187.1</v>
      </c>
      <c r="G203" s="7" t="str">
        <f aca="false">'Raw Data'!L203</f>
        <v>No</v>
      </c>
      <c r="H203" s="7" t="str">
        <f aca="false">'Raw Data'!M203</f>
        <v>Low</v>
      </c>
      <c r="I203" s="7" t="n">
        <f aca="false">(IF(D203="Current",3,IF(D203="Former",1,0)))+(IF(E203="High",3,IF(E203="Normal",1,0)))+(IF(F203&gt;=240,2,IF(F203&gt;=200,1,0)))+(IF(G203="Yes",2,0))+(IF(H203="High",2,IF(H203="Moderate",1,0)))</f>
        <v>1</v>
      </c>
      <c r="J203" s="7" t="str">
        <f aca="false">IF(I203&gt;=8,"High",IF(I203&gt;=4,"Medium","Low"))</f>
        <v>Low</v>
      </c>
    </row>
    <row r="204" customFormat="false" ht="15" hidden="false" customHeight="true" outlineLevel="0" collapsed="false">
      <c r="A204" s="7" t="n">
        <f aca="false">'Raw Data'!A204</f>
        <v>2496</v>
      </c>
      <c r="B204" s="7" t="n">
        <f aca="false">'Raw Data'!B204</f>
        <v>59</v>
      </c>
      <c r="C204" s="7" t="str">
        <f aca="false">'Raw Data'!C204</f>
        <v>Male</v>
      </c>
      <c r="D204" s="7" t="str">
        <f aca="false">'Raw Data'!D204</f>
        <v>Never</v>
      </c>
      <c r="E204" s="7" t="str">
        <f aca="false">'Raw Data'!J204</f>
        <v>Normal</v>
      </c>
      <c r="F204" s="7" t="n">
        <f aca="false">'Raw Data'!K204</f>
        <v>193.8</v>
      </c>
      <c r="G204" s="7" t="str">
        <f aca="false">'Raw Data'!L204</f>
        <v>No</v>
      </c>
      <c r="H204" s="7" t="str">
        <f aca="false">'Raw Data'!M204</f>
        <v>Low</v>
      </c>
      <c r="I204" s="7" t="n">
        <f aca="false">(IF(D204="Current",3,IF(D204="Former",1,0)))+(IF(E204="High",3,IF(E204="Normal",1,0)))+(IF(F204&gt;=240,2,IF(F204&gt;=200,1,0)))+(IF(G204="Yes",2,0))+(IF(H204="High",2,IF(H204="Moderate",1,0)))</f>
        <v>1</v>
      </c>
      <c r="J204" s="7" t="str">
        <f aca="false">IF(I204&gt;=8,"High",IF(I204&gt;=4,"Medium","Low"))</f>
        <v>Low</v>
      </c>
    </row>
    <row r="205" customFormat="false" ht="15" hidden="false" customHeight="true" outlineLevel="0" collapsed="false">
      <c r="A205" s="7" t="n">
        <f aca="false">'Raw Data'!A205</f>
        <v>33</v>
      </c>
      <c r="B205" s="7" t="n">
        <f aca="false">'Raw Data'!B205</f>
        <v>18</v>
      </c>
      <c r="C205" s="7" t="str">
        <f aca="false">'Raw Data'!C205</f>
        <v>Female</v>
      </c>
      <c r="D205" s="7" t="str">
        <f aca="false">'Raw Data'!D205</f>
        <v>Never</v>
      </c>
      <c r="E205" s="7" t="str">
        <f aca="false">'Raw Data'!J205</f>
        <v>Normal</v>
      </c>
      <c r="F205" s="7" t="n">
        <f aca="false">'Raw Data'!K205</f>
        <v>195.5</v>
      </c>
      <c r="G205" s="7" t="str">
        <f aca="false">'Raw Data'!L205</f>
        <v>Yes</v>
      </c>
      <c r="H205" s="7" t="str">
        <f aca="false">'Raw Data'!M205</f>
        <v>Low</v>
      </c>
      <c r="I205" s="7" t="n">
        <f aca="false">(IF(D205="Current",3,IF(D205="Former",1,0)))+(IF(E205="High",3,IF(E205="Normal",1,0)))+(IF(F205&gt;=240,2,IF(F205&gt;=200,1,0)))+(IF(G205="Yes",2,0))+(IF(H205="High",2,IF(H205="Moderate",1,0)))</f>
        <v>3</v>
      </c>
      <c r="J205" s="7" t="str">
        <f aca="false">IF(I205&gt;=8,"High",IF(I205&gt;=4,"Medium","Low"))</f>
        <v>Low</v>
      </c>
    </row>
    <row r="206" customFormat="false" ht="15" hidden="false" customHeight="true" outlineLevel="0" collapsed="false">
      <c r="A206" s="7" t="n">
        <f aca="false">'Raw Data'!A206</f>
        <v>38</v>
      </c>
      <c r="B206" s="7" t="n">
        <f aca="false">'Raw Data'!B206</f>
        <v>52</v>
      </c>
      <c r="C206" s="7" t="str">
        <f aca="false">'Raw Data'!C206</f>
        <v>Male</v>
      </c>
      <c r="D206" s="7" t="str">
        <f aca="false">'Raw Data'!D206</f>
        <v>Never</v>
      </c>
      <c r="E206" s="7" t="str">
        <f aca="false">'Raw Data'!J206</f>
        <v>Normal</v>
      </c>
      <c r="F206" s="7" t="n">
        <f aca="false">'Raw Data'!K206</f>
        <v>181.3</v>
      </c>
      <c r="G206" s="7" t="str">
        <f aca="false">'Raw Data'!L206</f>
        <v>Yes</v>
      </c>
      <c r="H206" s="7" t="str">
        <f aca="false">'Raw Data'!M206</f>
        <v>Low</v>
      </c>
      <c r="I206" s="7" t="n">
        <f aca="false">(IF(D206="Current",3,IF(D206="Former",1,0)))+(IF(E206="High",3,IF(E206="Normal",1,0)))+(IF(F206&gt;=240,2,IF(F206&gt;=200,1,0)))+(IF(G206="Yes",2,0))+(IF(H206="High",2,IF(H206="Moderate",1,0)))</f>
        <v>3</v>
      </c>
      <c r="J206" s="7" t="str">
        <f aca="false">IF(I206&gt;=8,"High",IF(I206&gt;=4,"Medium","Low"))</f>
        <v>Low</v>
      </c>
    </row>
    <row r="207" customFormat="false" ht="15" hidden="false" customHeight="true" outlineLevel="0" collapsed="false">
      <c r="A207" s="7" t="n">
        <f aca="false">'Raw Data'!A207</f>
        <v>87</v>
      </c>
      <c r="B207" s="7" t="n">
        <f aca="false">'Raw Data'!B207</f>
        <v>64</v>
      </c>
      <c r="C207" s="7" t="str">
        <f aca="false">'Raw Data'!C207</f>
        <v>Female</v>
      </c>
      <c r="D207" s="7" t="str">
        <f aca="false">'Raw Data'!D207</f>
        <v>Never</v>
      </c>
      <c r="E207" s="7" t="str">
        <f aca="false">'Raw Data'!J207</f>
        <v>Normal</v>
      </c>
      <c r="F207" s="7" t="n">
        <f aca="false">'Raw Data'!K207</f>
        <v>257.8</v>
      </c>
      <c r="G207" s="7" t="str">
        <f aca="false">'Raw Data'!L207</f>
        <v>Yes</v>
      </c>
      <c r="H207" s="7" t="str">
        <f aca="false">'Raw Data'!M207</f>
        <v>Low</v>
      </c>
      <c r="I207" s="7" t="n">
        <f aca="false">(IF(D207="Current",3,IF(D207="Former",1,0)))+(IF(E207="High",3,IF(E207="Normal",1,0)))+(IF(F207&gt;=240,2,IF(F207&gt;=200,1,0)))+(IF(G207="Yes",2,0))+(IF(H207="High",2,IF(H207="Moderate",1,0)))</f>
        <v>5</v>
      </c>
      <c r="J207" s="7" t="str">
        <f aca="false">IF(I207&gt;=8,"High",IF(I207&gt;=4,"Medium","Low"))</f>
        <v>Medium</v>
      </c>
    </row>
    <row r="208" customFormat="false" ht="15" hidden="false" customHeight="true" outlineLevel="0" collapsed="false">
      <c r="A208" s="7" t="n">
        <f aca="false">'Raw Data'!A208</f>
        <v>96</v>
      </c>
      <c r="B208" s="7" t="n">
        <f aca="false">'Raw Data'!B208</f>
        <v>70</v>
      </c>
      <c r="C208" s="7" t="str">
        <f aca="false">'Raw Data'!C208</f>
        <v>Male</v>
      </c>
      <c r="D208" s="7" t="str">
        <f aca="false">'Raw Data'!D208</f>
        <v>Never</v>
      </c>
      <c r="E208" s="7" t="str">
        <f aca="false">'Raw Data'!J208</f>
        <v>Normal</v>
      </c>
      <c r="F208" s="7" t="n">
        <f aca="false">'Raw Data'!K208</f>
        <v>213.4</v>
      </c>
      <c r="G208" s="7" t="str">
        <f aca="false">'Raw Data'!L208</f>
        <v>Yes</v>
      </c>
      <c r="H208" s="7" t="str">
        <f aca="false">'Raw Data'!M208</f>
        <v>Low</v>
      </c>
      <c r="I208" s="7" t="n">
        <f aca="false">(IF(D208="Current",3,IF(D208="Former",1,0)))+(IF(E208="High",3,IF(E208="Normal",1,0)))+(IF(F208&gt;=240,2,IF(F208&gt;=200,1,0)))+(IF(G208="Yes",2,0))+(IF(H208="High",2,IF(H208="Moderate",1,0)))</f>
        <v>4</v>
      </c>
      <c r="J208" s="7" t="str">
        <f aca="false">IF(I208&gt;=8,"High",IF(I208&gt;=4,"Medium","Low"))</f>
        <v>Medium</v>
      </c>
    </row>
    <row r="209" customFormat="false" ht="15" hidden="false" customHeight="true" outlineLevel="0" collapsed="false">
      <c r="A209" s="7" t="n">
        <f aca="false">'Raw Data'!A209</f>
        <v>123</v>
      </c>
      <c r="B209" s="7" t="n">
        <f aca="false">'Raw Data'!B209</f>
        <v>76</v>
      </c>
      <c r="C209" s="7" t="str">
        <f aca="false">'Raw Data'!C209</f>
        <v>Female</v>
      </c>
      <c r="D209" s="7" t="str">
        <f aca="false">'Raw Data'!D209</f>
        <v>Never</v>
      </c>
      <c r="E209" s="7" t="str">
        <f aca="false">'Raw Data'!J209</f>
        <v>Normal</v>
      </c>
      <c r="F209" s="7" t="n">
        <f aca="false">'Raw Data'!K209</f>
        <v>280.9</v>
      </c>
      <c r="G209" s="7" t="str">
        <f aca="false">'Raw Data'!L209</f>
        <v>Yes</v>
      </c>
      <c r="H209" s="7" t="str">
        <f aca="false">'Raw Data'!M209</f>
        <v>Low</v>
      </c>
      <c r="I209" s="7" t="n">
        <f aca="false">(IF(D209="Current",3,IF(D209="Former",1,0)))+(IF(E209="High",3,IF(E209="Normal",1,0)))+(IF(F209&gt;=240,2,IF(F209&gt;=200,1,0)))+(IF(G209="Yes",2,0))+(IF(H209="High",2,IF(H209="Moderate",1,0)))</f>
        <v>5</v>
      </c>
      <c r="J209" s="7" t="str">
        <f aca="false">IF(I209&gt;=8,"High",IF(I209&gt;=4,"Medium","Low"))</f>
        <v>Medium</v>
      </c>
    </row>
    <row r="210" customFormat="false" ht="15" hidden="false" customHeight="true" outlineLevel="0" collapsed="false">
      <c r="A210" s="7" t="n">
        <f aca="false">'Raw Data'!A210</f>
        <v>124</v>
      </c>
      <c r="B210" s="7" t="n">
        <f aca="false">'Raw Data'!B210</f>
        <v>42</v>
      </c>
      <c r="C210" s="7" t="str">
        <f aca="false">'Raw Data'!C210</f>
        <v>Female</v>
      </c>
      <c r="D210" s="7" t="str">
        <f aca="false">'Raw Data'!D210</f>
        <v>Never</v>
      </c>
      <c r="E210" s="7" t="str">
        <f aca="false">'Raw Data'!J210</f>
        <v>Normal</v>
      </c>
      <c r="F210" s="7" t="n">
        <f aca="false">'Raw Data'!K210</f>
        <v>148.7</v>
      </c>
      <c r="G210" s="7" t="str">
        <f aca="false">'Raw Data'!L210</f>
        <v>Yes</v>
      </c>
      <c r="H210" s="7" t="str">
        <f aca="false">'Raw Data'!M210</f>
        <v>Low</v>
      </c>
      <c r="I210" s="7" t="n">
        <f aca="false">(IF(D210="Current",3,IF(D210="Former",1,0)))+(IF(E210="High",3,IF(E210="Normal",1,0)))+(IF(F210&gt;=240,2,IF(F210&gt;=200,1,0)))+(IF(G210="Yes",2,0))+(IF(H210="High",2,IF(H210="Moderate",1,0)))</f>
        <v>3</v>
      </c>
      <c r="J210" s="7" t="str">
        <f aca="false">IF(I210&gt;=8,"High",IF(I210&gt;=4,"Medium","Low"))</f>
        <v>Low</v>
      </c>
    </row>
    <row r="211" customFormat="false" ht="15" hidden="false" customHeight="true" outlineLevel="0" collapsed="false">
      <c r="A211" s="7" t="n">
        <f aca="false">'Raw Data'!A211</f>
        <v>235</v>
      </c>
      <c r="B211" s="7" t="n">
        <f aca="false">'Raw Data'!B211</f>
        <v>62</v>
      </c>
      <c r="C211" s="7" t="str">
        <f aca="false">'Raw Data'!C211</f>
        <v>Female</v>
      </c>
      <c r="D211" s="7" t="str">
        <f aca="false">'Raw Data'!D211</f>
        <v>Never</v>
      </c>
      <c r="E211" s="7" t="str">
        <f aca="false">'Raw Data'!J211</f>
        <v>Normal</v>
      </c>
      <c r="F211" s="7" t="n">
        <f aca="false">'Raw Data'!K211</f>
        <v>129.2</v>
      </c>
      <c r="G211" s="7" t="str">
        <f aca="false">'Raw Data'!L211</f>
        <v>Yes</v>
      </c>
      <c r="H211" s="7" t="str">
        <f aca="false">'Raw Data'!M211</f>
        <v>Low</v>
      </c>
      <c r="I211" s="7" t="n">
        <f aca="false">(IF(D211="Current",3,IF(D211="Former",1,0)))+(IF(E211="High",3,IF(E211="Normal",1,0)))+(IF(F211&gt;=240,2,IF(F211&gt;=200,1,0)))+(IF(G211="Yes",2,0))+(IF(H211="High",2,IF(H211="Moderate",1,0)))</f>
        <v>3</v>
      </c>
      <c r="J211" s="7" t="str">
        <f aca="false">IF(I211&gt;=8,"High",IF(I211&gt;=4,"Medium","Low"))</f>
        <v>Low</v>
      </c>
    </row>
    <row r="212" customFormat="false" ht="15" hidden="false" customHeight="true" outlineLevel="0" collapsed="false">
      <c r="A212" s="7" t="n">
        <f aca="false">'Raw Data'!A212</f>
        <v>292</v>
      </c>
      <c r="B212" s="7" t="n">
        <f aca="false">'Raw Data'!B212</f>
        <v>40</v>
      </c>
      <c r="C212" s="7" t="str">
        <f aca="false">'Raw Data'!C212</f>
        <v>Male</v>
      </c>
      <c r="D212" s="7" t="str">
        <f aca="false">'Raw Data'!D212</f>
        <v>Never</v>
      </c>
      <c r="E212" s="7" t="str">
        <f aca="false">'Raw Data'!J212</f>
        <v>Normal</v>
      </c>
      <c r="F212" s="7" t="n">
        <f aca="false">'Raw Data'!K212</f>
        <v>226.3</v>
      </c>
      <c r="G212" s="7" t="str">
        <f aca="false">'Raw Data'!L212</f>
        <v>Yes</v>
      </c>
      <c r="H212" s="7" t="str">
        <f aca="false">'Raw Data'!M212</f>
        <v>Low</v>
      </c>
      <c r="I212" s="7" t="n">
        <f aca="false">(IF(D212="Current",3,IF(D212="Former",1,0)))+(IF(E212="High",3,IF(E212="Normal",1,0)))+(IF(F212&gt;=240,2,IF(F212&gt;=200,1,0)))+(IF(G212="Yes",2,0))+(IF(H212="High",2,IF(H212="Moderate",1,0)))</f>
        <v>4</v>
      </c>
      <c r="J212" s="7" t="str">
        <f aca="false">IF(I212&gt;=8,"High",IF(I212&gt;=4,"Medium","Low"))</f>
        <v>Medium</v>
      </c>
    </row>
    <row r="213" customFormat="false" ht="15" hidden="false" customHeight="true" outlineLevel="0" collapsed="false">
      <c r="A213" s="7" t="n">
        <f aca="false">'Raw Data'!A213</f>
        <v>354</v>
      </c>
      <c r="B213" s="7" t="n">
        <f aca="false">'Raw Data'!B213</f>
        <v>89</v>
      </c>
      <c r="C213" s="7" t="str">
        <f aca="false">'Raw Data'!C213</f>
        <v>Female</v>
      </c>
      <c r="D213" s="7" t="str">
        <f aca="false">'Raw Data'!D213</f>
        <v>Never</v>
      </c>
      <c r="E213" s="7" t="str">
        <f aca="false">'Raw Data'!J213</f>
        <v>Normal</v>
      </c>
      <c r="F213" s="7" t="n">
        <f aca="false">'Raw Data'!K213</f>
        <v>173.9</v>
      </c>
      <c r="G213" s="7" t="str">
        <f aca="false">'Raw Data'!L213</f>
        <v>Yes</v>
      </c>
      <c r="H213" s="7" t="str">
        <f aca="false">'Raw Data'!M213</f>
        <v>Low</v>
      </c>
      <c r="I213" s="7" t="n">
        <f aca="false">(IF(D213="Current",3,IF(D213="Former",1,0)))+(IF(E213="High",3,IF(E213="Normal",1,0)))+(IF(F213&gt;=240,2,IF(F213&gt;=200,1,0)))+(IF(G213="Yes",2,0))+(IF(H213="High",2,IF(H213="Moderate",1,0)))</f>
        <v>3</v>
      </c>
      <c r="J213" s="7" t="str">
        <f aca="false">IF(I213&gt;=8,"High",IF(I213&gt;=4,"Medium","Low"))</f>
        <v>Low</v>
      </c>
    </row>
    <row r="214" customFormat="false" ht="15" hidden="false" customHeight="true" outlineLevel="0" collapsed="false">
      <c r="A214" s="7" t="n">
        <f aca="false">'Raw Data'!A214</f>
        <v>376</v>
      </c>
      <c r="B214" s="7" t="n">
        <f aca="false">'Raw Data'!B214</f>
        <v>38</v>
      </c>
      <c r="C214" s="7" t="str">
        <f aca="false">'Raw Data'!C214</f>
        <v>Male</v>
      </c>
      <c r="D214" s="7" t="str">
        <f aca="false">'Raw Data'!D214</f>
        <v>Never</v>
      </c>
      <c r="E214" s="7" t="str">
        <f aca="false">'Raw Data'!J214</f>
        <v>Normal</v>
      </c>
      <c r="F214" s="7" t="n">
        <f aca="false">'Raw Data'!K214</f>
        <v>215.7</v>
      </c>
      <c r="G214" s="7" t="str">
        <f aca="false">'Raw Data'!L214</f>
        <v>Yes</v>
      </c>
      <c r="H214" s="7" t="str">
        <f aca="false">'Raw Data'!M214</f>
        <v>Low</v>
      </c>
      <c r="I214" s="7" t="n">
        <f aca="false">(IF(D214="Current",3,IF(D214="Former",1,0)))+(IF(E214="High",3,IF(E214="Normal",1,0)))+(IF(F214&gt;=240,2,IF(F214&gt;=200,1,0)))+(IF(G214="Yes",2,0))+(IF(H214="High",2,IF(H214="Moderate",1,0)))</f>
        <v>4</v>
      </c>
      <c r="J214" s="7" t="str">
        <f aca="false">IF(I214&gt;=8,"High",IF(I214&gt;=4,"Medium","Low"))</f>
        <v>Medium</v>
      </c>
    </row>
    <row r="215" customFormat="false" ht="15" hidden="false" customHeight="true" outlineLevel="0" collapsed="false">
      <c r="A215" s="7" t="n">
        <f aca="false">'Raw Data'!A215</f>
        <v>385</v>
      </c>
      <c r="B215" s="7" t="n">
        <f aca="false">'Raw Data'!B215</f>
        <v>23</v>
      </c>
      <c r="C215" s="7" t="str">
        <f aca="false">'Raw Data'!C215</f>
        <v>Female</v>
      </c>
      <c r="D215" s="7" t="str">
        <f aca="false">'Raw Data'!D215</f>
        <v>Never</v>
      </c>
      <c r="E215" s="7" t="str">
        <f aca="false">'Raw Data'!J215</f>
        <v>Normal</v>
      </c>
      <c r="F215" s="7" t="n">
        <f aca="false">'Raw Data'!K215</f>
        <v>248.7</v>
      </c>
      <c r="G215" s="7" t="str">
        <f aca="false">'Raw Data'!L215</f>
        <v>Yes</v>
      </c>
      <c r="H215" s="7" t="str">
        <f aca="false">'Raw Data'!M215</f>
        <v>Low</v>
      </c>
      <c r="I215" s="7" t="n">
        <f aca="false">(IF(D215="Current",3,IF(D215="Former",1,0)))+(IF(E215="High",3,IF(E215="Normal",1,0)))+(IF(F215&gt;=240,2,IF(F215&gt;=200,1,0)))+(IF(G215="Yes",2,0))+(IF(H215="High",2,IF(H215="Moderate",1,0)))</f>
        <v>5</v>
      </c>
      <c r="J215" s="7" t="str">
        <f aca="false">IF(I215&gt;=8,"High",IF(I215&gt;=4,"Medium","Low"))</f>
        <v>Medium</v>
      </c>
    </row>
    <row r="216" customFormat="false" ht="15" hidden="false" customHeight="true" outlineLevel="0" collapsed="false">
      <c r="A216" s="7" t="n">
        <f aca="false">'Raw Data'!A216</f>
        <v>428</v>
      </c>
      <c r="B216" s="7" t="n">
        <f aca="false">'Raw Data'!B216</f>
        <v>18</v>
      </c>
      <c r="C216" s="7" t="str">
        <f aca="false">'Raw Data'!C216</f>
        <v>Female</v>
      </c>
      <c r="D216" s="7" t="str">
        <f aca="false">'Raw Data'!D216</f>
        <v>Never</v>
      </c>
      <c r="E216" s="7" t="str">
        <f aca="false">'Raw Data'!J216</f>
        <v>Normal</v>
      </c>
      <c r="F216" s="7" t="n">
        <f aca="false">'Raw Data'!K216</f>
        <v>245.7</v>
      </c>
      <c r="G216" s="7" t="str">
        <f aca="false">'Raw Data'!L216</f>
        <v>Yes</v>
      </c>
      <c r="H216" s="7" t="str">
        <f aca="false">'Raw Data'!M216</f>
        <v>Low</v>
      </c>
      <c r="I216" s="7" t="n">
        <f aca="false">(IF(D216="Current",3,IF(D216="Former",1,0)))+(IF(E216="High",3,IF(E216="Normal",1,0)))+(IF(F216&gt;=240,2,IF(F216&gt;=200,1,0)))+(IF(G216="Yes",2,0))+(IF(H216="High",2,IF(H216="Moderate",1,0)))</f>
        <v>5</v>
      </c>
      <c r="J216" s="7" t="str">
        <f aca="false">IF(I216&gt;=8,"High",IF(I216&gt;=4,"Medium","Low"))</f>
        <v>Medium</v>
      </c>
    </row>
    <row r="217" customFormat="false" ht="15" hidden="false" customHeight="true" outlineLevel="0" collapsed="false">
      <c r="A217" s="7" t="n">
        <f aca="false">'Raw Data'!A217</f>
        <v>450</v>
      </c>
      <c r="B217" s="7" t="n">
        <f aca="false">'Raw Data'!B217</f>
        <v>66</v>
      </c>
      <c r="C217" s="7" t="str">
        <f aca="false">'Raw Data'!C217</f>
        <v>Male</v>
      </c>
      <c r="D217" s="7" t="str">
        <f aca="false">'Raw Data'!D217</f>
        <v>Never</v>
      </c>
      <c r="E217" s="7" t="str">
        <f aca="false">'Raw Data'!J217</f>
        <v>Normal</v>
      </c>
      <c r="F217" s="7" t="n">
        <f aca="false">'Raw Data'!K217</f>
        <v>212.5</v>
      </c>
      <c r="G217" s="7" t="str">
        <f aca="false">'Raw Data'!L217</f>
        <v>Yes</v>
      </c>
      <c r="H217" s="7" t="str">
        <f aca="false">'Raw Data'!M217</f>
        <v>Low</v>
      </c>
      <c r="I217" s="7" t="n">
        <f aca="false">(IF(D217="Current",3,IF(D217="Former",1,0)))+(IF(E217="High",3,IF(E217="Normal",1,0)))+(IF(F217&gt;=240,2,IF(F217&gt;=200,1,0)))+(IF(G217="Yes",2,0))+(IF(H217="High",2,IF(H217="Moderate",1,0)))</f>
        <v>4</v>
      </c>
      <c r="J217" s="7" t="str">
        <f aca="false">IF(I217&gt;=8,"High",IF(I217&gt;=4,"Medium","Low"))</f>
        <v>Medium</v>
      </c>
    </row>
    <row r="218" customFormat="false" ht="15" hidden="false" customHeight="true" outlineLevel="0" collapsed="false">
      <c r="A218" s="7" t="n">
        <f aca="false">'Raw Data'!A218</f>
        <v>458</v>
      </c>
      <c r="B218" s="7" t="n">
        <f aca="false">'Raw Data'!B218</f>
        <v>69</v>
      </c>
      <c r="C218" s="7" t="str">
        <f aca="false">'Raw Data'!C218</f>
        <v>Male</v>
      </c>
      <c r="D218" s="7" t="str">
        <f aca="false">'Raw Data'!D218</f>
        <v>Never</v>
      </c>
      <c r="E218" s="7" t="str">
        <f aca="false">'Raw Data'!J218</f>
        <v>Normal</v>
      </c>
      <c r="F218" s="7" t="n">
        <f aca="false">'Raw Data'!K218</f>
        <v>264.7</v>
      </c>
      <c r="G218" s="7" t="str">
        <f aca="false">'Raw Data'!L218</f>
        <v>Yes</v>
      </c>
      <c r="H218" s="7" t="str">
        <f aca="false">'Raw Data'!M218</f>
        <v>Low</v>
      </c>
      <c r="I218" s="7" t="n">
        <f aca="false">(IF(D218="Current",3,IF(D218="Former",1,0)))+(IF(E218="High",3,IF(E218="Normal",1,0)))+(IF(F218&gt;=240,2,IF(F218&gt;=200,1,0)))+(IF(G218="Yes",2,0))+(IF(H218="High",2,IF(H218="Moderate",1,0)))</f>
        <v>5</v>
      </c>
      <c r="J218" s="7" t="str">
        <f aca="false">IF(I218&gt;=8,"High",IF(I218&gt;=4,"Medium","Low"))</f>
        <v>Medium</v>
      </c>
    </row>
    <row r="219" customFormat="false" ht="15" hidden="false" customHeight="true" outlineLevel="0" collapsed="false">
      <c r="A219" s="7" t="n">
        <f aca="false">'Raw Data'!A219</f>
        <v>491</v>
      </c>
      <c r="B219" s="7" t="n">
        <f aca="false">'Raw Data'!B219</f>
        <v>26</v>
      </c>
      <c r="C219" s="7" t="str">
        <f aca="false">'Raw Data'!C219</f>
        <v>Female</v>
      </c>
      <c r="D219" s="7" t="str">
        <f aca="false">'Raw Data'!D219</f>
        <v>Never</v>
      </c>
      <c r="E219" s="7" t="str">
        <f aca="false">'Raw Data'!J219</f>
        <v>Normal</v>
      </c>
      <c r="F219" s="7" t="n">
        <f aca="false">'Raw Data'!K219</f>
        <v>248.6</v>
      </c>
      <c r="G219" s="7" t="str">
        <f aca="false">'Raw Data'!L219</f>
        <v>Yes</v>
      </c>
      <c r="H219" s="7" t="str">
        <f aca="false">'Raw Data'!M219</f>
        <v>Low</v>
      </c>
      <c r="I219" s="7" t="n">
        <f aca="false">(IF(D219="Current",3,IF(D219="Former",1,0)))+(IF(E219="High",3,IF(E219="Normal",1,0)))+(IF(F219&gt;=240,2,IF(F219&gt;=200,1,0)))+(IF(G219="Yes",2,0))+(IF(H219="High",2,IF(H219="Moderate",1,0)))</f>
        <v>5</v>
      </c>
      <c r="J219" s="7" t="str">
        <f aca="false">IF(I219&gt;=8,"High",IF(I219&gt;=4,"Medium","Low"))</f>
        <v>Medium</v>
      </c>
    </row>
    <row r="220" customFormat="false" ht="15" hidden="false" customHeight="true" outlineLevel="0" collapsed="false">
      <c r="A220" s="7" t="n">
        <f aca="false">'Raw Data'!A220</f>
        <v>498</v>
      </c>
      <c r="B220" s="7" t="n">
        <f aca="false">'Raw Data'!B220</f>
        <v>19</v>
      </c>
      <c r="C220" s="7" t="str">
        <f aca="false">'Raw Data'!C220</f>
        <v>Female</v>
      </c>
      <c r="D220" s="7" t="str">
        <f aca="false">'Raw Data'!D220</f>
        <v>Never</v>
      </c>
      <c r="E220" s="7" t="str">
        <f aca="false">'Raw Data'!J220</f>
        <v>Normal</v>
      </c>
      <c r="F220" s="7" t="n">
        <f aca="false">'Raw Data'!K220</f>
        <v>247.3</v>
      </c>
      <c r="G220" s="7" t="str">
        <f aca="false">'Raw Data'!L220</f>
        <v>Yes</v>
      </c>
      <c r="H220" s="7" t="str">
        <f aca="false">'Raw Data'!M220</f>
        <v>Low</v>
      </c>
      <c r="I220" s="7" t="n">
        <f aca="false">(IF(D220="Current",3,IF(D220="Former",1,0)))+(IF(E220="High",3,IF(E220="Normal",1,0)))+(IF(F220&gt;=240,2,IF(F220&gt;=200,1,0)))+(IF(G220="Yes",2,0))+(IF(H220="High",2,IF(H220="Moderate",1,0)))</f>
        <v>5</v>
      </c>
      <c r="J220" s="7" t="str">
        <f aca="false">IF(I220&gt;=8,"High",IF(I220&gt;=4,"Medium","Low"))</f>
        <v>Medium</v>
      </c>
    </row>
    <row r="221" customFormat="false" ht="15" hidden="false" customHeight="true" outlineLevel="0" collapsed="false">
      <c r="A221" s="7" t="n">
        <f aca="false">'Raw Data'!A221</f>
        <v>513</v>
      </c>
      <c r="B221" s="7" t="n">
        <f aca="false">'Raw Data'!B221</f>
        <v>85</v>
      </c>
      <c r="C221" s="7" t="str">
        <f aca="false">'Raw Data'!C221</f>
        <v>Female</v>
      </c>
      <c r="D221" s="7" t="str">
        <f aca="false">'Raw Data'!D221</f>
        <v>Never</v>
      </c>
      <c r="E221" s="7" t="str">
        <f aca="false">'Raw Data'!J221</f>
        <v>Normal</v>
      </c>
      <c r="F221" s="7" t="n">
        <f aca="false">'Raw Data'!K221</f>
        <v>167.7</v>
      </c>
      <c r="G221" s="7" t="str">
        <f aca="false">'Raw Data'!L221</f>
        <v>Yes</v>
      </c>
      <c r="H221" s="7" t="str">
        <f aca="false">'Raw Data'!M221</f>
        <v>Low</v>
      </c>
      <c r="I221" s="7" t="n">
        <f aca="false">(IF(D221="Current",3,IF(D221="Former",1,0)))+(IF(E221="High",3,IF(E221="Normal",1,0)))+(IF(F221&gt;=240,2,IF(F221&gt;=200,1,0)))+(IF(G221="Yes",2,0))+(IF(H221="High",2,IF(H221="Moderate",1,0)))</f>
        <v>3</v>
      </c>
      <c r="J221" s="7" t="str">
        <f aca="false">IF(I221&gt;=8,"High",IF(I221&gt;=4,"Medium","Low"))</f>
        <v>Low</v>
      </c>
    </row>
    <row r="222" customFormat="false" ht="15" hidden="false" customHeight="true" outlineLevel="0" collapsed="false">
      <c r="A222" s="7" t="n">
        <f aca="false">'Raw Data'!A222</f>
        <v>524</v>
      </c>
      <c r="B222" s="7" t="n">
        <f aca="false">'Raw Data'!B222</f>
        <v>52</v>
      </c>
      <c r="C222" s="7" t="str">
        <f aca="false">'Raw Data'!C222</f>
        <v>Female</v>
      </c>
      <c r="D222" s="7" t="str">
        <f aca="false">'Raw Data'!D222</f>
        <v>Never</v>
      </c>
      <c r="E222" s="7" t="str">
        <f aca="false">'Raw Data'!J222</f>
        <v>Normal</v>
      </c>
      <c r="F222" s="7" t="n">
        <f aca="false">'Raw Data'!K222</f>
        <v>263.2</v>
      </c>
      <c r="G222" s="7" t="str">
        <f aca="false">'Raw Data'!L222</f>
        <v>Yes</v>
      </c>
      <c r="H222" s="7" t="str">
        <f aca="false">'Raw Data'!M222</f>
        <v>Low</v>
      </c>
      <c r="I222" s="7" t="n">
        <f aca="false">(IF(D222="Current",3,IF(D222="Former",1,0)))+(IF(E222="High",3,IF(E222="Normal",1,0)))+(IF(F222&gt;=240,2,IF(F222&gt;=200,1,0)))+(IF(G222="Yes",2,0))+(IF(H222="High",2,IF(H222="Moderate",1,0)))</f>
        <v>5</v>
      </c>
      <c r="J222" s="7" t="str">
        <f aca="false">IF(I222&gt;=8,"High",IF(I222&gt;=4,"Medium","Low"))</f>
        <v>Medium</v>
      </c>
    </row>
    <row r="223" customFormat="false" ht="15" hidden="false" customHeight="true" outlineLevel="0" collapsed="false">
      <c r="A223" s="7" t="n">
        <f aca="false">'Raw Data'!A223</f>
        <v>533</v>
      </c>
      <c r="B223" s="7" t="n">
        <f aca="false">'Raw Data'!B223</f>
        <v>37</v>
      </c>
      <c r="C223" s="7" t="str">
        <f aca="false">'Raw Data'!C223</f>
        <v>Female</v>
      </c>
      <c r="D223" s="7" t="str">
        <f aca="false">'Raw Data'!D223</f>
        <v>Never</v>
      </c>
      <c r="E223" s="7" t="str">
        <f aca="false">'Raw Data'!J223</f>
        <v>Normal</v>
      </c>
      <c r="F223" s="7" t="n">
        <f aca="false">'Raw Data'!K223</f>
        <v>170.9</v>
      </c>
      <c r="G223" s="7" t="str">
        <f aca="false">'Raw Data'!L223</f>
        <v>Yes</v>
      </c>
      <c r="H223" s="7" t="str">
        <f aca="false">'Raw Data'!M223</f>
        <v>Low</v>
      </c>
      <c r="I223" s="7" t="n">
        <f aca="false">(IF(D223="Current",3,IF(D223="Former",1,0)))+(IF(E223="High",3,IF(E223="Normal",1,0)))+(IF(F223&gt;=240,2,IF(F223&gt;=200,1,0)))+(IF(G223="Yes",2,0))+(IF(H223="High",2,IF(H223="Moderate",1,0)))</f>
        <v>3</v>
      </c>
      <c r="J223" s="7" t="str">
        <f aca="false">IF(I223&gt;=8,"High",IF(I223&gt;=4,"Medium","Low"))</f>
        <v>Low</v>
      </c>
    </row>
    <row r="224" customFormat="false" ht="15" hidden="false" customHeight="true" outlineLevel="0" collapsed="false">
      <c r="A224" s="7" t="n">
        <f aca="false">'Raw Data'!A224</f>
        <v>644</v>
      </c>
      <c r="B224" s="7" t="n">
        <f aca="false">'Raw Data'!B224</f>
        <v>29</v>
      </c>
      <c r="C224" s="7" t="str">
        <f aca="false">'Raw Data'!C224</f>
        <v>Female</v>
      </c>
      <c r="D224" s="7" t="str">
        <f aca="false">'Raw Data'!D224</f>
        <v>Never</v>
      </c>
      <c r="E224" s="7" t="str">
        <f aca="false">'Raw Data'!J224</f>
        <v>Normal</v>
      </c>
      <c r="F224" s="7" t="n">
        <f aca="false">'Raw Data'!K224</f>
        <v>279.7</v>
      </c>
      <c r="G224" s="7" t="str">
        <f aca="false">'Raw Data'!L224</f>
        <v>Yes</v>
      </c>
      <c r="H224" s="7" t="str">
        <f aca="false">'Raw Data'!M224</f>
        <v>Low</v>
      </c>
      <c r="I224" s="7" t="n">
        <f aca="false">(IF(D224="Current",3,IF(D224="Former",1,0)))+(IF(E224="High",3,IF(E224="Normal",1,0)))+(IF(F224&gt;=240,2,IF(F224&gt;=200,1,0)))+(IF(G224="Yes",2,0))+(IF(H224="High",2,IF(H224="Moderate",1,0)))</f>
        <v>5</v>
      </c>
      <c r="J224" s="7" t="str">
        <f aca="false">IF(I224&gt;=8,"High",IF(I224&gt;=4,"Medium","Low"))</f>
        <v>Medium</v>
      </c>
    </row>
    <row r="225" customFormat="false" ht="15" hidden="false" customHeight="true" outlineLevel="0" collapsed="false">
      <c r="A225" s="7" t="n">
        <f aca="false">'Raw Data'!A225</f>
        <v>659</v>
      </c>
      <c r="B225" s="7" t="n">
        <f aca="false">'Raw Data'!B225</f>
        <v>23</v>
      </c>
      <c r="C225" s="7" t="str">
        <f aca="false">'Raw Data'!C225</f>
        <v>Female</v>
      </c>
      <c r="D225" s="7" t="str">
        <f aca="false">'Raw Data'!D225</f>
        <v>Never</v>
      </c>
      <c r="E225" s="7" t="str">
        <f aca="false">'Raw Data'!J225</f>
        <v>Normal</v>
      </c>
      <c r="F225" s="7" t="n">
        <f aca="false">'Raw Data'!K225</f>
        <v>221.2</v>
      </c>
      <c r="G225" s="7" t="str">
        <f aca="false">'Raw Data'!L225</f>
        <v>Yes</v>
      </c>
      <c r="H225" s="7" t="str">
        <f aca="false">'Raw Data'!M225</f>
        <v>Low</v>
      </c>
      <c r="I225" s="7" t="n">
        <f aca="false">(IF(D225="Current",3,IF(D225="Former",1,0)))+(IF(E225="High",3,IF(E225="Normal",1,0)))+(IF(F225&gt;=240,2,IF(F225&gt;=200,1,0)))+(IF(G225="Yes",2,0))+(IF(H225="High",2,IF(H225="Moderate",1,0)))</f>
        <v>4</v>
      </c>
      <c r="J225" s="7" t="str">
        <f aca="false">IF(I225&gt;=8,"High",IF(I225&gt;=4,"Medium","Low"))</f>
        <v>Medium</v>
      </c>
    </row>
    <row r="226" customFormat="false" ht="15" hidden="false" customHeight="true" outlineLevel="0" collapsed="false">
      <c r="A226" s="7" t="n">
        <f aca="false">'Raw Data'!A226</f>
        <v>667</v>
      </c>
      <c r="B226" s="7" t="n">
        <f aca="false">'Raw Data'!B226</f>
        <v>74</v>
      </c>
      <c r="C226" s="7" t="str">
        <f aca="false">'Raw Data'!C226</f>
        <v>Female</v>
      </c>
      <c r="D226" s="7" t="str">
        <f aca="false">'Raw Data'!D226</f>
        <v>Never</v>
      </c>
      <c r="E226" s="7" t="str">
        <f aca="false">'Raw Data'!J226</f>
        <v>Normal</v>
      </c>
      <c r="F226" s="7" t="n">
        <f aca="false">'Raw Data'!K226</f>
        <v>152.1</v>
      </c>
      <c r="G226" s="7" t="str">
        <f aca="false">'Raw Data'!L226</f>
        <v>Yes</v>
      </c>
      <c r="H226" s="7" t="str">
        <f aca="false">'Raw Data'!M226</f>
        <v>Low</v>
      </c>
      <c r="I226" s="7" t="n">
        <f aca="false">(IF(D226="Current",3,IF(D226="Former",1,0)))+(IF(E226="High",3,IF(E226="Normal",1,0)))+(IF(F226&gt;=240,2,IF(F226&gt;=200,1,0)))+(IF(G226="Yes",2,0))+(IF(H226="High",2,IF(H226="Moderate",1,0)))</f>
        <v>3</v>
      </c>
      <c r="J226" s="7" t="str">
        <f aca="false">IF(I226&gt;=8,"High",IF(I226&gt;=4,"Medium","Low"))</f>
        <v>Low</v>
      </c>
    </row>
    <row r="227" customFormat="false" ht="15" hidden="false" customHeight="true" outlineLevel="0" collapsed="false">
      <c r="A227" s="7" t="n">
        <f aca="false">'Raw Data'!A227</f>
        <v>678</v>
      </c>
      <c r="B227" s="7" t="n">
        <f aca="false">'Raw Data'!B227</f>
        <v>88</v>
      </c>
      <c r="C227" s="7" t="str">
        <f aca="false">'Raw Data'!C227</f>
        <v>Female</v>
      </c>
      <c r="D227" s="7" t="str">
        <f aca="false">'Raw Data'!D227</f>
        <v>Never</v>
      </c>
      <c r="E227" s="7" t="str">
        <f aca="false">'Raw Data'!J227</f>
        <v>Normal</v>
      </c>
      <c r="F227" s="7" t="n">
        <f aca="false">'Raw Data'!K227</f>
        <v>299.9</v>
      </c>
      <c r="G227" s="7" t="str">
        <f aca="false">'Raw Data'!L227</f>
        <v>Yes</v>
      </c>
      <c r="H227" s="7" t="str">
        <f aca="false">'Raw Data'!M227</f>
        <v>Low</v>
      </c>
      <c r="I227" s="7" t="n">
        <f aca="false">(IF(D227="Current",3,IF(D227="Former",1,0)))+(IF(E227="High",3,IF(E227="Normal",1,0)))+(IF(F227&gt;=240,2,IF(F227&gt;=200,1,0)))+(IF(G227="Yes",2,0))+(IF(H227="High",2,IF(H227="Moderate",1,0)))</f>
        <v>5</v>
      </c>
      <c r="J227" s="7" t="str">
        <f aca="false">IF(I227&gt;=8,"High",IF(I227&gt;=4,"Medium","Low"))</f>
        <v>Medium</v>
      </c>
    </row>
    <row r="228" customFormat="false" ht="15" hidden="false" customHeight="true" outlineLevel="0" collapsed="false">
      <c r="A228" s="7" t="n">
        <f aca="false">'Raw Data'!A228</f>
        <v>703</v>
      </c>
      <c r="B228" s="7" t="n">
        <f aca="false">'Raw Data'!B228</f>
        <v>22</v>
      </c>
      <c r="C228" s="7" t="str">
        <f aca="false">'Raw Data'!C228</f>
        <v>Male</v>
      </c>
      <c r="D228" s="7" t="str">
        <f aca="false">'Raw Data'!D228</f>
        <v>Never</v>
      </c>
      <c r="E228" s="7" t="str">
        <f aca="false">'Raw Data'!J228</f>
        <v>Normal</v>
      </c>
      <c r="F228" s="7" t="n">
        <f aca="false">'Raw Data'!K228</f>
        <v>120</v>
      </c>
      <c r="G228" s="7" t="str">
        <f aca="false">'Raw Data'!L228</f>
        <v>Yes</v>
      </c>
      <c r="H228" s="7" t="str">
        <f aca="false">'Raw Data'!M228</f>
        <v>Low</v>
      </c>
      <c r="I228" s="7" t="n">
        <f aca="false">(IF(D228="Current",3,IF(D228="Former",1,0)))+(IF(E228="High",3,IF(E228="Normal",1,0)))+(IF(F228&gt;=240,2,IF(F228&gt;=200,1,0)))+(IF(G228="Yes",2,0))+(IF(H228="High",2,IF(H228="Moderate",1,0)))</f>
        <v>3</v>
      </c>
      <c r="J228" s="7" t="str">
        <f aca="false">IF(I228&gt;=8,"High",IF(I228&gt;=4,"Medium","Low"))</f>
        <v>Low</v>
      </c>
    </row>
    <row r="229" customFormat="false" ht="15" hidden="false" customHeight="true" outlineLevel="0" collapsed="false">
      <c r="A229" s="7" t="n">
        <f aca="false">'Raw Data'!A229</f>
        <v>745</v>
      </c>
      <c r="B229" s="7" t="n">
        <f aca="false">'Raw Data'!B229</f>
        <v>62</v>
      </c>
      <c r="C229" s="7" t="str">
        <f aca="false">'Raw Data'!C229</f>
        <v>Female</v>
      </c>
      <c r="D229" s="7" t="str">
        <f aca="false">'Raw Data'!D229</f>
        <v>Never</v>
      </c>
      <c r="E229" s="7" t="str">
        <f aca="false">'Raw Data'!J229</f>
        <v>Normal</v>
      </c>
      <c r="F229" s="7" t="n">
        <f aca="false">'Raw Data'!K229</f>
        <v>174.9</v>
      </c>
      <c r="G229" s="7" t="str">
        <f aca="false">'Raw Data'!L229</f>
        <v>Yes</v>
      </c>
      <c r="H229" s="7" t="str">
        <f aca="false">'Raw Data'!M229</f>
        <v>Low</v>
      </c>
      <c r="I229" s="7" t="n">
        <f aca="false">(IF(D229="Current",3,IF(D229="Former",1,0)))+(IF(E229="High",3,IF(E229="Normal",1,0)))+(IF(F229&gt;=240,2,IF(F229&gt;=200,1,0)))+(IF(G229="Yes",2,0))+(IF(H229="High",2,IF(H229="Moderate",1,0)))</f>
        <v>3</v>
      </c>
      <c r="J229" s="7" t="str">
        <f aca="false">IF(I229&gt;=8,"High",IF(I229&gt;=4,"Medium","Low"))</f>
        <v>Low</v>
      </c>
    </row>
    <row r="230" customFormat="false" ht="15" hidden="false" customHeight="true" outlineLevel="0" collapsed="false">
      <c r="A230" s="7" t="n">
        <f aca="false">'Raw Data'!A230</f>
        <v>771</v>
      </c>
      <c r="B230" s="7" t="n">
        <f aca="false">'Raw Data'!B230</f>
        <v>89</v>
      </c>
      <c r="C230" s="7" t="str">
        <f aca="false">'Raw Data'!C230</f>
        <v>Male</v>
      </c>
      <c r="D230" s="7" t="str">
        <f aca="false">'Raw Data'!D230</f>
        <v>Never</v>
      </c>
      <c r="E230" s="7" t="str">
        <f aca="false">'Raw Data'!J230</f>
        <v>Normal</v>
      </c>
      <c r="F230" s="7" t="n">
        <f aca="false">'Raw Data'!K230</f>
        <v>293.6</v>
      </c>
      <c r="G230" s="7" t="str">
        <f aca="false">'Raw Data'!L230</f>
        <v>Yes</v>
      </c>
      <c r="H230" s="7" t="str">
        <f aca="false">'Raw Data'!M230</f>
        <v>Low</v>
      </c>
      <c r="I230" s="7" t="n">
        <f aca="false">(IF(D230="Current",3,IF(D230="Former",1,0)))+(IF(E230="High",3,IF(E230="Normal",1,0)))+(IF(F230&gt;=240,2,IF(F230&gt;=200,1,0)))+(IF(G230="Yes",2,0))+(IF(H230="High",2,IF(H230="Moderate",1,0)))</f>
        <v>5</v>
      </c>
      <c r="J230" s="7" t="str">
        <f aca="false">IF(I230&gt;=8,"High",IF(I230&gt;=4,"Medium","Low"))</f>
        <v>Medium</v>
      </c>
    </row>
    <row r="231" customFormat="false" ht="15" hidden="false" customHeight="true" outlineLevel="0" collapsed="false">
      <c r="A231" s="7" t="n">
        <f aca="false">'Raw Data'!A231</f>
        <v>778</v>
      </c>
      <c r="B231" s="7" t="n">
        <f aca="false">'Raw Data'!B231</f>
        <v>61</v>
      </c>
      <c r="C231" s="7" t="str">
        <f aca="false">'Raw Data'!C231</f>
        <v>Male</v>
      </c>
      <c r="D231" s="7" t="str">
        <f aca="false">'Raw Data'!D231</f>
        <v>Never</v>
      </c>
      <c r="E231" s="7" t="str">
        <f aca="false">'Raw Data'!J231</f>
        <v>Normal</v>
      </c>
      <c r="F231" s="7" t="n">
        <f aca="false">'Raw Data'!K231</f>
        <v>200.1</v>
      </c>
      <c r="G231" s="7" t="str">
        <f aca="false">'Raw Data'!L231</f>
        <v>Yes</v>
      </c>
      <c r="H231" s="7" t="str">
        <f aca="false">'Raw Data'!M231</f>
        <v>Low</v>
      </c>
      <c r="I231" s="7" t="n">
        <f aca="false">(IF(D231="Current",3,IF(D231="Former",1,0)))+(IF(E231="High",3,IF(E231="Normal",1,0)))+(IF(F231&gt;=240,2,IF(F231&gt;=200,1,0)))+(IF(G231="Yes",2,0))+(IF(H231="High",2,IF(H231="Moderate",1,0)))</f>
        <v>4</v>
      </c>
      <c r="J231" s="7" t="str">
        <f aca="false">IF(I231&gt;=8,"High",IF(I231&gt;=4,"Medium","Low"))</f>
        <v>Medium</v>
      </c>
    </row>
    <row r="232" customFormat="false" ht="15" hidden="false" customHeight="true" outlineLevel="0" collapsed="false">
      <c r="A232" s="7" t="n">
        <f aca="false">'Raw Data'!A232</f>
        <v>780</v>
      </c>
      <c r="B232" s="7" t="n">
        <f aca="false">'Raw Data'!B232</f>
        <v>65</v>
      </c>
      <c r="C232" s="7" t="str">
        <f aca="false">'Raw Data'!C232</f>
        <v>Female</v>
      </c>
      <c r="D232" s="7" t="str">
        <f aca="false">'Raw Data'!D232</f>
        <v>Never</v>
      </c>
      <c r="E232" s="7" t="str">
        <f aca="false">'Raw Data'!J232</f>
        <v>Normal</v>
      </c>
      <c r="F232" s="7" t="n">
        <f aca="false">'Raw Data'!K232</f>
        <v>232.4</v>
      </c>
      <c r="G232" s="7" t="str">
        <f aca="false">'Raw Data'!L232</f>
        <v>Yes</v>
      </c>
      <c r="H232" s="7" t="str">
        <f aca="false">'Raw Data'!M232</f>
        <v>Low</v>
      </c>
      <c r="I232" s="7" t="n">
        <f aca="false">(IF(D232="Current",3,IF(D232="Former",1,0)))+(IF(E232="High",3,IF(E232="Normal",1,0)))+(IF(F232&gt;=240,2,IF(F232&gt;=200,1,0)))+(IF(G232="Yes",2,0))+(IF(H232="High",2,IF(H232="Moderate",1,0)))</f>
        <v>4</v>
      </c>
      <c r="J232" s="7" t="str">
        <f aca="false">IF(I232&gt;=8,"High",IF(I232&gt;=4,"Medium","Low"))</f>
        <v>Medium</v>
      </c>
    </row>
    <row r="233" customFormat="false" ht="15" hidden="false" customHeight="true" outlineLevel="0" collapsed="false">
      <c r="A233" s="7" t="n">
        <f aca="false">'Raw Data'!A233</f>
        <v>783</v>
      </c>
      <c r="B233" s="7" t="n">
        <f aca="false">'Raw Data'!B233</f>
        <v>18</v>
      </c>
      <c r="C233" s="7" t="str">
        <f aca="false">'Raw Data'!C233</f>
        <v>Male</v>
      </c>
      <c r="D233" s="7" t="str">
        <f aca="false">'Raw Data'!D233</f>
        <v>Never</v>
      </c>
      <c r="E233" s="7" t="str">
        <f aca="false">'Raw Data'!J233</f>
        <v>Normal</v>
      </c>
      <c r="F233" s="7" t="n">
        <f aca="false">'Raw Data'!K233</f>
        <v>288.1</v>
      </c>
      <c r="G233" s="7" t="str">
        <f aca="false">'Raw Data'!L233</f>
        <v>Yes</v>
      </c>
      <c r="H233" s="7" t="str">
        <f aca="false">'Raw Data'!M233</f>
        <v>Low</v>
      </c>
      <c r="I233" s="7" t="n">
        <f aca="false">(IF(D233="Current",3,IF(D233="Former",1,0)))+(IF(E233="High",3,IF(E233="Normal",1,0)))+(IF(F233&gt;=240,2,IF(F233&gt;=200,1,0)))+(IF(G233="Yes",2,0))+(IF(H233="High",2,IF(H233="Moderate",1,0)))</f>
        <v>5</v>
      </c>
      <c r="J233" s="7" t="str">
        <f aca="false">IF(I233&gt;=8,"High",IF(I233&gt;=4,"Medium","Low"))</f>
        <v>Medium</v>
      </c>
    </row>
    <row r="234" customFormat="false" ht="15" hidden="false" customHeight="true" outlineLevel="0" collapsed="false">
      <c r="A234" s="7" t="n">
        <f aca="false">'Raw Data'!A234</f>
        <v>800</v>
      </c>
      <c r="B234" s="7" t="n">
        <f aca="false">'Raw Data'!B234</f>
        <v>79</v>
      </c>
      <c r="C234" s="7" t="str">
        <f aca="false">'Raw Data'!C234</f>
        <v>Male</v>
      </c>
      <c r="D234" s="7" t="str">
        <f aca="false">'Raw Data'!D234</f>
        <v>Never</v>
      </c>
      <c r="E234" s="7" t="str">
        <f aca="false">'Raw Data'!J234</f>
        <v>Normal</v>
      </c>
      <c r="F234" s="7" t="n">
        <f aca="false">'Raw Data'!K234</f>
        <v>227.7</v>
      </c>
      <c r="G234" s="7" t="str">
        <f aca="false">'Raw Data'!L234</f>
        <v>Yes</v>
      </c>
      <c r="H234" s="7" t="str">
        <f aca="false">'Raw Data'!M234</f>
        <v>Low</v>
      </c>
      <c r="I234" s="7" t="n">
        <f aca="false">(IF(D234="Current",3,IF(D234="Former",1,0)))+(IF(E234="High",3,IF(E234="Normal",1,0)))+(IF(F234&gt;=240,2,IF(F234&gt;=200,1,0)))+(IF(G234="Yes",2,0))+(IF(H234="High",2,IF(H234="Moderate",1,0)))</f>
        <v>4</v>
      </c>
      <c r="J234" s="7" t="str">
        <f aca="false">IF(I234&gt;=8,"High",IF(I234&gt;=4,"Medium","Low"))</f>
        <v>Medium</v>
      </c>
    </row>
    <row r="235" customFormat="false" ht="15" hidden="false" customHeight="true" outlineLevel="0" collapsed="false">
      <c r="A235" s="7" t="n">
        <f aca="false">'Raw Data'!A235</f>
        <v>802</v>
      </c>
      <c r="B235" s="7" t="n">
        <f aca="false">'Raw Data'!B235</f>
        <v>58</v>
      </c>
      <c r="C235" s="7" t="str">
        <f aca="false">'Raw Data'!C235</f>
        <v>Female</v>
      </c>
      <c r="D235" s="7" t="str">
        <f aca="false">'Raw Data'!D235</f>
        <v>Never</v>
      </c>
      <c r="E235" s="7" t="str">
        <f aca="false">'Raw Data'!J235</f>
        <v>Normal</v>
      </c>
      <c r="F235" s="7" t="n">
        <f aca="false">'Raw Data'!K235</f>
        <v>243.9</v>
      </c>
      <c r="G235" s="7" t="str">
        <f aca="false">'Raw Data'!L235</f>
        <v>Yes</v>
      </c>
      <c r="H235" s="7" t="str">
        <f aca="false">'Raw Data'!M235</f>
        <v>Low</v>
      </c>
      <c r="I235" s="7" t="n">
        <f aca="false">(IF(D235="Current",3,IF(D235="Former",1,0)))+(IF(E235="High",3,IF(E235="Normal",1,0)))+(IF(F235&gt;=240,2,IF(F235&gt;=200,1,0)))+(IF(G235="Yes",2,0))+(IF(H235="High",2,IF(H235="Moderate",1,0)))</f>
        <v>5</v>
      </c>
      <c r="J235" s="7" t="str">
        <f aca="false">IF(I235&gt;=8,"High",IF(I235&gt;=4,"Medium","Low"))</f>
        <v>Medium</v>
      </c>
    </row>
    <row r="236" customFormat="false" ht="15" hidden="false" customHeight="true" outlineLevel="0" collapsed="false">
      <c r="A236" s="7" t="n">
        <f aca="false">'Raw Data'!A236</f>
        <v>812</v>
      </c>
      <c r="B236" s="7" t="n">
        <f aca="false">'Raw Data'!B236</f>
        <v>75</v>
      </c>
      <c r="C236" s="7" t="str">
        <f aca="false">'Raw Data'!C236</f>
        <v>Female</v>
      </c>
      <c r="D236" s="7" t="str">
        <f aca="false">'Raw Data'!D236</f>
        <v>Never</v>
      </c>
      <c r="E236" s="7" t="str">
        <f aca="false">'Raw Data'!J236</f>
        <v>Normal</v>
      </c>
      <c r="F236" s="7" t="n">
        <f aca="false">'Raw Data'!K236</f>
        <v>176.5</v>
      </c>
      <c r="G236" s="7" t="str">
        <f aca="false">'Raw Data'!L236</f>
        <v>Yes</v>
      </c>
      <c r="H236" s="7" t="str">
        <f aca="false">'Raw Data'!M236</f>
        <v>Low</v>
      </c>
      <c r="I236" s="7" t="n">
        <f aca="false">(IF(D236="Current",3,IF(D236="Former",1,0)))+(IF(E236="High",3,IF(E236="Normal",1,0)))+(IF(F236&gt;=240,2,IF(F236&gt;=200,1,0)))+(IF(G236="Yes",2,0))+(IF(H236="High",2,IF(H236="Moderate",1,0)))</f>
        <v>3</v>
      </c>
      <c r="J236" s="7" t="str">
        <f aca="false">IF(I236&gt;=8,"High",IF(I236&gt;=4,"Medium","Low"))</f>
        <v>Low</v>
      </c>
    </row>
    <row r="237" customFormat="false" ht="15" hidden="false" customHeight="true" outlineLevel="0" collapsed="false">
      <c r="A237" s="7" t="n">
        <f aca="false">'Raw Data'!A237</f>
        <v>821</v>
      </c>
      <c r="B237" s="7" t="n">
        <f aca="false">'Raw Data'!B237</f>
        <v>71</v>
      </c>
      <c r="C237" s="7" t="str">
        <f aca="false">'Raw Data'!C237</f>
        <v>Male</v>
      </c>
      <c r="D237" s="7" t="str">
        <f aca="false">'Raw Data'!D237</f>
        <v>Never</v>
      </c>
      <c r="E237" s="7" t="str">
        <f aca="false">'Raw Data'!J237</f>
        <v>Normal</v>
      </c>
      <c r="F237" s="7" t="n">
        <f aca="false">'Raw Data'!K237</f>
        <v>237.2</v>
      </c>
      <c r="G237" s="7" t="str">
        <f aca="false">'Raw Data'!L237</f>
        <v>Yes</v>
      </c>
      <c r="H237" s="7" t="str">
        <f aca="false">'Raw Data'!M237</f>
        <v>Low</v>
      </c>
      <c r="I237" s="7" t="n">
        <f aca="false">(IF(D237="Current",3,IF(D237="Former",1,0)))+(IF(E237="High",3,IF(E237="Normal",1,0)))+(IF(F237&gt;=240,2,IF(F237&gt;=200,1,0)))+(IF(G237="Yes",2,0))+(IF(H237="High",2,IF(H237="Moderate",1,0)))</f>
        <v>4</v>
      </c>
      <c r="J237" s="7" t="str">
        <f aca="false">IF(I237&gt;=8,"High",IF(I237&gt;=4,"Medium","Low"))</f>
        <v>Medium</v>
      </c>
    </row>
    <row r="238" customFormat="false" ht="15" hidden="false" customHeight="true" outlineLevel="0" collapsed="false">
      <c r="A238" s="7" t="n">
        <f aca="false">'Raw Data'!A238</f>
        <v>826</v>
      </c>
      <c r="B238" s="7" t="n">
        <f aca="false">'Raw Data'!B238</f>
        <v>43</v>
      </c>
      <c r="C238" s="7" t="str">
        <f aca="false">'Raw Data'!C238</f>
        <v>Female</v>
      </c>
      <c r="D238" s="7" t="str">
        <f aca="false">'Raw Data'!D238</f>
        <v>Never</v>
      </c>
      <c r="E238" s="7" t="str">
        <f aca="false">'Raw Data'!J238</f>
        <v>Normal</v>
      </c>
      <c r="F238" s="7" t="n">
        <f aca="false">'Raw Data'!K238</f>
        <v>276.8</v>
      </c>
      <c r="G238" s="7" t="str">
        <f aca="false">'Raw Data'!L238</f>
        <v>Yes</v>
      </c>
      <c r="H238" s="7" t="str">
        <f aca="false">'Raw Data'!M238</f>
        <v>Low</v>
      </c>
      <c r="I238" s="7" t="n">
        <f aca="false">(IF(D238="Current",3,IF(D238="Former",1,0)))+(IF(E238="High",3,IF(E238="Normal",1,0)))+(IF(F238&gt;=240,2,IF(F238&gt;=200,1,0)))+(IF(G238="Yes",2,0))+(IF(H238="High",2,IF(H238="Moderate",1,0)))</f>
        <v>5</v>
      </c>
      <c r="J238" s="7" t="str">
        <f aca="false">IF(I238&gt;=8,"High",IF(I238&gt;=4,"Medium","Low"))</f>
        <v>Medium</v>
      </c>
    </row>
    <row r="239" customFormat="false" ht="15" hidden="false" customHeight="true" outlineLevel="0" collapsed="false">
      <c r="A239" s="7" t="n">
        <f aca="false">'Raw Data'!A239</f>
        <v>831</v>
      </c>
      <c r="B239" s="7" t="n">
        <f aca="false">'Raw Data'!B239</f>
        <v>80</v>
      </c>
      <c r="C239" s="7" t="str">
        <f aca="false">'Raw Data'!C239</f>
        <v>Female</v>
      </c>
      <c r="D239" s="7" t="str">
        <f aca="false">'Raw Data'!D239</f>
        <v>Never</v>
      </c>
      <c r="E239" s="7" t="str">
        <f aca="false">'Raw Data'!J239</f>
        <v>Normal</v>
      </c>
      <c r="F239" s="7" t="n">
        <f aca="false">'Raw Data'!K239</f>
        <v>181.6</v>
      </c>
      <c r="G239" s="7" t="str">
        <f aca="false">'Raw Data'!L239</f>
        <v>Yes</v>
      </c>
      <c r="H239" s="7" t="str">
        <f aca="false">'Raw Data'!M239</f>
        <v>Low</v>
      </c>
      <c r="I239" s="7" t="n">
        <f aca="false">(IF(D239="Current",3,IF(D239="Former",1,0)))+(IF(E239="High",3,IF(E239="Normal",1,0)))+(IF(F239&gt;=240,2,IF(F239&gt;=200,1,0)))+(IF(G239="Yes",2,0))+(IF(H239="High",2,IF(H239="Moderate",1,0)))</f>
        <v>3</v>
      </c>
      <c r="J239" s="7" t="str">
        <f aca="false">IF(I239&gt;=8,"High",IF(I239&gt;=4,"Medium","Low"))</f>
        <v>Low</v>
      </c>
    </row>
    <row r="240" customFormat="false" ht="15" hidden="false" customHeight="true" outlineLevel="0" collapsed="false">
      <c r="A240" s="7" t="n">
        <f aca="false">'Raw Data'!A240</f>
        <v>861</v>
      </c>
      <c r="B240" s="7" t="n">
        <f aca="false">'Raw Data'!B240</f>
        <v>38</v>
      </c>
      <c r="C240" s="7" t="str">
        <f aca="false">'Raw Data'!C240</f>
        <v>Female</v>
      </c>
      <c r="D240" s="7" t="str">
        <f aca="false">'Raw Data'!D240</f>
        <v>Never</v>
      </c>
      <c r="E240" s="7" t="str">
        <f aca="false">'Raw Data'!J240</f>
        <v>Normal</v>
      </c>
      <c r="F240" s="7" t="n">
        <f aca="false">'Raw Data'!K240</f>
        <v>158.8</v>
      </c>
      <c r="G240" s="7" t="str">
        <f aca="false">'Raw Data'!L240</f>
        <v>Yes</v>
      </c>
      <c r="H240" s="7" t="str">
        <f aca="false">'Raw Data'!M240</f>
        <v>Low</v>
      </c>
      <c r="I240" s="7" t="n">
        <f aca="false">(IF(D240="Current",3,IF(D240="Former",1,0)))+(IF(E240="High",3,IF(E240="Normal",1,0)))+(IF(F240&gt;=240,2,IF(F240&gt;=200,1,0)))+(IF(G240="Yes",2,0))+(IF(H240="High",2,IF(H240="Moderate",1,0)))</f>
        <v>3</v>
      </c>
      <c r="J240" s="7" t="str">
        <f aca="false">IF(I240&gt;=8,"High",IF(I240&gt;=4,"Medium","Low"))</f>
        <v>Low</v>
      </c>
    </row>
    <row r="241" customFormat="false" ht="15" hidden="false" customHeight="true" outlineLevel="0" collapsed="false">
      <c r="A241" s="7" t="n">
        <f aca="false">'Raw Data'!A241</f>
        <v>862</v>
      </c>
      <c r="B241" s="7" t="n">
        <f aca="false">'Raw Data'!B241</f>
        <v>66</v>
      </c>
      <c r="C241" s="7" t="str">
        <f aca="false">'Raw Data'!C241</f>
        <v>Male</v>
      </c>
      <c r="D241" s="7" t="str">
        <f aca="false">'Raw Data'!D241</f>
        <v>Never</v>
      </c>
      <c r="E241" s="7" t="str">
        <f aca="false">'Raw Data'!J241</f>
        <v>Normal</v>
      </c>
      <c r="F241" s="7" t="n">
        <f aca="false">'Raw Data'!K241</f>
        <v>272.5</v>
      </c>
      <c r="G241" s="7" t="str">
        <f aca="false">'Raw Data'!L241</f>
        <v>Yes</v>
      </c>
      <c r="H241" s="7" t="str">
        <f aca="false">'Raw Data'!M241</f>
        <v>Low</v>
      </c>
      <c r="I241" s="7" t="n">
        <f aca="false">(IF(D241="Current",3,IF(D241="Former",1,0)))+(IF(E241="High",3,IF(E241="Normal",1,0)))+(IF(F241&gt;=240,2,IF(F241&gt;=200,1,0)))+(IF(G241="Yes",2,0))+(IF(H241="High",2,IF(H241="Moderate",1,0)))</f>
        <v>5</v>
      </c>
      <c r="J241" s="7" t="str">
        <f aca="false">IF(I241&gt;=8,"High",IF(I241&gt;=4,"Medium","Low"))</f>
        <v>Medium</v>
      </c>
    </row>
    <row r="242" customFormat="false" ht="15" hidden="false" customHeight="true" outlineLevel="0" collapsed="false">
      <c r="A242" s="7" t="n">
        <f aca="false">'Raw Data'!A242</f>
        <v>887</v>
      </c>
      <c r="B242" s="7" t="n">
        <f aca="false">'Raw Data'!B242</f>
        <v>47</v>
      </c>
      <c r="C242" s="7" t="str">
        <f aca="false">'Raw Data'!C242</f>
        <v>Male</v>
      </c>
      <c r="D242" s="7" t="str">
        <f aca="false">'Raw Data'!D242</f>
        <v>Never</v>
      </c>
      <c r="E242" s="7" t="str">
        <f aca="false">'Raw Data'!J242</f>
        <v>Normal</v>
      </c>
      <c r="F242" s="7" t="n">
        <f aca="false">'Raw Data'!K242</f>
        <v>121.5</v>
      </c>
      <c r="G242" s="7" t="str">
        <f aca="false">'Raw Data'!L242</f>
        <v>Yes</v>
      </c>
      <c r="H242" s="7" t="str">
        <f aca="false">'Raw Data'!M242</f>
        <v>Low</v>
      </c>
      <c r="I242" s="7" t="n">
        <f aca="false">(IF(D242="Current",3,IF(D242="Former",1,0)))+(IF(E242="High",3,IF(E242="Normal",1,0)))+(IF(F242&gt;=240,2,IF(F242&gt;=200,1,0)))+(IF(G242="Yes",2,0))+(IF(H242="High",2,IF(H242="Moderate",1,0)))</f>
        <v>3</v>
      </c>
      <c r="J242" s="7" t="str">
        <f aca="false">IF(I242&gt;=8,"High",IF(I242&gt;=4,"Medium","Low"))</f>
        <v>Low</v>
      </c>
    </row>
    <row r="243" customFormat="false" ht="15" hidden="false" customHeight="true" outlineLevel="0" collapsed="false">
      <c r="A243" s="7" t="n">
        <f aca="false">'Raw Data'!A243</f>
        <v>893</v>
      </c>
      <c r="B243" s="7" t="n">
        <f aca="false">'Raw Data'!B243</f>
        <v>26</v>
      </c>
      <c r="C243" s="7" t="str">
        <f aca="false">'Raw Data'!C243</f>
        <v>Male</v>
      </c>
      <c r="D243" s="7" t="str">
        <f aca="false">'Raw Data'!D243</f>
        <v>Never</v>
      </c>
      <c r="E243" s="7" t="str">
        <f aca="false">'Raw Data'!J243</f>
        <v>Normal</v>
      </c>
      <c r="F243" s="7" t="n">
        <f aca="false">'Raw Data'!K243</f>
        <v>178.5</v>
      </c>
      <c r="G243" s="7" t="str">
        <f aca="false">'Raw Data'!L243</f>
        <v>Yes</v>
      </c>
      <c r="H243" s="7" t="str">
        <f aca="false">'Raw Data'!M243</f>
        <v>Low</v>
      </c>
      <c r="I243" s="7" t="n">
        <f aca="false">(IF(D243="Current",3,IF(D243="Former",1,0)))+(IF(E243="High",3,IF(E243="Normal",1,0)))+(IF(F243&gt;=240,2,IF(F243&gt;=200,1,0)))+(IF(G243="Yes",2,0))+(IF(H243="High",2,IF(H243="Moderate",1,0)))</f>
        <v>3</v>
      </c>
      <c r="J243" s="7" t="str">
        <f aca="false">IF(I243&gt;=8,"High",IF(I243&gt;=4,"Medium","Low"))</f>
        <v>Low</v>
      </c>
    </row>
    <row r="244" customFormat="false" ht="15" hidden="false" customHeight="true" outlineLevel="0" collapsed="false">
      <c r="A244" s="7" t="n">
        <f aca="false">'Raw Data'!A244</f>
        <v>900</v>
      </c>
      <c r="B244" s="7" t="n">
        <f aca="false">'Raw Data'!B244</f>
        <v>70</v>
      </c>
      <c r="C244" s="7" t="str">
        <f aca="false">'Raw Data'!C244</f>
        <v>Male</v>
      </c>
      <c r="D244" s="7" t="str">
        <f aca="false">'Raw Data'!D244</f>
        <v>Never</v>
      </c>
      <c r="E244" s="7" t="str">
        <f aca="false">'Raw Data'!J244</f>
        <v>Normal</v>
      </c>
      <c r="F244" s="7" t="n">
        <f aca="false">'Raw Data'!K244</f>
        <v>222.8</v>
      </c>
      <c r="G244" s="7" t="str">
        <f aca="false">'Raw Data'!L244</f>
        <v>Yes</v>
      </c>
      <c r="H244" s="7" t="str">
        <f aca="false">'Raw Data'!M244</f>
        <v>Low</v>
      </c>
      <c r="I244" s="7" t="n">
        <f aca="false">(IF(D244="Current",3,IF(D244="Former",1,0)))+(IF(E244="High",3,IF(E244="Normal",1,0)))+(IF(F244&gt;=240,2,IF(F244&gt;=200,1,0)))+(IF(G244="Yes",2,0))+(IF(H244="High",2,IF(H244="Moderate",1,0)))</f>
        <v>4</v>
      </c>
      <c r="J244" s="7" t="str">
        <f aca="false">IF(I244&gt;=8,"High",IF(I244&gt;=4,"Medium","Low"))</f>
        <v>Medium</v>
      </c>
    </row>
    <row r="245" customFormat="false" ht="15" hidden="false" customHeight="true" outlineLevel="0" collapsed="false">
      <c r="A245" s="7" t="n">
        <f aca="false">'Raw Data'!A245</f>
        <v>931</v>
      </c>
      <c r="B245" s="7" t="n">
        <f aca="false">'Raw Data'!B245</f>
        <v>27</v>
      </c>
      <c r="C245" s="7" t="str">
        <f aca="false">'Raw Data'!C245</f>
        <v>Male</v>
      </c>
      <c r="D245" s="7" t="str">
        <f aca="false">'Raw Data'!D245</f>
        <v>Never</v>
      </c>
      <c r="E245" s="7" t="str">
        <f aca="false">'Raw Data'!J245</f>
        <v>Normal</v>
      </c>
      <c r="F245" s="7" t="n">
        <f aca="false">'Raw Data'!K245</f>
        <v>146.3</v>
      </c>
      <c r="G245" s="7" t="str">
        <f aca="false">'Raw Data'!L245</f>
        <v>Yes</v>
      </c>
      <c r="H245" s="7" t="str">
        <f aca="false">'Raw Data'!M245</f>
        <v>Low</v>
      </c>
      <c r="I245" s="7" t="n">
        <f aca="false">(IF(D245="Current",3,IF(D245="Former",1,0)))+(IF(E245="High",3,IF(E245="Normal",1,0)))+(IF(F245&gt;=240,2,IF(F245&gt;=200,1,0)))+(IF(G245="Yes",2,0))+(IF(H245="High",2,IF(H245="Moderate",1,0)))</f>
        <v>3</v>
      </c>
      <c r="J245" s="7" t="str">
        <f aca="false">IF(I245&gt;=8,"High",IF(I245&gt;=4,"Medium","Low"))</f>
        <v>Low</v>
      </c>
    </row>
    <row r="246" customFormat="false" ht="15" hidden="false" customHeight="true" outlineLevel="0" collapsed="false">
      <c r="A246" s="7" t="n">
        <f aca="false">'Raw Data'!A246</f>
        <v>948</v>
      </c>
      <c r="B246" s="7" t="n">
        <f aca="false">'Raw Data'!B246</f>
        <v>74</v>
      </c>
      <c r="C246" s="7" t="str">
        <f aca="false">'Raw Data'!C246</f>
        <v>Male</v>
      </c>
      <c r="D246" s="7" t="str">
        <f aca="false">'Raw Data'!D246</f>
        <v>Never</v>
      </c>
      <c r="E246" s="7" t="str">
        <f aca="false">'Raw Data'!J246</f>
        <v>Normal</v>
      </c>
      <c r="F246" s="7" t="n">
        <f aca="false">'Raw Data'!K246</f>
        <v>149.6</v>
      </c>
      <c r="G246" s="7" t="str">
        <f aca="false">'Raw Data'!L246</f>
        <v>Yes</v>
      </c>
      <c r="H246" s="7" t="str">
        <f aca="false">'Raw Data'!M246</f>
        <v>Low</v>
      </c>
      <c r="I246" s="7" t="n">
        <f aca="false">(IF(D246="Current",3,IF(D246="Former",1,0)))+(IF(E246="High",3,IF(E246="Normal",1,0)))+(IF(F246&gt;=240,2,IF(F246&gt;=200,1,0)))+(IF(G246="Yes",2,0))+(IF(H246="High",2,IF(H246="Moderate",1,0)))</f>
        <v>3</v>
      </c>
      <c r="J246" s="7" t="str">
        <f aca="false">IF(I246&gt;=8,"High",IF(I246&gt;=4,"Medium","Low"))</f>
        <v>Low</v>
      </c>
    </row>
    <row r="247" customFormat="false" ht="15" hidden="false" customHeight="true" outlineLevel="0" collapsed="false">
      <c r="A247" s="7" t="n">
        <f aca="false">'Raw Data'!A247</f>
        <v>962</v>
      </c>
      <c r="B247" s="7" t="n">
        <f aca="false">'Raw Data'!B247</f>
        <v>19</v>
      </c>
      <c r="C247" s="7" t="str">
        <f aca="false">'Raw Data'!C247</f>
        <v>Male</v>
      </c>
      <c r="D247" s="7" t="str">
        <f aca="false">'Raw Data'!D247</f>
        <v>Never</v>
      </c>
      <c r="E247" s="7" t="str">
        <f aca="false">'Raw Data'!J247</f>
        <v>Normal</v>
      </c>
      <c r="F247" s="7" t="n">
        <f aca="false">'Raw Data'!K247</f>
        <v>253.7</v>
      </c>
      <c r="G247" s="7" t="str">
        <f aca="false">'Raw Data'!L247</f>
        <v>Yes</v>
      </c>
      <c r="H247" s="7" t="str">
        <f aca="false">'Raw Data'!M247</f>
        <v>Low</v>
      </c>
      <c r="I247" s="7" t="n">
        <f aca="false">(IF(D247="Current",3,IF(D247="Former",1,0)))+(IF(E247="High",3,IF(E247="Normal",1,0)))+(IF(F247&gt;=240,2,IF(F247&gt;=200,1,0)))+(IF(G247="Yes",2,0))+(IF(H247="High",2,IF(H247="Moderate",1,0)))</f>
        <v>5</v>
      </c>
      <c r="J247" s="7" t="str">
        <f aca="false">IF(I247&gt;=8,"High",IF(I247&gt;=4,"Medium","Low"))</f>
        <v>Medium</v>
      </c>
    </row>
    <row r="248" customFormat="false" ht="15" hidden="false" customHeight="true" outlineLevel="0" collapsed="false">
      <c r="A248" s="7" t="n">
        <f aca="false">'Raw Data'!A248</f>
        <v>965</v>
      </c>
      <c r="B248" s="7" t="n">
        <f aca="false">'Raw Data'!B248</f>
        <v>26</v>
      </c>
      <c r="C248" s="7" t="str">
        <f aca="false">'Raw Data'!C248</f>
        <v>Female</v>
      </c>
      <c r="D248" s="7" t="str">
        <f aca="false">'Raw Data'!D248</f>
        <v>Never</v>
      </c>
      <c r="E248" s="7" t="str">
        <f aca="false">'Raw Data'!J248</f>
        <v>Normal</v>
      </c>
      <c r="F248" s="7" t="n">
        <f aca="false">'Raw Data'!K248</f>
        <v>269</v>
      </c>
      <c r="G248" s="7" t="str">
        <f aca="false">'Raw Data'!L248</f>
        <v>Yes</v>
      </c>
      <c r="H248" s="7" t="str">
        <f aca="false">'Raw Data'!M248</f>
        <v>Low</v>
      </c>
      <c r="I248" s="7" t="n">
        <f aca="false">(IF(D248="Current",3,IF(D248="Former",1,0)))+(IF(E248="High",3,IF(E248="Normal",1,0)))+(IF(F248&gt;=240,2,IF(F248&gt;=200,1,0)))+(IF(G248="Yes",2,0))+(IF(H248="High",2,IF(H248="Moderate",1,0)))</f>
        <v>5</v>
      </c>
      <c r="J248" s="7" t="str">
        <f aca="false">IF(I248&gt;=8,"High",IF(I248&gt;=4,"Medium","Low"))</f>
        <v>Medium</v>
      </c>
    </row>
    <row r="249" customFormat="false" ht="15" hidden="false" customHeight="true" outlineLevel="0" collapsed="false">
      <c r="A249" s="7" t="n">
        <f aca="false">'Raw Data'!A249</f>
        <v>971</v>
      </c>
      <c r="B249" s="7" t="n">
        <f aca="false">'Raw Data'!B249</f>
        <v>84</v>
      </c>
      <c r="C249" s="7" t="str">
        <f aca="false">'Raw Data'!C249</f>
        <v>Female</v>
      </c>
      <c r="D249" s="7" t="str">
        <f aca="false">'Raw Data'!D249</f>
        <v>Never</v>
      </c>
      <c r="E249" s="7" t="str">
        <f aca="false">'Raw Data'!J249</f>
        <v>Normal</v>
      </c>
      <c r="F249" s="7" t="n">
        <f aca="false">'Raw Data'!K249</f>
        <v>228</v>
      </c>
      <c r="G249" s="7" t="str">
        <f aca="false">'Raw Data'!L249</f>
        <v>Yes</v>
      </c>
      <c r="H249" s="7" t="str">
        <f aca="false">'Raw Data'!M249</f>
        <v>Low</v>
      </c>
      <c r="I249" s="7" t="n">
        <f aca="false">(IF(D249="Current",3,IF(D249="Former",1,0)))+(IF(E249="High",3,IF(E249="Normal",1,0)))+(IF(F249&gt;=240,2,IF(F249&gt;=200,1,0)))+(IF(G249="Yes",2,0))+(IF(H249="High",2,IF(H249="Moderate",1,0)))</f>
        <v>4</v>
      </c>
      <c r="J249" s="7" t="str">
        <f aca="false">IF(I249&gt;=8,"High",IF(I249&gt;=4,"Medium","Low"))</f>
        <v>Medium</v>
      </c>
    </row>
    <row r="250" customFormat="false" ht="15" hidden="false" customHeight="true" outlineLevel="0" collapsed="false">
      <c r="A250" s="7" t="n">
        <f aca="false">'Raw Data'!A250</f>
        <v>1103</v>
      </c>
      <c r="B250" s="7" t="n">
        <f aca="false">'Raw Data'!B250</f>
        <v>84</v>
      </c>
      <c r="C250" s="7" t="str">
        <f aca="false">'Raw Data'!C250</f>
        <v>Male</v>
      </c>
      <c r="D250" s="7" t="str">
        <f aca="false">'Raw Data'!D250</f>
        <v>Never</v>
      </c>
      <c r="E250" s="7" t="str">
        <f aca="false">'Raw Data'!J250</f>
        <v>Normal</v>
      </c>
      <c r="F250" s="7" t="n">
        <f aca="false">'Raw Data'!K250</f>
        <v>269.6</v>
      </c>
      <c r="G250" s="7" t="str">
        <f aca="false">'Raw Data'!L250</f>
        <v>Yes</v>
      </c>
      <c r="H250" s="7" t="str">
        <f aca="false">'Raw Data'!M250</f>
        <v>Low</v>
      </c>
      <c r="I250" s="7" t="n">
        <f aca="false">(IF(D250="Current",3,IF(D250="Former",1,0)))+(IF(E250="High",3,IF(E250="Normal",1,0)))+(IF(F250&gt;=240,2,IF(F250&gt;=200,1,0)))+(IF(G250="Yes",2,0))+(IF(H250="High",2,IF(H250="Moderate",1,0)))</f>
        <v>5</v>
      </c>
      <c r="J250" s="7" t="str">
        <f aca="false">IF(I250&gt;=8,"High",IF(I250&gt;=4,"Medium","Low"))</f>
        <v>Medium</v>
      </c>
    </row>
    <row r="251" customFormat="false" ht="15" hidden="false" customHeight="true" outlineLevel="0" collapsed="false">
      <c r="A251" s="7" t="n">
        <f aca="false">'Raw Data'!A251</f>
        <v>1116</v>
      </c>
      <c r="B251" s="7" t="n">
        <f aca="false">'Raw Data'!B251</f>
        <v>65</v>
      </c>
      <c r="C251" s="7" t="str">
        <f aca="false">'Raw Data'!C251</f>
        <v>Female</v>
      </c>
      <c r="D251" s="7" t="str">
        <f aca="false">'Raw Data'!D251</f>
        <v>Never</v>
      </c>
      <c r="E251" s="7" t="str">
        <f aca="false">'Raw Data'!J251</f>
        <v>Normal</v>
      </c>
      <c r="F251" s="7" t="n">
        <f aca="false">'Raw Data'!K251</f>
        <v>241</v>
      </c>
      <c r="G251" s="7" t="str">
        <f aca="false">'Raw Data'!L251</f>
        <v>Yes</v>
      </c>
      <c r="H251" s="7" t="str">
        <f aca="false">'Raw Data'!M251</f>
        <v>Low</v>
      </c>
      <c r="I251" s="7" t="n">
        <f aca="false">(IF(D251="Current",3,IF(D251="Former",1,0)))+(IF(E251="High",3,IF(E251="Normal",1,0)))+(IF(F251&gt;=240,2,IF(F251&gt;=200,1,0)))+(IF(G251="Yes",2,0))+(IF(H251="High",2,IF(H251="Moderate",1,0)))</f>
        <v>5</v>
      </c>
      <c r="J251" s="7" t="str">
        <f aca="false">IF(I251&gt;=8,"High",IF(I251&gt;=4,"Medium","Low"))</f>
        <v>Medium</v>
      </c>
    </row>
    <row r="252" customFormat="false" ht="15" hidden="false" customHeight="true" outlineLevel="0" collapsed="false">
      <c r="A252" s="7" t="n">
        <f aca="false">'Raw Data'!A252</f>
        <v>1129</v>
      </c>
      <c r="B252" s="7" t="n">
        <f aca="false">'Raw Data'!B252</f>
        <v>69</v>
      </c>
      <c r="C252" s="7" t="str">
        <f aca="false">'Raw Data'!C252</f>
        <v>Female</v>
      </c>
      <c r="D252" s="7" t="str">
        <f aca="false">'Raw Data'!D252</f>
        <v>Never</v>
      </c>
      <c r="E252" s="7" t="str">
        <f aca="false">'Raw Data'!J252</f>
        <v>Normal</v>
      </c>
      <c r="F252" s="7" t="n">
        <f aca="false">'Raw Data'!K252</f>
        <v>251.5</v>
      </c>
      <c r="G252" s="7" t="str">
        <f aca="false">'Raw Data'!L252</f>
        <v>Yes</v>
      </c>
      <c r="H252" s="7" t="str">
        <f aca="false">'Raw Data'!M252</f>
        <v>Low</v>
      </c>
      <c r="I252" s="7" t="n">
        <f aca="false">(IF(D252="Current",3,IF(D252="Former",1,0)))+(IF(E252="High",3,IF(E252="Normal",1,0)))+(IF(F252&gt;=240,2,IF(F252&gt;=200,1,0)))+(IF(G252="Yes",2,0))+(IF(H252="High",2,IF(H252="Moderate",1,0)))</f>
        <v>5</v>
      </c>
      <c r="J252" s="7" t="str">
        <f aca="false">IF(I252&gt;=8,"High",IF(I252&gt;=4,"Medium","Low"))</f>
        <v>Medium</v>
      </c>
    </row>
    <row r="253" customFormat="false" ht="15" hidden="false" customHeight="true" outlineLevel="0" collapsed="false">
      <c r="A253" s="7" t="n">
        <f aca="false">'Raw Data'!A253</f>
        <v>1180</v>
      </c>
      <c r="B253" s="7" t="n">
        <f aca="false">'Raw Data'!B253</f>
        <v>57</v>
      </c>
      <c r="C253" s="7" t="str">
        <f aca="false">'Raw Data'!C253</f>
        <v>Male</v>
      </c>
      <c r="D253" s="7" t="str">
        <f aca="false">'Raw Data'!D253</f>
        <v>Never</v>
      </c>
      <c r="E253" s="7" t="str">
        <f aca="false">'Raw Data'!J253</f>
        <v>Normal</v>
      </c>
      <c r="F253" s="7" t="n">
        <f aca="false">'Raw Data'!K253</f>
        <v>129.3</v>
      </c>
      <c r="G253" s="7" t="str">
        <f aca="false">'Raw Data'!L253</f>
        <v>Yes</v>
      </c>
      <c r="H253" s="7" t="str">
        <f aca="false">'Raw Data'!M253</f>
        <v>Low</v>
      </c>
      <c r="I253" s="7" t="n">
        <f aca="false">(IF(D253="Current",3,IF(D253="Former",1,0)))+(IF(E253="High",3,IF(E253="Normal",1,0)))+(IF(F253&gt;=240,2,IF(F253&gt;=200,1,0)))+(IF(G253="Yes",2,0))+(IF(H253="High",2,IF(H253="Moderate",1,0)))</f>
        <v>3</v>
      </c>
      <c r="J253" s="7" t="str">
        <f aca="false">IF(I253&gt;=8,"High",IF(I253&gt;=4,"Medium","Low"))</f>
        <v>Low</v>
      </c>
    </row>
    <row r="254" customFormat="false" ht="15" hidden="false" customHeight="true" outlineLevel="0" collapsed="false">
      <c r="A254" s="7" t="n">
        <f aca="false">'Raw Data'!A254</f>
        <v>1232</v>
      </c>
      <c r="B254" s="7" t="n">
        <f aca="false">'Raw Data'!B254</f>
        <v>89</v>
      </c>
      <c r="C254" s="7" t="str">
        <f aca="false">'Raw Data'!C254</f>
        <v>Male</v>
      </c>
      <c r="D254" s="7" t="str">
        <f aca="false">'Raw Data'!D254</f>
        <v>Never</v>
      </c>
      <c r="E254" s="7" t="str">
        <f aca="false">'Raw Data'!J254</f>
        <v>Normal</v>
      </c>
      <c r="F254" s="7" t="n">
        <f aca="false">'Raw Data'!K254</f>
        <v>237.8</v>
      </c>
      <c r="G254" s="7" t="str">
        <f aca="false">'Raw Data'!L254</f>
        <v>Yes</v>
      </c>
      <c r="H254" s="7" t="str">
        <f aca="false">'Raw Data'!M254</f>
        <v>Low</v>
      </c>
      <c r="I254" s="7" t="n">
        <f aca="false">(IF(D254="Current",3,IF(D254="Former",1,0)))+(IF(E254="High",3,IF(E254="Normal",1,0)))+(IF(F254&gt;=240,2,IF(F254&gt;=200,1,0)))+(IF(G254="Yes",2,0))+(IF(H254="High",2,IF(H254="Moderate",1,0)))</f>
        <v>4</v>
      </c>
      <c r="J254" s="7" t="str">
        <f aca="false">IF(I254&gt;=8,"High",IF(I254&gt;=4,"Medium","Low"))</f>
        <v>Medium</v>
      </c>
    </row>
    <row r="255" customFormat="false" ht="15" hidden="false" customHeight="true" outlineLevel="0" collapsed="false">
      <c r="A255" s="7" t="n">
        <f aca="false">'Raw Data'!A255</f>
        <v>1265</v>
      </c>
      <c r="B255" s="7" t="n">
        <f aca="false">'Raw Data'!B255</f>
        <v>41</v>
      </c>
      <c r="C255" s="7" t="str">
        <f aca="false">'Raw Data'!C255</f>
        <v>Female</v>
      </c>
      <c r="D255" s="7" t="str">
        <f aca="false">'Raw Data'!D255</f>
        <v>Never</v>
      </c>
      <c r="E255" s="7" t="str">
        <f aca="false">'Raw Data'!J255</f>
        <v>Normal</v>
      </c>
      <c r="F255" s="7" t="n">
        <f aca="false">'Raw Data'!K255</f>
        <v>132.5</v>
      </c>
      <c r="G255" s="7" t="str">
        <f aca="false">'Raw Data'!L255</f>
        <v>Yes</v>
      </c>
      <c r="H255" s="7" t="str">
        <f aca="false">'Raw Data'!M255</f>
        <v>Low</v>
      </c>
      <c r="I255" s="7" t="n">
        <f aca="false">(IF(D255="Current",3,IF(D255="Former",1,0)))+(IF(E255="High",3,IF(E255="Normal",1,0)))+(IF(F255&gt;=240,2,IF(F255&gt;=200,1,0)))+(IF(G255="Yes",2,0))+(IF(H255="High",2,IF(H255="Moderate",1,0)))</f>
        <v>3</v>
      </c>
      <c r="J255" s="7" t="str">
        <f aca="false">IF(I255&gt;=8,"High",IF(I255&gt;=4,"Medium","Low"))</f>
        <v>Low</v>
      </c>
    </row>
    <row r="256" customFormat="false" ht="15" hidden="false" customHeight="true" outlineLevel="0" collapsed="false">
      <c r="A256" s="7" t="n">
        <f aca="false">'Raw Data'!A256</f>
        <v>1273</v>
      </c>
      <c r="B256" s="7" t="n">
        <f aca="false">'Raw Data'!B256</f>
        <v>48</v>
      </c>
      <c r="C256" s="7" t="str">
        <f aca="false">'Raw Data'!C256</f>
        <v>Male</v>
      </c>
      <c r="D256" s="7" t="str">
        <f aca="false">'Raw Data'!D256</f>
        <v>Never</v>
      </c>
      <c r="E256" s="7" t="str">
        <f aca="false">'Raw Data'!J256</f>
        <v>Normal</v>
      </c>
      <c r="F256" s="7" t="n">
        <f aca="false">'Raw Data'!K256</f>
        <v>175.1</v>
      </c>
      <c r="G256" s="7" t="str">
        <f aca="false">'Raw Data'!L256</f>
        <v>Yes</v>
      </c>
      <c r="H256" s="7" t="str">
        <f aca="false">'Raw Data'!M256</f>
        <v>Low</v>
      </c>
      <c r="I256" s="7" t="n">
        <f aca="false">(IF(D256="Current",3,IF(D256="Former",1,0)))+(IF(E256="High",3,IF(E256="Normal",1,0)))+(IF(F256&gt;=240,2,IF(F256&gt;=200,1,0)))+(IF(G256="Yes",2,0))+(IF(H256="High",2,IF(H256="Moderate",1,0)))</f>
        <v>3</v>
      </c>
      <c r="J256" s="7" t="str">
        <f aca="false">IF(I256&gt;=8,"High",IF(I256&gt;=4,"Medium","Low"))</f>
        <v>Low</v>
      </c>
    </row>
    <row r="257" customFormat="false" ht="15" hidden="false" customHeight="true" outlineLevel="0" collapsed="false">
      <c r="A257" s="7" t="n">
        <f aca="false">'Raw Data'!A257</f>
        <v>1278</v>
      </c>
      <c r="B257" s="7" t="n">
        <f aca="false">'Raw Data'!B257</f>
        <v>55</v>
      </c>
      <c r="C257" s="7" t="str">
        <f aca="false">'Raw Data'!C257</f>
        <v>Female</v>
      </c>
      <c r="D257" s="7" t="str">
        <f aca="false">'Raw Data'!D257</f>
        <v>Never</v>
      </c>
      <c r="E257" s="7" t="str">
        <f aca="false">'Raw Data'!J257</f>
        <v>Normal</v>
      </c>
      <c r="F257" s="7" t="n">
        <f aca="false">'Raw Data'!K257</f>
        <v>230.5</v>
      </c>
      <c r="G257" s="7" t="str">
        <f aca="false">'Raw Data'!L257</f>
        <v>Yes</v>
      </c>
      <c r="H257" s="7" t="str">
        <f aca="false">'Raw Data'!M257</f>
        <v>Low</v>
      </c>
      <c r="I257" s="7" t="n">
        <f aca="false">(IF(D257="Current",3,IF(D257="Former",1,0)))+(IF(E257="High",3,IF(E257="Normal",1,0)))+(IF(F257&gt;=240,2,IF(F257&gt;=200,1,0)))+(IF(G257="Yes",2,0))+(IF(H257="High",2,IF(H257="Moderate",1,0)))</f>
        <v>4</v>
      </c>
      <c r="J257" s="7" t="str">
        <f aca="false">IF(I257&gt;=8,"High",IF(I257&gt;=4,"Medium","Low"))</f>
        <v>Medium</v>
      </c>
    </row>
    <row r="258" customFormat="false" ht="15" hidden="false" customHeight="true" outlineLevel="0" collapsed="false">
      <c r="A258" s="7" t="n">
        <f aca="false">'Raw Data'!A258</f>
        <v>1281</v>
      </c>
      <c r="B258" s="7" t="n">
        <f aca="false">'Raw Data'!B258</f>
        <v>34</v>
      </c>
      <c r="C258" s="7" t="str">
        <f aca="false">'Raw Data'!C258</f>
        <v>Male</v>
      </c>
      <c r="D258" s="7" t="str">
        <f aca="false">'Raw Data'!D258</f>
        <v>Never</v>
      </c>
      <c r="E258" s="7" t="str">
        <f aca="false">'Raw Data'!J258</f>
        <v>Normal</v>
      </c>
      <c r="F258" s="7" t="n">
        <f aca="false">'Raw Data'!K258</f>
        <v>281.3</v>
      </c>
      <c r="G258" s="7" t="str">
        <f aca="false">'Raw Data'!L258</f>
        <v>Yes</v>
      </c>
      <c r="H258" s="7" t="str">
        <f aca="false">'Raw Data'!M258</f>
        <v>Low</v>
      </c>
      <c r="I258" s="7" t="n">
        <f aca="false">(IF(D258="Current",3,IF(D258="Former",1,0)))+(IF(E258="High",3,IF(E258="Normal",1,0)))+(IF(F258&gt;=240,2,IF(F258&gt;=200,1,0)))+(IF(G258="Yes",2,0))+(IF(H258="High",2,IF(H258="Moderate",1,0)))</f>
        <v>5</v>
      </c>
      <c r="J258" s="7" t="str">
        <f aca="false">IF(I258&gt;=8,"High",IF(I258&gt;=4,"Medium","Low"))</f>
        <v>Medium</v>
      </c>
    </row>
    <row r="259" customFormat="false" ht="15" hidden="false" customHeight="true" outlineLevel="0" collapsed="false">
      <c r="A259" s="7" t="n">
        <f aca="false">'Raw Data'!A259</f>
        <v>1298</v>
      </c>
      <c r="B259" s="7" t="n">
        <f aca="false">'Raw Data'!B259</f>
        <v>47</v>
      </c>
      <c r="C259" s="7" t="str">
        <f aca="false">'Raw Data'!C259</f>
        <v>Male</v>
      </c>
      <c r="D259" s="7" t="str">
        <f aca="false">'Raw Data'!D259</f>
        <v>Never</v>
      </c>
      <c r="E259" s="7" t="str">
        <f aca="false">'Raw Data'!J259</f>
        <v>Normal</v>
      </c>
      <c r="F259" s="7" t="n">
        <f aca="false">'Raw Data'!K259</f>
        <v>273.1</v>
      </c>
      <c r="G259" s="7" t="str">
        <f aca="false">'Raw Data'!L259</f>
        <v>Yes</v>
      </c>
      <c r="H259" s="7" t="str">
        <f aca="false">'Raw Data'!M259</f>
        <v>Low</v>
      </c>
      <c r="I259" s="7" t="n">
        <f aca="false">(IF(D259="Current",3,IF(D259="Former",1,0)))+(IF(E259="High",3,IF(E259="Normal",1,0)))+(IF(F259&gt;=240,2,IF(F259&gt;=200,1,0)))+(IF(G259="Yes",2,0))+(IF(H259="High",2,IF(H259="Moderate",1,0)))</f>
        <v>5</v>
      </c>
      <c r="J259" s="7" t="str">
        <f aca="false">IF(I259&gt;=8,"High",IF(I259&gt;=4,"Medium","Low"))</f>
        <v>Medium</v>
      </c>
    </row>
    <row r="260" customFormat="false" ht="15" hidden="false" customHeight="true" outlineLevel="0" collapsed="false">
      <c r="A260" s="7" t="n">
        <f aca="false">'Raw Data'!A260</f>
        <v>1303</v>
      </c>
      <c r="B260" s="7" t="n">
        <f aca="false">'Raw Data'!B260</f>
        <v>81</v>
      </c>
      <c r="C260" s="7" t="str">
        <f aca="false">'Raw Data'!C260</f>
        <v>Female</v>
      </c>
      <c r="D260" s="7" t="str">
        <f aca="false">'Raw Data'!D260</f>
        <v>Never</v>
      </c>
      <c r="E260" s="7" t="str">
        <f aca="false">'Raw Data'!J260</f>
        <v>Normal</v>
      </c>
      <c r="F260" s="7" t="n">
        <f aca="false">'Raw Data'!K260</f>
        <v>205.6</v>
      </c>
      <c r="G260" s="7" t="str">
        <f aca="false">'Raw Data'!L260</f>
        <v>Yes</v>
      </c>
      <c r="H260" s="7" t="str">
        <f aca="false">'Raw Data'!M260</f>
        <v>Low</v>
      </c>
      <c r="I260" s="7" t="n">
        <f aca="false">(IF(D260="Current",3,IF(D260="Former",1,0)))+(IF(E260="High",3,IF(E260="Normal",1,0)))+(IF(F260&gt;=240,2,IF(F260&gt;=200,1,0)))+(IF(G260="Yes",2,0))+(IF(H260="High",2,IF(H260="Moderate",1,0)))</f>
        <v>4</v>
      </c>
      <c r="J260" s="7" t="str">
        <f aca="false">IF(I260&gt;=8,"High",IF(I260&gt;=4,"Medium","Low"))</f>
        <v>Medium</v>
      </c>
    </row>
    <row r="261" customFormat="false" ht="15" hidden="false" customHeight="true" outlineLevel="0" collapsed="false">
      <c r="A261" s="7" t="n">
        <f aca="false">'Raw Data'!A261</f>
        <v>1310</v>
      </c>
      <c r="B261" s="7" t="n">
        <f aca="false">'Raw Data'!B261</f>
        <v>62</v>
      </c>
      <c r="C261" s="7" t="str">
        <f aca="false">'Raw Data'!C261</f>
        <v>Male</v>
      </c>
      <c r="D261" s="7" t="str">
        <f aca="false">'Raw Data'!D261</f>
        <v>Never</v>
      </c>
      <c r="E261" s="7" t="str">
        <f aca="false">'Raw Data'!J261</f>
        <v>Normal</v>
      </c>
      <c r="F261" s="7" t="n">
        <f aca="false">'Raw Data'!K261</f>
        <v>203.1</v>
      </c>
      <c r="G261" s="7" t="str">
        <f aca="false">'Raw Data'!L261</f>
        <v>Yes</v>
      </c>
      <c r="H261" s="7" t="str">
        <f aca="false">'Raw Data'!M261</f>
        <v>Low</v>
      </c>
      <c r="I261" s="7" t="n">
        <f aca="false">(IF(D261="Current",3,IF(D261="Former",1,0)))+(IF(E261="High",3,IF(E261="Normal",1,0)))+(IF(F261&gt;=240,2,IF(F261&gt;=200,1,0)))+(IF(G261="Yes",2,0))+(IF(H261="High",2,IF(H261="Moderate",1,0)))</f>
        <v>4</v>
      </c>
      <c r="J261" s="7" t="str">
        <f aca="false">IF(I261&gt;=8,"High",IF(I261&gt;=4,"Medium","Low"))</f>
        <v>Medium</v>
      </c>
    </row>
    <row r="262" customFormat="false" ht="15" hidden="false" customHeight="true" outlineLevel="0" collapsed="false">
      <c r="A262" s="7" t="n">
        <f aca="false">'Raw Data'!A262</f>
        <v>1335</v>
      </c>
      <c r="B262" s="7" t="n">
        <f aca="false">'Raw Data'!B262</f>
        <v>57</v>
      </c>
      <c r="C262" s="7" t="str">
        <f aca="false">'Raw Data'!C262</f>
        <v>Male</v>
      </c>
      <c r="D262" s="7" t="str">
        <f aca="false">'Raw Data'!D262</f>
        <v>Never</v>
      </c>
      <c r="E262" s="7" t="str">
        <f aca="false">'Raw Data'!J262</f>
        <v>Normal</v>
      </c>
      <c r="F262" s="7" t="n">
        <f aca="false">'Raw Data'!K262</f>
        <v>217.2</v>
      </c>
      <c r="G262" s="7" t="str">
        <f aca="false">'Raw Data'!L262</f>
        <v>Yes</v>
      </c>
      <c r="H262" s="7" t="str">
        <f aca="false">'Raw Data'!M262</f>
        <v>Low</v>
      </c>
      <c r="I262" s="7" t="n">
        <f aca="false">(IF(D262="Current",3,IF(D262="Former",1,0)))+(IF(E262="High",3,IF(E262="Normal",1,0)))+(IF(F262&gt;=240,2,IF(F262&gt;=200,1,0)))+(IF(G262="Yes",2,0))+(IF(H262="High",2,IF(H262="Moderate",1,0)))</f>
        <v>4</v>
      </c>
      <c r="J262" s="7" t="str">
        <f aca="false">IF(I262&gt;=8,"High",IF(I262&gt;=4,"Medium","Low"))</f>
        <v>Medium</v>
      </c>
    </row>
    <row r="263" customFormat="false" ht="15" hidden="false" customHeight="true" outlineLevel="0" collapsed="false">
      <c r="A263" s="7" t="n">
        <f aca="false">'Raw Data'!A263</f>
        <v>1340</v>
      </c>
      <c r="B263" s="7" t="n">
        <f aca="false">'Raw Data'!B263</f>
        <v>81</v>
      </c>
      <c r="C263" s="7" t="str">
        <f aca="false">'Raw Data'!C263</f>
        <v>Male</v>
      </c>
      <c r="D263" s="7" t="str">
        <f aca="false">'Raw Data'!D263</f>
        <v>Never</v>
      </c>
      <c r="E263" s="7" t="str">
        <f aca="false">'Raw Data'!J263</f>
        <v>Normal</v>
      </c>
      <c r="F263" s="7" t="n">
        <f aca="false">'Raw Data'!K263</f>
        <v>206.6</v>
      </c>
      <c r="G263" s="7" t="str">
        <f aca="false">'Raw Data'!L263</f>
        <v>Yes</v>
      </c>
      <c r="H263" s="7" t="str">
        <f aca="false">'Raw Data'!M263</f>
        <v>Low</v>
      </c>
      <c r="I263" s="7" t="n">
        <f aca="false">(IF(D263="Current",3,IF(D263="Former",1,0)))+(IF(E263="High",3,IF(E263="Normal",1,0)))+(IF(F263&gt;=240,2,IF(F263&gt;=200,1,0)))+(IF(G263="Yes",2,0))+(IF(H263="High",2,IF(H263="Moderate",1,0)))</f>
        <v>4</v>
      </c>
      <c r="J263" s="7" t="str">
        <f aca="false">IF(I263&gt;=8,"High",IF(I263&gt;=4,"Medium","Low"))</f>
        <v>Medium</v>
      </c>
    </row>
    <row r="264" customFormat="false" ht="15" hidden="false" customHeight="true" outlineLevel="0" collapsed="false">
      <c r="A264" s="7" t="n">
        <f aca="false">'Raw Data'!A264</f>
        <v>1346</v>
      </c>
      <c r="B264" s="7" t="n">
        <f aca="false">'Raw Data'!B264</f>
        <v>32</v>
      </c>
      <c r="C264" s="7" t="str">
        <f aca="false">'Raw Data'!C264</f>
        <v>Female</v>
      </c>
      <c r="D264" s="7" t="str">
        <f aca="false">'Raw Data'!D264</f>
        <v>Never</v>
      </c>
      <c r="E264" s="7" t="str">
        <f aca="false">'Raw Data'!J264</f>
        <v>Normal</v>
      </c>
      <c r="F264" s="7" t="n">
        <f aca="false">'Raw Data'!K264</f>
        <v>280.8</v>
      </c>
      <c r="G264" s="7" t="str">
        <f aca="false">'Raw Data'!L264</f>
        <v>Yes</v>
      </c>
      <c r="H264" s="7" t="str">
        <f aca="false">'Raw Data'!M264</f>
        <v>Low</v>
      </c>
      <c r="I264" s="7" t="n">
        <f aca="false">(IF(D264="Current",3,IF(D264="Former",1,0)))+(IF(E264="High",3,IF(E264="Normal",1,0)))+(IF(F264&gt;=240,2,IF(F264&gt;=200,1,0)))+(IF(G264="Yes",2,0))+(IF(H264="High",2,IF(H264="Moderate",1,0)))</f>
        <v>5</v>
      </c>
      <c r="J264" s="7" t="str">
        <f aca="false">IF(I264&gt;=8,"High",IF(I264&gt;=4,"Medium","Low"))</f>
        <v>Medium</v>
      </c>
    </row>
    <row r="265" customFormat="false" ht="15" hidden="false" customHeight="true" outlineLevel="0" collapsed="false">
      <c r="A265" s="7" t="n">
        <f aca="false">'Raw Data'!A265</f>
        <v>1363</v>
      </c>
      <c r="B265" s="7" t="n">
        <f aca="false">'Raw Data'!B265</f>
        <v>29</v>
      </c>
      <c r="C265" s="7" t="str">
        <f aca="false">'Raw Data'!C265</f>
        <v>Female</v>
      </c>
      <c r="D265" s="7" t="str">
        <f aca="false">'Raw Data'!D265</f>
        <v>Never</v>
      </c>
      <c r="E265" s="7" t="str">
        <f aca="false">'Raw Data'!J265</f>
        <v>Normal</v>
      </c>
      <c r="F265" s="7" t="n">
        <f aca="false">'Raw Data'!K265</f>
        <v>123.2</v>
      </c>
      <c r="G265" s="7" t="str">
        <f aca="false">'Raw Data'!L265</f>
        <v>Yes</v>
      </c>
      <c r="H265" s="7" t="str">
        <f aca="false">'Raw Data'!M265</f>
        <v>Low</v>
      </c>
      <c r="I265" s="7" t="n">
        <f aca="false">(IF(D265="Current",3,IF(D265="Former",1,0)))+(IF(E265="High",3,IF(E265="Normal",1,0)))+(IF(F265&gt;=240,2,IF(F265&gt;=200,1,0)))+(IF(G265="Yes",2,0))+(IF(H265="High",2,IF(H265="Moderate",1,0)))</f>
        <v>3</v>
      </c>
      <c r="J265" s="7" t="str">
        <f aca="false">IF(I265&gt;=8,"High",IF(I265&gt;=4,"Medium","Low"))</f>
        <v>Low</v>
      </c>
    </row>
    <row r="266" customFormat="false" ht="15" hidden="false" customHeight="true" outlineLevel="0" collapsed="false">
      <c r="A266" s="7" t="n">
        <f aca="false">'Raw Data'!A266</f>
        <v>1413</v>
      </c>
      <c r="B266" s="7" t="n">
        <f aca="false">'Raw Data'!B266</f>
        <v>55</v>
      </c>
      <c r="C266" s="7" t="str">
        <f aca="false">'Raw Data'!C266</f>
        <v>Male</v>
      </c>
      <c r="D266" s="7" t="str">
        <f aca="false">'Raw Data'!D266</f>
        <v>Never</v>
      </c>
      <c r="E266" s="7" t="str">
        <f aca="false">'Raw Data'!J266</f>
        <v>Normal</v>
      </c>
      <c r="F266" s="7" t="n">
        <f aca="false">'Raw Data'!K266</f>
        <v>151.6</v>
      </c>
      <c r="G266" s="7" t="str">
        <f aca="false">'Raw Data'!L266</f>
        <v>Yes</v>
      </c>
      <c r="H266" s="7" t="str">
        <f aca="false">'Raw Data'!M266</f>
        <v>Low</v>
      </c>
      <c r="I266" s="7" t="n">
        <f aca="false">(IF(D266="Current",3,IF(D266="Former",1,0)))+(IF(E266="High",3,IF(E266="Normal",1,0)))+(IF(F266&gt;=240,2,IF(F266&gt;=200,1,0)))+(IF(G266="Yes",2,0))+(IF(H266="High",2,IF(H266="Moderate",1,0)))</f>
        <v>3</v>
      </c>
      <c r="J266" s="7" t="str">
        <f aca="false">IF(I266&gt;=8,"High",IF(I266&gt;=4,"Medium","Low"))</f>
        <v>Low</v>
      </c>
    </row>
    <row r="267" customFormat="false" ht="15" hidden="false" customHeight="true" outlineLevel="0" collapsed="false">
      <c r="A267" s="7" t="n">
        <f aca="false">'Raw Data'!A267</f>
        <v>1479</v>
      </c>
      <c r="B267" s="7" t="n">
        <f aca="false">'Raw Data'!B267</f>
        <v>76</v>
      </c>
      <c r="C267" s="7" t="str">
        <f aca="false">'Raw Data'!C267</f>
        <v>Female</v>
      </c>
      <c r="D267" s="7" t="str">
        <f aca="false">'Raw Data'!D267</f>
        <v>Never</v>
      </c>
      <c r="E267" s="7" t="str">
        <f aca="false">'Raw Data'!J267</f>
        <v>Normal</v>
      </c>
      <c r="F267" s="7" t="n">
        <f aca="false">'Raw Data'!K267</f>
        <v>189.2</v>
      </c>
      <c r="G267" s="7" t="str">
        <f aca="false">'Raw Data'!L267</f>
        <v>Yes</v>
      </c>
      <c r="H267" s="7" t="str">
        <f aca="false">'Raw Data'!M267</f>
        <v>Low</v>
      </c>
      <c r="I267" s="7" t="n">
        <f aca="false">(IF(D267="Current",3,IF(D267="Former",1,0)))+(IF(E267="High",3,IF(E267="Normal",1,0)))+(IF(F267&gt;=240,2,IF(F267&gt;=200,1,0)))+(IF(G267="Yes",2,0))+(IF(H267="High",2,IF(H267="Moderate",1,0)))</f>
        <v>3</v>
      </c>
      <c r="J267" s="7" t="str">
        <f aca="false">IF(I267&gt;=8,"High",IF(I267&gt;=4,"Medium","Low"))</f>
        <v>Low</v>
      </c>
    </row>
    <row r="268" customFormat="false" ht="15" hidden="false" customHeight="true" outlineLevel="0" collapsed="false">
      <c r="A268" s="7" t="n">
        <f aca="false">'Raw Data'!A268</f>
        <v>1518</v>
      </c>
      <c r="B268" s="7" t="n">
        <f aca="false">'Raw Data'!B268</f>
        <v>53</v>
      </c>
      <c r="C268" s="7" t="str">
        <f aca="false">'Raw Data'!C268</f>
        <v>Female</v>
      </c>
      <c r="D268" s="7" t="str">
        <f aca="false">'Raw Data'!D268</f>
        <v>Never</v>
      </c>
      <c r="E268" s="7" t="str">
        <f aca="false">'Raw Data'!J268</f>
        <v>Normal</v>
      </c>
      <c r="F268" s="7" t="n">
        <f aca="false">'Raw Data'!K268</f>
        <v>214.3</v>
      </c>
      <c r="G268" s="7" t="str">
        <f aca="false">'Raw Data'!L268</f>
        <v>Yes</v>
      </c>
      <c r="H268" s="7" t="str">
        <f aca="false">'Raw Data'!M268</f>
        <v>Low</v>
      </c>
      <c r="I268" s="7" t="n">
        <f aca="false">(IF(D268="Current",3,IF(D268="Former",1,0)))+(IF(E268="High",3,IF(E268="Normal",1,0)))+(IF(F268&gt;=240,2,IF(F268&gt;=200,1,0)))+(IF(G268="Yes",2,0))+(IF(H268="High",2,IF(H268="Moderate",1,0)))</f>
        <v>4</v>
      </c>
      <c r="J268" s="7" t="str">
        <f aca="false">IF(I268&gt;=8,"High",IF(I268&gt;=4,"Medium","Low"))</f>
        <v>Medium</v>
      </c>
    </row>
    <row r="269" customFormat="false" ht="15" hidden="false" customHeight="true" outlineLevel="0" collapsed="false">
      <c r="A269" s="7" t="n">
        <f aca="false">'Raw Data'!A269</f>
        <v>1608</v>
      </c>
      <c r="B269" s="7" t="n">
        <f aca="false">'Raw Data'!B269</f>
        <v>89</v>
      </c>
      <c r="C269" s="7" t="str">
        <f aca="false">'Raw Data'!C269</f>
        <v>Female</v>
      </c>
      <c r="D269" s="7" t="str">
        <f aca="false">'Raw Data'!D269</f>
        <v>Never</v>
      </c>
      <c r="E269" s="7" t="str">
        <f aca="false">'Raw Data'!J269</f>
        <v>Normal</v>
      </c>
      <c r="F269" s="7" t="n">
        <f aca="false">'Raw Data'!K269</f>
        <v>133.3</v>
      </c>
      <c r="G269" s="7" t="str">
        <f aca="false">'Raw Data'!L269</f>
        <v>Yes</v>
      </c>
      <c r="H269" s="7" t="str">
        <f aca="false">'Raw Data'!M269</f>
        <v>Low</v>
      </c>
      <c r="I269" s="7" t="n">
        <f aca="false">(IF(D269="Current",3,IF(D269="Former",1,0)))+(IF(E269="High",3,IF(E269="Normal",1,0)))+(IF(F269&gt;=240,2,IF(F269&gt;=200,1,0)))+(IF(G269="Yes",2,0))+(IF(H269="High",2,IF(H269="Moderate",1,0)))</f>
        <v>3</v>
      </c>
      <c r="J269" s="7" t="str">
        <f aca="false">IF(I269&gt;=8,"High",IF(I269&gt;=4,"Medium","Low"))</f>
        <v>Low</v>
      </c>
    </row>
    <row r="270" customFormat="false" ht="15" hidden="false" customHeight="true" outlineLevel="0" collapsed="false">
      <c r="A270" s="7" t="n">
        <f aca="false">'Raw Data'!A270</f>
        <v>1636</v>
      </c>
      <c r="B270" s="7" t="n">
        <f aca="false">'Raw Data'!B270</f>
        <v>82</v>
      </c>
      <c r="C270" s="7" t="str">
        <f aca="false">'Raw Data'!C270</f>
        <v>Male</v>
      </c>
      <c r="D270" s="7" t="str">
        <f aca="false">'Raw Data'!D270</f>
        <v>Never</v>
      </c>
      <c r="E270" s="7" t="str">
        <f aca="false">'Raw Data'!J270</f>
        <v>Normal</v>
      </c>
      <c r="F270" s="7" t="n">
        <f aca="false">'Raw Data'!K270</f>
        <v>255</v>
      </c>
      <c r="G270" s="7" t="str">
        <f aca="false">'Raw Data'!L270</f>
        <v>Yes</v>
      </c>
      <c r="H270" s="7" t="str">
        <f aca="false">'Raw Data'!M270</f>
        <v>Low</v>
      </c>
      <c r="I270" s="7" t="n">
        <f aca="false">(IF(D270="Current",3,IF(D270="Former",1,0)))+(IF(E270="High",3,IF(E270="Normal",1,0)))+(IF(F270&gt;=240,2,IF(F270&gt;=200,1,0)))+(IF(G270="Yes",2,0))+(IF(H270="High",2,IF(H270="Moderate",1,0)))</f>
        <v>5</v>
      </c>
      <c r="J270" s="7" t="str">
        <f aca="false">IF(I270&gt;=8,"High",IF(I270&gt;=4,"Medium","Low"))</f>
        <v>Medium</v>
      </c>
    </row>
    <row r="271" customFormat="false" ht="15" hidden="false" customHeight="true" outlineLevel="0" collapsed="false">
      <c r="A271" s="7" t="n">
        <f aca="false">'Raw Data'!A271</f>
        <v>1639</v>
      </c>
      <c r="B271" s="7" t="n">
        <f aca="false">'Raw Data'!B271</f>
        <v>52</v>
      </c>
      <c r="C271" s="7" t="str">
        <f aca="false">'Raw Data'!C271</f>
        <v>Female</v>
      </c>
      <c r="D271" s="7" t="str">
        <f aca="false">'Raw Data'!D271</f>
        <v>Never</v>
      </c>
      <c r="E271" s="7" t="str">
        <f aca="false">'Raw Data'!J271</f>
        <v>Normal</v>
      </c>
      <c r="F271" s="7" t="n">
        <f aca="false">'Raw Data'!K271</f>
        <v>195.6</v>
      </c>
      <c r="G271" s="7" t="str">
        <f aca="false">'Raw Data'!L271</f>
        <v>Yes</v>
      </c>
      <c r="H271" s="7" t="str">
        <f aca="false">'Raw Data'!M271</f>
        <v>Low</v>
      </c>
      <c r="I271" s="7" t="n">
        <f aca="false">(IF(D271="Current",3,IF(D271="Former",1,0)))+(IF(E271="High",3,IF(E271="Normal",1,0)))+(IF(F271&gt;=240,2,IF(F271&gt;=200,1,0)))+(IF(G271="Yes",2,0))+(IF(H271="High",2,IF(H271="Moderate",1,0)))</f>
        <v>3</v>
      </c>
      <c r="J271" s="7" t="str">
        <f aca="false">IF(I271&gt;=8,"High",IF(I271&gt;=4,"Medium","Low"))</f>
        <v>Low</v>
      </c>
    </row>
    <row r="272" customFormat="false" ht="15" hidden="false" customHeight="true" outlineLevel="0" collapsed="false">
      <c r="A272" s="7" t="n">
        <f aca="false">'Raw Data'!A272</f>
        <v>1642</v>
      </c>
      <c r="B272" s="7" t="n">
        <f aca="false">'Raw Data'!B272</f>
        <v>73</v>
      </c>
      <c r="C272" s="7" t="str">
        <f aca="false">'Raw Data'!C272</f>
        <v>Female</v>
      </c>
      <c r="D272" s="7" t="str">
        <f aca="false">'Raw Data'!D272</f>
        <v>Never</v>
      </c>
      <c r="E272" s="7" t="str">
        <f aca="false">'Raw Data'!J272</f>
        <v>Normal</v>
      </c>
      <c r="F272" s="7" t="n">
        <f aca="false">'Raw Data'!K272</f>
        <v>246.2</v>
      </c>
      <c r="G272" s="7" t="str">
        <f aca="false">'Raw Data'!L272</f>
        <v>Yes</v>
      </c>
      <c r="H272" s="7" t="str">
        <f aca="false">'Raw Data'!M272</f>
        <v>Low</v>
      </c>
      <c r="I272" s="7" t="n">
        <f aca="false">(IF(D272="Current",3,IF(D272="Former",1,0)))+(IF(E272="High",3,IF(E272="Normal",1,0)))+(IF(F272&gt;=240,2,IF(F272&gt;=200,1,0)))+(IF(G272="Yes",2,0))+(IF(H272="High",2,IF(H272="Moderate",1,0)))</f>
        <v>5</v>
      </c>
      <c r="J272" s="7" t="str">
        <f aca="false">IF(I272&gt;=8,"High",IF(I272&gt;=4,"Medium","Low"))</f>
        <v>Medium</v>
      </c>
    </row>
    <row r="273" customFormat="false" ht="15" hidden="false" customHeight="true" outlineLevel="0" collapsed="false">
      <c r="A273" s="7" t="n">
        <f aca="false">'Raw Data'!A273</f>
        <v>1653</v>
      </c>
      <c r="B273" s="7" t="n">
        <f aca="false">'Raw Data'!B273</f>
        <v>37</v>
      </c>
      <c r="C273" s="7" t="str">
        <f aca="false">'Raw Data'!C273</f>
        <v>Male</v>
      </c>
      <c r="D273" s="7" t="str">
        <f aca="false">'Raw Data'!D273</f>
        <v>Never</v>
      </c>
      <c r="E273" s="7" t="str">
        <f aca="false">'Raw Data'!J273</f>
        <v>Normal</v>
      </c>
      <c r="F273" s="7" t="n">
        <f aca="false">'Raw Data'!K273</f>
        <v>183.1</v>
      </c>
      <c r="G273" s="7" t="str">
        <f aca="false">'Raw Data'!L273</f>
        <v>Yes</v>
      </c>
      <c r="H273" s="7" t="str">
        <f aca="false">'Raw Data'!M273</f>
        <v>Low</v>
      </c>
      <c r="I273" s="7" t="n">
        <f aca="false">(IF(D273="Current",3,IF(D273="Former",1,0)))+(IF(E273="High",3,IF(E273="Normal",1,0)))+(IF(F273&gt;=240,2,IF(F273&gt;=200,1,0)))+(IF(G273="Yes",2,0))+(IF(H273="High",2,IF(H273="Moderate",1,0)))</f>
        <v>3</v>
      </c>
      <c r="J273" s="7" t="str">
        <f aca="false">IF(I273&gt;=8,"High",IF(I273&gt;=4,"Medium","Low"))</f>
        <v>Low</v>
      </c>
    </row>
    <row r="274" customFormat="false" ht="15" hidden="false" customHeight="true" outlineLevel="0" collapsed="false">
      <c r="A274" s="7" t="n">
        <f aca="false">'Raw Data'!A274</f>
        <v>1668</v>
      </c>
      <c r="B274" s="7" t="n">
        <f aca="false">'Raw Data'!B274</f>
        <v>57</v>
      </c>
      <c r="C274" s="7" t="str">
        <f aca="false">'Raw Data'!C274</f>
        <v>Male</v>
      </c>
      <c r="D274" s="7" t="str">
        <f aca="false">'Raw Data'!D274</f>
        <v>Never</v>
      </c>
      <c r="E274" s="7" t="str">
        <f aca="false">'Raw Data'!J274</f>
        <v>Normal</v>
      </c>
      <c r="F274" s="7" t="n">
        <f aca="false">'Raw Data'!K274</f>
        <v>121.1</v>
      </c>
      <c r="G274" s="7" t="str">
        <f aca="false">'Raw Data'!L274</f>
        <v>Yes</v>
      </c>
      <c r="H274" s="7" t="str">
        <f aca="false">'Raw Data'!M274</f>
        <v>Low</v>
      </c>
      <c r="I274" s="7" t="n">
        <f aca="false">(IF(D274="Current",3,IF(D274="Former",1,0)))+(IF(E274="High",3,IF(E274="Normal",1,0)))+(IF(F274&gt;=240,2,IF(F274&gt;=200,1,0)))+(IF(G274="Yes",2,0))+(IF(H274="High",2,IF(H274="Moderate",1,0)))</f>
        <v>3</v>
      </c>
      <c r="J274" s="7" t="str">
        <f aca="false">IF(I274&gt;=8,"High",IF(I274&gt;=4,"Medium","Low"))</f>
        <v>Low</v>
      </c>
    </row>
    <row r="275" customFormat="false" ht="15" hidden="false" customHeight="true" outlineLevel="0" collapsed="false">
      <c r="A275" s="7" t="n">
        <f aca="false">'Raw Data'!A275</f>
        <v>1684</v>
      </c>
      <c r="B275" s="7" t="n">
        <f aca="false">'Raw Data'!B275</f>
        <v>71</v>
      </c>
      <c r="C275" s="7" t="str">
        <f aca="false">'Raw Data'!C275</f>
        <v>Female</v>
      </c>
      <c r="D275" s="7" t="str">
        <f aca="false">'Raw Data'!D275</f>
        <v>Never</v>
      </c>
      <c r="E275" s="7" t="str">
        <f aca="false">'Raw Data'!J275</f>
        <v>Normal</v>
      </c>
      <c r="F275" s="7" t="n">
        <f aca="false">'Raw Data'!K275</f>
        <v>214.9</v>
      </c>
      <c r="G275" s="7" t="str">
        <f aca="false">'Raw Data'!L275</f>
        <v>Yes</v>
      </c>
      <c r="H275" s="7" t="str">
        <f aca="false">'Raw Data'!M275</f>
        <v>Low</v>
      </c>
      <c r="I275" s="7" t="n">
        <f aca="false">(IF(D275="Current",3,IF(D275="Former",1,0)))+(IF(E275="High",3,IF(E275="Normal",1,0)))+(IF(F275&gt;=240,2,IF(F275&gt;=200,1,0)))+(IF(G275="Yes",2,0))+(IF(H275="High",2,IF(H275="Moderate",1,0)))</f>
        <v>4</v>
      </c>
      <c r="J275" s="7" t="str">
        <f aca="false">IF(I275&gt;=8,"High",IF(I275&gt;=4,"Medium","Low"))</f>
        <v>Medium</v>
      </c>
    </row>
    <row r="276" customFormat="false" ht="15" hidden="false" customHeight="true" outlineLevel="0" collapsed="false">
      <c r="A276" s="7" t="n">
        <f aca="false">'Raw Data'!A276</f>
        <v>1771</v>
      </c>
      <c r="B276" s="7" t="n">
        <f aca="false">'Raw Data'!B276</f>
        <v>49</v>
      </c>
      <c r="C276" s="7" t="str">
        <f aca="false">'Raw Data'!C276</f>
        <v>Male</v>
      </c>
      <c r="D276" s="7" t="str">
        <f aca="false">'Raw Data'!D276</f>
        <v>Never</v>
      </c>
      <c r="E276" s="7" t="str">
        <f aca="false">'Raw Data'!J276</f>
        <v>Normal</v>
      </c>
      <c r="F276" s="7" t="n">
        <f aca="false">'Raw Data'!K276</f>
        <v>211.7</v>
      </c>
      <c r="G276" s="7" t="str">
        <f aca="false">'Raw Data'!L276</f>
        <v>Yes</v>
      </c>
      <c r="H276" s="7" t="str">
        <f aca="false">'Raw Data'!M276</f>
        <v>Low</v>
      </c>
      <c r="I276" s="7" t="n">
        <f aca="false">(IF(D276="Current",3,IF(D276="Former",1,0)))+(IF(E276="High",3,IF(E276="Normal",1,0)))+(IF(F276&gt;=240,2,IF(F276&gt;=200,1,0)))+(IF(G276="Yes",2,0))+(IF(H276="High",2,IF(H276="Moderate",1,0)))</f>
        <v>4</v>
      </c>
      <c r="J276" s="7" t="str">
        <f aca="false">IF(I276&gt;=8,"High",IF(I276&gt;=4,"Medium","Low"))</f>
        <v>Medium</v>
      </c>
    </row>
    <row r="277" customFormat="false" ht="15" hidden="false" customHeight="true" outlineLevel="0" collapsed="false">
      <c r="A277" s="7" t="n">
        <f aca="false">'Raw Data'!A277</f>
        <v>1803</v>
      </c>
      <c r="B277" s="7" t="n">
        <f aca="false">'Raw Data'!B277</f>
        <v>33</v>
      </c>
      <c r="C277" s="7" t="str">
        <f aca="false">'Raw Data'!C277</f>
        <v>Male</v>
      </c>
      <c r="D277" s="7" t="str">
        <f aca="false">'Raw Data'!D277</f>
        <v>Never</v>
      </c>
      <c r="E277" s="7" t="str">
        <f aca="false">'Raw Data'!J277</f>
        <v>Normal</v>
      </c>
      <c r="F277" s="7" t="n">
        <f aca="false">'Raw Data'!K277</f>
        <v>288.6</v>
      </c>
      <c r="G277" s="7" t="str">
        <f aca="false">'Raw Data'!L277</f>
        <v>Yes</v>
      </c>
      <c r="H277" s="7" t="str">
        <f aca="false">'Raw Data'!M277</f>
        <v>Low</v>
      </c>
      <c r="I277" s="7" t="n">
        <f aca="false">(IF(D277="Current",3,IF(D277="Former",1,0)))+(IF(E277="High",3,IF(E277="Normal",1,0)))+(IF(F277&gt;=240,2,IF(F277&gt;=200,1,0)))+(IF(G277="Yes",2,0))+(IF(H277="High",2,IF(H277="Moderate",1,0)))</f>
        <v>5</v>
      </c>
      <c r="J277" s="7" t="str">
        <f aca="false">IF(I277&gt;=8,"High",IF(I277&gt;=4,"Medium","Low"))</f>
        <v>Medium</v>
      </c>
    </row>
    <row r="278" customFormat="false" ht="15" hidden="false" customHeight="true" outlineLevel="0" collapsed="false">
      <c r="A278" s="7" t="n">
        <f aca="false">'Raw Data'!A278</f>
        <v>1824</v>
      </c>
      <c r="B278" s="7" t="n">
        <f aca="false">'Raw Data'!B278</f>
        <v>58</v>
      </c>
      <c r="C278" s="7" t="str">
        <f aca="false">'Raw Data'!C278</f>
        <v>Male</v>
      </c>
      <c r="D278" s="7" t="str">
        <f aca="false">'Raw Data'!D278</f>
        <v>Never</v>
      </c>
      <c r="E278" s="7" t="str">
        <f aca="false">'Raw Data'!J278</f>
        <v>Normal</v>
      </c>
      <c r="F278" s="7" t="n">
        <f aca="false">'Raw Data'!K278</f>
        <v>261.5</v>
      </c>
      <c r="G278" s="7" t="str">
        <f aca="false">'Raw Data'!L278</f>
        <v>Yes</v>
      </c>
      <c r="H278" s="7" t="str">
        <f aca="false">'Raw Data'!M278</f>
        <v>Low</v>
      </c>
      <c r="I278" s="7" t="n">
        <f aca="false">(IF(D278="Current",3,IF(D278="Former",1,0)))+(IF(E278="High",3,IF(E278="Normal",1,0)))+(IF(F278&gt;=240,2,IF(F278&gt;=200,1,0)))+(IF(G278="Yes",2,0))+(IF(H278="High",2,IF(H278="Moderate",1,0)))</f>
        <v>5</v>
      </c>
      <c r="J278" s="7" t="str">
        <f aca="false">IF(I278&gt;=8,"High",IF(I278&gt;=4,"Medium","Low"))</f>
        <v>Medium</v>
      </c>
    </row>
    <row r="279" customFormat="false" ht="15" hidden="false" customHeight="true" outlineLevel="0" collapsed="false">
      <c r="A279" s="7" t="n">
        <f aca="false">'Raw Data'!A279</f>
        <v>1828</v>
      </c>
      <c r="B279" s="7" t="n">
        <f aca="false">'Raw Data'!B279</f>
        <v>71</v>
      </c>
      <c r="C279" s="7" t="str">
        <f aca="false">'Raw Data'!C279</f>
        <v>Female</v>
      </c>
      <c r="D279" s="7" t="str">
        <f aca="false">'Raw Data'!D279</f>
        <v>Never</v>
      </c>
      <c r="E279" s="7" t="str">
        <f aca="false">'Raw Data'!J279</f>
        <v>Normal</v>
      </c>
      <c r="F279" s="7" t="n">
        <f aca="false">'Raw Data'!K279</f>
        <v>131.6</v>
      </c>
      <c r="G279" s="7" t="str">
        <f aca="false">'Raw Data'!L279</f>
        <v>Yes</v>
      </c>
      <c r="H279" s="7" t="str">
        <f aca="false">'Raw Data'!M279</f>
        <v>Low</v>
      </c>
      <c r="I279" s="7" t="n">
        <f aca="false">(IF(D279="Current",3,IF(D279="Former",1,0)))+(IF(E279="High",3,IF(E279="Normal",1,0)))+(IF(F279&gt;=240,2,IF(F279&gt;=200,1,0)))+(IF(G279="Yes",2,0))+(IF(H279="High",2,IF(H279="Moderate",1,0)))</f>
        <v>3</v>
      </c>
      <c r="J279" s="7" t="str">
        <f aca="false">IF(I279&gt;=8,"High",IF(I279&gt;=4,"Medium","Low"))</f>
        <v>Low</v>
      </c>
    </row>
    <row r="280" customFormat="false" ht="15" hidden="false" customHeight="true" outlineLevel="0" collapsed="false">
      <c r="A280" s="7" t="n">
        <f aca="false">'Raw Data'!A280</f>
        <v>1839</v>
      </c>
      <c r="B280" s="7" t="n">
        <f aca="false">'Raw Data'!B280</f>
        <v>62</v>
      </c>
      <c r="C280" s="7" t="str">
        <f aca="false">'Raw Data'!C280</f>
        <v>Female</v>
      </c>
      <c r="D280" s="7" t="str">
        <f aca="false">'Raw Data'!D280</f>
        <v>Never</v>
      </c>
      <c r="E280" s="7" t="str">
        <f aca="false">'Raw Data'!J280</f>
        <v>Normal</v>
      </c>
      <c r="F280" s="7" t="n">
        <f aca="false">'Raw Data'!K280</f>
        <v>148</v>
      </c>
      <c r="G280" s="7" t="str">
        <f aca="false">'Raw Data'!L280</f>
        <v>Yes</v>
      </c>
      <c r="H280" s="7" t="str">
        <f aca="false">'Raw Data'!M280</f>
        <v>Low</v>
      </c>
      <c r="I280" s="7" t="n">
        <f aca="false">(IF(D280="Current",3,IF(D280="Former",1,0)))+(IF(E280="High",3,IF(E280="Normal",1,0)))+(IF(F280&gt;=240,2,IF(F280&gt;=200,1,0)))+(IF(G280="Yes",2,0))+(IF(H280="High",2,IF(H280="Moderate",1,0)))</f>
        <v>3</v>
      </c>
      <c r="J280" s="7" t="str">
        <f aca="false">IF(I280&gt;=8,"High",IF(I280&gt;=4,"Medium","Low"))</f>
        <v>Low</v>
      </c>
    </row>
    <row r="281" customFormat="false" ht="15" hidden="false" customHeight="true" outlineLevel="0" collapsed="false">
      <c r="A281" s="7" t="n">
        <f aca="false">'Raw Data'!A281</f>
        <v>1842</v>
      </c>
      <c r="B281" s="7" t="n">
        <f aca="false">'Raw Data'!B281</f>
        <v>71</v>
      </c>
      <c r="C281" s="7" t="str">
        <f aca="false">'Raw Data'!C281</f>
        <v>Male</v>
      </c>
      <c r="D281" s="7" t="str">
        <f aca="false">'Raw Data'!D281</f>
        <v>Never</v>
      </c>
      <c r="E281" s="7" t="str">
        <f aca="false">'Raw Data'!J281</f>
        <v>Normal</v>
      </c>
      <c r="F281" s="7" t="n">
        <f aca="false">'Raw Data'!K281</f>
        <v>259.7</v>
      </c>
      <c r="G281" s="7" t="str">
        <f aca="false">'Raw Data'!L281</f>
        <v>Yes</v>
      </c>
      <c r="H281" s="7" t="str">
        <f aca="false">'Raw Data'!M281</f>
        <v>Low</v>
      </c>
      <c r="I281" s="7" t="n">
        <f aca="false">(IF(D281="Current",3,IF(D281="Former",1,0)))+(IF(E281="High",3,IF(E281="Normal",1,0)))+(IF(F281&gt;=240,2,IF(F281&gt;=200,1,0)))+(IF(G281="Yes",2,0))+(IF(H281="High",2,IF(H281="Moderate",1,0)))</f>
        <v>5</v>
      </c>
      <c r="J281" s="7" t="str">
        <f aca="false">IF(I281&gt;=8,"High",IF(I281&gt;=4,"Medium","Low"))</f>
        <v>Medium</v>
      </c>
    </row>
    <row r="282" customFormat="false" ht="15" hidden="false" customHeight="true" outlineLevel="0" collapsed="false">
      <c r="A282" s="7" t="n">
        <f aca="false">'Raw Data'!A282</f>
        <v>1927</v>
      </c>
      <c r="B282" s="7" t="n">
        <f aca="false">'Raw Data'!B282</f>
        <v>42</v>
      </c>
      <c r="C282" s="7" t="str">
        <f aca="false">'Raw Data'!C282</f>
        <v>Male</v>
      </c>
      <c r="D282" s="7" t="str">
        <f aca="false">'Raw Data'!D282</f>
        <v>Never</v>
      </c>
      <c r="E282" s="7" t="str">
        <f aca="false">'Raw Data'!J282</f>
        <v>Normal</v>
      </c>
      <c r="F282" s="7" t="n">
        <f aca="false">'Raw Data'!K282</f>
        <v>137.9</v>
      </c>
      <c r="G282" s="7" t="str">
        <f aca="false">'Raw Data'!L282</f>
        <v>Yes</v>
      </c>
      <c r="H282" s="7" t="str">
        <f aca="false">'Raw Data'!M282</f>
        <v>Low</v>
      </c>
      <c r="I282" s="7" t="n">
        <f aca="false">(IF(D282="Current",3,IF(D282="Former",1,0)))+(IF(E282="High",3,IF(E282="Normal",1,0)))+(IF(F282&gt;=240,2,IF(F282&gt;=200,1,0)))+(IF(G282="Yes",2,0))+(IF(H282="High",2,IF(H282="Moderate",1,0)))</f>
        <v>3</v>
      </c>
      <c r="J282" s="7" t="str">
        <f aca="false">IF(I282&gt;=8,"High",IF(I282&gt;=4,"Medium","Low"))</f>
        <v>Low</v>
      </c>
    </row>
    <row r="283" customFormat="false" ht="15" hidden="false" customHeight="true" outlineLevel="0" collapsed="false">
      <c r="A283" s="7" t="n">
        <f aca="false">'Raw Data'!A283</f>
        <v>1963</v>
      </c>
      <c r="B283" s="7" t="n">
        <f aca="false">'Raw Data'!B283</f>
        <v>77</v>
      </c>
      <c r="C283" s="7" t="str">
        <f aca="false">'Raw Data'!C283</f>
        <v>Male</v>
      </c>
      <c r="D283" s="7" t="str">
        <f aca="false">'Raw Data'!D283</f>
        <v>Never</v>
      </c>
      <c r="E283" s="7" t="str">
        <f aca="false">'Raw Data'!J283</f>
        <v>Normal</v>
      </c>
      <c r="F283" s="7" t="n">
        <f aca="false">'Raw Data'!K283</f>
        <v>265.7</v>
      </c>
      <c r="G283" s="7" t="str">
        <f aca="false">'Raw Data'!L283</f>
        <v>Yes</v>
      </c>
      <c r="H283" s="7" t="str">
        <f aca="false">'Raw Data'!M283</f>
        <v>Low</v>
      </c>
      <c r="I283" s="7" t="n">
        <f aca="false">(IF(D283="Current",3,IF(D283="Former",1,0)))+(IF(E283="High",3,IF(E283="Normal",1,0)))+(IF(F283&gt;=240,2,IF(F283&gt;=200,1,0)))+(IF(G283="Yes",2,0))+(IF(H283="High",2,IF(H283="Moderate",1,0)))</f>
        <v>5</v>
      </c>
      <c r="J283" s="7" t="str">
        <f aca="false">IF(I283&gt;=8,"High",IF(I283&gt;=4,"Medium","Low"))</f>
        <v>Medium</v>
      </c>
    </row>
    <row r="284" customFormat="false" ht="15" hidden="false" customHeight="true" outlineLevel="0" collapsed="false">
      <c r="A284" s="7" t="n">
        <f aca="false">'Raw Data'!A284</f>
        <v>1967</v>
      </c>
      <c r="B284" s="7" t="n">
        <f aca="false">'Raw Data'!B284</f>
        <v>46</v>
      </c>
      <c r="C284" s="7" t="str">
        <f aca="false">'Raw Data'!C284</f>
        <v>Male</v>
      </c>
      <c r="D284" s="7" t="str">
        <f aca="false">'Raw Data'!D284</f>
        <v>Never</v>
      </c>
      <c r="E284" s="7" t="str">
        <f aca="false">'Raw Data'!J284</f>
        <v>Normal</v>
      </c>
      <c r="F284" s="7" t="n">
        <f aca="false">'Raw Data'!K284</f>
        <v>205.8</v>
      </c>
      <c r="G284" s="7" t="str">
        <f aca="false">'Raw Data'!L284</f>
        <v>Yes</v>
      </c>
      <c r="H284" s="7" t="str">
        <f aca="false">'Raw Data'!M284</f>
        <v>Low</v>
      </c>
      <c r="I284" s="7" t="n">
        <f aca="false">(IF(D284="Current",3,IF(D284="Former",1,0)))+(IF(E284="High",3,IF(E284="Normal",1,0)))+(IF(F284&gt;=240,2,IF(F284&gt;=200,1,0)))+(IF(G284="Yes",2,0))+(IF(H284="High",2,IF(H284="Moderate",1,0)))</f>
        <v>4</v>
      </c>
      <c r="J284" s="7" t="str">
        <f aca="false">IF(I284&gt;=8,"High",IF(I284&gt;=4,"Medium","Low"))</f>
        <v>Medium</v>
      </c>
    </row>
    <row r="285" customFormat="false" ht="15" hidden="false" customHeight="true" outlineLevel="0" collapsed="false">
      <c r="A285" s="7" t="n">
        <f aca="false">'Raw Data'!A285</f>
        <v>2036</v>
      </c>
      <c r="B285" s="7" t="n">
        <f aca="false">'Raw Data'!B285</f>
        <v>63</v>
      </c>
      <c r="C285" s="7" t="str">
        <f aca="false">'Raw Data'!C285</f>
        <v>Male</v>
      </c>
      <c r="D285" s="7" t="str">
        <f aca="false">'Raw Data'!D285</f>
        <v>Never</v>
      </c>
      <c r="E285" s="7" t="str">
        <f aca="false">'Raw Data'!J285</f>
        <v>Normal</v>
      </c>
      <c r="F285" s="7" t="n">
        <f aca="false">'Raw Data'!K285</f>
        <v>192.2</v>
      </c>
      <c r="G285" s="7" t="str">
        <f aca="false">'Raw Data'!L285</f>
        <v>Yes</v>
      </c>
      <c r="H285" s="7" t="str">
        <f aca="false">'Raw Data'!M285</f>
        <v>Low</v>
      </c>
      <c r="I285" s="7" t="n">
        <f aca="false">(IF(D285="Current",3,IF(D285="Former",1,0)))+(IF(E285="High",3,IF(E285="Normal",1,0)))+(IF(F285&gt;=240,2,IF(F285&gt;=200,1,0)))+(IF(G285="Yes",2,0))+(IF(H285="High",2,IF(H285="Moderate",1,0)))</f>
        <v>3</v>
      </c>
      <c r="J285" s="7" t="str">
        <f aca="false">IF(I285&gt;=8,"High",IF(I285&gt;=4,"Medium","Low"))</f>
        <v>Low</v>
      </c>
    </row>
    <row r="286" customFormat="false" ht="15" hidden="false" customHeight="true" outlineLevel="0" collapsed="false">
      <c r="A286" s="7" t="n">
        <f aca="false">'Raw Data'!A286</f>
        <v>2038</v>
      </c>
      <c r="B286" s="7" t="n">
        <f aca="false">'Raw Data'!B286</f>
        <v>81</v>
      </c>
      <c r="C286" s="7" t="str">
        <f aca="false">'Raw Data'!C286</f>
        <v>Female</v>
      </c>
      <c r="D286" s="7" t="str">
        <f aca="false">'Raw Data'!D286</f>
        <v>Never</v>
      </c>
      <c r="E286" s="7" t="str">
        <f aca="false">'Raw Data'!J286</f>
        <v>Normal</v>
      </c>
      <c r="F286" s="7" t="n">
        <f aca="false">'Raw Data'!K286</f>
        <v>243.1</v>
      </c>
      <c r="G286" s="7" t="str">
        <f aca="false">'Raw Data'!L286</f>
        <v>Yes</v>
      </c>
      <c r="H286" s="7" t="str">
        <f aca="false">'Raw Data'!M286</f>
        <v>Low</v>
      </c>
      <c r="I286" s="7" t="n">
        <f aca="false">(IF(D286="Current",3,IF(D286="Former",1,0)))+(IF(E286="High",3,IF(E286="Normal",1,0)))+(IF(F286&gt;=240,2,IF(F286&gt;=200,1,0)))+(IF(G286="Yes",2,0))+(IF(H286="High",2,IF(H286="Moderate",1,0)))</f>
        <v>5</v>
      </c>
      <c r="J286" s="7" t="str">
        <f aca="false">IF(I286&gt;=8,"High",IF(I286&gt;=4,"Medium","Low"))</f>
        <v>Medium</v>
      </c>
    </row>
    <row r="287" customFormat="false" ht="15" hidden="false" customHeight="true" outlineLevel="0" collapsed="false">
      <c r="A287" s="7" t="n">
        <f aca="false">'Raw Data'!A287</f>
        <v>2077</v>
      </c>
      <c r="B287" s="7" t="n">
        <f aca="false">'Raw Data'!B287</f>
        <v>19</v>
      </c>
      <c r="C287" s="7" t="str">
        <f aca="false">'Raw Data'!C287</f>
        <v>Female</v>
      </c>
      <c r="D287" s="7" t="str">
        <f aca="false">'Raw Data'!D287</f>
        <v>Never</v>
      </c>
      <c r="E287" s="7" t="str">
        <f aca="false">'Raw Data'!J287</f>
        <v>Normal</v>
      </c>
      <c r="F287" s="7" t="n">
        <f aca="false">'Raw Data'!K287</f>
        <v>144.6</v>
      </c>
      <c r="G287" s="7" t="str">
        <f aca="false">'Raw Data'!L287</f>
        <v>Yes</v>
      </c>
      <c r="H287" s="7" t="str">
        <f aca="false">'Raw Data'!M287</f>
        <v>Low</v>
      </c>
      <c r="I287" s="7" t="n">
        <f aca="false">(IF(D287="Current",3,IF(D287="Former",1,0)))+(IF(E287="High",3,IF(E287="Normal",1,0)))+(IF(F287&gt;=240,2,IF(F287&gt;=200,1,0)))+(IF(G287="Yes",2,0))+(IF(H287="High",2,IF(H287="Moderate",1,0)))</f>
        <v>3</v>
      </c>
      <c r="J287" s="7" t="str">
        <f aca="false">IF(I287&gt;=8,"High",IF(I287&gt;=4,"Medium","Low"))</f>
        <v>Low</v>
      </c>
    </row>
    <row r="288" customFormat="false" ht="15" hidden="false" customHeight="true" outlineLevel="0" collapsed="false">
      <c r="A288" s="7" t="n">
        <f aca="false">'Raw Data'!A288</f>
        <v>2095</v>
      </c>
      <c r="B288" s="7" t="n">
        <f aca="false">'Raw Data'!B288</f>
        <v>73</v>
      </c>
      <c r="C288" s="7" t="str">
        <f aca="false">'Raw Data'!C288</f>
        <v>Female</v>
      </c>
      <c r="D288" s="7" t="str">
        <f aca="false">'Raw Data'!D288</f>
        <v>Never</v>
      </c>
      <c r="E288" s="7" t="str">
        <f aca="false">'Raw Data'!J288</f>
        <v>Normal</v>
      </c>
      <c r="F288" s="7" t="n">
        <f aca="false">'Raw Data'!K288</f>
        <v>138.4</v>
      </c>
      <c r="G288" s="7" t="str">
        <f aca="false">'Raw Data'!L288</f>
        <v>Yes</v>
      </c>
      <c r="H288" s="7" t="str">
        <f aca="false">'Raw Data'!M288</f>
        <v>Low</v>
      </c>
      <c r="I288" s="7" t="n">
        <f aca="false">(IF(D288="Current",3,IF(D288="Former",1,0)))+(IF(E288="High",3,IF(E288="Normal",1,0)))+(IF(F288&gt;=240,2,IF(F288&gt;=200,1,0)))+(IF(G288="Yes",2,0))+(IF(H288="High",2,IF(H288="Moderate",1,0)))</f>
        <v>3</v>
      </c>
      <c r="J288" s="7" t="str">
        <f aca="false">IF(I288&gt;=8,"High",IF(I288&gt;=4,"Medium","Low"))</f>
        <v>Low</v>
      </c>
    </row>
    <row r="289" customFormat="false" ht="15" hidden="false" customHeight="true" outlineLevel="0" collapsed="false">
      <c r="A289" s="7" t="n">
        <f aca="false">'Raw Data'!A289</f>
        <v>2108</v>
      </c>
      <c r="B289" s="7" t="n">
        <f aca="false">'Raw Data'!B289</f>
        <v>25</v>
      </c>
      <c r="C289" s="7" t="str">
        <f aca="false">'Raw Data'!C289</f>
        <v>Male</v>
      </c>
      <c r="D289" s="7" t="str">
        <f aca="false">'Raw Data'!D289</f>
        <v>Never</v>
      </c>
      <c r="E289" s="7" t="str">
        <f aca="false">'Raw Data'!J289</f>
        <v>Normal</v>
      </c>
      <c r="F289" s="7" t="n">
        <f aca="false">'Raw Data'!K289</f>
        <v>155</v>
      </c>
      <c r="G289" s="7" t="str">
        <f aca="false">'Raw Data'!L289</f>
        <v>Yes</v>
      </c>
      <c r="H289" s="7" t="str">
        <f aca="false">'Raw Data'!M289</f>
        <v>Low</v>
      </c>
      <c r="I289" s="7" t="n">
        <f aca="false">(IF(D289="Current",3,IF(D289="Former",1,0)))+(IF(E289="High",3,IF(E289="Normal",1,0)))+(IF(F289&gt;=240,2,IF(F289&gt;=200,1,0)))+(IF(G289="Yes",2,0))+(IF(H289="High",2,IF(H289="Moderate",1,0)))</f>
        <v>3</v>
      </c>
      <c r="J289" s="7" t="str">
        <f aca="false">IF(I289&gt;=8,"High",IF(I289&gt;=4,"Medium","Low"))</f>
        <v>Low</v>
      </c>
    </row>
    <row r="290" customFormat="false" ht="15" hidden="false" customHeight="true" outlineLevel="0" collapsed="false">
      <c r="A290" s="7" t="n">
        <f aca="false">'Raw Data'!A290</f>
        <v>2120</v>
      </c>
      <c r="B290" s="7" t="n">
        <f aca="false">'Raw Data'!B290</f>
        <v>35</v>
      </c>
      <c r="C290" s="7" t="str">
        <f aca="false">'Raw Data'!C290</f>
        <v>Male</v>
      </c>
      <c r="D290" s="7" t="str">
        <f aca="false">'Raw Data'!D290</f>
        <v>Never</v>
      </c>
      <c r="E290" s="7" t="str">
        <f aca="false">'Raw Data'!J290</f>
        <v>Normal</v>
      </c>
      <c r="F290" s="7" t="n">
        <f aca="false">'Raw Data'!K290</f>
        <v>150.7</v>
      </c>
      <c r="G290" s="7" t="str">
        <f aca="false">'Raw Data'!L290</f>
        <v>Yes</v>
      </c>
      <c r="H290" s="7" t="str">
        <f aca="false">'Raw Data'!M290</f>
        <v>Low</v>
      </c>
      <c r="I290" s="7" t="n">
        <f aca="false">(IF(D290="Current",3,IF(D290="Former",1,0)))+(IF(E290="High",3,IF(E290="Normal",1,0)))+(IF(F290&gt;=240,2,IF(F290&gt;=200,1,0)))+(IF(G290="Yes",2,0))+(IF(H290="High",2,IF(H290="Moderate",1,0)))</f>
        <v>3</v>
      </c>
      <c r="J290" s="7" t="str">
        <f aca="false">IF(I290&gt;=8,"High",IF(I290&gt;=4,"Medium","Low"))</f>
        <v>Low</v>
      </c>
    </row>
    <row r="291" customFormat="false" ht="15" hidden="false" customHeight="true" outlineLevel="0" collapsed="false">
      <c r="A291" s="7" t="n">
        <f aca="false">'Raw Data'!A291</f>
        <v>2160</v>
      </c>
      <c r="B291" s="7" t="n">
        <f aca="false">'Raw Data'!B291</f>
        <v>54</v>
      </c>
      <c r="C291" s="7" t="str">
        <f aca="false">'Raw Data'!C291</f>
        <v>Male</v>
      </c>
      <c r="D291" s="7" t="str">
        <f aca="false">'Raw Data'!D291</f>
        <v>Never</v>
      </c>
      <c r="E291" s="7" t="str">
        <f aca="false">'Raw Data'!J291</f>
        <v>Normal</v>
      </c>
      <c r="F291" s="7" t="n">
        <f aca="false">'Raw Data'!K291</f>
        <v>128.4</v>
      </c>
      <c r="G291" s="7" t="str">
        <f aca="false">'Raw Data'!L291</f>
        <v>Yes</v>
      </c>
      <c r="H291" s="7" t="str">
        <f aca="false">'Raw Data'!M291</f>
        <v>Low</v>
      </c>
      <c r="I291" s="7" t="n">
        <f aca="false">(IF(D291="Current",3,IF(D291="Former",1,0)))+(IF(E291="High",3,IF(E291="Normal",1,0)))+(IF(F291&gt;=240,2,IF(F291&gt;=200,1,0)))+(IF(G291="Yes",2,0))+(IF(H291="High",2,IF(H291="Moderate",1,0)))</f>
        <v>3</v>
      </c>
      <c r="J291" s="7" t="str">
        <f aca="false">IF(I291&gt;=8,"High",IF(I291&gt;=4,"Medium","Low"))</f>
        <v>Low</v>
      </c>
    </row>
    <row r="292" customFormat="false" ht="15" hidden="false" customHeight="true" outlineLevel="0" collapsed="false">
      <c r="A292" s="7" t="n">
        <f aca="false">'Raw Data'!A292</f>
        <v>2233</v>
      </c>
      <c r="B292" s="7" t="n">
        <f aca="false">'Raw Data'!B292</f>
        <v>41</v>
      </c>
      <c r="C292" s="7" t="str">
        <f aca="false">'Raw Data'!C292</f>
        <v>Female</v>
      </c>
      <c r="D292" s="7" t="str">
        <f aca="false">'Raw Data'!D292</f>
        <v>Never</v>
      </c>
      <c r="E292" s="7" t="str">
        <f aca="false">'Raw Data'!J292</f>
        <v>Normal</v>
      </c>
      <c r="F292" s="7" t="n">
        <f aca="false">'Raw Data'!K292</f>
        <v>167</v>
      </c>
      <c r="G292" s="7" t="str">
        <f aca="false">'Raw Data'!L292</f>
        <v>Yes</v>
      </c>
      <c r="H292" s="7" t="str">
        <f aca="false">'Raw Data'!M292</f>
        <v>Low</v>
      </c>
      <c r="I292" s="7" t="n">
        <f aca="false">(IF(D292="Current",3,IF(D292="Former",1,0)))+(IF(E292="High",3,IF(E292="Normal",1,0)))+(IF(F292&gt;=240,2,IF(F292&gt;=200,1,0)))+(IF(G292="Yes",2,0))+(IF(H292="High",2,IF(H292="Moderate",1,0)))</f>
        <v>3</v>
      </c>
      <c r="J292" s="7" t="str">
        <f aca="false">IF(I292&gt;=8,"High",IF(I292&gt;=4,"Medium","Low"))</f>
        <v>Low</v>
      </c>
    </row>
    <row r="293" customFormat="false" ht="15" hidden="false" customHeight="true" outlineLevel="0" collapsed="false">
      <c r="A293" s="7" t="n">
        <f aca="false">'Raw Data'!A293</f>
        <v>2273</v>
      </c>
      <c r="B293" s="7" t="n">
        <f aca="false">'Raw Data'!B293</f>
        <v>27</v>
      </c>
      <c r="C293" s="7" t="str">
        <f aca="false">'Raw Data'!C293</f>
        <v>Male</v>
      </c>
      <c r="D293" s="7" t="str">
        <f aca="false">'Raw Data'!D293</f>
        <v>Never</v>
      </c>
      <c r="E293" s="7" t="str">
        <f aca="false">'Raw Data'!J293</f>
        <v>Normal</v>
      </c>
      <c r="F293" s="7" t="n">
        <f aca="false">'Raw Data'!K293</f>
        <v>180.7</v>
      </c>
      <c r="G293" s="7" t="str">
        <f aca="false">'Raw Data'!L293</f>
        <v>Yes</v>
      </c>
      <c r="H293" s="7" t="str">
        <f aca="false">'Raw Data'!M293</f>
        <v>Low</v>
      </c>
      <c r="I293" s="7" t="n">
        <f aca="false">(IF(D293="Current",3,IF(D293="Former",1,0)))+(IF(E293="High",3,IF(E293="Normal",1,0)))+(IF(F293&gt;=240,2,IF(F293&gt;=200,1,0)))+(IF(G293="Yes",2,0))+(IF(H293="High",2,IF(H293="Moderate",1,0)))</f>
        <v>3</v>
      </c>
      <c r="J293" s="7" t="str">
        <f aca="false">IF(I293&gt;=8,"High",IF(I293&gt;=4,"Medium","Low"))</f>
        <v>Low</v>
      </c>
    </row>
    <row r="294" customFormat="false" ht="15" hidden="false" customHeight="true" outlineLevel="0" collapsed="false">
      <c r="A294" s="7" t="n">
        <f aca="false">'Raw Data'!A294</f>
        <v>2277</v>
      </c>
      <c r="B294" s="7" t="n">
        <f aca="false">'Raw Data'!B294</f>
        <v>46</v>
      </c>
      <c r="C294" s="7" t="str">
        <f aca="false">'Raw Data'!C294</f>
        <v>Female</v>
      </c>
      <c r="D294" s="7" t="str">
        <f aca="false">'Raw Data'!D294</f>
        <v>Never</v>
      </c>
      <c r="E294" s="7" t="str">
        <f aca="false">'Raw Data'!J294</f>
        <v>Normal</v>
      </c>
      <c r="F294" s="7" t="n">
        <f aca="false">'Raw Data'!K294</f>
        <v>138.5</v>
      </c>
      <c r="G294" s="7" t="str">
        <f aca="false">'Raw Data'!L294</f>
        <v>Yes</v>
      </c>
      <c r="H294" s="7" t="str">
        <f aca="false">'Raw Data'!M294</f>
        <v>Low</v>
      </c>
      <c r="I294" s="7" t="n">
        <f aca="false">(IF(D294="Current",3,IF(D294="Former",1,0)))+(IF(E294="High",3,IF(E294="Normal",1,0)))+(IF(F294&gt;=240,2,IF(F294&gt;=200,1,0)))+(IF(G294="Yes",2,0))+(IF(H294="High",2,IF(H294="Moderate",1,0)))</f>
        <v>3</v>
      </c>
      <c r="J294" s="7" t="str">
        <f aca="false">IF(I294&gt;=8,"High",IF(I294&gt;=4,"Medium","Low"))</f>
        <v>Low</v>
      </c>
    </row>
    <row r="295" customFormat="false" ht="15" hidden="false" customHeight="true" outlineLevel="0" collapsed="false">
      <c r="A295" s="7" t="n">
        <f aca="false">'Raw Data'!A295</f>
        <v>2285</v>
      </c>
      <c r="B295" s="7" t="n">
        <f aca="false">'Raw Data'!B295</f>
        <v>38</v>
      </c>
      <c r="C295" s="7" t="str">
        <f aca="false">'Raw Data'!C295</f>
        <v>Male</v>
      </c>
      <c r="D295" s="7" t="str">
        <f aca="false">'Raw Data'!D295</f>
        <v>Never</v>
      </c>
      <c r="E295" s="7" t="str">
        <f aca="false">'Raw Data'!J295</f>
        <v>Normal</v>
      </c>
      <c r="F295" s="7" t="n">
        <f aca="false">'Raw Data'!K295</f>
        <v>167.3</v>
      </c>
      <c r="G295" s="7" t="str">
        <f aca="false">'Raw Data'!L295</f>
        <v>Yes</v>
      </c>
      <c r="H295" s="7" t="str">
        <f aca="false">'Raw Data'!M295</f>
        <v>Low</v>
      </c>
      <c r="I295" s="7" t="n">
        <f aca="false">(IF(D295="Current",3,IF(D295="Former",1,0)))+(IF(E295="High",3,IF(E295="Normal",1,0)))+(IF(F295&gt;=240,2,IF(F295&gt;=200,1,0)))+(IF(G295="Yes",2,0))+(IF(H295="High",2,IF(H295="Moderate",1,0)))</f>
        <v>3</v>
      </c>
      <c r="J295" s="7" t="str">
        <f aca="false">IF(I295&gt;=8,"High",IF(I295&gt;=4,"Medium","Low"))</f>
        <v>Low</v>
      </c>
    </row>
    <row r="296" customFormat="false" ht="15" hidden="false" customHeight="true" outlineLevel="0" collapsed="false">
      <c r="A296" s="7" t="n">
        <f aca="false">'Raw Data'!A296</f>
        <v>2320</v>
      </c>
      <c r="B296" s="7" t="n">
        <f aca="false">'Raw Data'!B296</f>
        <v>68</v>
      </c>
      <c r="C296" s="7" t="str">
        <f aca="false">'Raw Data'!C296</f>
        <v>Male</v>
      </c>
      <c r="D296" s="7" t="str">
        <f aca="false">'Raw Data'!D296</f>
        <v>Never</v>
      </c>
      <c r="E296" s="7" t="str">
        <f aca="false">'Raw Data'!J296</f>
        <v>Normal</v>
      </c>
      <c r="F296" s="7" t="n">
        <f aca="false">'Raw Data'!K296</f>
        <v>242.2</v>
      </c>
      <c r="G296" s="7" t="str">
        <f aca="false">'Raw Data'!L296</f>
        <v>Yes</v>
      </c>
      <c r="H296" s="7" t="str">
        <f aca="false">'Raw Data'!M296</f>
        <v>Low</v>
      </c>
      <c r="I296" s="7" t="n">
        <f aca="false">(IF(D296="Current",3,IF(D296="Former",1,0)))+(IF(E296="High",3,IF(E296="Normal",1,0)))+(IF(F296&gt;=240,2,IF(F296&gt;=200,1,0)))+(IF(G296="Yes",2,0))+(IF(H296="High",2,IF(H296="Moderate",1,0)))</f>
        <v>5</v>
      </c>
      <c r="J296" s="7" t="str">
        <f aca="false">IF(I296&gt;=8,"High",IF(I296&gt;=4,"Medium","Low"))</f>
        <v>Medium</v>
      </c>
    </row>
    <row r="297" customFormat="false" ht="15" hidden="false" customHeight="true" outlineLevel="0" collapsed="false">
      <c r="A297" s="7" t="n">
        <f aca="false">'Raw Data'!A297</f>
        <v>2344</v>
      </c>
      <c r="B297" s="7" t="n">
        <f aca="false">'Raw Data'!B297</f>
        <v>52</v>
      </c>
      <c r="C297" s="7" t="str">
        <f aca="false">'Raw Data'!C297</f>
        <v>Male</v>
      </c>
      <c r="D297" s="7" t="str">
        <f aca="false">'Raw Data'!D297</f>
        <v>Never</v>
      </c>
      <c r="E297" s="7" t="str">
        <f aca="false">'Raw Data'!J297</f>
        <v>Normal</v>
      </c>
      <c r="F297" s="7" t="n">
        <f aca="false">'Raw Data'!K297</f>
        <v>138.3</v>
      </c>
      <c r="G297" s="7" t="str">
        <f aca="false">'Raw Data'!L297</f>
        <v>Yes</v>
      </c>
      <c r="H297" s="7" t="str">
        <f aca="false">'Raw Data'!M297</f>
        <v>Low</v>
      </c>
      <c r="I297" s="7" t="n">
        <f aca="false">(IF(D297="Current",3,IF(D297="Former",1,0)))+(IF(E297="High",3,IF(E297="Normal",1,0)))+(IF(F297&gt;=240,2,IF(F297&gt;=200,1,0)))+(IF(G297="Yes",2,0))+(IF(H297="High",2,IF(H297="Moderate",1,0)))</f>
        <v>3</v>
      </c>
      <c r="J297" s="7" t="str">
        <f aca="false">IF(I297&gt;=8,"High",IF(I297&gt;=4,"Medium","Low"))</f>
        <v>Low</v>
      </c>
    </row>
    <row r="298" customFormat="false" ht="15" hidden="false" customHeight="true" outlineLevel="0" collapsed="false">
      <c r="A298" s="7" t="n">
        <f aca="false">'Raw Data'!A298</f>
        <v>2427</v>
      </c>
      <c r="B298" s="7" t="n">
        <f aca="false">'Raw Data'!B298</f>
        <v>69</v>
      </c>
      <c r="C298" s="7" t="str">
        <f aca="false">'Raw Data'!C298</f>
        <v>Male</v>
      </c>
      <c r="D298" s="7" t="str">
        <f aca="false">'Raw Data'!D298</f>
        <v>Never</v>
      </c>
      <c r="E298" s="7" t="str">
        <f aca="false">'Raw Data'!J298</f>
        <v>Normal</v>
      </c>
      <c r="F298" s="7" t="n">
        <f aca="false">'Raw Data'!K298</f>
        <v>202.6</v>
      </c>
      <c r="G298" s="7" t="str">
        <f aca="false">'Raw Data'!L298</f>
        <v>Yes</v>
      </c>
      <c r="H298" s="7" t="str">
        <f aca="false">'Raw Data'!M298</f>
        <v>Low</v>
      </c>
      <c r="I298" s="7" t="n">
        <f aca="false">(IF(D298="Current",3,IF(D298="Former",1,0)))+(IF(E298="High",3,IF(E298="Normal",1,0)))+(IF(F298&gt;=240,2,IF(F298&gt;=200,1,0)))+(IF(G298="Yes",2,0))+(IF(H298="High",2,IF(H298="Moderate",1,0)))</f>
        <v>4</v>
      </c>
      <c r="J298" s="7" t="str">
        <f aca="false">IF(I298&gt;=8,"High",IF(I298&gt;=4,"Medium","Low"))</f>
        <v>Medium</v>
      </c>
    </row>
    <row r="299" customFormat="false" ht="15" hidden="false" customHeight="true" outlineLevel="0" collapsed="false">
      <c r="A299" s="7" t="n">
        <f aca="false">'Raw Data'!A299</f>
        <v>2456</v>
      </c>
      <c r="B299" s="7" t="n">
        <f aca="false">'Raw Data'!B299</f>
        <v>54</v>
      </c>
      <c r="C299" s="7" t="str">
        <f aca="false">'Raw Data'!C299</f>
        <v>Female</v>
      </c>
      <c r="D299" s="7" t="str">
        <f aca="false">'Raw Data'!D299</f>
        <v>Never</v>
      </c>
      <c r="E299" s="7" t="str">
        <f aca="false">'Raw Data'!J299</f>
        <v>Normal</v>
      </c>
      <c r="F299" s="7" t="n">
        <f aca="false">'Raw Data'!K299</f>
        <v>132</v>
      </c>
      <c r="G299" s="7" t="str">
        <f aca="false">'Raw Data'!L299</f>
        <v>Yes</v>
      </c>
      <c r="H299" s="7" t="str">
        <f aca="false">'Raw Data'!M299</f>
        <v>Low</v>
      </c>
      <c r="I299" s="7" t="n">
        <f aca="false">(IF(D299="Current",3,IF(D299="Former",1,0)))+(IF(E299="High",3,IF(E299="Normal",1,0)))+(IF(F299&gt;=240,2,IF(F299&gt;=200,1,0)))+(IF(G299="Yes",2,0))+(IF(H299="High",2,IF(H299="Moderate",1,0)))</f>
        <v>3</v>
      </c>
      <c r="J299" s="7" t="str">
        <f aca="false">IF(I299&gt;=8,"High",IF(I299&gt;=4,"Medium","Low"))</f>
        <v>Low</v>
      </c>
    </row>
    <row r="300" customFormat="false" ht="15" hidden="false" customHeight="true" outlineLevel="0" collapsed="false">
      <c r="A300" s="7" t="n">
        <f aca="false">'Raw Data'!A300</f>
        <v>2457</v>
      </c>
      <c r="B300" s="7" t="n">
        <f aca="false">'Raw Data'!B300</f>
        <v>35</v>
      </c>
      <c r="C300" s="7" t="str">
        <f aca="false">'Raw Data'!C300</f>
        <v>Female</v>
      </c>
      <c r="D300" s="7" t="str">
        <f aca="false">'Raw Data'!D300</f>
        <v>Never</v>
      </c>
      <c r="E300" s="7" t="str">
        <f aca="false">'Raw Data'!J300</f>
        <v>Normal</v>
      </c>
      <c r="F300" s="7" t="n">
        <f aca="false">'Raw Data'!K300</f>
        <v>292.2</v>
      </c>
      <c r="G300" s="7" t="str">
        <f aca="false">'Raw Data'!L300</f>
        <v>Yes</v>
      </c>
      <c r="H300" s="7" t="str">
        <f aca="false">'Raw Data'!M300</f>
        <v>Low</v>
      </c>
      <c r="I300" s="7" t="n">
        <f aca="false">(IF(D300="Current",3,IF(D300="Former",1,0)))+(IF(E300="High",3,IF(E300="Normal",1,0)))+(IF(F300&gt;=240,2,IF(F300&gt;=200,1,0)))+(IF(G300="Yes",2,0))+(IF(H300="High",2,IF(H300="Moderate",1,0)))</f>
        <v>5</v>
      </c>
      <c r="J300" s="7" t="str">
        <f aca="false">IF(I300&gt;=8,"High",IF(I300&gt;=4,"Medium","Low"))</f>
        <v>Medium</v>
      </c>
    </row>
    <row r="301" customFormat="false" ht="15" hidden="false" customHeight="true" outlineLevel="0" collapsed="false">
      <c r="A301" s="7" t="n">
        <f aca="false">'Raw Data'!A301</f>
        <v>15</v>
      </c>
      <c r="B301" s="7" t="n">
        <f aca="false">'Raw Data'!B301</f>
        <v>75</v>
      </c>
      <c r="C301" s="7" t="str">
        <f aca="false">'Raw Data'!C301</f>
        <v>Female</v>
      </c>
      <c r="D301" s="7" t="str">
        <f aca="false">'Raw Data'!D301</f>
        <v>Never</v>
      </c>
      <c r="E301" s="7" t="str">
        <f aca="false">'Raw Data'!J301</f>
        <v>Normal</v>
      </c>
      <c r="F301" s="7" t="n">
        <f aca="false">'Raw Data'!K301</f>
        <v>171.3</v>
      </c>
      <c r="G301" s="7" t="str">
        <f aca="false">'Raw Data'!L301</f>
        <v>Yes</v>
      </c>
      <c r="H301" s="7" t="str">
        <f aca="false">'Raw Data'!M301</f>
        <v>Moderate</v>
      </c>
      <c r="I301" s="7" t="n">
        <f aca="false">(IF(D301="Current",3,IF(D301="Former",1,0)))+(IF(E301="High",3,IF(E301="Normal",1,0)))+(IF(F301&gt;=240,2,IF(F301&gt;=200,1,0)))+(IF(G301="Yes",2,0))+(IF(H301="High",2,IF(H301="Moderate",1,0)))</f>
        <v>4</v>
      </c>
      <c r="J301" s="7" t="str">
        <f aca="false">IF(I301&gt;=8,"High",IF(I301&gt;=4,"Medium","Low"))</f>
        <v>Medium</v>
      </c>
    </row>
    <row r="302" customFormat="false" ht="15" hidden="false" customHeight="true" outlineLevel="0" collapsed="false">
      <c r="A302" s="7" t="n">
        <f aca="false">'Raw Data'!A302</f>
        <v>64</v>
      </c>
      <c r="B302" s="7" t="n">
        <f aca="false">'Raw Data'!B302</f>
        <v>32</v>
      </c>
      <c r="C302" s="7" t="str">
        <f aca="false">'Raw Data'!C302</f>
        <v>Female</v>
      </c>
      <c r="D302" s="7" t="str">
        <f aca="false">'Raw Data'!D302</f>
        <v>Never</v>
      </c>
      <c r="E302" s="7" t="str">
        <f aca="false">'Raw Data'!J302</f>
        <v>Normal</v>
      </c>
      <c r="F302" s="7" t="n">
        <f aca="false">'Raw Data'!K302</f>
        <v>271.3</v>
      </c>
      <c r="G302" s="7" t="str">
        <f aca="false">'Raw Data'!L302</f>
        <v>Yes</v>
      </c>
      <c r="H302" s="7" t="str">
        <f aca="false">'Raw Data'!M302</f>
        <v>Moderate</v>
      </c>
      <c r="I302" s="7" t="n">
        <f aca="false">(IF(D302="Current",3,IF(D302="Former",1,0)))+(IF(E302="High",3,IF(E302="Normal",1,0)))+(IF(F302&gt;=240,2,IF(F302&gt;=200,1,0)))+(IF(G302="Yes",2,0))+(IF(H302="High",2,IF(H302="Moderate",1,0)))</f>
        <v>6</v>
      </c>
      <c r="J302" s="7" t="str">
        <f aca="false">IF(I302&gt;=8,"High",IF(I302&gt;=4,"Medium","Low"))</f>
        <v>Medium</v>
      </c>
    </row>
    <row r="303" customFormat="false" ht="15" hidden="false" customHeight="true" outlineLevel="0" collapsed="false">
      <c r="A303" s="7" t="n">
        <f aca="false">'Raw Data'!A303</f>
        <v>88</v>
      </c>
      <c r="B303" s="7" t="n">
        <f aca="false">'Raw Data'!B303</f>
        <v>20</v>
      </c>
      <c r="C303" s="7" t="str">
        <f aca="false">'Raw Data'!C303</f>
        <v>Female</v>
      </c>
      <c r="D303" s="7" t="str">
        <f aca="false">'Raw Data'!D303</f>
        <v>Never</v>
      </c>
      <c r="E303" s="7" t="str">
        <f aca="false">'Raw Data'!J303</f>
        <v>Normal</v>
      </c>
      <c r="F303" s="7" t="n">
        <f aca="false">'Raw Data'!K303</f>
        <v>124.6</v>
      </c>
      <c r="G303" s="7" t="str">
        <f aca="false">'Raw Data'!L303</f>
        <v>Yes</v>
      </c>
      <c r="H303" s="7" t="str">
        <f aca="false">'Raw Data'!M303</f>
        <v>Moderate</v>
      </c>
      <c r="I303" s="7" t="n">
        <f aca="false">(IF(D303="Current",3,IF(D303="Former",1,0)))+(IF(E303="High",3,IF(E303="Normal",1,0)))+(IF(F303&gt;=240,2,IF(F303&gt;=200,1,0)))+(IF(G303="Yes",2,0))+(IF(H303="High",2,IF(H303="Moderate",1,0)))</f>
        <v>4</v>
      </c>
      <c r="J303" s="7" t="str">
        <f aca="false">IF(I303&gt;=8,"High",IF(I303&gt;=4,"Medium","Low"))</f>
        <v>Medium</v>
      </c>
    </row>
    <row r="304" customFormat="false" ht="15" hidden="false" customHeight="true" outlineLevel="0" collapsed="false">
      <c r="A304" s="7" t="n">
        <f aca="false">'Raw Data'!A304</f>
        <v>130</v>
      </c>
      <c r="B304" s="7" t="n">
        <f aca="false">'Raw Data'!B304</f>
        <v>83</v>
      </c>
      <c r="C304" s="7" t="str">
        <f aca="false">'Raw Data'!C304</f>
        <v>Female</v>
      </c>
      <c r="D304" s="7" t="str">
        <f aca="false">'Raw Data'!D304</f>
        <v>Never</v>
      </c>
      <c r="E304" s="7" t="str">
        <f aca="false">'Raw Data'!J304</f>
        <v>Normal</v>
      </c>
      <c r="F304" s="7" t="n">
        <f aca="false">'Raw Data'!K304</f>
        <v>150.1</v>
      </c>
      <c r="G304" s="7" t="str">
        <f aca="false">'Raw Data'!L304</f>
        <v>Yes</v>
      </c>
      <c r="H304" s="7" t="str">
        <f aca="false">'Raw Data'!M304</f>
        <v>Moderate</v>
      </c>
      <c r="I304" s="7" t="n">
        <f aca="false">(IF(D304="Current",3,IF(D304="Former",1,0)))+(IF(E304="High",3,IF(E304="Normal",1,0)))+(IF(F304&gt;=240,2,IF(F304&gt;=200,1,0)))+(IF(G304="Yes",2,0))+(IF(H304="High",2,IF(H304="Moderate",1,0)))</f>
        <v>4</v>
      </c>
      <c r="J304" s="7" t="str">
        <f aca="false">IF(I304&gt;=8,"High",IF(I304&gt;=4,"Medium","Low"))</f>
        <v>Medium</v>
      </c>
    </row>
    <row r="305" customFormat="false" ht="15" hidden="false" customHeight="true" outlineLevel="0" collapsed="false">
      <c r="A305" s="7" t="n">
        <f aca="false">'Raw Data'!A305</f>
        <v>137</v>
      </c>
      <c r="B305" s="7" t="n">
        <f aca="false">'Raw Data'!B305</f>
        <v>75</v>
      </c>
      <c r="C305" s="7" t="str">
        <f aca="false">'Raw Data'!C305</f>
        <v>Female</v>
      </c>
      <c r="D305" s="7" t="str">
        <f aca="false">'Raw Data'!D305</f>
        <v>Never</v>
      </c>
      <c r="E305" s="7" t="str">
        <f aca="false">'Raw Data'!J305</f>
        <v>Normal</v>
      </c>
      <c r="F305" s="7" t="n">
        <f aca="false">'Raw Data'!K305</f>
        <v>252</v>
      </c>
      <c r="G305" s="7" t="str">
        <f aca="false">'Raw Data'!L305</f>
        <v>Yes</v>
      </c>
      <c r="H305" s="7" t="str">
        <f aca="false">'Raw Data'!M305</f>
        <v>Moderate</v>
      </c>
      <c r="I305" s="7" t="n">
        <f aca="false">(IF(D305="Current",3,IF(D305="Former",1,0)))+(IF(E305="High",3,IF(E305="Normal",1,0)))+(IF(F305&gt;=240,2,IF(F305&gt;=200,1,0)))+(IF(G305="Yes",2,0))+(IF(H305="High",2,IF(H305="Moderate",1,0)))</f>
        <v>6</v>
      </c>
      <c r="J305" s="7" t="str">
        <f aca="false">IF(I305&gt;=8,"High",IF(I305&gt;=4,"Medium","Low"))</f>
        <v>Medium</v>
      </c>
    </row>
    <row r="306" customFormat="false" ht="15" hidden="false" customHeight="true" outlineLevel="0" collapsed="false">
      <c r="A306" s="7" t="n">
        <f aca="false">'Raw Data'!A306</f>
        <v>146</v>
      </c>
      <c r="B306" s="7" t="n">
        <f aca="false">'Raw Data'!B306</f>
        <v>22</v>
      </c>
      <c r="C306" s="7" t="str">
        <f aca="false">'Raw Data'!C306</f>
        <v>Male</v>
      </c>
      <c r="D306" s="7" t="str">
        <f aca="false">'Raw Data'!D306</f>
        <v>Never</v>
      </c>
      <c r="E306" s="7" t="str">
        <f aca="false">'Raw Data'!J306</f>
        <v>Normal</v>
      </c>
      <c r="F306" s="7" t="n">
        <f aca="false">'Raw Data'!K306</f>
        <v>123.2</v>
      </c>
      <c r="G306" s="7" t="str">
        <f aca="false">'Raw Data'!L306</f>
        <v>Yes</v>
      </c>
      <c r="H306" s="7" t="str">
        <f aca="false">'Raw Data'!M306</f>
        <v>Moderate</v>
      </c>
      <c r="I306" s="7" t="n">
        <f aca="false">(IF(D306="Current",3,IF(D306="Former",1,0)))+(IF(E306="High",3,IF(E306="Normal",1,0)))+(IF(F306&gt;=240,2,IF(F306&gt;=200,1,0)))+(IF(G306="Yes",2,0))+(IF(H306="High",2,IF(H306="Moderate",1,0)))</f>
        <v>4</v>
      </c>
      <c r="J306" s="7" t="str">
        <f aca="false">IF(I306&gt;=8,"High",IF(I306&gt;=4,"Medium","Low"))</f>
        <v>Medium</v>
      </c>
    </row>
    <row r="307" customFormat="false" ht="15" hidden="false" customHeight="true" outlineLevel="0" collapsed="false">
      <c r="A307" s="7" t="n">
        <f aca="false">'Raw Data'!A307</f>
        <v>163</v>
      </c>
      <c r="B307" s="7" t="n">
        <f aca="false">'Raw Data'!B307</f>
        <v>19</v>
      </c>
      <c r="C307" s="7" t="str">
        <f aca="false">'Raw Data'!C307</f>
        <v>Male</v>
      </c>
      <c r="D307" s="7" t="str">
        <f aca="false">'Raw Data'!D307</f>
        <v>Never</v>
      </c>
      <c r="E307" s="7" t="str">
        <f aca="false">'Raw Data'!J307</f>
        <v>Normal</v>
      </c>
      <c r="F307" s="7" t="n">
        <f aca="false">'Raw Data'!K307</f>
        <v>203.7</v>
      </c>
      <c r="G307" s="7" t="str">
        <f aca="false">'Raw Data'!L307</f>
        <v>Yes</v>
      </c>
      <c r="H307" s="7" t="str">
        <f aca="false">'Raw Data'!M307</f>
        <v>Moderate</v>
      </c>
      <c r="I307" s="7" t="n">
        <f aca="false">(IF(D307="Current",3,IF(D307="Former",1,0)))+(IF(E307="High",3,IF(E307="Normal",1,0)))+(IF(F307&gt;=240,2,IF(F307&gt;=200,1,0)))+(IF(G307="Yes",2,0))+(IF(H307="High",2,IF(H307="Moderate",1,0)))</f>
        <v>5</v>
      </c>
      <c r="J307" s="7" t="str">
        <f aca="false">IF(I307&gt;=8,"High",IF(I307&gt;=4,"Medium","Low"))</f>
        <v>Medium</v>
      </c>
    </row>
    <row r="308" customFormat="false" ht="15" hidden="false" customHeight="true" outlineLevel="0" collapsed="false">
      <c r="A308" s="7" t="n">
        <f aca="false">'Raw Data'!A308</f>
        <v>237</v>
      </c>
      <c r="B308" s="7" t="n">
        <f aca="false">'Raw Data'!B308</f>
        <v>32</v>
      </c>
      <c r="C308" s="7" t="str">
        <f aca="false">'Raw Data'!C308</f>
        <v>Male</v>
      </c>
      <c r="D308" s="7" t="str">
        <f aca="false">'Raw Data'!D308</f>
        <v>Never</v>
      </c>
      <c r="E308" s="7" t="str">
        <f aca="false">'Raw Data'!J308</f>
        <v>Normal</v>
      </c>
      <c r="F308" s="7" t="n">
        <f aca="false">'Raw Data'!K308</f>
        <v>226.9</v>
      </c>
      <c r="G308" s="7" t="str">
        <f aca="false">'Raw Data'!L308</f>
        <v>Yes</v>
      </c>
      <c r="H308" s="7" t="str">
        <f aca="false">'Raw Data'!M308</f>
        <v>Moderate</v>
      </c>
      <c r="I308" s="7" t="n">
        <f aca="false">(IF(D308="Current",3,IF(D308="Former",1,0)))+(IF(E308="High",3,IF(E308="Normal",1,0)))+(IF(F308&gt;=240,2,IF(F308&gt;=200,1,0)))+(IF(G308="Yes",2,0))+(IF(H308="High",2,IF(H308="Moderate",1,0)))</f>
        <v>5</v>
      </c>
      <c r="J308" s="7" t="str">
        <f aca="false">IF(I308&gt;=8,"High",IF(I308&gt;=4,"Medium","Low"))</f>
        <v>Medium</v>
      </c>
    </row>
    <row r="309" customFormat="false" ht="15" hidden="false" customHeight="true" outlineLevel="0" collapsed="false">
      <c r="A309" s="7" t="n">
        <f aca="false">'Raw Data'!A309</f>
        <v>263</v>
      </c>
      <c r="B309" s="7" t="n">
        <f aca="false">'Raw Data'!B309</f>
        <v>74</v>
      </c>
      <c r="C309" s="7" t="str">
        <f aca="false">'Raw Data'!C309</f>
        <v>Male</v>
      </c>
      <c r="D309" s="7" t="str">
        <f aca="false">'Raw Data'!D309</f>
        <v>Never</v>
      </c>
      <c r="E309" s="7" t="str">
        <f aca="false">'Raw Data'!J309</f>
        <v>Normal</v>
      </c>
      <c r="F309" s="7" t="n">
        <f aca="false">'Raw Data'!K309</f>
        <v>247.3</v>
      </c>
      <c r="G309" s="7" t="str">
        <f aca="false">'Raw Data'!L309</f>
        <v>Yes</v>
      </c>
      <c r="H309" s="7" t="str">
        <f aca="false">'Raw Data'!M309</f>
        <v>Moderate</v>
      </c>
      <c r="I309" s="7" t="n">
        <f aca="false">(IF(D309="Current",3,IF(D309="Former",1,0)))+(IF(E309="High",3,IF(E309="Normal",1,0)))+(IF(F309&gt;=240,2,IF(F309&gt;=200,1,0)))+(IF(G309="Yes",2,0))+(IF(H309="High",2,IF(H309="Moderate",1,0)))</f>
        <v>6</v>
      </c>
      <c r="J309" s="7" t="str">
        <f aca="false">IF(I309&gt;=8,"High",IF(I309&gt;=4,"Medium","Low"))</f>
        <v>Medium</v>
      </c>
    </row>
    <row r="310" customFormat="false" ht="15" hidden="false" customHeight="true" outlineLevel="0" collapsed="false">
      <c r="A310" s="7" t="n">
        <f aca="false">'Raw Data'!A310</f>
        <v>311</v>
      </c>
      <c r="B310" s="7" t="n">
        <f aca="false">'Raw Data'!B310</f>
        <v>45</v>
      </c>
      <c r="C310" s="7" t="str">
        <f aca="false">'Raw Data'!C310</f>
        <v>Male</v>
      </c>
      <c r="D310" s="7" t="str">
        <f aca="false">'Raw Data'!D310</f>
        <v>Never</v>
      </c>
      <c r="E310" s="7" t="str">
        <f aca="false">'Raw Data'!J310</f>
        <v>Normal</v>
      </c>
      <c r="F310" s="7" t="n">
        <f aca="false">'Raw Data'!K310</f>
        <v>289.1</v>
      </c>
      <c r="G310" s="7" t="str">
        <f aca="false">'Raw Data'!L310</f>
        <v>Yes</v>
      </c>
      <c r="H310" s="7" t="str">
        <f aca="false">'Raw Data'!M310</f>
        <v>Moderate</v>
      </c>
      <c r="I310" s="7" t="n">
        <f aca="false">(IF(D310="Current",3,IF(D310="Former",1,0)))+(IF(E310="High",3,IF(E310="Normal",1,0)))+(IF(F310&gt;=240,2,IF(F310&gt;=200,1,0)))+(IF(G310="Yes",2,0))+(IF(H310="High",2,IF(H310="Moderate",1,0)))</f>
        <v>6</v>
      </c>
      <c r="J310" s="7" t="str">
        <f aca="false">IF(I310&gt;=8,"High",IF(I310&gt;=4,"Medium","Low"))</f>
        <v>Medium</v>
      </c>
    </row>
    <row r="311" customFormat="false" ht="15" hidden="false" customHeight="true" outlineLevel="0" collapsed="false">
      <c r="A311" s="7" t="n">
        <f aca="false">'Raw Data'!A311</f>
        <v>344</v>
      </c>
      <c r="B311" s="7" t="n">
        <f aca="false">'Raw Data'!B311</f>
        <v>27</v>
      </c>
      <c r="C311" s="7" t="str">
        <f aca="false">'Raw Data'!C311</f>
        <v>Male</v>
      </c>
      <c r="D311" s="7" t="str">
        <f aca="false">'Raw Data'!D311</f>
        <v>Never</v>
      </c>
      <c r="E311" s="7" t="str">
        <f aca="false">'Raw Data'!J311</f>
        <v>Normal</v>
      </c>
      <c r="F311" s="7" t="n">
        <f aca="false">'Raw Data'!K311</f>
        <v>241.7</v>
      </c>
      <c r="G311" s="7" t="str">
        <f aca="false">'Raw Data'!L311</f>
        <v>Yes</v>
      </c>
      <c r="H311" s="7" t="str">
        <f aca="false">'Raw Data'!M311</f>
        <v>Moderate</v>
      </c>
      <c r="I311" s="7" t="n">
        <f aca="false">(IF(D311="Current",3,IF(D311="Former",1,0)))+(IF(E311="High",3,IF(E311="Normal",1,0)))+(IF(F311&gt;=240,2,IF(F311&gt;=200,1,0)))+(IF(G311="Yes",2,0))+(IF(H311="High",2,IF(H311="Moderate",1,0)))</f>
        <v>6</v>
      </c>
      <c r="J311" s="7" t="str">
        <f aca="false">IF(I311&gt;=8,"High",IF(I311&gt;=4,"Medium","Low"))</f>
        <v>Medium</v>
      </c>
    </row>
    <row r="312" customFormat="false" ht="15" hidden="false" customHeight="true" outlineLevel="0" collapsed="false">
      <c r="A312" s="7" t="n">
        <f aca="false">'Raw Data'!A312</f>
        <v>381</v>
      </c>
      <c r="B312" s="7" t="n">
        <f aca="false">'Raw Data'!B312</f>
        <v>75</v>
      </c>
      <c r="C312" s="7" t="str">
        <f aca="false">'Raw Data'!C312</f>
        <v>Male</v>
      </c>
      <c r="D312" s="7" t="str">
        <f aca="false">'Raw Data'!D312</f>
        <v>Never</v>
      </c>
      <c r="E312" s="7" t="str">
        <f aca="false">'Raw Data'!J312</f>
        <v>Normal</v>
      </c>
      <c r="F312" s="7" t="n">
        <f aca="false">'Raw Data'!K312</f>
        <v>202.4</v>
      </c>
      <c r="G312" s="7" t="str">
        <f aca="false">'Raw Data'!L312</f>
        <v>Yes</v>
      </c>
      <c r="H312" s="7" t="str">
        <f aca="false">'Raw Data'!M312</f>
        <v>Moderate</v>
      </c>
      <c r="I312" s="7" t="n">
        <f aca="false">(IF(D312="Current",3,IF(D312="Former",1,0)))+(IF(E312="High",3,IF(E312="Normal",1,0)))+(IF(F312&gt;=240,2,IF(F312&gt;=200,1,0)))+(IF(G312="Yes",2,0))+(IF(H312="High",2,IF(H312="Moderate",1,0)))</f>
        <v>5</v>
      </c>
      <c r="J312" s="7" t="str">
        <f aca="false">IF(I312&gt;=8,"High",IF(I312&gt;=4,"Medium","Low"))</f>
        <v>Medium</v>
      </c>
    </row>
    <row r="313" customFormat="false" ht="15" hidden="false" customHeight="true" outlineLevel="0" collapsed="false">
      <c r="A313" s="7" t="n">
        <f aca="false">'Raw Data'!A313</f>
        <v>383</v>
      </c>
      <c r="B313" s="7" t="n">
        <f aca="false">'Raw Data'!B313</f>
        <v>30</v>
      </c>
      <c r="C313" s="7" t="str">
        <f aca="false">'Raw Data'!C313</f>
        <v>Male</v>
      </c>
      <c r="D313" s="7" t="str">
        <f aca="false">'Raw Data'!D313</f>
        <v>Never</v>
      </c>
      <c r="E313" s="7" t="str">
        <f aca="false">'Raw Data'!J313</f>
        <v>Normal</v>
      </c>
      <c r="F313" s="7" t="n">
        <f aca="false">'Raw Data'!K313</f>
        <v>152.9</v>
      </c>
      <c r="G313" s="7" t="str">
        <f aca="false">'Raw Data'!L313</f>
        <v>Yes</v>
      </c>
      <c r="H313" s="7" t="str">
        <f aca="false">'Raw Data'!M313</f>
        <v>Moderate</v>
      </c>
      <c r="I313" s="7" t="n">
        <f aca="false">(IF(D313="Current",3,IF(D313="Former",1,0)))+(IF(E313="High",3,IF(E313="Normal",1,0)))+(IF(F313&gt;=240,2,IF(F313&gt;=200,1,0)))+(IF(G313="Yes",2,0))+(IF(H313="High",2,IF(H313="Moderate",1,0)))</f>
        <v>4</v>
      </c>
      <c r="J313" s="7" t="str">
        <f aca="false">IF(I313&gt;=8,"High",IF(I313&gt;=4,"Medium","Low"))</f>
        <v>Medium</v>
      </c>
    </row>
    <row r="314" customFormat="false" ht="15" hidden="false" customHeight="true" outlineLevel="0" collapsed="false">
      <c r="A314" s="7" t="n">
        <f aca="false">'Raw Data'!A314</f>
        <v>413</v>
      </c>
      <c r="B314" s="7" t="n">
        <f aca="false">'Raw Data'!B314</f>
        <v>78</v>
      </c>
      <c r="C314" s="7" t="str">
        <f aca="false">'Raw Data'!C314</f>
        <v>Female</v>
      </c>
      <c r="D314" s="7" t="str">
        <f aca="false">'Raw Data'!D314</f>
        <v>Never</v>
      </c>
      <c r="E314" s="7" t="str">
        <f aca="false">'Raw Data'!J314</f>
        <v>Normal</v>
      </c>
      <c r="F314" s="7" t="n">
        <f aca="false">'Raw Data'!K314</f>
        <v>224.6</v>
      </c>
      <c r="G314" s="7" t="str">
        <f aca="false">'Raw Data'!L314</f>
        <v>Yes</v>
      </c>
      <c r="H314" s="7" t="str">
        <f aca="false">'Raw Data'!M314</f>
        <v>Moderate</v>
      </c>
      <c r="I314" s="7" t="n">
        <f aca="false">(IF(D314="Current",3,IF(D314="Former",1,0)))+(IF(E314="High",3,IF(E314="Normal",1,0)))+(IF(F314&gt;=240,2,IF(F314&gt;=200,1,0)))+(IF(G314="Yes",2,0))+(IF(H314="High",2,IF(H314="Moderate",1,0)))</f>
        <v>5</v>
      </c>
      <c r="J314" s="7" t="str">
        <f aca="false">IF(I314&gt;=8,"High",IF(I314&gt;=4,"Medium","Low"))</f>
        <v>Medium</v>
      </c>
    </row>
    <row r="315" customFormat="false" ht="15" hidden="false" customHeight="true" outlineLevel="0" collapsed="false">
      <c r="A315" s="7" t="n">
        <f aca="false">'Raw Data'!A315</f>
        <v>449</v>
      </c>
      <c r="B315" s="7" t="n">
        <f aca="false">'Raw Data'!B315</f>
        <v>24</v>
      </c>
      <c r="C315" s="7" t="str">
        <f aca="false">'Raw Data'!C315</f>
        <v>Female</v>
      </c>
      <c r="D315" s="7" t="str">
        <f aca="false">'Raw Data'!D315</f>
        <v>Never</v>
      </c>
      <c r="E315" s="7" t="str">
        <f aca="false">'Raw Data'!J315</f>
        <v>Normal</v>
      </c>
      <c r="F315" s="7" t="n">
        <f aca="false">'Raw Data'!K315</f>
        <v>194.2</v>
      </c>
      <c r="G315" s="7" t="str">
        <f aca="false">'Raw Data'!L315</f>
        <v>Yes</v>
      </c>
      <c r="H315" s="7" t="str">
        <f aca="false">'Raw Data'!M315</f>
        <v>Moderate</v>
      </c>
      <c r="I315" s="7" t="n">
        <f aca="false">(IF(D315="Current",3,IF(D315="Former",1,0)))+(IF(E315="High",3,IF(E315="Normal",1,0)))+(IF(F315&gt;=240,2,IF(F315&gt;=200,1,0)))+(IF(G315="Yes",2,0))+(IF(H315="High",2,IF(H315="Moderate",1,0)))</f>
        <v>4</v>
      </c>
      <c r="J315" s="7" t="str">
        <f aca="false">IF(I315&gt;=8,"High",IF(I315&gt;=4,"Medium","Low"))</f>
        <v>Medium</v>
      </c>
    </row>
    <row r="316" customFormat="false" ht="15" hidden="false" customHeight="true" outlineLevel="0" collapsed="false">
      <c r="A316" s="7" t="n">
        <f aca="false">'Raw Data'!A316</f>
        <v>469</v>
      </c>
      <c r="B316" s="7" t="n">
        <f aca="false">'Raw Data'!B316</f>
        <v>20</v>
      </c>
      <c r="C316" s="7" t="str">
        <f aca="false">'Raw Data'!C316</f>
        <v>Female</v>
      </c>
      <c r="D316" s="7" t="str">
        <f aca="false">'Raw Data'!D316</f>
        <v>Never</v>
      </c>
      <c r="E316" s="7" t="str">
        <f aca="false">'Raw Data'!J316</f>
        <v>Normal</v>
      </c>
      <c r="F316" s="7" t="n">
        <f aca="false">'Raw Data'!K316</f>
        <v>145.1</v>
      </c>
      <c r="G316" s="7" t="str">
        <f aca="false">'Raw Data'!L316</f>
        <v>Yes</v>
      </c>
      <c r="H316" s="7" t="str">
        <f aca="false">'Raw Data'!M316</f>
        <v>Moderate</v>
      </c>
      <c r="I316" s="7" t="n">
        <f aca="false">(IF(D316="Current",3,IF(D316="Former",1,0)))+(IF(E316="High",3,IF(E316="Normal",1,0)))+(IF(F316&gt;=240,2,IF(F316&gt;=200,1,0)))+(IF(G316="Yes",2,0))+(IF(H316="High",2,IF(H316="Moderate",1,0)))</f>
        <v>4</v>
      </c>
      <c r="J316" s="7" t="str">
        <f aca="false">IF(I316&gt;=8,"High",IF(I316&gt;=4,"Medium","Low"))</f>
        <v>Medium</v>
      </c>
    </row>
    <row r="317" customFormat="false" ht="15" hidden="false" customHeight="true" outlineLevel="0" collapsed="false">
      <c r="A317" s="7" t="n">
        <f aca="false">'Raw Data'!A317</f>
        <v>489</v>
      </c>
      <c r="B317" s="7" t="n">
        <f aca="false">'Raw Data'!B317</f>
        <v>88</v>
      </c>
      <c r="C317" s="7" t="str">
        <f aca="false">'Raw Data'!C317</f>
        <v>Male</v>
      </c>
      <c r="D317" s="7" t="str">
        <f aca="false">'Raw Data'!D317</f>
        <v>Never</v>
      </c>
      <c r="E317" s="7" t="str">
        <f aca="false">'Raw Data'!J317</f>
        <v>Normal</v>
      </c>
      <c r="F317" s="7" t="n">
        <f aca="false">'Raw Data'!K317</f>
        <v>176.9</v>
      </c>
      <c r="G317" s="7" t="str">
        <f aca="false">'Raw Data'!L317</f>
        <v>Yes</v>
      </c>
      <c r="H317" s="7" t="str">
        <f aca="false">'Raw Data'!M317</f>
        <v>Moderate</v>
      </c>
      <c r="I317" s="7" t="n">
        <f aca="false">(IF(D317="Current",3,IF(D317="Former",1,0)))+(IF(E317="High",3,IF(E317="Normal",1,0)))+(IF(F317&gt;=240,2,IF(F317&gt;=200,1,0)))+(IF(G317="Yes",2,0))+(IF(H317="High",2,IF(H317="Moderate",1,0)))</f>
        <v>4</v>
      </c>
      <c r="J317" s="7" t="str">
        <f aca="false">IF(I317&gt;=8,"High",IF(I317&gt;=4,"Medium","Low"))</f>
        <v>Medium</v>
      </c>
    </row>
    <row r="318" customFormat="false" ht="15" hidden="false" customHeight="true" outlineLevel="0" collapsed="false">
      <c r="A318" s="7" t="n">
        <f aca="false">'Raw Data'!A318</f>
        <v>503</v>
      </c>
      <c r="B318" s="7" t="n">
        <f aca="false">'Raw Data'!B318</f>
        <v>38</v>
      </c>
      <c r="C318" s="7" t="str">
        <f aca="false">'Raw Data'!C318</f>
        <v>Male</v>
      </c>
      <c r="D318" s="7" t="str">
        <f aca="false">'Raw Data'!D318</f>
        <v>Never</v>
      </c>
      <c r="E318" s="7" t="str">
        <f aca="false">'Raw Data'!J318</f>
        <v>Normal</v>
      </c>
      <c r="F318" s="7" t="n">
        <f aca="false">'Raw Data'!K318</f>
        <v>175.1</v>
      </c>
      <c r="G318" s="7" t="str">
        <f aca="false">'Raw Data'!L318</f>
        <v>Yes</v>
      </c>
      <c r="H318" s="7" t="str">
        <f aca="false">'Raw Data'!M318</f>
        <v>Moderate</v>
      </c>
      <c r="I318" s="7" t="n">
        <f aca="false">(IF(D318="Current",3,IF(D318="Former",1,0)))+(IF(E318="High",3,IF(E318="Normal",1,0)))+(IF(F318&gt;=240,2,IF(F318&gt;=200,1,0)))+(IF(G318="Yes",2,0))+(IF(H318="High",2,IF(H318="Moderate",1,0)))</f>
        <v>4</v>
      </c>
      <c r="J318" s="7" t="str">
        <f aca="false">IF(I318&gt;=8,"High",IF(I318&gt;=4,"Medium","Low"))</f>
        <v>Medium</v>
      </c>
    </row>
    <row r="319" customFormat="false" ht="15" hidden="false" customHeight="true" outlineLevel="0" collapsed="false">
      <c r="A319" s="7" t="n">
        <f aca="false">'Raw Data'!A319</f>
        <v>565</v>
      </c>
      <c r="B319" s="7" t="n">
        <f aca="false">'Raw Data'!B319</f>
        <v>45</v>
      </c>
      <c r="C319" s="7" t="str">
        <f aca="false">'Raw Data'!C319</f>
        <v>Female</v>
      </c>
      <c r="D319" s="7" t="str">
        <f aca="false">'Raw Data'!D319</f>
        <v>Never</v>
      </c>
      <c r="E319" s="7" t="str">
        <f aca="false">'Raw Data'!J319</f>
        <v>Normal</v>
      </c>
      <c r="F319" s="7" t="n">
        <f aca="false">'Raw Data'!K319</f>
        <v>169.4</v>
      </c>
      <c r="G319" s="7" t="str">
        <f aca="false">'Raw Data'!L319</f>
        <v>Yes</v>
      </c>
      <c r="H319" s="7" t="str">
        <f aca="false">'Raw Data'!M319</f>
        <v>Moderate</v>
      </c>
      <c r="I319" s="7" t="n">
        <f aca="false">(IF(D319="Current",3,IF(D319="Former",1,0)))+(IF(E319="High",3,IF(E319="Normal",1,0)))+(IF(F319&gt;=240,2,IF(F319&gt;=200,1,0)))+(IF(G319="Yes",2,0))+(IF(H319="High",2,IF(H319="Moderate",1,0)))</f>
        <v>4</v>
      </c>
      <c r="J319" s="7" t="str">
        <f aca="false">IF(I319&gt;=8,"High",IF(I319&gt;=4,"Medium","Low"))</f>
        <v>Medium</v>
      </c>
    </row>
    <row r="320" customFormat="false" ht="15" hidden="false" customHeight="true" outlineLevel="0" collapsed="false">
      <c r="A320" s="7" t="n">
        <f aca="false">'Raw Data'!A320</f>
        <v>576</v>
      </c>
      <c r="B320" s="7" t="n">
        <f aca="false">'Raw Data'!B320</f>
        <v>31</v>
      </c>
      <c r="C320" s="7" t="str">
        <f aca="false">'Raw Data'!C320</f>
        <v>Male</v>
      </c>
      <c r="D320" s="7" t="str">
        <f aca="false">'Raw Data'!D320</f>
        <v>Never</v>
      </c>
      <c r="E320" s="7" t="str">
        <f aca="false">'Raw Data'!J320</f>
        <v>Normal</v>
      </c>
      <c r="F320" s="7" t="n">
        <f aca="false">'Raw Data'!K320</f>
        <v>263.7</v>
      </c>
      <c r="G320" s="7" t="str">
        <f aca="false">'Raw Data'!L320</f>
        <v>Yes</v>
      </c>
      <c r="H320" s="7" t="str">
        <f aca="false">'Raw Data'!M320</f>
        <v>Moderate</v>
      </c>
      <c r="I320" s="7" t="n">
        <f aca="false">(IF(D320="Current",3,IF(D320="Former",1,0)))+(IF(E320="High",3,IF(E320="Normal",1,0)))+(IF(F320&gt;=240,2,IF(F320&gt;=200,1,0)))+(IF(G320="Yes",2,0))+(IF(H320="High",2,IF(H320="Moderate",1,0)))</f>
        <v>6</v>
      </c>
      <c r="J320" s="7" t="str">
        <f aca="false">IF(I320&gt;=8,"High",IF(I320&gt;=4,"Medium","Low"))</f>
        <v>Medium</v>
      </c>
    </row>
    <row r="321" customFormat="false" ht="15" hidden="false" customHeight="true" outlineLevel="0" collapsed="false">
      <c r="A321" s="7" t="n">
        <f aca="false">'Raw Data'!A321</f>
        <v>589</v>
      </c>
      <c r="B321" s="7" t="n">
        <f aca="false">'Raw Data'!B321</f>
        <v>22</v>
      </c>
      <c r="C321" s="7" t="str">
        <f aca="false">'Raw Data'!C321</f>
        <v>Female</v>
      </c>
      <c r="D321" s="7" t="str">
        <f aca="false">'Raw Data'!D321</f>
        <v>Never</v>
      </c>
      <c r="E321" s="7" t="str">
        <f aca="false">'Raw Data'!J321</f>
        <v>Normal</v>
      </c>
      <c r="F321" s="7" t="n">
        <f aca="false">'Raw Data'!K321</f>
        <v>253</v>
      </c>
      <c r="G321" s="7" t="str">
        <f aca="false">'Raw Data'!L321</f>
        <v>Yes</v>
      </c>
      <c r="H321" s="7" t="str">
        <f aca="false">'Raw Data'!M321</f>
        <v>Moderate</v>
      </c>
      <c r="I321" s="7" t="n">
        <f aca="false">(IF(D321="Current",3,IF(D321="Former",1,0)))+(IF(E321="High",3,IF(E321="Normal",1,0)))+(IF(F321&gt;=240,2,IF(F321&gt;=200,1,0)))+(IF(G321="Yes",2,0))+(IF(H321="High",2,IF(H321="Moderate",1,0)))</f>
        <v>6</v>
      </c>
      <c r="J321" s="7" t="str">
        <f aca="false">IF(I321&gt;=8,"High",IF(I321&gt;=4,"Medium","Low"))</f>
        <v>Medium</v>
      </c>
    </row>
    <row r="322" customFormat="false" ht="15" hidden="false" customHeight="true" outlineLevel="0" collapsed="false">
      <c r="A322" s="7" t="n">
        <f aca="false">'Raw Data'!A322</f>
        <v>603</v>
      </c>
      <c r="B322" s="7" t="n">
        <f aca="false">'Raw Data'!B322</f>
        <v>39</v>
      </c>
      <c r="C322" s="7" t="str">
        <f aca="false">'Raw Data'!C322</f>
        <v>Male</v>
      </c>
      <c r="D322" s="7" t="str">
        <f aca="false">'Raw Data'!D322</f>
        <v>Never</v>
      </c>
      <c r="E322" s="7" t="str">
        <f aca="false">'Raw Data'!J322</f>
        <v>Normal</v>
      </c>
      <c r="F322" s="7" t="n">
        <f aca="false">'Raw Data'!K322</f>
        <v>288.2</v>
      </c>
      <c r="G322" s="7" t="str">
        <f aca="false">'Raw Data'!L322</f>
        <v>Yes</v>
      </c>
      <c r="H322" s="7" t="str">
        <f aca="false">'Raw Data'!M322</f>
        <v>Moderate</v>
      </c>
      <c r="I322" s="7" t="n">
        <f aca="false">(IF(D322="Current",3,IF(D322="Former",1,0)))+(IF(E322="High",3,IF(E322="Normal",1,0)))+(IF(F322&gt;=240,2,IF(F322&gt;=200,1,0)))+(IF(G322="Yes",2,0))+(IF(H322="High",2,IF(H322="Moderate",1,0)))</f>
        <v>6</v>
      </c>
      <c r="J322" s="7" t="str">
        <f aca="false">IF(I322&gt;=8,"High",IF(I322&gt;=4,"Medium","Low"))</f>
        <v>Medium</v>
      </c>
    </row>
    <row r="323" customFormat="false" ht="15" hidden="false" customHeight="true" outlineLevel="0" collapsed="false">
      <c r="A323" s="7" t="n">
        <f aca="false">'Raw Data'!A323</f>
        <v>672</v>
      </c>
      <c r="B323" s="7" t="n">
        <f aca="false">'Raw Data'!B323</f>
        <v>59</v>
      </c>
      <c r="C323" s="7" t="str">
        <f aca="false">'Raw Data'!C323</f>
        <v>Female</v>
      </c>
      <c r="D323" s="7" t="str">
        <f aca="false">'Raw Data'!D323</f>
        <v>Never</v>
      </c>
      <c r="E323" s="7" t="str">
        <f aca="false">'Raw Data'!J323</f>
        <v>Normal</v>
      </c>
      <c r="F323" s="7" t="n">
        <f aca="false">'Raw Data'!K323</f>
        <v>265.6</v>
      </c>
      <c r="G323" s="7" t="str">
        <f aca="false">'Raw Data'!L323</f>
        <v>Yes</v>
      </c>
      <c r="H323" s="7" t="str">
        <f aca="false">'Raw Data'!M323</f>
        <v>Moderate</v>
      </c>
      <c r="I323" s="7" t="n">
        <f aca="false">(IF(D323="Current",3,IF(D323="Former",1,0)))+(IF(E323="High",3,IF(E323="Normal",1,0)))+(IF(F323&gt;=240,2,IF(F323&gt;=200,1,0)))+(IF(G323="Yes",2,0))+(IF(H323="High",2,IF(H323="Moderate",1,0)))</f>
        <v>6</v>
      </c>
      <c r="J323" s="7" t="str">
        <f aca="false">IF(I323&gt;=8,"High",IF(I323&gt;=4,"Medium","Low"))</f>
        <v>Medium</v>
      </c>
    </row>
    <row r="324" customFormat="false" ht="15" hidden="false" customHeight="true" outlineLevel="0" collapsed="false">
      <c r="A324" s="7" t="n">
        <f aca="false">'Raw Data'!A324</f>
        <v>708</v>
      </c>
      <c r="B324" s="7" t="n">
        <f aca="false">'Raw Data'!B324</f>
        <v>42</v>
      </c>
      <c r="C324" s="7" t="str">
        <f aca="false">'Raw Data'!C324</f>
        <v>Male</v>
      </c>
      <c r="D324" s="7" t="str">
        <f aca="false">'Raw Data'!D324</f>
        <v>Never</v>
      </c>
      <c r="E324" s="7" t="str">
        <f aca="false">'Raw Data'!J324</f>
        <v>Normal</v>
      </c>
      <c r="F324" s="7" t="n">
        <f aca="false">'Raw Data'!K324</f>
        <v>208.3</v>
      </c>
      <c r="G324" s="7" t="str">
        <f aca="false">'Raw Data'!L324</f>
        <v>Yes</v>
      </c>
      <c r="H324" s="7" t="str">
        <f aca="false">'Raw Data'!M324</f>
        <v>Moderate</v>
      </c>
      <c r="I324" s="7" t="n">
        <f aca="false">(IF(D324="Current",3,IF(D324="Former",1,0)))+(IF(E324="High",3,IF(E324="Normal",1,0)))+(IF(F324&gt;=240,2,IF(F324&gt;=200,1,0)))+(IF(G324="Yes",2,0))+(IF(H324="High",2,IF(H324="Moderate",1,0)))</f>
        <v>5</v>
      </c>
      <c r="J324" s="7" t="str">
        <f aca="false">IF(I324&gt;=8,"High",IF(I324&gt;=4,"Medium","Low"))</f>
        <v>Medium</v>
      </c>
    </row>
    <row r="325" customFormat="false" ht="15" hidden="false" customHeight="true" outlineLevel="0" collapsed="false">
      <c r="A325" s="7" t="n">
        <f aca="false">'Raw Data'!A325</f>
        <v>748</v>
      </c>
      <c r="B325" s="7" t="n">
        <f aca="false">'Raw Data'!B325</f>
        <v>21</v>
      </c>
      <c r="C325" s="7" t="str">
        <f aca="false">'Raw Data'!C325</f>
        <v>Male</v>
      </c>
      <c r="D325" s="7" t="str">
        <f aca="false">'Raw Data'!D325</f>
        <v>Never</v>
      </c>
      <c r="E325" s="7" t="str">
        <f aca="false">'Raw Data'!J325</f>
        <v>Normal</v>
      </c>
      <c r="F325" s="7" t="n">
        <f aca="false">'Raw Data'!K325</f>
        <v>220.3</v>
      </c>
      <c r="G325" s="7" t="str">
        <f aca="false">'Raw Data'!L325</f>
        <v>Yes</v>
      </c>
      <c r="H325" s="7" t="str">
        <f aca="false">'Raw Data'!M325</f>
        <v>Moderate</v>
      </c>
      <c r="I325" s="7" t="n">
        <f aca="false">(IF(D325="Current",3,IF(D325="Former",1,0)))+(IF(E325="High",3,IF(E325="Normal",1,0)))+(IF(F325&gt;=240,2,IF(F325&gt;=200,1,0)))+(IF(G325="Yes",2,0))+(IF(H325="High",2,IF(H325="Moderate",1,0)))</f>
        <v>5</v>
      </c>
      <c r="J325" s="7" t="str">
        <f aca="false">IF(I325&gt;=8,"High",IF(I325&gt;=4,"Medium","Low"))</f>
        <v>Medium</v>
      </c>
    </row>
    <row r="326" customFormat="false" ht="15" hidden="false" customHeight="true" outlineLevel="0" collapsed="false">
      <c r="A326" s="7" t="n">
        <f aca="false">'Raw Data'!A326</f>
        <v>754</v>
      </c>
      <c r="B326" s="7" t="n">
        <f aca="false">'Raw Data'!B326</f>
        <v>89</v>
      </c>
      <c r="C326" s="7" t="str">
        <f aca="false">'Raw Data'!C326</f>
        <v>Male</v>
      </c>
      <c r="D326" s="7" t="str">
        <f aca="false">'Raw Data'!D326</f>
        <v>Never</v>
      </c>
      <c r="E326" s="7" t="str">
        <f aca="false">'Raw Data'!J326</f>
        <v>Normal</v>
      </c>
      <c r="F326" s="7" t="n">
        <f aca="false">'Raw Data'!K326</f>
        <v>262.6</v>
      </c>
      <c r="G326" s="7" t="str">
        <f aca="false">'Raw Data'!L326</f>
        <v>Yes</v>
      </c>
      <c r="H326" s="7" t="str">
        <f aca="false">'Raw Data'!M326</f>
        <v>Moderate</v>
      </c>
      <c r="I326" s="7" t="n">
        <f aca="false">(IF(D326="Current",3,IF(D326="Former",1,0)))+(IF(E326="High",3,IF(E326="Normal",1,0)))+(IF(F326&gt;=240,2,IF(F326&gt;=200,1,0)))+(IF(G326="Yes",2,0))+(IF(H326="High",2,IF(H326="Moderate",1,0)))</f>
        <v>6</v>
      </c>
      <c r="J326" s="7" t="str">
        <f aca="false">IF(I326&gt;=8,"High",IF(I326&gt;=4,"Medium","Low"))</f>
        <v>Medium</v>
      </c>
    </row>
    <row r="327" customFormat="false" ht="15" hidden="false" customHeight="true" outlineLevel="0" collapsed="false">
      <c r="A327" s="7" t="n">
        <f aca="false">'Raw Data'!A327</f>
        <v>949</v>
      </c>
      <c r="B327" s="7" t="n">
        <f aca="false">'Raw Data'!B327</f>
        <v>80</v>
      </c>
      <c r="C327" s="7" t="str">
        <f aca="false">'Raw Data'!C327</f>
        <v>Female</v>
      </c>
      <c r="D327" s="7" t="str">
        <f aca="false">'Raw Data'!D327</f>
        <v>Never</v>
      </c>
      <c r="E327" s="7" t="str">
        <f aca="false">'Raw Data'!J327</f>
        <v>Normal</v>
      </c>
      <c r="F327" s="7" t="n">
        <f aca="false">'Raw Data'!K327</f>
        <v>144.2</v>
      </c>
      <c r="G327" s="7" t="str">
        <f aca="false">'Raw Data'!L327</f>
        <v>Yes</v>
      </c>
      <c r="H327" s="7" t="str">
        <f aca="false">'Raw Data'!M327</f>
        <v>Moderate</v>
      </c>
      <c r="I327" s="7" t="n">
        <f aca="false">(IF(D327="Current",3,IF(D327="Former",1,0)))+(IF(E327="High",3,IF(E327="Normal",1,0)))+(IF(F327&gt;=240,2,IF(F327&gt;=200,1,0)))+(IF(G327="Yes",2,0))+(IF(H327="High",2,IF(H327="Moderate",1,0)))</f>
        <v>4</v>
      </c>
      <c r="J327" s="7" t="str">
        <f aca="false">IF(I327&gt;=8,"High",IF(I327&gt;=4,"Medium","Low"))</f>
        <v>Medium</v>
      </c>
    </row>
    <row r="328" customFormat="false" ht="15" hidden="false" customHeight="true" outlineLevel="0" collapsed="false">
      <c r="A328" s="7" t="n">
        <f aca="false">'Raw Data'!A328</f>
        <v>958</v>
      </c>
      <c r="B328" s="7" t="n">
        <f aca="false">'Raw Data'!B328</f>
        <v>46</v>
      </c>
      <c r="C328" s="7" t="str">
        <f aca="false">'Raw Data'!C328</f>
        <v>Male</v>
      </c>
      <c r="D328" s="7" t="str">
        <f aca="false">'Raw Data'!D328</f>
        <v>Never</v>
      </c>
      <c r="E328" s="7" t="str">
        <f aca="false">'Raw Data'!J328</f>
        <v>Normal</v>
      </c>
      <c r="F328" s="7" t="n">
        <f aca="false">'Raw Data'!K328</f>
        <v>259.4</v>
      </c>
      <c r="G328" s="7" t="str">
        <f aca="false">'Raw Data'!L328</f>
        <v>Yes</v>
      </c>
      <c r="H328" s="7" t="str">
        <f aca="false">'Raw Data'!M328</f>
        <v>Moderate</v>
      </c>
      <c r="I328" s="7" t="n">
        <f aca="false">(IF(D328="Current",3,IF(D328="Former",1,0)))+(IF(E328="High",3,IF(E328="Normal",1,0)))+(IF(F328&gt;=240,2,IF(F328&gt;=200,1,0)))+(IF(G328="Yes",2,0))+(IF(H328="High",2,IF(H328="Moderate",1,0)))</f>
        <v>6</v>
      </c>
      <c r="J328" s="7" t="str">
        <f aca="false">IF(I328&gt;=8,"High",IF(I328&gt;=4,"Medium","Low"))</f>
        <v>Medium</v>
      </c>
    </row>
    <row r="329" customFormat="false" ht="15" hidden="false" customHeight="true" outlineLevel="0" collapsed="false">
      <c r="A329" s="7" t="n">
        <f aca="false">'Raw Data'!A329</f>
        <v>968</v>
      </c>
      <c r="B329" s="7" t="n">
        <f aca="false">'Raw Data'!B329</f>
        <v>62</v>
      </c>
      <c r="C329" s="7" t="str">
        <f aca="false">'Raw Data'!C329</f>
        <v>Female</v>
      </c>
      <c r="D329" s="7" t="str">
        <f aca="false">'Raw Data'!D329</f>
        <v>Never</v>
      </c>
      <c r="E329" s="7" t="str">
        <f aca="false">'Raw Data'!J329</f>
        <v>Normal</v>
      </c>
      <c r="F329" s="7" t="n">
        <f aca="false">'Raw Data'!K329</f>
        <v>284.4</v>
      </c>
      <c r="G329" s="7" t="str">
        <f aca="false">'Raw Data'!L329</f>
        <v>Yes</v>
      </c>
      <c r="H329" s="7" t="str">
        <f aca="false">'Raw Data'!M329</f>
        <v>Moderate</v>
      </c>
      <c r="I329" s="7" t="n">
        <f aca="false">(IF(D329="Current",3,IF(D329="Former",1,0)))+(IF(E329="High",3,IF(E329="Normal",1,0)))+(IF(F329&gt;=240,2,IF(F329&gt;=200,1,0)))+(IF(G329="Yes",2,0))+(IF(H329="High",2,IF(H329="Moderate",1,0)))</f>
        <v>6</v>
      </c>
      <c r="J329" s="7" t="str">
        <f aca="false">IF(I329&gt;=8,"High",IF(I329&gt;=4,"Medium","Low"))</f>
        <v>Medium</v>
      </c>
    </row>
    <row r="330" customFormat="false" ht="15" hidden="false" customHeight="true" outlineLevel="0" collapsed="false">
      <c r="A330" s="7" t="n">
        <f aca="false">'Raw Data'!A330</f>
        <v>1016</v>
      </c>
      <c r="B330" s="7" t="n">
        <f aca="false">'Raw Data'!B330</f>
        <v>30</v>
      </c>
      <c r="C330" s="7" t="str">
        <f aca="false">'Raw Data'!C330</f>
        <v>Female</v>
      </c>
      <c r="D330" s="7" t="str">
        <f aca="false">'Raw Data'!D330</f>
        <v>Never</v>
      </c>
      <c r="E330" s="7" t="str">
        <f aca="false">'Raw Data'!J330</f>
        <v>Normal</v>
      </c>
      <c r="F330" s="7" t="n">
        <f aca="false">'Raw Data'!K330</f>
        <v>298.8</v>
      </c>
      <c r="G330" s="7" t="str">
        <f aca="false">'Raw Data'!L330</f>
        <v>Yes</v>
      </c>
      <c r="H330" s="7" t="str">
        <f aca="false">'Raw Data'!M330</f>
        <v>Moderate</v>
      </c>
      <c r="I330" s="7" t="n">
        <f aca="false">(IF(D330="Current",3,IF(D330="Former",1,0)))+(IF(E330="High",3,IF(E330="Normal",1,0)))+(IF(F330&gt;=240,2,IF(F330&gt;=200,1,0)))+(IF(G330="Yes",2,0))+(IF(H330="High",2,IF(H330="Moderate",1,0)))</f>
        <v>6</v>
      </c>
      <c r="J330" s="7" t="str">
        <f aca="false">IF(I330&gt;=8,"High",IF(I330&gt;=4,"Medium","Low"))</f>
        <v>Medium</v>
      </c>
    </row>
    <row r="331" customFormat="false" ht="15" hidden="false" customHeight="true" outlineLevel="0" collapsed="false">
      <c r="A331" s="7" t="n">
        <f aca="false">'Raw Data'!A331</f>
        <v>1035</v>
      </c>
      <c r="B331" s="7" t="n">
        <f aca="false">'Raw Data'!B331</f>
        <v>82</v>
      </c>
      <c r="C331" s="7" t="str">
        <f aca="false">'Raw Data'!C331</f>
        <v>Female</v>
      </c>
      <c r="D331" s="7" t="str">
        <f aca="false">'Raw Data'!D331</f>
        <v>Never</v>
      </c>
      <c r="E331" s="7" t="str">
        <f aca="false">'Raw Data'!J331</f>
        <v>Normal</v>
      </c>
      <c r="F331" s="7" t="n">
        <f aca="false">'Raw Data'!K331</f>
        <v>224.4</v>
      </c>
      <c r="G331" s="7" t="str">
        <f aca="false">'Raw Data'!L331</f>
        <v>Yes</v>
      </c>
      <c r="H331" s="7" t="str">
        <f aca="false">'Raw Data'!M331</f>
        <v>Moderate</v>
      </c>
      <c r="I331" s="7" t="n">
        <f aca="false">(IF(D331="Current",3,IF(D331="Former",1,0)))+(IF(E331="High",3,IF(E331="Normal",1,0)))+(IF(F331&gt;=240,2,IF(F331&gt;=200,1,0)))+(IF(G331="Yes",2,0))+(IF(H331="High",2,IF(H331="Moderate",1,0)))</f>
        <v>5</v>
      </c>
      <c r="J331" s="7" t="str">
        <f aca="false">IF(I331&gt;=8,"High",IF(I331&gt;=4,"Medium","Low"))</f>
        <v>Medium</v>
      </c>
    </row>
    <row r="332" customFormat="false" ht="15" hidden="false" customHeight="true" outlineLevel="0" collapsed="false">
      <c r="A332" s="7" t="n">
        <f aca="false">'Raw Data'!A332</f>
        <v>1047</v>
      </c>
      <c r="B332" s="7" t="n">
        <f aca="false">'Raw Data'!B332</f>
        <v>71</v>
      </c>
      <c r="C332" s="7" t="str">
        <f aca="false">'Raw Data'!C332</f>
        <v>Male</v>
      </c>
      <c r="D332" s="7" t="str">
        <f aca="false">'Raw Data'!D332</f>
        <v>Never</v>
      </c>
      <c r="E332" s="7" t="str">
        <f aca="false">'Raw Data'!J332</f>
        <v>Normal</v>
      </c>
      <c r="F332" s="7" t="n">
        <f aca="false">'Raw Data'!K332</f>
        <v>123.7</v>
      </c>
      <c r="G332" s="7" t="str">
        <f aca="false">'Raw Data'!L332</f>
        <v>Yes</v>
      </c>
      <c r="H332" s="7" t="str">
        <f aca="false">'Raw Data'!M332</f>
        <v>Moderate</v>
      </c>
      <c r="I332" s="7" t="n">
        <f aca="false">(IF(D332="Current",3,IF(D332="Former",1,0)))+(IF(E332="High",3,IF(E332="Normal",1,0)))+(IF(F332&gt;=240,2,IF(F332&gt;=200,1,0)))+(IF(G332="Yes",2,0))+(IF(H332="High",2,IF(H332="Moderate",1,0)))</f>
        <v>4</v>
      </c>
      <c r="J332" s="7" t="str">
        <f aca="false">IF(I332&gt;=8,"High",IF(I332&gt;=4,"Medium","Low"))</f>
        <v>Medium</v>
      </c>
    </row>
    <row r="333" customFormat="false" ht="15" hidden="false" customHeight="true" outlineLevel="0" collapsed="false">
      <c r="A333" s="7" t="n">
        <f aca="false">'Raw Data'!A333</f>
        <v>1100</v>
      </c>
      <c r="B333" s="7" t="n">
        <f aca="false">'Raw Data'!B333</f>
        <v>24</v>
      </c>
      <c r="C333" s="7" t="str">
        <f aca="false">'Raw Data'!C333</f>
        <v>Female</v>
      </c>
      <c r="D333" s="7" t="str">
        <f aca="false">'Raw Data'!D333</f>
        <v>Never</v>
      </c>
      <c r="E333" s="7" t="str">
        <f aca="false">'Raw Data'!J333</f>
        <v>Normal</v>
      </c>
      <c r="F333" s="7" t="n">
        <f aca="false">'Raw Data'!K333</f>
        <v>215.9</v>
      </c>
      <c r="G333" s="7" t="str">
        <f aca="false">'Raw Data'!L333</f>
        <v>Yes</v>
      </c>
      <c r="H333" s="7" t="str">
        <f aca="false">'Raw Data'!M333</f>
        <v>Moderate</v>
      </c>
      <c r="I333" s="7" t="n">
        <f aca="false">(IF(D333="Current",3,IF(D333="Former",1,0)))+(IF(E333="High",3,IF(E333="Normal",1,0)))+(IF(F333&gt;=240,2,IF(F333&gt;=200,1,0)))+(IF(G333="Yes",2,0))+(IF(H333="High",2,IF(H333="Moderate",1,0)))</f>
        <v>5</v>
      </c>
      <c r="J333" s="7" t="str">
        <f aca="false">IF(I333&gt;=8,"High",IF(I333&gt;=4,"Medium","Low"))</f>
        <v>Medium</v>
      </c>
    </row>
    <row r="334" customFormat="false" ht="15" hidden="false" customHeight="true" outlineLevel="0" collapsed="false">
      <c r="A334" s="7" t="n">
        <f aca="false">'Raw Data'!A334</f>
        <v>1119</v>
      </c>
      <c r="B334" s="7" t="n">
        <f aca="false">'Raw Data'!B334</f>
        <v>65</v>
      </c>
      <c r="C334" s="7" t="str">
        <f aca="false">'Raw Data'!C334</f>
        <v>Female</v>
      </c>
      <c r="D334" s="7" t="str">
        <f aca="false">'Raw Data'!D334</f>
        <v>Never</v>
      </c>
      <c r="E334" s="7" t="str">
        <f aca="false">'Raw Data'!J334</f>
        <v>Normal</v>
      </c>
      <c r="F334" s="7" t="n">
        <f aca="false">'Raw Data'!K334</f>
        <v>147.6</v>
      </c>
      <c r="G334" s="7" t="str">
        <f aca="false">'Raw Data'!L334</f>
        <v>Yes</v>
      </c>
      <c r="H334" s="7" t="str">
        <f aca="false">'Raw Data'!M334</f>
        <v>Moderate</v>
      </c>
      <c r="I334" s="7" t="n">
        <f aca="false">(IF(D334="Current",3,IF(D334="Former",1,0)))+(IF(E334="High",3,IF(E334="Normal",1,0)))+(IF(F334&gt;=240,2,IF(F334&gt;=200,1,0)))+(IF(G334="Yes",2,0))+(IF(H334="High",2,IF(H334="Moderate",1,0)))</f>
        <v>4</v>
      </c>
      <c r="J334" s="7" t="str">
        <f aca="false">IF(I334&gt;=8,"High",IF(I334&gt;=4,"Medium","Low"))</f>
        <v>Medium</v>
      </c>
    </row>
    <row r="335" customFormat="false" ht="15" hidden="false" customHeight="true" outlineLevel="0" collapsed="false">
      <c r="A335" s="7" t="n">
        <f aca="false">'Raw Data'!A335</f>
        <v>1151</v>
      </c>
      <c r="B335" s="7" t="n">
        <f aca="false">'Raw Data'!B335</f>
        <v>71</v>
      </c>
      <c r="C335" s="7" t="str">
        <f aca="false">'Raw Data'!C335</f>
        <v>Female</v>
      </c>
      <c r="D335" s="7" t="str">
        <f aca="false">'Raw Data'!D335</f>
        <v>Never</v>
      </c>
      <c r="E335" s="7" t="str">
        <f aca="false">'Raw Data'!J335</f>
        <v>Normal</v>
      </c>
      <c r="F335" s="7" t="n">
        <f aca="false">'Raw Data'!K335</f>
        <v>180.3</v>
      </c>
      <c r="G335" s="7" t="str">
        <f aca="false">'Raw Data'!L335</f>
        <v>Yes</v>
      </c>
      <c r="H335" s="7" t="str">
        <f aca="false">'Raw Data'!M335</f>
        <v>Moderate</v>
      </c>
      <c r="I335" s="7" t="n">
        <f aca="false">(IF(D335="Current",3,IF(D335="Former",1,0)))+(IF(E335="High",3,IF(E335="Normal",1,0)))+(IF(F335&gt;=240,2,IF(F335&gt;=200,1,0)))+(IF(G335="Yes",2,0))+(IF(H335="High",2,IF(H335="Moderate",1,0)))</f>
        <v>4</v>
      </c>
      <c r="J335" s="7" t="str">
        <f aca="false">IF(I335&gt;=8,"High",IF(I335&gt;=4,"Medium","Low"))</f>
        <v>Medium</v>
      </c>
    </row>
    <row r="336" customFormat="false" ht="15" hidden="false" customHeight="true" outlineLevel="0" collapsed="false">
      <c r="A336" s="7" t="n">
        <f aca="false">'Raw Data'!A336</f>
        <v>1199</v>
      </c>
      <c r="B336" s="7" t="n">
        <f aca="false">'Raw Data'!B336</f>
        <v>24</v>
      </c>
      <c r="C336" s="7" t="str">
        <f aca="false">'Raw Data'!C336</f>
        <v>Female</v>
      </c>
      <c r="D336" s="7" t="str">
        <f aca="false">'Raw Data'!D336</f>
        <v>Never</v>
      </c>
      <c r="E336" s="7" t="str">
        <f aca="false">'Raw Data'!J336</f>
        <v>Normal</v>
      </c>
      <c r="F336" s="7" t="n">
        <f aca="false">'Raw Data'!K336</f>
        <v>134.4</v>
      </c>
      <c r="G336" s="7" t="str">
        <f aca="false">'Raw Data'!L336</f>
        <v>Yes</v>
      </c>
      <c r="H336" s="7" t="str">
        <f aca="false">'Raw Data'!M336</f>
        <v>Moderate</v>
      </c>
      <c r="I336" s="7" t="n">
        <f aca="false">(IF(D336="Current",3,IF(D336="Former",1,0)))+(IF(E336="High",3,IF(E336="Normal",1,0)))+(IF(F336&gt;=240,2,IF(F336&gt;=200,1,0)))+(IF(G336="Yes",2,0))+(IF(H336="High",2,IF(H336="Moderate",1,0)))</f>
        <v>4</v>
      </c>
      <c r="J336" s="7" t="str">
        <f aca="false">IF(I336&gt;=8,"High",IF(I336&gt;=4,"Medium","Low"))</f>
        <v>Medium</v>
      </c>
    </row>
    <row r="337" customFormat="false" ht="15" hidden="false" customHeight="true" outlineLevel="0" collapsed="false">
      <c r="A337" s="7" t="n">
        <f aca="false">'Raw Data'!A337</f>
        <v>1249</v>
      </c>
      <c r="B337" s="7" t="n">
        <f aca="false">'Raw Data'!B337</f>
        <v>19</v>
      </c>
      <c r="C337" s="7" t="str">
        <f aca="false">'Raw Data'!C337</f>
        <v>Female</v>
      </c>
      <c r="D337" s="7" t="str">
        <f aca="false">'Raw Data'!D337</f>
        <v>Never</v>
      </c>
      <c r="E337" s="7" t="str">
        <f aca="false">'Raw Data'!J337</f>
        <v>Normal</v>
      </c>
      <c r="F337" s="7" t="n">
        <f aca="false">'Raw Data'!K337</f>
        <v>131.5</v>
      </c>
      <c r="G337" s="7" t="str">
        <f aca="false">'Raw Data'!L337</f>
        <v>Yes</v>
      </c>
      <c r="H337" s="7" t="str">
        <f aca="false">'Raw Data'!M337</f>
        <v>Moderate</v>
      </c>
      <c r="I337" s="7" t="n">
        <f aca="false">(IF(D337="Current",3,IF(D337="Former",1,0)))+(IF(E337="High",3,IF(E337="Normal",1,0)))+(IF(F337&gt;=240,2,IF(F337&gt;=200,1,0)))+(IF(G337="Yes",2,0))+(IF(H337="High",2,IF(H337="Moderate",1,0)))</f>
        <v>4</v>
      </c>
      <c r="J337" s="7" t="str">
        <f aca="false">IF(I337&gt;=8,"High",IF(I337&gt;=4,"Medium","Low"))</f>
        <v>Medium</v>
      </c>
    </row>
    <row r="338" customFormat="false" ht="15" hidden="false" customHeight="true" outlineLevel="0" collapsed="false">
      <c r="A338" s="7" t="n">
        <f aca="false">'Raw Data'!A338</f>
        <v>1254</v>
      </c>
      <c r="B338" s="7" t="n">
        <f aca="false">'Raw Data'!B338</f>
        <v>85</v>
      </c>
      <c r="C338" s="7" t="str">
        <f aca="false">'Raw Data'!C338</f>
        <v>Male</v>
      </c>
      <c r="D338" s="7" t="str">
        <f aca="false">'Raw Data'!D338</f>
        <v>Never</v>
      </c>
      <c r="E338" s="7" t="str">
        <f aca="false">'Raw Data'!J338</f>
        <v>Normal</v>
      </c>
      <c r="F338" s="7" t="n">
        <f aca="false">'Raw Data'!K338</f>
        <v>191.3</v>
      </c>
      <c r="G338" s="7" t="str">
        <f aca="false">'Raw Data'!L338</f>
        <v>Yes</v>
      </c>
      <c r="H338" s="7" t="str">
        <f aca="false">'Raw Data'!M338</f>
        <v>Moderate</v>
      </c>
      <c r="I338" s="7" t="n">
        <f aca="false">(IF(D338="Current",3,IF(D338="Former",1,0)))+(IF(E338="High",3,IF(E338="Normal",1,0)))+(IF(F338&gt;=240,2,IF(F338&gt;=200,1,0)))+(IF(G338="Yes",2,0))+(IF(H338="High",2,IF(H338="Moderate",1,0)))</f>
        <v>4</v>
      </c>
      <c r="J338" s="7" t="str">
        <f aca="false">IF(I338&gt;=8,"High",IF(I338&gt;=4,"Medium","Low"))</f>
        <v>Medium</v>
      </c>
    </row>
    <row r="339" customFormat="false" ht="15" hidden="false" customHeight="true" outlineLevel="0" collapsed="false">
      <c r="A339" s="7" t="n">
        <f aca="false">'Raw Data'!A339</f>
        <v>1263</v>
      </c>
      <c r="B339" s="7" t="n">
        <f aca="false">'Raw Data'!B339</f>
        <v>39</v>
      </c>
      <c r="C339" s="7" t="str">
        <f aca="false">'Raw Data'!C339</f>
        <v>Male</v>
      </c>
      <c r="D339" s="7" t="str">
        <f aca="false">'Raw Data'!D339</f>
        <v>Never</v>
      </c>
      <c r="E339" s="7" t="str">
        <f aca="false">'Raw Data'!J339</f>
        <v>Normal</v>
      </c>
      <c r="F339" s="7" t="n">
        <f aca="false">'Raw Data'!K339</f>
        <v>125.2</v>
      </c>
      <c r="G339" s="7" t="str">
        <f aca="false">'Raw Data'!L339</f>
        <v>Yes</v>
      </c>
      <c r="H339" s="7" t="str">
        <f aca="false">'Raw Data'!M339</f>
        <v>Moderate</v>
      </c>
      <c r="I339" s="7" t="n">
        <f aca="false">(IF(D339="Current",3,IF(D339="Former",1,0)))+(IF(E339="High",3,IF(E339="Normal",1,0)))+(IF(F339&gt;=240,2,IF(F339&gt;=200,1,0)))+(IF(G339="Yes",2,0))+(IF(H339="High",2,IF(H339="Moderate",1,0)))</f>
        <v>4</v>
      </c>
      <c r="J339" s="7" t="str">
        <f aca="false">IF(I339&gt;=8,"High",IF(I339&gt;=4,"Medium","Low"))</f>
        <v>Medium</v>
      </c>
    </row>
    <row r="340" customFormat="false" ht="15" hidden="false" customHeight="true" outlineLevel="0" collapsed="false">
      <c r="A340" s="7" t="n">
        <f aca="false">'Raw Data'!A340</f>
        <v>1329</v>
      </c>
      <c r="B340" s="7" t="n">
        <f aca="false">'Raw Data'!B340</f>
        <v>22</v>
      </c>
      <c r="C340" s="7" t="str">
        <f aca="false">'Raw Data'!C340</f>
        <v>Female</v>
      </c>
      <c r="D340" s="7" t="str">
        <f aca="false">'Raw Data'!D340</f>
        <v>Never</v>
      </c>
      <c r="E340" s="7" t="str">
        <f aca="false">'Raw Data'!J340</f>
        <v>Normal</v>
      </c>
      <c r="F340" s="7" t="n">
        <f aca="false">'Raw Data'!K340</f>
        <v>172.5</v>
      </c>
      <c r="G340" s="7" t="str">
        <f aca="false">'Raw Data'!L340</f>
        <v>Yes</v>
      </c>
      <c r="H340" s="7" t="str">
        <f aca="false">'Raw Data'!M340</f>
        <v>Moderate</v>
      </c>
      <c r="I340" s="7" t="n">
        <f aca="false">(IF(D340="Current",3,IF(D340="Former",1,0)))+(IF(E340="High",3,IF(E340="Normal",1,0)))+(IF(F340&gt;=240,2,IF(F340&gt;=200,1,0)))+(IF(G340="Yes",2,0))+(IF(H340="High",2,IF(H340="Moderate",1,0)))</f>
        <v>4</v>
      </c>
      <c r="J340" s="7" t="str">
        <f aca="false">IF(I340&gt;=8,"High",IF(I340&gt;=4,"Medium","Low"))</f>
        <v>Medium</v>
      </c>
    </row>
    <row r="341" customFormat="false" ht="15" hidden="false" customHeight="true" outlineLevel="0" collapsed="false">
      <c r="A341" s="7" t="n">
        <f aca="false">'Raw Data'!A341</f>
        <v>1358</v>
      </c>
      <c r="B341" s="7" t="n">
        <f aca="false">'Raw Data'!B341</f>
        <v>73</v>
      </c>
      <c r="C341" s="7" t="str">
        <f aca="false">'Raw Data'!C341</f>
        <v>Female</v>
      </c>
      <c r="D341" s="7" t="str">
        <f aca="false">'Raw Data'!D341</f>
        <v>Never</v>
      </c>
      <c r="E341" s="7" t="str">
        <f aca="false">'Raw Data'!J341</f>
        <v>Normal</v>
      </c>
      <c r="F341" s="7" t="n">
        <f aca="false">'Raw Data'!K341</f>
        <v>230.2</v>
      </c>
      <c r="G341" s="7" t="str">
        <f aca="false">'Raw Data'!L341</f>
        <v>Yes</v>
      </c>
      <c r="H341" s="7" t="str">
        <f aca="false">'Raw Data'!M341</f>
        <v>Moderate</v>
      </c>
      <c r="I341" s="7" t="n">
        <f aca="false">(IF(D341="Current",3,IF(D341="Former",1,0)))+(IF(E341="High",3,IF(E341="Normal",1,0)))+(IF(F341&gt;=240,2,IF(F341&gt;=200,1,0)))+(IF(G341="Yes",2,0))+(IF(H341="High",2,IF(H341="Moderate",1,0)))</f>
        <v>5</v>
      </c>
      <c r="J341" s="7" t="str">
        <f aca="false">IF(I341&gt;=8,"High",IF(I341&gt;=4,"Medium","Low"))</f>
        <v>Medium</v>
      </c>
    </row>
    <row r="342" customFormat="false" ht="15" hidden="false" customHeight="true" outlineLevel="0" collapsed="false">
      <c r="A342" s="7" t="n">
        <f aca="false">'Raw Data'!A342</f>
        <v>1380</v>
      </c>
      <c r="B342" s="7" t="n">
        <f aca="false">'Raw Data'!B342</f>
        <v>50</v>
      </c>
      <c r="C342" s="7" t="str">
        <f aca="false">'Raw Data'!C342</f>
        <v>Male</v>
      </c>
      <c r="D342" s="7" t="str">
        <f aca="false">'Raw Data'!D342</f>
        <v>Never</v>
      </c>
      <c r="E342" s="7" t="str">
        <f aca="false">'Raw Data'!J342</f>
        <v>Normal</v>
      </c>
      <c r="F342" s="7" t="n">
        <f aca="false">'Raw Data'!K342</f>
        <v>165.1</v>
      </c>
      <c r="G342" s="7" t="str">
        <f aca="false">'Raw Data'!L342</f>
        <v>Yes</v>
      </c>
      <c r="H342" s="7" t="str">
        <f aca="false">'Raw Data'!M342</f>
        <v>Moderate</v>
      </c>
      <c r="I342" s="7" t="n">
        <f aca="false">(IF(D342="Current",3,IF(D342="Former",1,0)))+(IF(E342="High",3,IF(E342="Normal",1,0)))+(IF(F342&gt;=240,2,IF(F342&gt;=200,1,0)))+(IF(G342="Yes",2,0))+(IF(H342="High",2,IF(H342="Moderate",1,0)))</f>
        <v>4</v>
      </c>
      <c r="J342" s="7" t="str">
        <f aca="false">IF(I342&gt;=8,"High",IF(I342&gt;=4,"Medium","Low"))</f>
        <v>Medium</v>
      </c>
    </row>
    <row r="343" customFormat="false" ht="15" hidden="false" customHeight="true" outlineLevel="0" collapsed="false">
      <c r="A343" s="7" t="n">
        <f aca="false">'Raw Data'!A343</f>
        <v>1386</v>
      </c>
      <c r="B343" s="7" t="n">
        <f aca="false">'Raw Data'!B343</f>
        <v>88</v>
      </c>
      <c r="C343" s="7" t="str">
        <f aca="false">'Raw Data'!C343</f>
        <v>Female</v>
      </c>
      <c r="D343" s="7" t="str">
        <f aca="false">'Raw Data'!D343</f>
        <v>Never</v>
      </c>
      <c r="E343" s="7" t="str">
        <f aca="false">'Raw Data'!J343</f>
        <v>Normal</v>
      </c>
      <c r="F343" s="7" t="n">
        <f aca="false">'Raw Data'!K343</f>
        <v>146.3</v>
      </c>
      <c r="G343" s="7" t="str">
        <f aca="false">'Raw Data'!L343</f>
        <v>Yes</v>
      </c>
      <c r="H343" s="7" t="str">
        <f aca="false">'Raw Data'!M343</f>
        <v>Moderate</v>
      </c>
      <c r="I343" s="7" t="n">
        <f aca="false">(IF(D343="Current",3,IF(D343="Former",1,0)))+(IF(E343="High",3,IF(E343="Normal",1,0)))+(IF(F343&gt;=240,2,IF(F343&gt;=200,1,0)))+(IF(G343="Yes",2,0))+(IF(H343="High",2,IF(H343="Moderate",1,0)))</f>
        <v>4</v>
      </c>
      <c r="J343" s="7" t="str">
        <f aca="false">IF(I343&gt;=8,"High",IF(I343&gt;=4,"Medium","Low"))</f>
        <v>Medium</v>
      </c>
    </row>
    <row r="344" customFormat="false" ht="15" hidden="false" customHeight="true" outlineLevel="0" collapsed="false">
      <c r="A344" s="7" t="n">
        <f aca="false">'Raw Data'!A344</f>
        <v>1454</v>
      </c>
      <c r="B344" s="7" t="n">
        <f aca="false">'Raw Data'!B344</f>
        <v>78</v>
      </c>
      <c r="C344" s="7" t="str">
        <f aca="false">'Raw Data'!C344</f>
        <v>Male</v>
      </c>
      <c r="D344" s="7" t="str">
        <f aca="false">'Raw Data'!D344</f>
        <v>Never</v>
      </c>
      <c r="E344" s="7" t="str">
        <f aca="false">'Raw Data'!J344</f>
        <v>Normal</v>
      </c>
      <c r="F344" s="7" t="n">
        <f aca="false">'Raw Data'!K344</f>
        <v>199.3</v>
      </c>
      <c r="G344" s="7" t="str">
        <f aca="false">'Raw Data'!L344</f>
        <v>Yes</v>
      </c>
      <c r="H344" s="7" t="str">
        <f aca="false">'Raw Data'!M344</f>
        <v>Moderate</v>
      </c>
      <c r="I344" s="7" t="n">
        <f aca="false">(IF(D344="Current",3,IF(D344="Former",1,0)))+(IF(E344="High",3,IF(E344="Normal",1,0)))+(IF(F344&gt;=240,2,IF(F344&gt;=200,1,0)))+(IF(G344="Yes",2,0))+(IF(H344="High",2,IF(H344="Moderate",1,0)))</f>
        <v>4</v>
      </c>
      <c r="J344" s="7" t="str">
        <f aca="false">IF(I344&gt;=8,"High",IF(I344&gt;=4,"Medium","Low"))</f>
        <v>Medium</v>
      </c>
    </row>
    <row r="345" customFormat="false" ht="15" hidden="false" customHeight="true" outlineLevel="0" collapsed="false">
      <c r="A345" s="7" t="n">
        <f aca="false">'Raw Data'!A345</f>
        <v>1468</v>
      </c>
      <c r="B345" s="7" t="n">
        <f aca="false">'Raw Data'!B345</f>
        <v>50</v>
      </c>
      <c r="C345" s="7" t="str">
        <f aca="false">'Raw Data'!C345</f>
        <v>Female</v>
      </c>
      <c r="D345" s="7" t="str">
        <f aca="false">'Raw Data'!D345</f>
        <v>Never</v>
      </c>
      <c r="E345" s="7" t="str">
        <f aca="false">'Raw Data'!J345</f>
        <v>Normal</v>
      </c>
      <c r="F345" s="7" t="n">
        <f aca="false">'Raw Data'!K345</f>
        <v>277.6</v>
      </c>
      <c r="G345" s="7" t="str">
        <f aca="false">'Raw Data'!L345</f>
        <v>Yes</v>
      </c>
      <c r="H345" s="7" t="str">
        <f aca="false">'Raw Data'!M345</f>
        <v>Moderate</v>
      </c>
      <c r="I345" s="7" t="n">
        <f aca="false">(IF(D345="Current",3,IF(D345="Former",1,0)))+(IF(E345="High",3,IF(E345="Normal",1,0)))+(IF(F345&gt;=240,2,IF(F345&gt;=200,1,0)))+(IF(G345="Yes",2,0))+(IF(H345="High",2,IF(H345="Moderate",1,0)))</f>
        <v>6</v>
      </c>
      <c r="J345" s="7" t="str">
        <f aca="false">IF(I345&gt;=8,"High",IF(I345&gt;=4,"Medium","Low"))</f>
        <v>Medium</v>
      </c>
    </row>
    <row r="346" customFormat="false" ht="15" hidden="false" customHeight="true" outlineLevel="0" collapsed="false">
      <c r="A346" s="7" t="n">
        <f aca="false">'Raw Data'!A346</f>
        <v>1590</v>
      </c>
      <c r="B346" s="7" t="n">
        <f aca="false">'Raw Data'!B346</f>
        <v>31</v>
      </c>
      <c r="C346" s="7" t="str">
        <f aca="false">'Raw Data'!C346</f>
        <v>Male</v>
      </c>
      <c r="D346" s="7" t="str">
        <f aca="false">'Raw Data'!D346</f>
        <v>Never</v>
      </c>
      <c r="E346" s="7" t="str">
        <f aca="false">'Raw Data'!J346</f>
        <v>Normal</v>
      </c>
      <c r="F346" s="7" t="n">
        <f aca="false">'Raw Data'!K346</f>
        <v>288.1</v>
      </c>
      <c r="G346" s="7" t="str">
        <f aca="false">'Raw Data'!L346</f>
        <v>Yes</v>
      </c>
      <c r="H346" s="7" t="str">
        <f aca="false">'Raw Data'!M346</f>
        <v>Moderate</v>
      </c>
      <c r="I346" s="7" t="n">
        <f aca="false">(IF(D346="Current",3,IF(D346="Former",1,0)))+(IF(E346="High",3,IF(E346="Normal",1,0)))+(IF(F346&gt;=240,2,IF(F346&gt;=200,1,0)))+(IF(G346="Yes",2,0))+(IF(H346="High",2,IF(H346="Moderate",1,0)))</f>
        <v>6</v>
      </c>
      <c r="J346" s="7" t="str">
        <f aca="false">IF(I346&gt;=8,"High",IF(I346&gt;=4,"Medium","Low"))</f>
        <v>Medium</v>
      </c>
    </row>
    <row r="347" customFormat="false" ht="15" hidden="false" customHeight="true" outlineLevel="0" collapsed="false">
      <c r="A347" s="7" t="n">
        <f aca="false">'Raw Data'!A347</f>
        <v>1616</v>
      </c>
      <c r="B347" s="7" t="n">
        <f aca="false">'Raw Data'!B347</f>
        <v>31</v>
      </c>
      <c r="C347" s="7" t="str">
        <f aca="false">'Raw Data'!C347</f>
        <v>Male</v>
      </c>
      <c r="D347" s="7" t="str">
        <f aca="false">'Raw Data'!D347</f>
        <v>Never</v>
      </c>
      <c r="E347" s="7" t="str">
        <f aca="false">'Raw Data'!J347</f>
        <v>Normal</v>
      </c>
      <c r="F347" s="7" t="n">
        <f aca="false">'Raw Data'!K347</f>
        <v>122.2</v>
      </c>
      <c r="G347" s="7" t="str">
        <f aca="false">'Raw Data'!L347</f>
        <v>Yes</v>
      </c>
      <c r="H347" s="7" t="str">
        <f aca="false">'Raw Data'!M347</f>
        <v>Moderate</v>
      </c>
      <c r="I347" s="7" t="n">
        <f aca="false">(IF(D347="Current",3,IF(D347="Former",1,0)))+(IF(E347="High",3,IF(E347="Normal",1,0)))+(IF(F347&gt;=240,2,IF(F347&gt;=200,1,0)))+(IF(G347="Yes",2,0))+(IF(H347="High",2,IF(H347="Moderate",1,0)))</f>
        <v>4</v>
      </c>
      <c r="J347" s="7" t="str">
        <f aca="false">IF(I347&gt;=8,"High",IF(I347&gt;=4,"Medium","Low"))</f>
        <v>Medium</v>
      </c>
    </row>
    <row r="348" customFormat="false" ht="15" hidden="false" customHeight="true" outlineLevel="0" collapsed="false">
      <c r="A348" s="7" t="n">
        <f aca="false">'Raw Data'!A348</f>
        <v>1665</v>
      </c>
      <c r="B348" s="7" t="n">
        <f aca="false">'Raw Data'!B348</f>
        <v>63</v>
      </c>
      <c r="C348" s="7" t="str">
        <f aca="false">'Raw Data'!C348</f>
        <v>Female</v>
      </c>
      <c r="D348" s="7" t="str">
        <f aca="false">'Raw Data'!D348</f>
        <v>Never</v>
      </c>
      <c r="E348" s="7" t="str">
        <f aca="false">'Raw Data'!J348</f>
        <v>Normal</v>
      </c>
      <c r="F348" s="7" t="n">
        <f aca="false">'Raw Data'!K348</f>
        <v>168.9</v>
      </c>
      <c r="G348" s="7" t="str">
        <f aca="false">'Raw Data'!L348</f>
        <v>Yes</v>
      </c>
      <c r="H348" s="7" t="str">
        <f aca="false">'Raw Data'!M348</f>
        <v>Moderate</v>
      </c>
      <c r="I348" s="7" t="n">
        <f aca="false">(IF(D348="Current",3,IF(D348="Former",1,0)))+(IF(E348="High",3,IF(E348="Normal",1,0)))+(IF(F348&gt;=240,2,IF(F348&gt;=200,1,0)))+(IF(G348="Yes",2,0))+(IF(H348="High",2,IF(H348="Moderate",1,0)))</f>
        <v>4</v>
      </c>
      <c r="J348" s="7" t="str">
        <f aca="false">IF(I348&gt;=8,"High",IF(I348&gt;=4,"Medium","Low"))</f>
        <v>Medium</v>
      </c>
    </row>
    <row r="349" customFormat="false" ht="15" hidden="false" customHeight="true" outlineLevel="0" collapsed="false">
      <c r="A349" s="7" t="n">
        <f aca="false">'Raw Data'!A349</f>
        <v>1714</v>
      </c>
      <c r="B349" s="7" t="n">
        <f aca="false">'Raw Data'!B349</f>
        <v>80</v>
      </c>
      <c r="C349" s="7" t="str">
        <f aca="false">'Raw Data'!C349</f>
        <v>Female</v>
      </c>
      <c r="D349" s="7" t="str">
        <f aca="false">'Raw Data'!D349</f>
        <v>Never</v>
      </c>
      <c r="E349" s="7" t="str">
        <f aca="false">'Raw Data'!J349</f>
        <v>Normal</v>
      </c>
      <c r="F349" s="7" t="n">
        <f aca="false">'Raw Data'!K349</f>
        <v>299</v>
      </c>
      <c r="G349" s="7" t="str">
        <f aca="false">'Raw Data'!L349</f>
        <v>Yes</v>
      </c>
      <c r="H349" s="7" t="str">
        <f aca="false">'Raw Data'!M349</f>
        <v>Moderate</v>
      </c>
      <c r="I349" s="7" t="n">
        <f aca="false">(IF(D349="Current",3,IF(D349="Former",1,0)))+(IF(E349="High",3,IF(E349="Normal",1,0)))+(IF(F349&gt;=240,2,IF(F349&gt;=200,1,0)))+(IF(G349="Yes",2,0))+(IF(H349="High",2,IF(H349="Moderate",1,0)))</f>
        <v>6</v>
      </c>
      <c r="J349" s="7" t="str">
        <f aca="false">IF(I349&gt;=8,"High",IF(I349&gt;=4,"Medium","Low"))</f>
        <v>Medium</v>
      </c>
    </row>
    <row r="350" customFormat="false" ht="15" hidden="false" customHeight="true" outlineLevel="0" collapsed="false">
      <c r="A350" s="7" t="n">
        <f aca="false">'Raw Data'!A350</f>
        <v>1780</v>
      </c>
      <c r="B350" s="7" t="n">
        <f aca="false">'Raw Data'!B350</f>
        <v>23</v>
      </c>
      <c r="C350" s="7" t="str">
        <f aca="false">'Raw Data'!C350</f>
        <v>Female</v>
      </c>
      <c r="D350" s="7" t="str">
        <f aca="false">'Raw Data'!D350</f>
        <v>Never</v>
      </c>
      <c r="E350" s="7" t="str">
        <f aca="false">'Raw Data'!J350</f>
        <v>Normal</v>
      </c>
      <c r="F350" s="7" t="n">
        <f aca="false">'Raw Data'!K350</f>
        <v>230.7</v>
      </c>
      <c r="G350" s="7" t="str">
        <f aca="false">'Raw Data'!L350</f>
        <v>Yes</v>
      </c>
      <c r="H350" s="7" t="str">
        <f aca="false">'Raw Data'!M350</f>
        <v>Moderate</v>
      </c>
      <c r="I350" s="7" t="n">
        <f aca="false">(IF(D350="Current",3,IF(D350="Former",1,0)))+(IF(E350="High",3,IF(E350="Normal",1,0)))+(IF(F350&gt;=240,2,IF(F350&gt;=200,1,0)))+(IF(G350="Yes",2,0))+(IF(H350="High",2,IF(H350="Moderate",1,0)))</f>
        <v>5</v>
      </c>
      <c r="J350" s="7" t="str">
        <f aca="false">IF(I350&gt;=8,"High",IF(I350&gt;=4,"Medium","Low"))</f>
        <v>Medium</v>
      </c>
    </row>
    <row r="351" customFormat="false" ht="15" hidden="false" customHeight="true" outlineLevel="0" collapsed="false">
      <c r="A351" s="7" t="n">
        <f aca="false">'Raw Data'!A351</f>
        <v>1794</v>
      </c>
      <c r="B351" s="7" t="n">
        <f aca="false">'Raw Data'!B351</f>
        <v>30</v>
      </c>
      <c r="C351" s="7" t="str">
        <f aca="false">'Raw Data'!C351</f>
        <v>Female</v>
      </c>
      <c r="D351" s="7" t="str">
        <f aca="false">'Raw Data'!D351</f>
        <v>Never</v>
      </c>
      <c r="E351" s="7" t="str">
        <f aca="false">'Raw Data'!J351</f>
        <v>Normal</v>
      </c>
      <c r="F351" s="7" t="n">
        <f aca="false">'Raw Data'!K351</f>
        <v>150.3</v>
      </c>
      <c r="G351" s="7" t="str">
        <f aca="false">'Raw Data'!L351</f>
        <v>Yes</v>
      </c>
      <c r="H351" s="7" t="str">
        <f aca="false">'Raw Data'!M351</f>
        <v>Moderate</v>
      </c>
      <c r="I351" s="7" t="n">
        <f aca="false">(IF(D351="Current",3,IF(D351="Former",1,0)))+(IF(E351="High",3,IF(E351="Normal",1,0)))+(IF(F351&gt;=240,2,IF(F351&gt;=200,1,0)))+(IF(G351="Yes",2,0))+(IF(H351="High",2,IF(H351="Moderate",1,0)))</f>
        <v>4</v>
      </c>
      <c r="J351" s="7" t="str">
        <f aca="false">IF(I351&gt;=8,"High",IF(I351&gt;=4,"Medium","Low"))</f>
        <v>Medium</v>
      </c>
    </row>
    <row r="352" customFormat="false" ht="15" hidden="false" customHeight="true" outlineLevel="0" collapsed="false">
      <c r="A352" s="7" t="n">
        <f aca="false">'Raw Data'!A352</f>
        <v>1797</v>
      </c>
      <c r="B352" s="7" t="n">
        <f aca="false">'Raw Data'!B352</f>
        <v>89</v>
      </c>
      <c r="C352" s="7" t="str">
        <f aca="false">'Raw Data'!C352</f>
        <v>Male</v>
      </c>
      <c r="D352" s="7" t="str">
        <f aca="false">'Raw Data'!D352</f>
        <v>Never</v>
      </c>
      <c r="E352" s="7" t="str">
        <f aca="false">'Raw Data'!J352</f>
        <v>Normal</v>
      </c>
      <c r="F352" s="7" t="n">
        <f aca="false">'Raw Data'!K352</f>
        <v>252.7</v>
      </c>
      <c r="G352" s="7" t="str">
        <f aca="false">'Raw Data'!L352</f>
        <v>Yes</v>
      </c>
      <c r="H352" s="7" t="str">
        <f aca="false">'Raw Data'!M352</f>
        <v>Moderate</v>
      </c>
      <c r="I352" s="7" t="n">
        <f aca="false">(IF(D352="Current",3,IF(D352="Former",1,0)))+(IF(E352="High",3,IF(E352="Normal",1,0)))+(IF(F352&gt;=240,2,IF(F352&gt;=200,1,0)))+(IF(G352="Yes",2,0))+(IF(H352="High",2,IF(H352="Moderate",1,0)))</f>
        <v>6</v>
      </c>
      <c r="J352" s="7" t="str">
        <f aca="false">IF(I352&gt;=8,"High",IF(I352&gt;=4,"Medium","Low"))</f>
        <v>Medium</v>
      </c>
    </row>
    <row r="353" customFormat="false" ht="15" hidden="false" customHeight="true" outlineLevel="0" collapsed="false">
      <c r="A353" s="7" t="n">
        <f aca="false">'Raw Data'!A353</f>
        <v>1801</v>
      </c>
      <c r="B353" s="7" t="n">
        <f aca="false">'Raw Data'!B353</f>
        <v>44</v>
      </c>
      <c r="C353" s="7" t="str">
        <f aca="false">'Raw Data'!C353</f>
        <v>Male</v>
      </c>
      <c r="D353" s="7" t="str">
        <f aca="false">'Raw Data'!D353</f>
        <v>Never</v>
      </c>
      <c r="E353" s="7" t="str">
        <f aca="false">'Raw Data'!J353</f>
        <v>Normal</v>
      </c>
      <c r="F353" s="7" t="n">
        <f aca="false">'Raw Data'!K353</f>
        <v>201.4</v>
      </c>
      <c r="G353" s="7" t="str">
        <f aca="false">'Raw Data'!L353</f>
        <v>Yes</v>
      </c>
      <c r="H353" s="7" t="str">
        <f aca="false">'Raw Data'!M353</f>
        <v>Moderate</v>
      </c>
      <c r="I353" s="7" t="n">
        <f aca="false">(IF(D353="Current",3,IF(D353="Former",1,0)))+(IF(E353="High",3,IF(E353="Normal",1,0)))+(IF(F353&gt;=240,2,IF(F353&gt;=200,1,0)))+(IF(G353="Yes",2,0))+(IF(H353="High",2,IF(H353="Moderate",1,0)))</f>
        <v>5</v>
      </c>
      <c r="J353" s="7" t="str">
        <f aca="false">IF(I353&gt;=8,"High",IF(I353&gt;=4,"Medium","Low"))</f>
        <v>Medium</v>
      </c>
    </row>
    <row r="354" customFormat="false" ht="15" hidden="false" customHeight="true" outlineLevel="0" collapsed="false">
      <c r="A354" s="7" t="n">
        <f aca="false">'Raw Data'!A354</f>
        <v>1937</v>
      </c>
      <c r="B354" s="7" t="n">
        <f aca="false">'Raw Data'!B354</f>
        <v>81</v>
      </c>
      <c r="C354" s="7" t="str">
        <f aca="false">'Raw Data'!C354</f>
        <v>Male</v>
      </c>
      <c r="D354" s="7" t="str">
        <f aca="false">'Raw Data'!D354</f>
        <v>Never</v>
      </c>
      <c r="E354" s="7" t="str">
        <f aca="false">'Raw Data'!J354</f>
        <v>Normal</v>
      </c>
      <c r="F354" s="7" t="n">
        <f aca="false">'Raw Data'!K354</f>
        <v>168.9</v>
      </c>
      <c r="G354" s="7" t="str">
        <f aca="false">'Raw Data'!L354</f>
        <v>Yes</v>
      </c>
      <c r="H354" s="7" t="str">
        <f aca="false">'Raw Data'!M354</f>
        <v>Moderate</v>
      </c>
      <c r="I354" s="7" t="n">
        <f aca="false">(IF(D354="Current",3,IF(D354="Former",1,0)))+(IF(E354="High",3,IF(E354="Normal",1,0)))+(IF(F354&gt;=240,2,IF(F354&gt;=200,1,0)))+(IF(G354="Yes",2,0))+(IF(H354="High",2,IF(H354="Moderate",1,0)))</f>
        <v>4</v>
      </c>
      <c r="J354" s="7" t="str">
        <f aca="false">IF(I354&gt;=8,"High",IF(I354&gt;=4,"Medium","Low"))</f>
        <v>Medium</v>
      </c>
    </row>
    <row r="355" customFormat="false" ht="15" hidden="false" customHeight="true" outlineLevel="0" collapsed="false">
      <c r="A355" s="7" t="n">
        <f aca="false">'Raw Data'!A355</f>
        <v>1942</v>
      </c>
      <c r="B355" s="7" t="n">
        <f aca="false">'Raw Data'!B355</f>
        <v>63</v>
      </c>
      <c r="C355" s="7" t="str">
        <f aca="false">'Raw Data'!C355</f>
        <v>Male</v>
      </c>
      <c r="D355" s="7" t="str">
        <f aca="false">'Raw Data'!D355</f>
        <v>Never</v>
      </c>
      <c r="E355" s="7" t="str">
        <f aca="false">'Raw Data'!J355</f>
        <v>Normal</v>
      </c>
      <c r="F355" s="7" t="n">
        <f aca="false">'Raw Data'!K355</f>
        <v>282.7</v>
      </c>
      <c r="G355" s="7" t="str">
        <f aca="false">'Raw Data'!L355</f>
        <v>Yes</v>
      </c>
      <c r="H355" s="7" t="str">
        <f aca="false">'Raw Data'!M355</f>
        <v>Moderate</v>
      </c>
      <c r="I355" s="7" t="n">
        <f aca="false">(IF(D355="Current",3,IF(D355="Former",1,0)))+(IF(E355="High",3,IF(E355="Normal",1,0)))+(IF(F355&gt;=240,2,IF(F355&gt;=200,1,0)))+(IF(G355="Yes",2,0))+(IF(H355="High",2,IF(H355="Moderate",1,0)))</f>
        <v>6</v>
      </c>
      <c r="J355" s="7" t="str">
        <f aca="false">IF(I355&gt;=8,"High",IF(I355&gt;=4,"Medium","Low"))</f>
        <v>Medium</v>
      </c>
    </row>
    <row r="356" customFormat="false" ht="15" hidden="false" customHeight="true" outlineLevel="0" collapsed="false">
      <c r="A356" s="7" t="n">
        <f aca="false">'Raw Data'!A356</f>
        <v>1953</v>
      </c>
      <c r="B356" s="7" t="n">
        <f aca="false">'Raw Data'!B356</f>
        <v>78</v>
      </c>
      <c r="C356" s="7" t="str">
        <f aca="false">'Raw Data'!C356</f>
        <v>Female</v>
      </c>
      <c r="D356" s="7" t="str">
        <f aca="false">'Raw Data'!D356</f>
        <v>Never</v>
      </c>
      <c r="E356" s="7" t="str">
        <f aca="false">'Raw Data'!J356</f>
        <v>Normal</v>
      </c>
      <c r="F356" s="7" t="n">
        <f aca="false">'Raw Data'!K356</f>
        <v>156.3</v>
      </c>
      <c r="G356" s="7" t="str">
        <f aca="false">'Raw Data'!L356</f>
        <v>Yes</v>
      </c>
      <c r="H356" s="7" t="str">
        <f aca="false">'Raw Data'!M356</f>
        <v>Moderate</v>
      </c>
      <c r="I356" s="7" t="n">
        <f aca="false">(IF(D356="Current",3,IF(D356="Former",1,0)))+(IF(E356="High",3,IF(E356="Normal",1,0)))+(IF(F356&gt;=240,2,IF(F356&gt;=200,1,0)))+(IF(G356="Yes",2,0))+(IF(H356="High",2,IF(H356="Moderate",1,0)))</f>
        <v>4</v>
      </c>
      <c r="J356" s="7" t="str">
        <f aca="false">IF(I356&gt;=8,"High",IF(I356&gt;=4,"Medium","Low"))</f>
        <v>Medium</v>
      </c>
    </row>
    <row r="357" customFormat="false" ht="15" hidden="false" customHeight="true" outlineLevel="0" collapsed="false">
      <c r="A357" s="7" t="n">
        <f aca="false">'Raw Data'!A357</f>
        <v>1966</v>
      </c>
      <c r="B357" s="7" t="n">
        <f aca="false">'Raw Data'!B357</f>
        <v>66</v>
      </c>
      <c r="C357" s="7" t="str">
        <f aca="false">'Raw Data'!C357</f>
        <v>Male</v>
      </c>
      <c r="D357" s="7" t="str">
        <f aca="false">'Raw Data'!D357</f>
        <v>Never</v>
      </c>
      <c r="E357" s="7" t="str">
        <f aca="false">'Raw Data'!J357</f>
        <v>Normal</v>
      </c>
      <c r="F357" s="7" t="n">
        <f aca="false">'Raw Data'!K357</f>
        <v>166.4</v>
      </c>
      <c r="G357" s="7" t="str">
        <f aca="false">'Raw Data'!L357</f>
        <v>Yes</v>
      </c>
      <c r="H357" s="7" t="str">
        <f aca="false">'Raw Data'!M357</f>
        <v>Moderate</v>
      </c>
      <c r="I357" s="7" t="n">
        <f aca="false">(IF(D357="Current",3,IF(D357="Former",1,0)))+(IF(E357="High",3,IF(E357="Normal",1,0)))+(IF(F357&gt;=240,2,IF(F357&gt;=200,1,0)))+(IF(G357="Yes",2,0))+(IF(H357="High",2,IF(H357="Moderate",1,0)))</f>
        <v>4</v>
      </c>
      <c r="J357" s="7" t="str">
        <f aca="false">IF(I357&gt;=8,"High",IF(I357&gt;=4,"Medium","Low"))</f>
        <v>Medium</v>
      </c>
    </row>
    <row r="358" customFormat="false" ht="15" hidden="false" customHeight="true" outlineLevel="0" collapsed="false">
      <c r="A358" s="7" t="n">
        <f aca="false">'Raw Data'!A358</f>
        <v>1990</v>
      </c>
      <c r="B358" s="7" t="n">
        <f aca="false">'Raw Data'!B358</f>
        <v>56</v>
      </c>
      <c r="C358" s="7" t="str">
        <f aca="false">'Raw Data'!C358</f>
        <v>Female</v>
      </c>
      <c r="D358" s="7" t="str">
        <f aca="false">'Raw Data'!D358</f>
        <v>Never</v>
      </c>
      <c r="E358" s="7" t="str">
        <f aca="false">'Raw Data'!J358</f>
        <v>Normal</v>
      </c>
      <c r="F358" s="7" t="n">
        <f aca="false">'Raw Data'!K358</f>
        <v>212.5</v>
      </c>
      <c r="G358" s="7" t="str">
        <f aca="false">'Raw Data'!L358</f>
        <v>Yes</v>
      </c>
      <c r="H358" s="7" t="str">
        <f aca="false">'Raw Data'!M358</f>
        <v>Moderate</v>
      </c>
      <c r="I358" s="7" t="n">
        <f aca="false">(IF(D358="Current",3,IF(D358="Former",1,0)))+(IF(E358="High",3,IF(E358="Normal",1,0)))+(IF(F358&gt;=240,2,IF(F358&gt;=200,1,0)))+(IF(G358="Yes",2,0))+(IF(H358="High",2,IF(H358="Moderate",1,0)))</f>
        <v>5</v>
      </c>
      <c r="J358" s="7" t="str">
        <f aca="false">IF(I358&gt;=8,"High",IF(I358&gt;=4,"Medium","Low"))</f>
        <v>Medium</v>
      </c>
    </row>
    <row r="359" customFormat="false" ht="15" hidden="false" customHeight="true" outlineLevel="0" collapsed="false">
      <c r="A359" s="7" t="n">
        <f aca="false">'Raw Data'!A359</f>
        <v>2001</v>
      </c>
      <c r="B359" s="7" t="n">
        <f aca="false">'Raw Data'!B359</f>
        <v>39</v>
      </c>
      <c r="C359" s="7" t="str">
        <f aca="false">'Raw Data'!C359</f>
        <v>Male</v>
      </c>
      <c r="D359" s="7" t="str">
        <f aca="false">'Raw Data'!D359</f>
        <v>Never</v>
      </c>
      <c r="E359" s="7" t="str">
        <f aca="false">'Raw Data'!J359</f>
        <v>Normal</v>
      </c>
      <c r="F359" s="7" t="n">
        <f aca="false">'Raw Data'!K359</f>
        <v>256.3</v>
      </c>
      <c r="G359" s="7" t="str">
        <f aca="false">'Raw Data'!L359</f>
        <v>Yes</v>
      </c>
      <c r="H359" s="7" t="str">
        <f aca="false">'Raw Data'!M359</f>
        <v>Moderate</v>
      </c>
      <c r="I359" s="7" t="n">
        <f aca="false">(IF(D359="Current",3,IF(D359="Former",1,0)))+(IF(E359="High",3,IF(E359="Normal",1,0)))+(IF(F359&gt;=240,2,IF(F359&gt;=200,1,0)))+(IF(G359="Yes",2,0))+(IF(H359="High",2,IF(H359="Moderate",1,0)))</f>
        <v>6</v>
      </c>
      <c r="J359" s="7" t="str">
        <f aca="false">IF(I359&gt;=8,"High",IF(I359&gt;=4,"Medium","Low"))</f>
        <v>Medium</v>
      </c>
    </row>
    <row r="360" customFormat="false" ht="15" hidden="false" customHeight="true" outlineLevel="0" collapsed="false">
      <c r="A360" s="7" t="n">
        <f aca="false">'Raw Data'!A360</f>
        <v>2090</v>
      </c>
      <c r="B360" s="7" t="n">
        <f aca="false">'Raw Data'!B360</f>
        <v>33</v>
      </c>
      <c r="C360" s="7" t="str">
        <f aca="false">'Raw Data'!C360</f>
        <v>Male</v>
      </c>
      <c r="D360" s="7" t="str">
        <f aca="false">'Raw Data'!D360</f>
        <v>Never</v>
      </c>
      <c r="E360" s="7" t="str">
        <f aca="false">'Raw Data'!J360</f>
        <v>Normal</v>
      </c>
      <c r="F360" s="7" t="n">
        <f aca="false">'Raw Data'!K360</f>
        <v>198.1</v>
      </c>
      <c r="G360" s="7" t="str">
        <f aca="false">'Raw Data'!L360</f>
        <v>Yes</v>
      </c>
      <c r="H360" s="7" t="str">
        <f aca="false">'Raw Data'!M360</f>
        <v>Moderate</v>
      </c>
      <c r="I360" s="7" t="n">
        <f aca="false">(IF(D360="Current",3,IF(D360="Former",1,0)))+(IF(E360="High",3,IF(E360="Normal",1,0)))+(IF(F360&gt;=240,2,IF(F360&gt;=200,1,0)))+(IF(G360="Yes",2,0))+(IF(H360="High",2,IF(H360="Moderate",1,0)))</f>
        <v>4</v>
      </c>
      <c r="J360" s="7" t="str">
        <f aca="false">IF(I360&gt;=8,"High",IF(I360&gt;=4,"Medium","Low"))</f>
        <v>Medium</v>
      </c>
    </row>
    <row r="361" customFormat="false" ht="15" hidden="false" customHeight="true" outlineLevel="0" collapsed="false">
      <c r="A361" s="7" t="n">
        <f aca="false">'Raw Data'!A361</f>
        <v>2111</v>
      </c>
      <c r="B361" s="7" t="n">
        <f aca="false">'Raw Data'!B361</f>
        <v>70</v>
      </c>
      <c r="C361" s="7" t="str">
        <f aca="false">'Raw Data'!C361</f>
        <v>Female</v>
      </c>
      <c r="D361" s="7" t="str">
        <f aca="false">'Raw Data'!D361</f>
        <v>Never</v>
      </c>
      <c r="E361" s="7" t="str">
        <f aca="false">'Raw Data'!J361</f>
        <v>Normal</v>
      </c>
      <c r="F361" s="7" t="n">
        <f aca="false">'Raw Data'!K361</f>
        <v>194</v>
      </c>
      <c r="G361" s="7" t="str">
        <f aca="false">'Raw Data'!L361</f>
        <v>Yes</v>
      </c>
      <c r="H361" s="7" t="str">
        <f aca="false">'Raw Data'!M361</f>
        <v>Moderate</v>
      </c>
      <c r="I361" s="7" t="n">
        <f aca="false">(IF(D361="Current",3,IF(D361="Former",1,0)))+(IF(E361="High",3,IF(E361="Normal",1,0)))+(IF(F361&gt;=240,2,IF(F361&gt;=200,1,0)))+(IF(G361="Yes",2,0))+(IF(H361="High",2,IF(H361="Moderate",1,0)))</f>
        <v>4</v>
      </c>
      <c r="J361" s="7" t="str">
        <f aca="false">IF(I361&gt;=8,"High",IF(I361&gt;=4,"Medium","Low"))</f>
        <v>Medium</v>
      </c>
    </row>
    <row r="362" customFormat="false" ht="15" hidden="false" customHeight="true" outlineLevel="0" collapsed="false">
      <c r="A362" s="7" t="n">
        <f aca="false">'Raw Data'!A362</f>
        <v>2157</v>
      </c>
      <c r="B362" s="7" t="n">
        <f aca="false">'Raw Data'!B362</f>
        <v>83</v>
      </c>
      <c r="C362" s="7" t="str">
        <f aca="false">'Raw Data'!C362</f>
        <v>Female</v>
      </c>
      <c r="D362" s="7" t="str">
        <f aca="false">'Raw Data'!D362</f>
        <v>Never</v>
      </c>
      <c r="E362" s="7" t="str">
        <f aca="false">'Raw Data'!J362</f>
        <v>Normal</v>
      </c>
      <c r="F362" s="7" t="n">
        <f aca="false">'Raw Data'!K362</f>
        <v>262.5</v>
      </c>
      <c r="G362" s="7" t="str">
        <f aca="false">'Raw Data'!L362</f>
        <v>Yes</v>
      </c>
      <c r="H362" s="7" t="str">
        <f aca="false">'Raw Data'!M362</f>
        <v>Moderate</v>
      </c>
      <c r="I362" s="7" t="n">
        <f aca="false">(IF(D362="Current",3,IF(D362="Former",1,0)))+(IF(E362="High",3,IF(E362="Normal",1,0)))+(IF(F362&gt;=240,2,IF(F362&gt;=200,1,0)))+(IF(G362="Yes",2,0))+(IF(H362="High",2,IF(H362="Moderate",1,0)))</f>
        <v>6</v>
      </c>
      <c r="J362" s="7" t="str">
        <f aca="false">IF(I362&gt;=8,"High",IF(I362&gt;=4,"Medium","Low"))</f>
        <v>Medium</v>
      </c>
    </row>
    <row r="363" customFormat="false" ht="15" hidden="false" customHeight="true" outlineLevel="0" collapsed="false">
      <c r="A363" s="7" t="n">
        <f aca="false">'Raw Data'!A363</f>
        <v>2192</v>
      </c>
      <c r="B363" s="7" t="n">
        <f aca="false">'Raw Data'!B363</f>
        <v>78</v>
      </c>
      <c r="C363" s="7" t="str">
        <f aca="false">'Raw Data'!C363</f>
        <v>Male</v>
      </c>
      <c r="D363" s="7" t="str">
        <f aca="false">'Raw Data'!D363</f>
        <v>Never</v>
      </c>
      <c r="E363" s="7" t="str">
        <f aca="false">'Raw Data'!J363</f>
        <v>Normal</v>
      </c>
      <c r="F363" s="7" t="n">
        <f aca="false">'Raw Data'!K363</f>
        <v>272.5</v>
      </c>
      <c r="G363" s="7" t="str">
        <f aca="false">'Raw Data'!L363</f>
        <v>Yes</v>
      </c>
      <c r="H363" s="7" t="str">
        <f aca="false">'Raw Data'!M363</f>
        <v>Moderate</v>
      </c>
      <c r="I363" s="7" t="n">
        <f aca="false">(IF(D363="Current",3,IF(D363="Former",1,0)))+(IF(E363="High",3,IF(E363="Normal",1,0)))+(IF(F363&gt;=240,2,IF(F363&gt;=200,1,0)))+(IF(G363="Yes",2,0))+(IF(H363="High",2,IF(H363="Moderate",1,0)))</f>
        <v>6</v>
      </c>
      <c r="J363" s="7" t="str">
        <f aca="false">IF(I363&gt;=8,"High",IF(I363&gt;=4,"Medium","Low"))</f>
        <v>Medium</v>
      </c>
    </row>
    <row r="364" customFormat="false" ht="15" hidden="false" customHeight="true" outlineLevel="0" collapsed="false">
      <c r="A364" s="7" t="n">
        <f aca="false">'Raw Data'!A364</f>
        <v>2203</v>
      </c>
      <c r="B364" s="7" t="n">
        <f aca="false">'Raw Data'!B364</f>
        <v>74</v>
      </c>
      <c r="C364" s="7" t="str">
        <f aca="false">'Raw Data'!C364</f>
        <v>Female</v>
      </c>
      <c r="D364" s="7" t="str">
        <f aca="false">'Raw Data'!D364</f>
        <v>Never</v>
      </c>
      <c r="E364" s="7" t="str">
        <f aca="false">'Raw Data'!J364</f>
        <v>Normal</v>
      </c>
      <c r="F364" s="7" t="n">
        <f aca="false">'Raw Data'!K364</f>
        <v>207.9</v>
      </c>
      <c r="G364" s="7" t="str">
        <f aca="false">'Raw Data'!L364</f>
        <v>Yes</v>
      </c>
      <c r="H364" s="7" t="str">
        <f aca="false">'Raw Data'!M364</f>
        <v>Moderate</v>
      </c>
      <c r="I364" s="7" t="n">
        <f aca="false">(IF(D364="Current",3,IF(D364="Former",1,0)))+(IF(E364="High",3,IF(E364="Normal",1,0)))+(IF(F364&gt;=240,2,IF(F364&gt;=200,1,0)))+(IF(G364="Yes",2,0))+(IF(H364="High",2,IF(H364="Moderate",1,0)))</f>
        <v>5</v>
      </c>
      <c r="J364" s="7" t="str">
        <f aca="false">IF(I364&gt;=8,"High",IF(I364&gt;=4,"Medium","Low"))</f>
        <v>Medium</v>
      </c>
    </row>
    <row r="365" customFormat="false" ht="15" hidden="false" customHeight="true" outlineLevel="0" collapsed="false">
      <c r="A365" s="7" t="n">
        <f aca="false">'Raw Data'!A365</f>
        <v>2305</v>
      </c>
      <c r="B365" s="7" t="n">
        <f aca="false">'Raw Data'!B365</f>
        <v>57</v>
      </c>
      <c r="C365" s="7" t="str">
        <f aca="false">'Raw Data'!C365</f>
        <v>Female</v>
      </c>
      <c r="D365" s="7" t="str">
        <f aca="false">'Raw Data'!D365</f>
        <v>Never</v>
      </c>
      <c r="E365" s="7" t="str">
        <f aca="false">'Raw Data'!J365</f>
        <v>Normal</v>
      </c>
      <c r="F365" s="7" t="n">
        <f aca="false">'Raw Data'!K365</f>
        <v>159.1</v>
      </c>
      <c r="G365" s="7" t="str">
        <f aca="false">'Raw Data'!L365</f>
        <v>Yes</v>
      </c>
      <c r="H365" s="7" t="str">
        <f aca="false">'Raw Data'!M365</f>
        <v>Moderate</v>
      </c>
      <c r="I365" s="7" t="n">
        <f aca="false">(IF(D365="Current",3,IF(D365="Former",1,0)))+(IF(E365="High",3,IF(E365="Normal",1,0)))+(IF(F365&gt;=240,2,IF(F365&gt;=200,1,0)))+(IF(G365="Yes",2,0))+(IF(H365="High",2,IF(H365="Moderate",1,0)))</f>
        <v>4</v>
      </c>
      <c r="J365" s="7" t="str">
        <f aca="false">IF(I365&gt;=8,"High",IF(I365&gt;=4,"Medium","Low"))</f>
        <v>Medium</v>
      </c>
    </row>
    <row r="366" customFormat="false" ht="15" hidden="false" customHeight="true" outlineLevel="0" collapsed="false">
      <c r="A366" s="7" t="n">
        <f aca="false">'Raw Data'!A366</f>
        <v>2322</v>
      </c>
      <c r="B366" s="7" t="n">
        <f aca="false">'Raw Data'!B366</f>
        <v>38</v>
      </c>
      <c r="C366" s="7" t="str">
        <f aca="false">'Raw Data'!C366</f>
        <v>Female</v>
      </c>
      <c r="D366" s="7" t="str">
        <f aca="false">'Raw Data'!D366</f>
        <v>Never</v>
      </c>
      <c r="E366" s="7" t="str">
        <f aca="false">'Raw Data'!J366</f>
        <v>Normal</v>
      </c>
      <c r="F366" s="7" t="n">
        <f aca="false">'Raw Data'!K366</f>
        <v>245.9</v>
      </c>
      <c r="G366" s="7" t="str">
        <f aca="false">'Raw Data'!L366</f>
        <v>Yes</v>
      </c>
      <c r="H366" s="7" t="str">
        <f aca="false">'Raw Data'!M366</f>
        <v>Moderate</v>
      </c>
      <c r="I366" s="7" t="n">
        <f aca="false">(IF(D366="Current",3,IF(D366="Former",1,0)))+(IF(E366="High",3,IF(E366="Normal",1,0)))+(IF(F366&gt;=240,2,IF(F366&gt;=200,1,0)))+(IF(G366="Yes",2,0))+(IF(H366="High",2,IF(H366="Moderate",1,0)))</f>
        <v>6</v>
      </c>
      <c r="J366" s="7" t="str">
        <f aca="false">IF(I366&gt;=8,"High",IF(I366&gt;=4,"Medium","Low"))</f>
        <v>Medium</v>
      </c>
    </row>
    <row r="367" customFormat="false" ht="15" hidden="false" customHeight="true" outlineLevel="0" collapsed="false">
      <c r="A367" s="7" t="n">
        <f aca="false">'Raw Data'!A367</f>
        <v>2331</v>
      </c>
      <c r="B367" s="7" t="n">
        <f aca="false">'Raw Data'!B367</f>
        <v>18</v>
      </c>
      <c r="C367" s="7" t="str">
        <f aca="false">'Raw Data'!C367</f>
        <v>Female</v>
      </c>
      <c r="D367" s="7" t="str">
        <f aca="false">'Raw Data'!D367</f>
        <v>Never</v>
      </c>
      <c r="E367" s="7" t="str">
        <f aca="false">'Raw Data'!J367</f>
        <v>Normal</v>
      </c>
      <c r="F367" s="7" t="n">
        <f aca="false">'Raw Data'!K367</f>
        <v>217.8</v>
      </c>
      <c r="G367" s="7" t="str">
        <f aca="false">'Raw Data'!L367</f>
        <v>Yes</v>
      </c>
      <c r="H367" s="7" t="str">
        <f aca="false">'Raw Data'!M367</f>
        <v>Moderate</v>
      </c>
      <c r="I367" s="7" t="n">
        <f aca="false">(IF(D367="Current",3,IF(D367="Former",1,0)))+(IF(E367="High",3,IF(E367="Normal",1,0)))+(IF(F367&gt;=240,2,IF(F367&gt;=200,1,0)))+(IF(G367="Yes",2,0))+(IF(H367="High",2,IF(H367="Moderate",1,0)))</f>
        <v>5</v>
      </c>
      <c r="J367" s="7" t="str">
        <f aca="false">IF(I367&gt;=8,"High",IF(I367&gt;=4,"Medium","Low"))</f>
        <v>Medium</v>
      </c>
    </row>
    <row r="368" customFormat="false" ht="15" hidden="false" customHeight="true" outlineLevel="0" collapsed="false">
      <c r="A368" s="7" t="n">
        <f aca="false">'Raw Data'!A368</f>
        <v>2345</v>
      </c>
      <c r="B368" s="7" t="n">
        <f aca="false">'Raw Data'!B368</f>
        <v>76</v>
      </c>
      <c r="C368" s="7" t="str">
        <f aca="false">'Raw Data'!C368</f>
        <v>Female</v>
      </c>
      <c r="D368" s="7" t="str">
        <f aca="false">'Raw Data'!D368</f>
        <v>Never</v>
      </c>
      <c r="E368" s="7" t="str">
        <f aca="false">'Raw Data'!J368</f>
        <v>Normal</v>
      </c>
      <c r="F368" s="7" t="n">
        <f aca="false">'Raw Data'!K368</f>
        <v>267.2</v>
      </c>
      <c r="G368" s="7" t="str">
        <f aca="false">'Raw Data'!L368</f>
        <v>Yes</v>
      </c>
      <c r="H368" s="7" t="str">
        <f aca="false">'Raw Data'!M368</f>
        <v>Moderate</v>
      </c>
      <c r="I368" s="7" t="n">
        <f aca="false">(IF(D368="Current",3,IF(D368="Former",1,0)))+(IF(E368="High",3,IF(E368="Normal",1,0)))+(IF(F368&gt;=240,2,IF(F368&gt;=200,1,0)))+(IF(G368="Yes",2,0))+(IF(H368="High",2,IF(H368="Moderate",1,0)))</f>
        <v>6</v>
      </c>
      <c r="J368" s="7" t="str">
        <f aca="false">IF(I368&gt;=8,"High",IF(I368&gt;=4,"Medium","Low"))</f>
        <v>Medium</v>
      </c>
    </row>
    <row r="369" customFormat="false" ht="15" hidden="false" customHeight="true" outlineLevel="0" collapsed="false">
      <c r="A369" s="7" t="n">
        <f aca="false">'Raw Data'!A369</f>
        <v>2392</v>
      </c>
      <c r="B369" s="7" t="n">
        <f aca="false">'Raw Data'!B369</f>
        <v>38</v>
      </c>
      <c r="C369" s="7" t="str">
        <f aca="false">'Raw Data'!C369</f>
        <v>Male</v>
      </c>
      <c r="D369" s="7" t="str">
        <f aca="false">'Raw Data'!D369</f>
        <v>Never</v>
      </c>
      <c r="E369" s="7" t="str">
        <f aca="false">'Raw Data'!J369</f>
        <v>Normal</v>
      </c>
      <c r="F369" s="7" t="n">
        <f aca="false">'Raw Data'!K369</f>
        <v>170.8</v>
      </c>
      <c r="G369" s="7" t="str">
        <f aca="false">'Raw Data'!L369</f>
        <v>Yes</v>
      </c>
      <c r="H369" s="7" t="str">
        <f aca="false">'Raw Data'!M369</f>
        <v>Moderate</v>
      </c>
      <c r="I369" s="7" t="n">
        <f aca="false">(IF(D369="Current",3,IF(D369="Former",1,0)))+(IF(E369="High",3,IF(E369="Normal",1,0)))+(IF(F369&gt;=240,2,IF(F369&gt;=200,1,0)))+(IF(G369="Yes",2,0))+(IF(H369="High",2,IF(H369="Moderate",1,0)))</f>
        <v>4</v>
      </c>
      <c r="J369" s="7" t="str">
        <f aca="false">IF(I369&gt;=8,"High",IF(I369&gt;=4,"Medium","Low"))</f>
        <v>Medium</v>
      </c>
    </row>
    <row r="370" customFormat="false" ht="15" hidden="false" customHeight="true" outlineLevel="0" collapsed="false">
      <c r="A370" s="7" t="n">
        <f aca="false">'Raw Data'!A370</f>
        <v>2398</v>
      </c>
      <c r="B370" s="7" t="n">
        <f aca="false">'Raw Data'!B370</f>
        <v>61</v>
      </c>
      <c r="C370" s="7" t="str">
        <f aca="false">'Raw Data'!C370</f>
        <v>Female</v>
      </c>
      <c r="D370" s="7" t="str">
        <f aca="false">'Raw Data'!D370</f>
        <v>Never</v>
      </c>
      <c r="E370" s="7" t="str">
        <f aca="false">'Raw Data'!J370</f>
        <v>Normal</v>
      </c>
      <c r="F370" s="7" t="n">
        <f aca="false">'Raw Data'!K370</f>
        <v>277.7</v>
      </c>
      <c r="G370" s="7" t="str">
        <f aca="false">'Raw Data'!L370</f>
        <v>Yes</v>
      </c>
      <c r="H370" s="7" t="str">
        <f aca="false">'Raw Data'!M370</f>
        <v>Moderate</v>
      </c>
      <c r="I370" s="7" t="n">
        <f aca="false">(IF(D370="Current",3,IF(D370="Former",1,0)))+(IF(E370="High",3,IF(E370="Normal",1,0)))+(IF(F370&gt;=240,2,IF(F370&gt;=200,1,0)))+(IF(G370="Yes",2,0))+(IF(H370="High",2,IF(H370="Moderate",1,0)))</f>
        <v>6</v>
      </c>
      <c r="J370" s="7" t="str">
        <f aca="false">IF(I370&gt;=8,"High",IF(I370&gt;=4,"Medium","Low"))</f>
        <v>Medium</v>
      </c>
    </row>
    <row r="371" customFormat="false" ht="15" hidden="false" customHeight="true" outlineLevel="0" collapsed="false">
      <c r="A371" s="7" t="n">
        <f aca="false">'Raw Data'!A371</f>
        <v>2464</v>
      </c>
      <c r="B371" s="7" t="n">
        <f aca="false">'Raw Data'!B371</f>
        <v>55</v>
      </c>
      <c r="C371" s="7" t="str">
        <f aca="false">'Raw Data'!C371</f>
        <v>Male</v>
      </c>
      <c r="D371" s="7" t="str">
        <f aca="false">'Raw Data'!D371</f>
        <v>Never</v>
      </c>
      <c r="E371" s="7" t="str">
        <f aca="false">'Raw Data'!J371</f>
        <v>Normal</v>
      </c>
      <c r="F371" s="7" t="n">
        <f aca="false">'Raw Data'!K371</f>
        <v>152</v>
      </c>
      <c r="G371" s="7" t="str">
        <f aca="false">'Raw Data'!L371</f>
        <v>Yes</v>
      </c>
      <c r="H371" s="7" t="str">
        <f aca="false">'Raw Data'!M371</f>
        <v>Moderate</v>
      </c>
      <c r="I371" s="7" t="n">
        <f aca="false">(IF(D371="Current",3,IF(D371="Former",1,0)))+(IF(E371="High",3,IF(E371="Normal",1,0)))+(IF(F371&gt;=240,2,IF(F371&gt;=200,1,0)))+(IF(G371="Yes",2,0))+(IF(H371="High",2,IF(H371="Moderate",1,0)))</f>
        <v>4</v>
      </c>
      <c r="J371" s="7" t="str">
        <f aca="false">IF(I371&gt;=8,"High",IF(I371&gt;=4,"Medium","Low"))</f>
        <v>Medium</v>
      </c>
    </row>
    <row r="372" customFormat="false" ht="15" hidden="false" customHeight="true" outlineLevel="0" collapsed="false">
      <c r="A372" s="7" t="n">
        <f aca="false">'Raw Data'!A372</f>
        <v>2472</v>
      </c>
      <c r="B372" s="7" t="n">
        <f aca="false">'Raw Data'!B372</f>
        <v>40</v>
      </c>
      <c r="C372" s="7" t="str">
        <f aca="false">'Raw Data'!C372</f>
        <v>Male</v>
      </c>
      <c r="D372" s="7" t="str">
        <f aca="false">'Raw Data'!D372</f>
        <v>Never</v>
      </c>
      <c r="E372" s="7" t="str">
        <f aca="false">'Raw Data'!J372</f>
        <v>Normal</v>
      </c>
      <c r="F372" s="7" t="n">
        <f aca="false">'Raw Data'!K372</f>
        <v>295.8</v>
      </c>
      <c r="G372" s="7" t="str">
        <f aca="false">'Raw Data'!L372</f>
        <v>Yes</v>
      </c>
      <c r="H372" s="7" t="str">
        <f aca="false">'Raw Data'!M372</f>
        <v>Moderate</v>
      </c>
      <c r="I372" s="7" t="n">
        <f aca="false">(IF(D372="Current",3,IF(D372="Former",1,0)))+(IF(E372="High",3,IF(E372="Normal",1,0)))+(IF(F372&gt;=240,2,IF(F372&gt;=200,1,0)))+(IF(G372="Yes",2,0))+(IF(H372="High",2,IF(H372="Moderate",1,0)))</f>
        <v>6</v>
      </c>
      <c r="J372" s="7" t="str">
        <f aca="false">IF(I372&gt;=8,"High",IF(I372&gt;=4,"Medium","Low"))</f>
        <v>Medium</v>
      </c>
    </row>
    <row r="373" customFormat="false" ht="15" hidden="false" customHeight="true" outlineLevel="0" collapsed="false">
      <c r="A373" s="7" t="n">
        <f aca="false">'Raw Data'!A373</f>
        <v>4</v>
      </c>
      <c r="B373" s="7" t="n">
        <f aca="false">'Raw Data'!B373</f>
        <v>77</v>
      </c>
      <c r="C373" s="7" t="str">
        <f aca="false">'Raw Data'!C373</f>
        <v>Female</v>
      </c>
      <c r="D373" s="7" t="str">
        <f aca="false">'Raw Data'!D373</f>
        <v>Never</v>
      </c>
      <c r="E373" s="7" t="str">
        <f aca="false">'Raw Data'!J373</f>
        <v>Normal</v>
      </c>
      <c r="F373" s="7" t="n">
        <f aca="false">'Raw Data'!K373</f>
        <v>163.4</v>
      </c>
      <c r="G373" s="7" t="str">
        <f aca="false">'Raw Data'!L373</f>
        <v>No</v>
      </c>
      <c r="H373" s="7" t="str">
        <f aca="false">'Raw Data'!M373</f>
        <v>Moderate</v>
      </c>
      <c r="I373" s="7" t="n">
        <f aca="false">(IF(D373="Current",3,IF(D373="Former",1,0)))+(IF(E373="High",3,IF(E373="Normal",1,0)))+(IF(F373&gt;=240,2,IF(F373&gt;=200,1,0)))+(IF(G373="Yes",2,0))+(IF(H373="High",2,IF(H373="Moderate",1,0)))</f>
        <v>2</v>
      </c>
      <c r="J373" s="7" t="str">
        <f aca="false">IF(I373&gt;=8,"High",IF(I373&gt;=4,"Medium","Low"))</f>
        <v>Low</v>
      </c>
    </row>
    <row r="374" customFormat="false" ht="15" hidden="false" customHeight="true" outlineLevel="0" collapsed="false">
      <c r="A374" s="7" t="n">
        <f aca="false">'Raw Data'!A374</f>
        <v>25</v>
      </c>
      <c r="B374" s="7" t="n">
        <f aca="false">'Raw Data'!B374</f>
        <v>61</v>
      </c>
      <c r="C374" s="7" t="str">
        <f aca="false">'Raw Data'!C374</f>
        <v>Female</v>
      </c>
      <c r="D374" s="7" t="str">
        <f aca="false">'Raw Data'!D374</f>
        <v>Never</v>
      </c>
      <c r="E374" s="7" t="str">
        <f aca="false">'Raw Data'!J374</f>
        <v>Normal</v>
      </c>
      <c r="F374" s="7" t="n">
        <f aca="false">'Raw Data'!K374</f>
        <v>291.6</v>
      </c>
      <c r="G374" s="7" t="str">
        <f aca="false">'Raw Data'!L374</f>
        <v>No</v>
      </c>
      <c r="H374" s="7" t="str">
        <f aca="false">'Raw Data'!M374</f>
        <v>Moderate</v>
      </c>
      <c r="I374" s="7" t="n">
        <f aca="false">(IF(D374="Current",3,IF(D374="Former",1,0)))+(IF(E374="High",3,IF(E374="Normal",1,0)))+(IF(F374&gt;=240,2,IF(F374&gt;=200,1,0)))+(IF(G374="Yes",2,0))+(IF(H374="High",2,IF(H374="Moderate",1,0)))</f>
        <v>4</v>
      </c>
      <c r="J374" s="7" t="str">
        <f aca="false">IF(I374&gt;=8,"High",IF(I374&gt;=4,"Medium","Low"))</f>
        <v>Medium</v>
      </c>
    </row>
    <row r="375" customFormat="false" ht="15" hidden="false" customHeight="true" outlineLevel="0" collapsed="false">
      <c r="A375" s="7" t="n">
        <f aca="false">'Raw Data'!A375</f>
        <v>35</v>
      </c>
      <c r="B375" s="7" t="n">
        <f aca="false">'Raw Data'!B375</f>
        <v>40</v>
      </c>
      <c r="C375" s="7" t="str">
        <f aca="false">'Raw Data'!C375</f>
        <v>Female</v>
      </c>
      <c r="D375" s="7" t="str">
        <f aca="false">'Raw Data'!D375</f>
        <v>Never</v>
      </c>
      <c r="E375" s="7" t="str">
        <f aca="false">'Raw Data'!J375</f>
        <v>Normal</v>
      </c>
      <c r="F375" s="7" t="n">
        <f aca="false">'Raw Data'!K375</f>
        <v>122.8</v>
      </c>
      <c r="G375" s="7" t="str">
        <f aca="false">'Raw Data'!L375</f>
        <v>No</v>
      </c>
      <c r="H375" s="7" t="str">
        <f aca="false">'Raw Data'!M375</f>
        <v>Moderate</v>
      </c>
      <c r="I375" s="7" t="n">
        <f aca="false">(IF(D375="Current",3,IF(D375="Former",1,0)))+(IF(E375="High",3,IF(E375="Normal",1,0)))+(IF(F375&gt;=240,2,IF(F375&gt;=200,1,0)))+(IF(G375="Yes",2,0))+(IF(H375="High",2,IF(H375="Moderate",1,0)))</f>
        <v>2</v>
      </c>
      <c r="J375" s="7" t="str">
        <f aca="false">IF(I375&gt;=8,"High",IF(I375&gt;=4,"Medium","Low"))</f>
        <v>Low</v>
      </c>
    </row>
    <row r="376" customFormat="false" ht="15" hidden="false" customHeight="true" outlineLevel="0" collapsed="false">
      <c r="A376" s="7" t="n">
        <f aca="false">'Raw Data'!A376</f>
        <v>46</v>
      </c>
      <c r="B376" s="7" t="n">
        <f aca="false">'Raw Data'!B376</f>
        <v>36</v>
      </c>
      <c r="C376" s="7" t="str">
        <f aca="false">'Raw Data'!C376</f>
        <v>Male</v>
      </c>
      <c r="D376" s="7" t="str">
        <f aca="false">'Raw Data'!D376</f>
        <v>Never</v>
      </c>
      <c r="E376" s="7" t="str">
        <f aca="false">'Raw Data'!J376</f>
        <v>Normal</v>
      </c>
      <c r="F376" s="7" t="n">
        <f aca="false">'Raw Data'!K376</f>
        <v>253.4</v>
      </c>
      <c r="G376" s="7" t="str">
        <f aca="false">'Raw Data'!L376</f>
        <v>No</v>
      </c>
      <c r="H376" s="7" t="str">
        <f aca="false">'Raw Data'!M376</f>
        <v>Moderate</v>
      </c>
      <c r="I376" s="7" t="n">
        <f aca="false">(IF(D376="Current",3,IF(D376="Former",1,0)))+(IF(E376="High",3,IF(E376="Normal",1,0)))+(IF(F376&gt;=240,2,IF(F376&gt;=200,1,0)))+(IF(G376="Yes",2,0))+(IF(H376="High",2,IF(H376="Moderate",1,0)))</f>
        <v>4</v>
      </c>
      <c r="J376" s="7" t="str">
        <f aca="false">IF(I376&gt;=8,"High",IF(I376&gt;=4,"Medium","Low"))</f>
        <v>Medium</v>
      </c>
    </row>
    <row r="377" customFormat="false" ht="15" hidden="false" customHeight="true" outlineLevel="0" collapsed="false">
      <c r="A377" s="7" t="n">
        <f aca="false">'Raw Data'!A377</f>
        <v>48</v>
      </c>
      <c r="B377" s="7" t="n">
        <f aca="false">'Raw Data'!B377</f>
        <v>38</v>
      </c>
      <c r="C377" s="7" t="str">
        <f aca="false">'Raw Data'!C377</f>
        <v>Female</v>
      </c>
      <c r="D377" s="7" t="str">
        <f aca="false">'Raw Data'!D377</f>
        <v>Never</v>
      </c>
      <c r="E377" s="7" t="str">
        <f aca="false">'Raw Data'!J377</f>
        <v>Normal</v>
      </c>
      <c r="F377" s="7" t="n">
        <f aca="false">'Raw Data'!K377</f>
        <v>294.5</v>
      </c>
      <c r="G377" s="7" t="str">
        <f aca="false">'Raw Data'!L377</f>
        <v>No</v>
      </c>
      <c r="H377" s="7" t="str">
        <f aca="false">'Raw Data'!M377</f>
        <v>Moderate</v>
      </c>
      <c r="I377" s="7" t="n">
        <f aca="false">(IF(D377="Current",3,IF(D377="Former",1,0)))+(IF(E377="High",3,IF(E377="Normal",1,0)))+(IF(F377&gt;=240,2,IF(F377&gt;=200,1,0)))+(IF(G377="Yes",2,0))+(IF(H377="High",2,IF(H377="Moderate",1,0)))</f>
        <v>4</v>
      </c>
      <c r="J377" s="7" t="str">
        <f aca="false">IF(I377&gt;=8,"High",IF(I377&gt;=4,"Medium","Low"))</f>
        <v>Medium</v>
      </c>
    </row>
    <row r="378" customFormat="false" ht="15" hidden="false" customHeight="true" outlineLevel="0" collapsed="false">
      <c r="A378" s="7" t="n">
        <f aca="false">'Raw Data'!A378</f>
        <v>65</v>
      </c>
      <c r="B378" s="7" t="n">
        <f aca="false">'Raw Data'!B378</f>
        <v>30</v>
      </c>
      <c r="C378" s="7" t="str">
        <f aca="false">'Raw Data'!C378</f>
        <v>Female</v>
      </c>
      <c r="D378" s="7" t="str">
        <f aca="false">'Raw Data'!D378</f>
        <v>Never</v>
      </c>
      <c r="E378" s="7" t="str">
        <f aca="false">'Raw Data'!J378</f>
        <v>Normal</v>
      </c>
      <c r="F378" s="7" t="n">
        <f aca="false">'Raw Data'!K378</f>
        <v>135.6</v>
      </c>
      <c r="G378" s="7" t="str">
        <f aca="false">'Raw Data'!L378</f>
        <v>No</v>
      </c>
      <c r="H378" s="7" t="str">
        <f aca="false">'Raw Data'!M378</f>
        <v>Moderate</v>
      </c>
      <c r="I378" s="7" t="n">
        <f aca="false">(IF(D378="Current",3,IF(D378="Former",1,0)))+(IF(E378="High",3,IF(E378="Normal",1,0)))+(IF(F378&gt;=240,2,IF(F378&gt;=200,1,0)))+(IF(G378="Yes",2,0))+(IF(H378="High",2,IF(H378="Moderate",1,0)))</f>
        <v>2</v>
      </c>
      <c r="J378" s="7" t="str">
        <f aca="false">IF(I378&gt;=8,"High",IF(I378&gt;=4,"Medium","Low"))</f>
        <v>Low</v>
      </c>
    </row>
    <row r="379" customFormat="false" ht="15" hidden="false" customHeight="true" outlineLevel="0" collapsed="false">
      <c r="A379" s="7" t="n">
        <f aca="false">'Raw Data'!A379</f>
        <v>74</v>
      </c>
      <c r="B379" s="7" t="n">
        <f aca="false">'Raw Data'!B379</f>
        <v>59</v>
      </c>
      <c r="C379" s="7" t="str">
        <f aca="false">'Raw Data'!C379</f>
        <v>Male</v>
      </c>
      <c r="D379" s="7" t="str">
        <f aca="false">'Raw Data'!D379</f>
        <v>Never</v>
      </c>
      <c r="E379" s="7" t="str">
        <f aca="false">'Raw Data'!J379</f>
        <v>Normal</v>
      </c>
      <c r="F379" s="7" t="n">
        <f aca="false">'Raw Data'!K379</f>
        <v>203.3</v>
      </c>
      <c r="G379" s="7" t="str">
        <f aca="false">'Raw Data'!L379</f>
        <v>No</v>
      </c>
      <c r="H379" s="7" t="str">
        <f aca="false">'Raw Data'!M379</f>
        <v>Moderate</v>
      </c>
      <c r="I379" s="7" t="n">
        <f aca="false">(IF(D379="Current",3,IF(D379="Former",1,0)))+(IF(E379="High",3,IF(E379="Normal",1,0)))+(IF(F379&gt;=240,2,IF(F379&gt;=200,1,0)))+(IF(G379="Yes",2,0))+(IF(H379="High",2,IF(H379="Moderate",1,0)))</f>
        <v>3</v>
      </c>
      <c r="J379" s="7" t="str">
        <f aca="false">IF(I379&gt;=8,"High",IF(I379&gt;=4,"Medium","Low"))</f>
        <v>Low</v>
      </c>
    </row>
    <row r="380" customFormat="false" ht="15" hidden="false" customHeight="true" outlineLevel="0" collapsed="false">
      <c r="A380" s="7" t="n">
        <f aca="false">'Raw Data'!A380</f>
        <v>76</v>
      </c>
      <c r="B380" s="7" t="n">
        <f aca="false">'Raw Data'!B380</f>
        <v>32</v>
      </c>
      <c r="C380" s="7" t="str">
        <f aca="false">'Raw Data'!C380</f>
        <v>Male</v>
      </c>
      <c r="D380" s="7" t="str">
        <f aca="false">'Raw Data'!D380</f>
        <v>Never</v>
      </c>
      <c r="E380" s="7" t="str">
        <f aca="false">'Raw Data'!J380</f>
        <v>Normal</v>
      </c>
      <c r="F380" s="7" t="n">
        <f aca="false">'Raw Data'!K380</f>
        <v>299.6</v>
      </c>
      <c r="G380" s="7" t="str">
        <f aca="false">'Raw Data'!L380</f>
        <v>No</v>
      </c>
      <c r="H380" s="7" t="str">
        <f aca="false">'Raw Data'!M380</f>
        <v>Moderate</v>
      </c>
      <c r="I380" s="7" t="n">
        <f aca="false">(IF(D380="Current",3,IF(D380="Former",1,0)))+(IF(E380="High",3,IF(E380="Normal",1,0)))+(IF(F380&gt;=240,2,IF(F380&gt;=200,1,0)))+(IF(G380="Yes",2,0))+(IF(H380="High",2,IF(H380="Moderate",1,0)))</f>
        <v>4</v>
      </c>
      <c r="J380" s="7" t="str">
        <f aca="false">IF(I380&gt;=8,"High",IF(I380&gt;=4,"Medium","Low"))</f>
        <v>Medium</v>
      </c>
    </row>
    <row r="381" customFormat="false" ht="15" hidden="false" customHeight="true" outlineLevel="0" collapsed="false">
      <c r="A381" s="7" t="n">
        <f aca="false">'Raw Data'!A381</f>
        <v>83</v>
      </c>
      <c r="B381" s="7" t="n">
        <f aca="false">'Raw Data'!B381</f>
        <v>80</v>
      </c>
      <c r="C381" s="7" t="str">
        <f aca="false">'Raw Data'!C381</f>
        <v>Female</v>
      </c>
      <c r="D381" s="7" t="str">
        <f aca="false">'Raw Data'!D381</f>
        <v>Never</v>
      </c>
      <c r="E381" s="7" t="str">
        <f aca="false">'Raw Data'!J381</f>
        <v>Normal</v>
      </c>
      <c r="F381" s="7" t="n">
        <f aca="false">'Raw Data'!K381</f>
        <v>206.6</v>
      </c>
      <c r="G381" s="7" t="str">
        <f aca="false">'Raw Data'!L381</f>
        <v>No</v>
      </c>
      <c r="H381" s="7" t="str">
        <f aca="false">'Raw Data'!M381</f>
        <v>Moderate</v>
      </c>
      <c r="I381" s="7" t="n">
        <f aca="false">(IF(D381="Current",3,IF(D381="Former",1,0)))+(IF(E381="High",3,IF(E381="Normal",1,0)))+(IF(F381&gt;=240,2,IF(F381&gt;=200,1,0)))+(IF(G381="Yes",2,0))+(IF(H381="High",2,IF(H381="Moderate",1,0)))</f>
        <v>3</v>
      </c>
      <c r="J381" s="7" t="str">
        <f aca="false">IF(I381&gt;=8,"High",IF(I381&gt;=4,"Medium","Low"))</f>
        <v>Low</v>
      </c>
    </row>
    <row r="382" customFormat="false" ht="15" hidden="false" customHeight="true" outlineLevel="0" collapsed="false">
      <c r="A382" s="7" t="n">
        <f aca="false">'Raw Data'!A382</f>
        <v>85</v>
      </c>
      <c r="B382" s="7" t="n">
        <f aca="false">'Raw Data'!B382</f>
        <v>66</v>
      </c>
      <c r="C382" s="7" t="str">
        <f aca="false">'Raw Data'!C382</f>
        <v>Male</v>
      </c>
      <c r="D382" s="7" t="str">
        <f aca="false">'Raw Data'!D382</f>
        <v>Never</v>
      </c>
      <c r="E382" s="7" t="str">
        <f aca="false">'Raw Data'!J382</f>
        <v>Normal</v>
      </c>
      <c r="F382" s="7" t="n">
        <f aca="false">'Raw Data'!K382</f>
        <v>135.4</v>
      </c>
      <c r="G382" s="7" t="str">
        <f aca="false">'Raw Data'!L382</f>
        <v>No</v>
      </c>
      <c r="H382" s="7" t="str">
        <f aca="false">'Raw Data'!M382</f>
        <v>Moderate</v>
      </c>
      <c r="I382" s="7" t="n">
        <f aca="false">(IF(D382="Current",3,IF(D382="Former",1,0)))+(IF(E382="High",3,IF(E382="Normal",1,0)))+(IF(F382&gt;=240,2,IF(F382&gt;=200,1,0)))+(IF(G382="Yes",2,0))+(IF(H382="High",2,IF(H382="Moderate",1,0)))</f>
        <v>2</v>
      </c>
      <c r="J382" s="7" t="str">
        <f aca="false">IF(I382&gt;=8,"High",IF(I382&gt;=4,"Medium","Low"))</f>
        <v>Low</v>
      </c>
    </row>
    <row r="383" customFormat="false" ht="15" hidden="false" customHeight="true" outlineLevel="0" collapsed="false">
      <c r="A383" s="7" t="n">
        <f aca="false">'Raw Data'!A383</f>
        <v>117</v>
      </c>
      <c r="B383" s="7" t="n">
        <f aca="false">'Raw Data'!B383</f>
        <v>30</v>
      </c>
      <c r="C383" s="7" t="str">
        <f aca="false">'Raw Data'!C383</f>
        <v>Female</v>
      </c>
      <c r="D383" s="7" t="str">
        <f aca="false">'Raw Data'!D383</f>
        <v>Never</v>
      </c>
      <c r="E383" s="7" t="str">
        <f aca="false">'Raw Data'!J383</f>
        <v>Normal</v>
      </c>
      <c r="F383" s="7" t="n">
        <f aca="false">'Raw Data'!K383</f>
        <v>234.1</v>
      </c>
      <c r="G383" s="7" t="str">
        <f aca="false">'Raw Data'!L383</f>
        <v>No</v>
      </c>
      <c r="H383" s="7" t="str">
        <f aca="false">'Raw Data'!M383</f>
        <v>Moderate</v>
      </c>
      <c r="I383" s="7" t="n">
        <f aca="false">(IF(D383="Current",3,IF(D383="Former",1,0)))+(IF(E383="High",3,IF(E383="Normal",1,0)))+(IF(F383&gt;=240,2,IF(F383&gt;=200,1,0)))+(IF(G383="Yes",2,0))+(IF(H383="High",2,IF(H383="Moderate",1,0)))</f>
        <v>3</v>
      </c>
      <c r="J383" s="7" t="str">
        <f aca="false">IF(I383&gt;=8,"High",IF(I383&gt;=4,"Medium","Low"))</f>
        <v>Low</v>
      </c>
    </row>
    <row r="384" customFormat="false" ht="15" hidden="false" customHeight="true" outlineLevel="0" collapsed="false">
      <c r="A384" s="7" t="n">
        <f aca="false">'Raw Data'!A384</f>
        <v>118</v>
      </c>
      <c r="B384" s="7" t="n">
        <f aca="false">'Raw Data'!B384</f>
        <v>47</v>
      </c>
      <c r="C384" s="7" t="str">
        <f aca="false">'Raw Data'!C384</f>
        <v>Male</v>
      </c>
      <c r="D384" s="7" t="str">
        <f aca="false">'Raw Data'!D384</f>
        <v>Never</v>
      </c>
      <c r="E384" s="7" t="str">
        <f aca="false">'Raw Data'!J384</f>
        <v>Normal</v>
      </c>
      <c r="F384" s="7" t="n">
        <f aca="false">'Raw Data'!K384</f>
        <v>152.3</v>
      </c>
      <c r="G384" s="7" t="str">
        <f aca="false">'Raw Data'!L384</f>
        <v>No</v>
      </c>
      <c r="H384" s="7" t="str">
        <f aca="false">'Raw Data'!M384</f>
        <v>Moderate</v>
      </c>
      <c r="I384" s="7" t="n">
        <f aca="false">(IF(D384="Current",3,IF(D384="Former",1,0)))+(IF(E384="High",3,IF(E384="Normal",1,0)))+(IF(F384&gt;=240,2,IF(F384&gt;=200,1,0)))+(IF(G384="Yes",2,0))+(IF(H384="High",2,IF(H384="Moderate",1,0)))</f>
        <v>2</v>
      </c>
      <c r="J384" s="7" t="str">
        <f aca="false">IF(I384&gt;=8,"High",IF(I384&gt;=4,"Medium","Low"))</f>
        <v>Low</v>
      </c>
    </row>
    <row r="385" customFormat="false" ht="15" hidden="false" customHeight="true" outlineLevel="0" collapsed="false">
      <c r="A385" s="7" t="n">
        <f aca="false">'Raw Data'!A385</f>
        <v>121</v>
      </c>
      <c r="B385" s="7" t="n">
        <f aca="false">'Raw Data'!B385</f>
        <v>43</v>
      </c>
      <c r="C385" s="7" t="str">
        <f aca="false">'Raw Data'!C385</f>
        <v>Female</v>
      </c>
      <c r="D385" s="7" t="str">
        <f aca="false">'Raw Data'!D385</f>
        <v>Never</v>
      </c>
      <c r="E385" s="7" t="str">
        <f aca="false">'Raw Data'!J385</f>
        <v>Normal</v>
      </c>
      <c r="F385" s="7" t="n">
        <f aca="false">'Raw Data'!K385</f>
        <v>149.5</v>
      </c>
      <c r="G385" s="7" t="str">
        <f aca="false">'Raw Data'!L385</f>
        <v>No</v>
      </c>
      <c r="H385" s="7" t="str">
        <f aca="false">'Raw Data'!M385</f>
        <v>Moderate</v>
      </c>
      <c r="I385" s="7" t="n">
        <f aca="false">(IF(D385="Current",3,IF(D385="Former",1,0)))+(IF(E385="High",3,IF(E385="Normal",1,0)))+(IF(F385&gt;=240,2,IF(F385&gt;=200,1,0)))+(IF(G385="Yes",2,0))+(IF(H385="High",2,IF(H385="Moderate",1,0)))</f>
        <v>2</v>
      </c>
      <c r="J385" s="7" t="str">
        <f aca="false">IF(I385&gt;=8,"High",IF(I385&gt;=4,"Medium","Low"))</f>
        <v>Low</v>
      </c>
    </row>
    <row r="386" customFormat="false" ht="15" hidden="false" customHeight="true" outlineLevel="0" collapsed="false">
      <c r="A386" s="7" t="n">
        <f aca="false">'Raw Data'!A386</f>
        <v>144</v>
      </c>
      <c r="B386" s="7" t="n">
        <f aca="false">'Raw Data'!B386</f>
        <v>70</v>
      </c>
      <c r="C386" s="7" t="str">
        <f aca="false">'Raw Data'!C386</f>
        <v>Female</v>
      </c>
      <c r="D386" s="7" t="str">
        <f aca="false">'Raw Data'!D386</f>
        <v>Never</v>
      </c>
      <c r="E386" s="7" t="str">
        <f aca="false">'Raw Data'!J386</f>
        <v>Normal</v>
      </c>
      <c r="F386" s="7" t="n">
        <f aca="false">'Raw Data'!K386</f>
        <v>276.2</v>
      </c>
      <c r="G386" s="7" t="str">
        <f aca="false">'Raw Data'!L386</f>
        <v>No</v>
      </c>
      <c r="H386" s="7" t="str">
        <f aca="false">'Raw Data'!M386</f>
        <v>Moderate</v>
      </c>
      <c r="I386" s="7" t="n">
        <f aca="false">(IF(D386="Current",3,IF(D386="Former",1,0)))+(IF(E386="High",3,IF(E386="Normal",1,0)))+(IF(F386&gt;=240,2,IF(F386&gt;=200,1,0)))+(IF(G386="Yes",2,0))+(IF(H386="High",2,IF(H386="Moderate",1,0)))</f>
        <v>4</v>
      </c>
      <c r="J386" s="7" t="str">
        <f aca="false">IF(I386&gt;=8,"High",IF(I386&gt;=4,"Medium","Low"))</f>
        <v>Medium</v>
      </c>
    </row>
    <row r="387" customFormat="false" ht="15" hidden="false" customHeight="true" outlineLevel="0" collapsed="false">
      <c r="A387" s="7" t="n">
        <f aca="false">'Raw Data'!A387</f>
        <v>152</v>
      </c>
      <c r="B387" s="7" t="n">
        <f aca="false">'Raw Data'!B387</f>
        <v>65</v>
      </c>
      <c r="C387" s="7" t="str">
        <f aca="false">'Raw Data'!C387</f>
        <v>Male</v>
      </c>
      <c r="D387" s="7" t="str">
        <f aca="false">'Raw Data'!D387</f>
        <v>Never</v>
      </c>
      <c r="E387" s="7" t="str">
        <f aca="false">'Raw Data'!J387</f>
        <v>Normal</v>
      </c>
      <c r="F387" s="7" t="n">
        <f aca="false">'Raw Data'!K387</f>
        <v>254.4</v>
      </c>
      <c r="G387" s="7" t="str">
        <f aca="false">'Raw Data'!L387</f>
        <v>No</v>
      </c>
      <c r="H387" s="7" t="str">
        <f aca="false">'Raw Data'!M387</f>
        <v>Moderate</v>
      </c>
      <c r="I387" s="7" t="n">
        <f aca="false">(IF(D387="Current",3,IF(D387="Former",1,0)))+(IF(E387="High",3,IF(E387="Normal",1,0)))+(IF(F387&gt;=240,2,IF(F387&gt;=200,1,0)))+(IF(G387="Yes",2,0))+(IF(H387="High",2,IF(H387="Moderate",1,0)))</f>
        <v>4</v>
      </c>
      <c r="J387" s="7" t="str">
        <f aca="false">IF(I387&gt;=8,"High",IF(I387&gt;=4,"Medium","Low"))</f>
        <v>Medium</v>
      </c>
    </row>
    <row r="388" customFormat="false" ht="15" hidden="false" customHeight="true" outlineLevel="0" collapsed="false">
      <c r="A388" s="7" t="n">
        <f aca="false">'Raw Data'!A388</f>
        <v>158</v>
      </c>
      <c r="B388" s="7" t="n">
        <f aca="false">'Raw Data'!B388</f>
        <v>53</v>
      </c>
      <c r="C388" s="7" t="str">
        <f aca="false">'Raw Data'!C388</f>
        <v>Female</v>
      </c>
      <c r="D388" s="7" t="str">
        <f aca="false">'Raw Data'!D388</f>
        <v>Never</v>
      </c>
      <c r="E388" s="7" t="str">
        <f aca="false">'Raw Data'!J388</f>
        <v>Normal</v>
      </c>
      <c r="F388" s="7" t="n">
        <f aca="false">'Raw Data'!K388</f>
        <v>276.5</v>
      </c>
      <c r="G388" s="7" t="str">
        <f aca="false">'Raw Data'!L388</f>
        <v>No</v>
      </c>
      <c r="H388" s="7" t="str">
        <f aca="false">'Raw Data'!M388</f>
        <v>Moderate</v>
      </c>
      <c r="I388" s="7" t="n">
        <f aca="false">(IF(D388="Current",3,IF(D388="Former",1,0)))+(IF(E388="High",3,IF(E388="Normal",1,0)))+(IF(F388&gt;=240,2,IF(F388&gt;=200,1,0)))+(IF(G388="Yes",2,0))+(IF(H388="High",2,IF(H388="Moderate",1,0)))</f>
        <v>4</v>
      </c>
      <c r="J388" s="7" t="str">
        <f aca="false">IF(I388&gt;=8,"High",IF(I388&gt;=4,"Medium","Low"))</f>
        <v>Medium</v>
      </c>
    </row>
    <row r="389" customFormat="false" ht="15" hidden="false" customHeight="true" outlineLevel="0" collapsed="false">
      <c r="A389" s="7" t="n">
        <f aca="false">'Raw Data'!A389</f>
        <v>175</v>
      </c>
      <c r="B389" s="7" t="n">
        <f aca="false">'Raw Data'!B389</f>
        <v>44</v>
      </c>
      <c r="C389" s="7" t="str">
        <f aca="false">'Raw Data'!C389</f>
        <v>Female</v>
      </c>
      <c r="D389" s="7" t="str">
        <f aca="false">'Raw Data'!D389</f>
        <v>Never</v>
      </c>
      <c r="E389" s="7" t="str">
        <f aca="false">'Raw Data'!J389</f>
        <v>Normal</v>
      </c>
      <c r="F389" s="7" t="n">
        <f aca="false">'Raw Data'!K389</f>
        <v>144.1</v>
      </c>
      <c r="G389" s="7" t="str">
        <f aca="false">'Raw Data'!L389</f>
        <v>No</v>
      </c>
      <c r="H389" s="7" t="str">
        <f aca="false">'Raw Data'!M389</f>
        <v>Moderate</v>
      </c>
      <c r="I389" s="7" t="n">
        <f aca="false">(IF(D389="Current",3,IF(D389="Former",1,0)))+(IF(E389="High",3,IF(E389="Normal",1,0)))+(IF(F389&gt;=240,2,IF(F389&gt;=200,1,0)))+(IF(G389="Yes",2,0))+(IF(H389="High",2,IF(H389="Moderate",1,0)))</f>
        <v>2</v>
      </c>
      <c r="J389" s="7" t="str">
        <f aca="false">IF(I389&gt;=8,"High",IF(I389&gt;=4,"Medium","Low"))</f>
        <v>Low</v>
      </c>
    </row>
    <row r="390" customFormat="false" ht="15" hidden="false" customHeight="true" outlineLevel="0" collapsed="false">
      <c r="A390" s="7" t="n">
        <f aca="false">'Raw Data'!A390</f>
        <v>177</v>
      </c>
      <c r="B390" s="7" t="n">
        <f aca="false">'Raw Data'!B390</f>
        <v>28</v>
      </c>
      <c r="C390" s="7" t="str">
        <f aca="false">'Raw Data'!C390</f>
        <v>Male</v>
      </c>
      <c r="D390" s="7" t="str">
        <f aca="false">'Raw Data'!D390</f>
        <v>Never</v>
      </c>
      <c r="E390" s="7" t="str">
        <f aca="false">'Raw Data'!J390</f>
        <v>Normal</v>
      </c>
      <c r="F390" s="7" t="n">
        <f aca="false">'Raw Data'!K390</f>
        <v>147</v>
      </c>
      <c r="G390" s="7" t="str">
        <f aca="false">'Raw Data'!L390</f>
        <v>No</v>
      </c>
      <c r="H390" s="7" t="str">
        <f aca="false">'Raw Data'!M390</f>
        <v>Moderate</v>
      </c>
      <c r="I390" s="7" t="n">
        <f aca="false">(IF(D390="Current",3,IF(D390="Former",1,0)))+(IF(E390="High",3,IF(E390="Normal",1,0)))+(IF(F390&gt;=240,2,IF(F390&gt;=200,1,0)))+(IF(G390="Yes",2,0))+(IF(H390="High",2,IF(H390="Moderate",1,0)))</f>
        <v>2</v>
      </c>
      <c r="J390" s="7" t="str">
        <f aca="false">IF(I390&gt;=8,"High",IF(I390&gt;=4,"Medium","Low"))</f>
        <v>Low</v>
      </c>
    </row>
    <row r="391" customFormat="false" ht="15" hidden="false" customHeight="true" outlineLevel="0" collapsed="false">
      <c r="A391" s="7" t="n">
        <f aca="false">'Raw Data'!A391</f>
        <v>184</v>
      </c>
      <c r="B391" s="7" t="n">
        <f aca="false">'Raw Data'!B391</f>
        <v>53</v>
      </c>
      <c r="C391" s="7" t="str">
        <f aca="false">'Raw Data'!C391</f>
        <v>Female</v>
      </c>
      <c r="D391" s="7" t="str">
        <f aca="false">'Raw Data'!D391</f>
        <v>Never</v>
      </c>
      <c r="E391" s="7" t="str">
        <f aca="false">'Raw Data'!J391</f>
        <v>Normal</v>
      </c>
      <c r="F391" s="7" t="n">
        <f aca="false">'Raw Data'!K391</f>
        <v>254.7</v>
      </c>
      <c r="G391" s="7" t="str">
        <f aca="false">'Raw Data'!L391</f>
        <v>No</v>
      </c>
      <c r="H391" s="7" t="str">
        <f aca="false">'Raw Data'!M391</f>
        <v>Moderate</v>
      </c>
      <c r="I391" s="7" t="n">
        <f aca="false">(IF(D391="Current",3,IF(D391="Former",1,0)))+(IF(E391="High",3,IF(E391="Normal",1,0)))+(IF(F391&gt;=240,2,IF(F391&gt;=200,1,0)))+(IF(G391="Yes",2,0))+(IF(H391="High",2,IF(H391="Moderate",1,0)))</f>
        <v>4</v>
      </c>
      <c r="J391" s="7" t="str">
        <f aca="false">IF(I391&gt;=8,"High",IF(I391&gt;=4,"Medium","Low"))</f>
        <v>Medium</v>
      </c>
    </row>
    <row r="392" customFormat="false" ht="15" hidden="false" customHeight="true" outlineLevel="0" collapsed="false">
      <c r="A392" s="7" t="n">
        <f aca="false">'Raw Data'!A392</f>
        <v>186</v>
      </c>
      <c r="B392" s="7" t="n">
        <f aca="false">'Raw Data'!B392</f>
        <v>61</v>
      </c>
      <c r="C392" s="7" t="str">
        <f aca="false">'Raw Data'!C392</f>
        <v>Female</v>
      </c>
      <c r="D392" s="7" t="str">
        <f aca="false">'Raw Data'!D392</f>
        <v>Never</v>
      </c>
      <c r="E392" s="7" t="str">
        <f aca="false">'Raw Data'!J392</f>
        <v>Normal</v>
      </c>
      <c r="F392" s="7" t="n">
        <f aca="false">'Raw Data'!K392</f>
        <v>266.9</v>
      </c>
      <c r="G392" s="7" t="str">
        <f aca="false">'Raw Data'!L392</f>
        <v>No</v>
      </c>
      <c r="H392" s="7" t="str">
        <f aca="false">'Raw Data'!M392</f>
        <v>Moderate</v>
      </c>
      <c r="I392" s="7" t="n">
        <f aca="false">(IF(D392="Current",3,IF(D392="Former",1,0)))+(IF(E392="High",3,IF(E392="Normal",1,0)))+(IF(F392&gt;=240,2,IF(F392&gt;=200,1,0)))+(IF(G392="Yes",2,0))+(IF(H392="High",2,IF(H392="Moderate",1,0)))</f>
        <v>4</v>
      </c>
      <c r="J392" s="7" t="str">
        <f aca="false">IF(I392&gt;=8,"High",IF(I392&gt;=4,"Medium","Low"))</f>
        <v>Medium</v>
      </c>
    </row>
    <row r="393" customFormat="false" ht="15" hidden="false" customHeight="true" outlineLevel="0" collapsed="false">
      <c r="A393" s="7" t="n">
        <f aca="false">'Raw Data'!A393</f>
        <v>221</v>
      </c>
      <c r="B393" s="7" t="n">
        <f aca="false">'Raw Data'!B393</f>
        <v>23</v>
      </c>
      <c r="C393" s="7" t="str">
        <f aca="false">'Raw Data'!C393</f>
        <v>Male</v>
      </c>
      <c r="D393" s="7" t="str">
        <f aca="false">'Raw Data'!D393</f>
        <v>Never</v>
      </c>
      <c r="E393" s="7" t="str">
        <f aca="false">'Raw Data'!J393</f>
        <v>Normal</v>
      </c>
      <c r="F393" s="7" t="n">
        <f aca="false">'Raw Data'!K393</f>
        <v>202.9</v>
      </c>
      <c r="G393" s="7" t="str">
        <f aca="false">'Raw Data'!L393</f>
        <v>No</v>
      </c>
      <c r="H393" s="7" t="str">
        <f aca="false">'Raw Data'!M393</f>
        <v>Moderate</v>
      </c>
      <c r="I393" s="7" t="n">
        <f aca="false">(IF(D393="Current",3,IF(D393="Former",1,0)))+(IF(E393="High",3,IF(E393="Normal",1,0)))+(IF(F393&gt;=240,2,IF(F393&gt;=200,1,0)))+(IF(G393="Yes",2,0))+(IF(H393="High",2,IF(H393="Moderate",1,0)))</f>
        <v>3</v>
      </c>
      <c r="J393" s="7" t="str">
        <f aca="false">IF(I393&gt;=8,"High",IF(I393&gt;=4,"Medium","Low"))</f>
        <v>Low</v>
      </c>
    </row>
    <row r="394" customFormat="false" ht="15" hidden="false" customHeight="true" outlineLevel="0" collapsed="false">
      <c r="A394" s="7" t="n">
        <f aca="false">'Raw Data'!A394</f>
        <v>226</v>
      </c>
      <c r="B394" s="7" t="n">
        <f aca="false">'Raw Data'!B394</f>
        <v>72</v>
      </c>
      <c r="C394" s="7" t="str">
        <f aca="false">'Raw Data'!C394</f>
        <v>Female</v>
      </c>
      <c r="D394" s="7" t="str">
        <f aca="false">'Raw Data'!D394</f>
        <v>Never</v>
      </c>
      <c r="E394" s="7" t="str">
        <f aca="false">'Raw Data'!J394</f>
        <v>Normal</v>
      </c>
      <c r="F394" s="7" t="n">
        <f aca="false">'Raw Data'!K394</f>
        <v>168.2</v>
      </c>
      <c r="G394" s="7" t="str">
        <f aca="false">'Raw Data'!L394</f>
        <v>No</v>
      </c>
      <c r="H394" s="7" t="str">
        <f aca="false">'Raw Data'!M394</f>
        <v>Moderate</v>
      </c>
      <c r="I394" s="7" t="n">
        <f aca="false">(IF(D394="Current",3,IF(D394="Former",1,0)))+(IF(E394="High",3,IF(E394="Normal",1,0)))+(IF(F394&gt;=240,2,IF(F394&gt;=200,1,0)))+(IF(G394="Yes",2,0))+(IF(H394="High",2,IF(H394="Moderate",1,0)))</f>
        <v>2</v>
      </c>
      <c r="J394" s="7" t="str">
        <f aca="false">IF(I394&gt;=8,"High",IF(I394&gt;=4,"Medium","Low"))</f>
        <v>Low</v>
      </c>
    </row>
    <row r="395" customFormat="false" ht="15" hidden="false" customHeight="true" outlineLevel="0" collapsed="false">
      <c r="A395" s="7" t="n">
        <f aca="false">'Raw Data'!A395</f>
        <v>254</v>
      </c>
      <c r="B395" s="7" t="n">
        <f aca="false">'Raw Data'!B395</f>
        <v>86</v>
      </c>
      <c r="C395" s="7" t="str">
        <f aca="false">'Raw Data'!C395</f>
        <v>Male</v>
      </c>
      <c r="D395" s="7" t="str">
        <f aca="false">'Raw Data'!D395</f>
        <v>Never</v>
      </c>
      <c r="E395" s="7" t="str">
        <f aca="false">'Raw Data'!J395</f>
        <v>Normal</v>
      </c>
      <c r="F395" s="7" t="n">
        <f aca="false">'Raw Data'!K395</f>
        <v>243.8</v>
      </c>
      <c r="G395" s="7" t="str">
        <f aca="false">'Raw Data'!L395</f>
        <v>No</v>
      </c>
      <c r="H395" s="7" t="str">
        <f aca="false">'Raw Data'!M395</f>
        <v>Moderate</v>
      </c>
      <c r="I395" s="7" t="n">
        <f aca="false">(IF(D395="Current",3,IF(D395="Former",1,0)))+(IF(E395="High",3,IF(E395="Normal",1,0)))+(IF(F395&gt;=240,2,IF(F395&gt;=200,1,0)))+(IF(G395="Yes",2,0))+(IF(H395="High",2,IF(H395="Moderate",1,0)))</f>
        <v>4</v>
      </c>
      <c r="J395" s="7" t="str">
        <f aca="false">IF(I395&gt;=8,"High",IF(I395&gt;=4,"Medium","Low"))</f>
        <v>Medium</v>
      </c>
    </row>
    <row r="396" customFormat="false" ht="15" hidden="false" customHeight="true" outlineLevel="0" collapsed="false">
      <c r="A396" s="7" t="n">
        <f aca="false">'Raw Data'!A396</f>
        <v>271</v>
      </c>
      <c r="B396" s="7" t="n">
        <f aca="false">'Raw Data'!B396</f>
        <v>54</v>
      </c>
      <c r="C396" s="7" t="str">
        <f aca="false">'Raw Data'!C396</f>
        <v>Female</v>
      </c>
      <c r="D396" s="7" t="str">
        <f aca="false">'Raw Data'!D396</f>
        <v>Never</v>
      </c>
      <c r="E396" s="7" t="str">
        <f aca="false">'Raw Data'!J396</f>
        <v>Normal</v>
      </c>
      <c r="F396" s="7" t="n">
        <f aca="false">'Raw Data'!K396</f>
        <v>208.7</v>
      </c>
      <c r="G396" s="7" t="str">
        <f aca="false">'Raw Data'!L396</f>
        <v>No</v>
      </c>
      <c r="H396" s="7" t="str">
        <f aca="false">'Raw Data'!M396</f>
        <v>Moderate</v>
      </c>
      <c r="I396" s="7" t="n">
        <f aca="false">(IF(D396="Current",3,IF(D396="Former",1,0)))+(IF(E396="High",3,IF(E396="Normal",1,0)))+(IF(F396&gt;=240,2,IF(F396&gt;=200,1,0)))+(IF(G396="Yes",2,0))+(IF(H396="High",2,IF(H396="Moderate",1,0)))</f>
        <v>3</v>
      </c>
      <c r="J396" s="7" t="str">
        <f aca="false">IF(I396&gt;=8,"High",IF(I396&gt;=4,"Medium","Low"))</f>
        <v>Low</v>
      </c>
    </row>
    <row r="397" customFormat="false" ht="15" hidden="false" customHeight="true" outlineLevel="0" collapsed="false">
      <c r="A397" s="7" t="n">
        <f aca="false">'Raw Data'!A397</f>
        <v>279</v>
      </c>
      <c r="B397" s="7" t="n">
        <f aca="false">'Raw Data'!B397</f>
        <v>71</v>
      </c>
      <c r="C397" s="7" t="str">
        <f aca="false">'Raw Data'!C397</f>
        <v>Male</v>
      </c>
      <c r="D397" s="7" t="str">
        <f aca="false">'Raw Data'!D397</f>
        <v>Never</v>
      </c>
      <c r="E397" s="7" t="str">
        <f aca="false">'Raw Data'!J397</f>
        <v>Normal</v>
      </c>
      <c r="F397" s="7" t="n">
        <f aca="false">'Raw Data'!K397</f>
        <v>290.8</v>
      </c>
      <c r="G397" s="7" t="str">
        <f aca="false">'Raw Data'!L397</f>
        <v>No</v>
      </c>
      <c r="H397" s="7" t="str">
        <f aca="false">'Raw Data'!M397</f>
        <v>Moderate</v>
      </c>
      <c r="I397" s="7" t="n">
        <f aca="false">(IF(D397="Current",3,IF(D397="Former",1,0)))+(IF(E397="High",3,IF(E397="Normal",1,0)))+(IF(F397&gt;=240,2,IF(F397&gt;=200,1,0)))+(IF(G397="Yes",2,0))+(IF(H397="High",2,IF(H397="Moderate",1,0)))</f>
        <v>4</v>
      </c>
      <c r="J397" s="7" t="str">
        <f aca="false">IF(I397&gt;=8,"High",IF(I397&gt;=4,"Medium","Low"))</f>
        <v>Medium</v>
      </c>
    </row>
    <row r="398" customFormat="false" ht="15" hidden="false" customHeight="true" outlineLevel="0" collapsed="false">
      <c r="A398" s="7" t="n">
        <f aca="false">'Raw Data'!A398</f>
        <v>307</v>
      </c>
      <c r="B398" s="7" t="n">
        <f aca="false">'Raw Data'!B398</f>
        <v>66</v>
      </c>
      <c r="C398" s="7" t="str">
        <f aca="false">'Raw Data'!C398</f>
        <v>Female</v>
      </c>
      <c r="D398" s="7" t="str">
        <f aca="false">'Raw Data'!D398</f>
        <v>Never</v>
      </c>
      <c r="E398" s="7" t="str">
        <f aca="false">'Raw Data'!J398</f>
        <v>Normal</v>
      </c>
      <c r="F398" s="7" t="n">
        <f aca="false">'Raw Data'!K398</f>
        <v>233.5</v>
      </c>
      <c r="G398" s="7" t="str">
        <f aca="false">'Raw Data'!L398</f>
        <v>No</v>
      </c>
      <c r="H398" s="7" t="str">
        <f aca="false">'Raw Data'!M398</f>
        <v>Moderate</v>
      </c>
      <c r="I398" s="7" t="n">
        <f aca="false">(IF(D398="Current",3,IF(D398="Former",1,0)))+(IF(E398="High",3,IF(E398="Normal",1,0)))+(IF(F398&gt;=240,2,IF(F398&gt;=200,1,0)))+(IF(G398="Yes",2,0))+(IF(H398="High",2,IF(H398="Moderate",1,0)))</f>
        <v>3</v>
      </c>
      <c r="J398" s="7" t="str">
        <f aca="false">IF(I398&gt;=8,"High",IF(I398&gt;=4,"Medium","Low"))</f>
        <v>Low</v>
      </c>
    </row>
    <row r="399" customFormat="false" ht="15" hidden="false" customHeight="true" outlineLevel="0" collapsed="false">
      <c r="A399" s="7" t="n">
        <f aca="false">'Raw Data'!A399</f>
        <v>308</v>
      </c>
      <c r="B399" s="7" t="n">
        <f aca="false">'Raw Data'!B399</f>
        <v>72</v>
      </c>
      <c r="C399" s="7" t="str">
        <f aca="false">'Raw Data'!C399</f>
        <v>Male</v>
      </c>
      <c r="D399" s="7" t="str">
        <f aca="false">'Raw Data'!D399</f>
        <v>Never</v>
      </c>
      <c r="E399" s="7" t="str">
        <f aca="false">'Raw Data'!J399</f>
        <v>Normal</v>
      </c>
      <c r="F399" s="7" t="n">
        <f aca="false">'Raw Data'!K399</f>
        <v>136.6</v>
      </c>
      <c r="G399" s="7" t="str">
        <f aca="false">'Raw Data'!L399</f>
        <v>No</v>
      </c>
      <c r="H399" s="7" t="str">
        <f aca="false">'Raw Data'!M399</f>
        <v>Moderate</v>
      </c>
      <c r="I399" s="7" t="n">
        <f aca="false">(IF(D399="Current",3,IF(D399="Former",1,0)))+(IF(E399="High",3,IF(E399="Normal",1,0)))+(IF(F399&gt;=240,2,IF(F399&gt;=200,1,0)))+(IF(G399="Yes",2,0))+(IF(H399="High",2,IF(H399="Moderate",1,0)))</f>
        <v>2</v>
      </c>
      <c r="J399" s="7" t="str">
        <f aca="false">IF(I399&gt;=8,"High",IF(I399&gt;=4,"Medium","Low"))</f>
        <v>Low</v>
      </c>
    </row>
    <row r="400" customFormat="false" ht="15" hidden="false" customHeight="true" outlineLevel="0" collapsed="false">
      <c r="A400" s="7" t="n">
        <f aca="false">'Raw Data'!A400</f>
        <v>325</v>
      </c>
      <c r="B400" s="7" t="n">
        <f aca="false">'Raw Data'!B400</f>
        <v>64</v>
      </c>
      <c r="C400" s="7" t="str">
        <f aca="false">'Raw Data'!C400</f>
        <v>Female</v>
      </c>
      <c r="D400" s="7" t="str">
        <f aca="false">'Raw Data'!D400</f>
        <v>Never</v>
      </c>
      <c r="E400" s="7" t="str">
        <f aca="false">'Raw Data'!J400</f>
        <v>Normal</v>
      </c>
      <c r="F400" s="7" t="n">
        <f aca="false">'Raw Data'!K400</f>
        <v>297.5</v>
      </c>
      <c r="G400" s="7" t="str">
        <f aca="false">'Raw Data'!L400</f>
        <v>No</v>
      </c>
      <c r="H400" s="7" t="str">
        <f aca="false">'Raw Data'!M400</f>
        <v>Moderate</v>
      </c>
      <c r="I400" s="7" t="n">
        <f aca="false">(IF(D400="Current",3,IF(D400="Former",1,0)))+(IF(E400="High",3,IF(E400="Normal",1,0)))+(IF(F400&gt;=240,2,IF(F400&gt;=200,1,0)))+(IF(G400="Yes",2,0))+(IF(H400="High",2,IF(H400="Moderate",1,0)))</f>
        <v>4</v>
      </c>
      <c r="J400" s="7" t="str">
        <f aca="false">IF(I400&gt;=8,"High",IF(I400&gt;=4,"Medium","Low"))</f>
        <v>Medium</v>
      </c>
    </row>
    <row r="401" customFormat="false" ht="15" hidden="false" customHeight="true" outlineLevel="0" collapsed="false">
      <c r="A401" s="7" t="n">
        <f aca="false">'Raw Data'!A401</f>
        <v>334</v>
      </c>
      <c r="B401" s="7" t="n">
        <f aca="false">'Raw Data'!B401</f>
        <v>78</v>
      </c>
      <c r="C401" s="7" t="str">
        <f aca="false">'Raw Data'!C401</f>
        <v>Female</v>
      </c>
      <c r="D401" s="7" t="str">
        <f aca="false">'Raw Data'!D401</f>
        <v>Never</v>
      </c>
      <c r="E401" s="7" t="str">
        <f aca="false">'Raw Data'!J401</f>
        <v>Normal</v>
      </c>
      <c r="F401" s="7" t="n">
        <f aca="false">'Raw Data'!K401</f>
        <v>213.8</v>
      </c>
      <c r="G401" s="7" t="str">
        <f aca="false">'Raw Data'!L401</f>
        <v>No</v>
      </c>
      <c r="H401" s="7" t="str">
        <f aca="false">'Raw Data'!M401</f>
        <v>Moderate</v>
      </c>
      <c r="I401" s="7" t="n">
        <f aca="false">(IF(D401="Current",3,IF(D401="Former",1,0)))+(IF(E401="High",3,IF(E401="Normal",1,0)))+(IF(F401&gt;=240,2,IF(F401&gt;=200,1,0)))+(IF(G401="Yes",2,0))+(IF(H401="High",2,IF(H401="Moderate",1,0)))</f>
        <v>3</v>
      </c>
      <c r="J401" s="7" t="str">
        <f aca="false">IF(I401&gt;=8,"High",IF(I401&gt;=4,"Medium","Low"))</f>
        <v>Low</v>
      </c>
    </row>
    <row r="402" customFormat="false" ht="15" hidden="false" customHeight="true" outlineLevel="0" collapsed="false">
      <c r="A402" s="7" t="n">
        <f aca="false">'Raw Data'!A402</f>
        <v>337</v>
      </c>
      <c r="B402" s="7" t="n">
        <f aca="false">'Raw Data'!B402</f>
        <v>27</v>
      </c>
      <c r="C402" s="7" t="str">
        <f aca="false">'Raw Data'!C402</f>
        <v>Female</v>
      </c>
      <c r="D402" s="7" t="str">
        <f aca="false">'Raw Data'!D402</f>
        <v>Never</v>
      </c>
      <c r="E402" s="7" t="str">
        <f aca="false">'Raw Data'!J402</f>
        <v>Normal</v>
      </c>
      <c r="F402" s="7" t="n">
        <f aca="false">'Raw Data'!K402</f>
        <v>188.9</v>
      </c>
      <c r="G402" s="7" t="str">
        <f aca="false">'Raw Data'!L402</f>
        <v>No</v>
      </c>
      <c r="H402" s="7" t="str">
        <f aca="false">'Raw Data'!M402</f>
        <v>Moderate</v>
      </c>
      <c r="I402" s="7" t="n">
        <f aca="false">(IF(D402="Current",3,IF(D402="Former",1,0)))+(IF(E402="High",3,IF(E402="Normal",1,0)))+(IF(F402&gt;=240,2,IF(F402&gt;=200,1,0)))+(IF(G402="Yes",2,0))+(IF(H402="High",2,IF(H402="Moderate",1,0)))</f>
        <v>2</v>
      </c>
      <c r="J402" s="7" t="str">
        <f aca="false">IF(I402&gt;=8,"High",IF(I402&gt;=4,"Medium","Low"))</f>
        <v>Low</v>
      </c>
    </row>
    <row r="403" customFormat="false" ht="15" hidden="false" customHeight="true" outlineLevel="0" collapsed="false">
      <c r="A403" s="7" t="n">
        <f aca="false">'Raw Data'!A403</f>
        <v>377</v>
      </c>
      <c r="B403" s="7" t="n">
        <f aca="false">'Raw Data'!B403</f>
        <v>69</v>
      </c>
      <c r="C403" s="7" t="str">
        <f aca="false">'Raw Data'!C403</f>
        <v>Male</v>
      </c>
      <c r="D403" s="7" t="str">
        <f aca="false">'Raw Data'!D403</f>
        <v>Never</v>
      </c>
      <c r="E403" s="7" t="str">
        <f aca="false">'Raw Data'!J403</f>
        <v>Normal</v>
      </c>
      <c r="F403" s="7" t="n">
        <f aca="false">'Raw Data'!K403</f>
        <v>282.4</v>
      </c>
      <c r="G403" s="7" t="str">
        <f aca="false">'Raw Data'!L403</f>
        <v>No</v>
      </c>
      <c r="H403" s="7" t="str">
        <f aca="false">'Raw Data'!M403</f>
        <v>Moderate</v>
      </c>
      <c r="I403" s="7" t="n">
        <f aca="false">(IF(D403="Current",3,IF(D403="Former",1,0)))+(IF(E403="High",3,IF(E403="Normal",1,0)))+(IF(F403&gt;=240,2,IF(F403&gt;=200,1,0)))+(IF(G403="Yes",2,0))+(IF(H403="High",2,IF(H403="Moderate",1,0)))</f>
        <v>4</v>
      </c>
      <c r="J403" s="7" t="str">
        <f aca="false">IF(I403&gt;=8,"High",IF(I403&gt;=4,"Medium","Low"))</f>
        <v>Medium</v>
      </c>
    </row>
    <row r="404" customFormat="false" ht="15" hidden="false" customHeight="true" outlineLevel="0" collapsed="false">
      <c r="A404" s="7" t="n">
        <f aca="false">'Raw Data'!A404</f>
        <v>379</v>
      </c>
      <c r="B404" s="7" t="n">
        <f aca="false">'Raw Data'!B404</f>
        <v>70</v>
      </c>
      <c r="C404" s="7" t="str">
        <f aca="false">'Raw Data'!C404</f>
        <v>Male</v>
      </c>
      <c r="D404" s="7" t="str">
        <f aca="false">'Raw Data'!D404</f>
        <v>Never</v>
      </c>
      <c r="E404" s="7" t="str">
        <f aca="false">'Raw Data'!J404</f>
        <v>Normal</v>
      </c>
      <c r="F404" s="7" t="n">
        <f aca="false">'Raw Data'!K404</f>
        <v>132.1</v>
      </c>
      <c r="G404" s="7" t="str">
        <f aca="false">'Raw Data'!L404</f>
        <v>No</v>
      </c>
      <c r="H404" s="7" t="str">
        <f aca="false">'Raw Data'!M404</f>
        <v>Moderate</v>
      </c>
      <c r="I404" s="7" t="n">
        <f aca="false">(IF(D404="Current",3,IF(D404="Former",1,0)))+(IF(E404="High",3,IF(E404="Normal",1,0)))+(IF(F404&gt;=240,2,IF(F404&gt;=200,1,0)))+(IF(G404="Yes",2,0))+(IF(H404="High",2,IF(H404="Moderate",1,0)))</f>
        <v>2</v>
      </c>
      <c r="J404" s="7" t="str">
        <f aca="false">IF(I404&gt;=8,"High",IF(I404&gt;=4,"Medium","Low"))</f>
        <v>Low</v>
      </c>
    </row>
    <row r="405" customFormat="false" ht="15" hidden="false" customHeight="true" outlineLevel="0" collapsed="false">
      <c r="A405" s="7" t="n">
        <f aca="false">'Raw Data'!A405</f>
        <v>382</v>
      </c>
      <c r="B405" s="7" t="n">
        <f aca="false">'Raw Data'!B405</f>
        <v>80</v>
      </c>
      <c r="C405" s="7" t="str">
        <f aca="false">'Raw Data'!C405</f>
        <v>Female</v>
      </c>
      <c r="D405" s="7" t="str">
        <f aca="false">'Raw Data'!D405</f>
        <v>Never</v>
      </c>
      <c r="E405" s="7" t="str">
        <f aca="false">'Raw Data'!J405</f>
        <v>Normal</v>
      </c>
      <c r="F405" s="7" t="n">
        <f aca="false">'Raw Data'!K405</f>
        <v>183.1</v>
      </c>
      <c r="G405" s="7" t="str">
        <f aca="false">'Raw Data'!L405</f>
        <v>No</v>
      </c>
      <c r="H405" s="7" t="str">
        <f aca="false">'Raw Data'!M405</f>
        <v>Moderate</v>
      </c>
      <c r="I405" s="7" t="n">
        <f aca="false">(IF(D405="Current",3,IF(D405="Former",1,0)))+(IF(E405="High",3,IF(E405="Normal",1,0)))+(IF(F405&gt;=240,2,IF(F405&gt;=200,1,0)))+(IF(G405="Yes",2,0))+(IF(H405="High",2,IF(H405="Moderate",1,0)))</f>
        <v>2</v>
      </c>
      <c r="J405" s="7" t="str">
        <f aca="false">IF(I405&gt;=8,"High",IF(I405&gt;=4,"Medium","Low"))</f>
        <v>Low</v>
      </c>
    </row>
    <row r="406" customFormat="false" ht="15" hidden="false" customHeight="true" outlineLevel="0" collapsed="false">
      <c r="A406" s="7" t="n">
        <f aca="false">'Raw Data'!A406</f>
        <v>390</v>
      </c>
      <c r="B406" s="7" t="n">
        <f aca="false">'Raw Data'!B406</f>
        <v>47</v>
      </c>
      <c r="C406" s="7" t="str">
        <f aca="false">'Raw Data'!C406</f>
        <v>Female</v>
      </c>
      <c r="D406" s="7" t="str">
        <f aca="false">'Raw Data'!D406</f>
        <v>Never</v>
      </c>
      <c r="E406" s="7" t="str">
        <f aca="false">'Raw Data'!J406</f>
        <v>Normal</v>
      </c>
      <c r="F406" s="7" t="n">
        <f aca="false">'Raw Data'!K406</f>
        <v>199.9</v>
      </c>
      <c r="G406" s="7" t="str">
        <f aca="false">'Raw Data'!L406</f>
        <v>No</v>
      </c>
      <c r="H406" s="7" t="str">
        <f aca="false">'Raw Data'!M406</f>
        <v>Moderate</v>
      </c>
      <c r="I406" s="7" t="n">
        <f aca="false">(IF(D406="Current",3,IF(D406="Former",1,0)))+(IF(E406="High",3,IF(E406="Normal",1,0)))+(IF(F406&gt;=240,2,IF(F406&gt;=200,1,0)))+(IF(G406="Yes",2,0))+(IF(H406="High",2,IF(H406="Moderate",1,0)))</f>
        <v>2</v>
      </c>
      <c r="J406" s="7" t="str">
        <f aca="false">IF(I406&gt;=8,"High",IF(I406&gt;=4,"Medium","Low"))</f>
        <v>Low</v>
      </c>
    </row>
    <row r="407" customFormat="false" ht="15" hidden="false" customHeight="true" outlineLevel="0" collapsed="false">
      <c r="A407" s="7" t="n">
        <f aca="false">'Raw Data'!A407</f>
        <v>430</v>
      </c>
      <c r="B407" s="7" t="n">
        <f aca="false">'Raw Data'!B407</f>
        <v>46</v>
      </c>
      <c r="C407" s="7" t="str">
        <f aca="false">'Raw Data'!C407</f>
        <v>Female</v>
      </c>
      <c r="D407" s="7" t="str">
        <f aca="false">'Raw Data'!D407</f>
        <v>Never</v>
      </c>
      <c r="E407" s="7" t="str">
        <f aca="false">'Raw Data'!J407</f>
        <v>Normal</v>
      </c>
      <c r="F407" s="7" t="n">
        <f aca="false">'Raw Data'!K407</f>
        <v>134.5</v>
      </c>
      <c r="G407" s="7" t="str">
        <f aca="false">'Raw Data'!L407</f>
        <v>No</v>
      </c>
      <c r="H407" s="7" t="str">
        <f aca="false">'Raw Data'!M407</f>
        <v>Moderate</v>
      </c>
      <c r="I407" s="7" t="n">
        <f aca="false">(IF(D407="Current",3,IF(D407="Former",1,0)))+(IF(E407="High",3,IF(E407="Normal",1,0)))+(IF(F407&gt;=240,2,IF(F407&gt;=200,1,0)))+(IF(G407="Yes",2,0))+(IF(H407="High",2,IF(H407="Moderate",1,0)))</f>
        <v>2</v>
      </c>
      <c r="J407" s="7" t="str">
        <f aca="false">IF(I407&gt;=8,"High",IF(I407&gt;=4,"Medium","Low"))</f>
        <v>Low</v>
      </c>
    </row>
    <row r="408" customFormat="false" ht="15" hidden="false" customHeight="true" outlineLevel="0" collapsed="false">
      <c r="A408" s="7" t="n">
        <f aca="false">'Raw Data'!A408</f>
        <v>432</v>
      </c>
      <c r="B408" s="7" t="n">
        <f aca="false">'Raw Data'!B408</f>
        <v>23</v>
      </c>
      <c r="C408" s="7" t="str">
        <f aca="false">'Raw Data'!C408</f>
        <v>Female</v>
      </c>
      <c r="D408" s="7" t="str">
        <f aca="false">'Raw Data'!D408</f>
        <v>Never</v>
      </c>
      <c r="E408" s="7" t="str">
        <f aca="false">'Raw Data'!J408</f>
        <v>Normal</v>
      </c>
      <c r="F408" s="7" t="n">
        <f aca="false">'Raw Data'!K408</f>
        <v>224.5</v>
      </c>
      <c r="G408" s="7" t="str">
        <f aca="false">'Raw Data'!L408</f>
        <v>No</v>
      </c>
      <c r="H408" s="7" t="str">
        <f aca="false">'Raw Data'!M408</f>
        <v>Moderate</v>
      </c>
      <c r="I408" s="7" t="n">
        <f aca="false">(IF(D408="Current",3,IF(D408="Former",1,0)))+(IF(E408="High",3,IF(E408="Normal",1,0)))+(IF(F408&gt;=240,2,IF(F408&gt;=200,1,0)))+(IF(G408="Yes",2,0))+(IF(H408="High",2,IF(H408="Moderate",1,0)))</f>
        <v>3</v>
      </c>
      <c r="J408" s="7" t="str">
        <f aca="false">IF(I408&gt;=8,"High",IF(I408&gt;=4,"Medium","Low"))</f>
        <v>Low</v>
      </c>
    </row>
    <row r="409" customFormat="false" ht="15" hidden="false" customHeight="true" outlineLevel="0" collapsed="false">
      <c r="A409" s="7" t="n">
        <f aca="false">'Raw Data'!A409</f>
        <v>436</v>
      </c>
      <c r="B409" s="7" t="n">
        <f aca="false">'Raw Data'!B409</f>
        <v>33</v>
      </c>
      <c r="C409" s="7" t="str">
        <f aca="false">'Raw Data'!C409</f>
        <v>Male</v>
      </c>
      <c r="D409" s="7" t="str">
        <f aca="false">'Raw Data'!D409</f>
        <v>Never</v>
      </c>
      <c r="E409" s="7" t="str">
        <f aca="false">'Raw Data'!J409</f>
        <v>Normal</v>
      </c>
      <c r="F409" s="7" t="n">
        <f aca="false">'Raw Data'!K409</f>
        <v>123.8</v>
      </c>
      <c r="G409" s="7" t="str">
        <f aca="false">'Raw Data'!L409</f>
        <v>No</v>
      </c>
      <c r="H409" s="7" t="str">
        <f aca="false">'Raw Data'!M409</f>
        <v>Moderate</v>
      </c>
      <c r="I409" s="7" t="n">
        <f aca="false">(IF(D409="Current",3,IF(D409="Former",1,0)))+(IF(E409="High",3,IF(E409="Normal",1,0)))+(IF(F409&gt;=240,2,IF(F409&gt;=200,1,0)))+(IF(G409="Yes",2,0))+(IF(H409="High",2,IF(H409="Moderate",1,0)))</f>
        <v>2</v>
      </c>
      <c r="J409" s="7" t="str">
        <f aca="false">IF(I409&gt;=8,"High",IF(I409&gt;=4,"Medium","Low"))</f>
        <v>Low</v>
      </c>
    </row>
    <row r="410" customFormat="false" ht="15" hidden="false" customHeight="true" outlineLevel="0" collapsed="false">
      <c r="A410" s="7" t="n">
        <f aca="false">'Raw Data'!A410</f>
        <v>445</v>
      </c>
      <c r="B410" s="7" t="n">
        <f aca="false">'Raw Data'!B410</f>
        <v>40</v>
      </c>
      <c r="C410" s="7" t="str">
        <f aca="false">'Raw Data'!C410</f>
        <v>Female</v>
      </c>
      <c r="D410" s="7" t="str">
        <f aca="false">'Raw Data'!D410</f>
        <v>Never</v>
      </c>
      <c r="E410" s="7" t="str">
        <f aca="false">'Raw Data'!J410</f>
        <v>Normal</v>
      </c>
      <c r="F410" s="7" t="n">
        <f aca="false">'Raw Data'!K410</f>
        <v>224.1</v>
      </c>
      <c r="G410" s="7" t="str">
        <f aca="false">'Raw Data'!L410</f>
        <v>No</v>
      </c>
      <c r="H410" s="7" t="str">
        <f aca="false">'Raw Data'!M410</f>
        <v>Moderate</v>
      </c>
      <c r="I410" s="7" t="n">
        <f aca="false">(IF(D410="Current",3,IF(D410="Former",1,0)))+(IF(E410="High",3,IF(E410="Normal",1,0)))+(IF(F410&gt;=240,2,IF(F410&gt;=200,1,0)))+(IF(G410="Yes",2,0))+(IF(H410="High",2,IF(H410="Moderate",1,0)))</f>
        <v>3</v>
      </c>
      <c r="J410" s="7" t="str">
        <f aca="false">IF(I410&gt;=8,"High",IF(I410&gt;=4,"Medium","Low"))</f>
        <v>Low</v>
      </c>
    </row>
    <row r="411" customFormat="false" ht="15" hidden="false" customHeight="true" outlineLevel="0" collapsed="false">
      <c r="A411" s="7" t="n">
        <f aca="false">'Raw Data'!A411</f>
        <v>447</v>
      </c>
      <c r="B411" s="7" t="n">
        <f aca="false">'Raw Data'!B411</f>
        <v>72</v>
      </c>
      <c r="C411" s="7" t="str">
        <f aca="false">'Raw Data'!C411</f>
        <v>Male</v>
      </c>
      <c r="D411" s="7" t="str">
        <f aca="false">'Raw Data'!D411</f>
        <v>Never</v>
      </c>
      <c r="E411" s="7" t="str">
        <f aca="false">'Raw Data'!J411</f>
        <v>Normal</v>
      </c>
      <c r="F411" s="7" t="n">
        <f aca="false">'Raw Data'!K411</f>
        <v>183.8</v>
      </c>
      <c r="G411" s="7" t="str">
        <f aca="false">'Raw Data'!L411</f>
        <v>No</v>
      </c>
      <c r="H411" s="7" t="str">
        <f aca="false">'Raw Data'!M411</f>
        <v>Moderate</v>
      </c>
      <c r="I411" s="7" t="n">
        <f aca="false">(IF(D411="Current",3,IF(D411="Former",1,0)))+(IF(E411="High",3,IF(E411="Normal",1,0)))+(IF(F411&gt;=240,2,IF(F411&gt;=200,1,0)))+(IF(G411="Yes",2,0))+(IF(H411="High",2,IF(H411="Moderate",1,0)))</f>
        <v>2</v>
      </c>
      <c r="J411" s="7" t="str">
        <f aca="false">IF(I411&gt;=8,"High",IF(I411&gt;=4,"Medium","Low"))</f>
        <v>Low</v>
      </c>
    </row>
    <row r="412" customFormat="false" ht="15" hidden="false" customHeight="true" outlineLevel="0" collapsed="false">
      <c r="A412" s="7" t="n">
        <f aca="false">'Raw Data'!A412</f>
        <v>466</v>
      </c>
      <c r="B412" s="7" t="n">
        <f aca="false">'Raw Data'!B412</f>
        <v>24</v>
      </c>
      <c r="C412" s="7" t="str">
        <f aca="false">'Raw Data'!C412</f>
        <v>Male</v>
      </c>
      <c r="D412" s="7" t="str">
        <f aca="false">'Raw Data'!D412</f>
        <v>Never</v>
      </c>
      <c r="E412" s="7" t="str">
        <f aca="false">'Raw Data'!J412</f>
        <v>Normal</v>
      </c>
      <c r="F412" s="7" t="n">
        <f aca="false">'Raw Data'!K412</f>
        <v>150.3</v>
      </c>
      <c r="G412" s="7" t="str">
        <f aca="false">'Raw Data'!L412</f>
        <v>No</v>
      </c>
      <c r="H412" s="7" t="str">
        <f aca="false">'Raw Data'!M412</f>
        <v>Moderate</v>
      </c>
      <c r="I412" s="7" t="n">
        <f aca="false">(IF(D412="Current",3,IF(D412="Former",1,0)))+(IF(E412="High",3,IF(E412="Normal",1,0)))+(IF(F412&gt;=240,2,IF(F412&gt;=200,1,0)))+(IF(G412="Yes",2,0))+(IF(H412="High",2,IF(H412="Moderate",1,0)))</f>
        <v>2</v>
      </c>
      <c r="J412" s="7" t="str">
        <f aca="false">IF(I412&gt;=8,"High",IF(I412&gt;=4,"Medium","Low"))</f>
        <v>Low</v>
      </c>
    </row>
    <row r="413" customFormat="false" ht="15" hidden="false" customHeight="true" outlineLevel="0" collapsed="false">
      <c r="A413" s="7" t="n">
        <f aca="false">'Raw Data'!A413</f>
        <v>479</v>
      </c>
      <c r="B413" s="7" t="n">
        <f aca="false">'Raw Data'!B413</f>
        <v>39</v>
      </c>
      <c r="C413" s="7" t="str">
        <f aca="false">'Raw Data'!C413</f>
        <v>Male</v>
      </c>
      <c r="D413" s="7" t="str">
        <f aca="false">'Raw Data'!D413</f>
        <v>Never</v>
      </c>
      <c r="E413" s="7" t="str">
        <f aca="false">'Raw Data'!J413</f>
        <v>Normal</v>
      </c>
      <c r="F413" s="7" t="n">
        <f aca="false">'Raw Data'!K413</f>
        <v>271.2</v>
      </c>
      <c r="G413" s="7" t="str">
        <f aca="false">'Raw Data'!L413</f>
        <v>No</v>
      </c>
      <c r="H413" s="7" t="str">
        <f aca="false">'Raw Data'!M413</f>
        <v>Moderate</v>
      </c>
      <c r="I413" s="7" t="n">
        <f aca="false">(IF(D413="Current",3,IF(D413="Former",1,0)))+(IF(E413="High",3,IF(E413="Normal",1,0)))+(IF(F413&gt;=240,2,IF(F413&gt;=200,1,0)))+(IF(G413="Yes",2,0))+(IF(H413="High",2,IF(H413="Moderate",1,0)))</f>
        <v>4</v>
      </c>
      <c r="J413" s="7" t="str">
        <f aca="false">IF(I413&gt;=8,"High",IF(I413&gt;=4,"Medium","Low"))</f>
        <v>Medium</v>
      </c>
    </row>
    <row r="414" customFormat="false" ht="15" hidden="false" customHeight="true" outlineLevel="0" collapsed="false">
      <c r="A414" s="7" t="n">
        <f aca="false">'Raw Data'!A414</f>
        <v>484</v>
      </c>
      <c r="B414" s="7" t="n">
        <f aca="false">'Raw Data'!B414</f>
        <v>35</v>
      </c>
      <c r="C414" s="7" t="str">
        <f aca="false">'Raw Data'!C414</f>
        <v>Female</v>
      </c>
      <c r="D414" s="7" t="str">
        <f aca="false">'Raw Data'!D414</f>
        <v>Never</v>
      </c>
      <c r="E414" s="7" t="str">
        <f aca="false">'Raw Data'!J414</f>
        <v>Normal</v>
      </c>
      <c r="F414" s="7" t="n">
        <f aca="false">'Raw Data'!K414</f>
        <v>167</v>
      </c>
      <c r="G414" s="7" t="str">
        <f aca="false">'Raw Data'!L414</f>
        <v>No</v>
      </c>
      <c r="H414" s="7" t="str">
        <f aca="false">'Raw Data'!M414</f>
        <v>Moderate</v>
      </c>
      <c r="I414" s="7" t="n">
        <f aca="false">(IF(D414="Current",3,IF(D414="Former",1,0)))+(IF(E414="High",3,IF(E414="Normal",1,0)))+(IF(F414&gt;=240,2,IF(F414&gt;=200,1,0)))+(IF(G414="Yes",2,0))+(IF(H414="High",2,IF(H414="Moderate",1,0)))</f>
        <v>2</v>
      </c>
      <c r="J414" s="7" t="str">
        <f aca="false">IF(I414&gt;=8,"High",IF(I414&gt;=4,"Medium","Low"))</f>
        <v>Low</v>
      </c>
    </row>
    <row r="415" customFormat="false" ht="15" hidden="false" customHeight="true" outlineLevel="0" collapsed="false">
      <c r="A415" s="7" t="n">
        <f aca="false">'Raw Data'!A415</f>
        <v>495</v>
      </c>
      <c r="B415" s="7" t="n">
        <f aca="false">'Raw Data'!B415</f>
        <v>73</v>
      </c>
      <c r="C415" s="7" t="str">
        <f aca="false">'Raw Data'!C415</f>
        <v>Male</v>
      </c>
      <c r="D415" s="7" t="str">
        <f aca="false">'Raw Data'!D415</f>
        <v>Never</v>
      </c>
      <c r="E415" s="7" t="str">
        <f aca="false">'Raw Data'!J415</f>
        <v>Normal</v>
      </c>
      <c r="F415" s="7" t="n">
        <f aca="false">'Raw Data'!K415</f>
        <v>262.9</v>
      </c>
      <c r="G415" s="7" t="str">
        <f aca="false">'Raw Data'!L415</f>
        <v>No</v>
      </c>
      <c r="H415" s="7" t="str">
        <f aca="false">'Raw Data'!M415</f>
        <v>Moderate</v>
      </c>
      <c r="I415" s="7" t="n">
        <f aca="false">(IF(D415="Current",3,IF(D415="Former",1,0)))+(IF(E415="High",3,IF(E415="Normal",1,0)))+(IF(F415&gt;=240,2,IF(F415&gt;=200,1,0)))+(IF(G415="Yes",2,0))+(IF(H415="High",2,IF(H415="Moderate",1,0)))</f>
        <v>4</v>
      </c>
      <c r="J415" s="7" t="str">
        <f aca="false">IF(I415&gt;=8,"High",IF(I415&gt;=4,"Medium","Low"))</f>
        <v>Medium</v>
      </c>
    </row>
    <row r="416" customFormat="false" ht="15" hidden="false" customHeight="true" outlineLevel="0" collapsed="false">
      <c r="A416" s="7" t="n">
        <f aca="false">'Raw Data'!A416</f>
        <v>504</v>
      </c>
      <c r="B416" s="7" t="n">
        <f aca="false">'Raw Data'!B416</f>
        <v>51</v>
      </c>
      <c r="C416" s="7" t="str">
        <f aca="false">'Raw Data'!C416</f>
        <v>Male</v>
      </c>
      <c r="D416" s="7" t="str">
        <f aca="false">'Raw Data'!D416</f>
        <v>Never</v>
      </c>
      <c r="E416" s="7" t="str">
        <f aca="false">'Raw Data'!J416</f>
        <v>Normal</v>
      </c>
      <c r="F416" s="7" t="n">
        <f aca="false">'Raw Data'!K416</f>
        <v>215.8</v>
      </c>
      <c r="G416" s="7" t="str">
        <f aca="false">'Raw Data'!L416</f>
        <v>No</v>
      </c>
      <c r="H416" s="7" t="str">
        <f aca="false">'Raw Data'!M416</f>
        <v>Moderate</v>
      </c>
      <c r="I416" s="7" t="n">
        <f aca="false">(IF(D416="Current",3,IF(D416="Former",1,0)))+(IF(E416="High",3,IF(E416="Normal",1,0)))+(IF(F416&gt;=240,2,IF(F416&gt;=200,1,0)))+(IF(G416="Yes",2,0))+(IF(H416="High",2,IF(H416="Moderate",1,0)))</f>
        <v>3</v>
      </c>
      <c r="J416" s="7" t="str">
        <f aca="false">IF(I416&gt;=8,"High",IF(I416&gt;=4,"Medium","Low"))</f>
        <v>Low</v>
      </c>
    </row>
    <row r="417" customFormat="false" ht="15" hidden="false" customHeight="true" outlineLevel="0" collapsed="false">
      <c r="A417" s="7" t="n">
        <f aca="false">'Raw Data'!A417</f>
        <v>507</v>
      </c>
      <c r="B417" s="7" t="n">
        <f aca="false">'Raw Data'!B417</f>
        <v>31</v>
      </c>
      <c r="C417" s="7" t="str">
        <f aca="false">'Raw Data'!C417</f>
        <v>Female</v>
      </c>
      <c r="D417" s="7" t="str">
        <f aca="false">'Raw Data'!D417</f>
        <v>Never</v>
      </c>
      <c r="E417" s="7" t="str">
        <f aca="false">'Raw Data'!J417</f>
        <v>Normal</v>
      </c>
      <c r="F417" s="7" t="n">
        <f aca="false">'Raw Data'!K417</f>
        <v>287.9</v>
      </c>
      <c r="G417" s="7" t="str">
        <f aca="false">'Raw Data'!L417</f>
        <v>No</v>
      </c>
      <c r="H417" s="7" t="str">
        <f aca="false">'Raw Data'!M417</f>
        <v>Moderate</v>
      </c>
      <c r="I417" s="7" t="n">
        <f aca="false">(IF(D417="Current",3,IF(D417="Former",1,0)))+(IF(E417="High",3,IF(E417="Normal",1,0)))+(IF(F417&gt;=240,2,IF(F417&gt;=200,1,0)))+(IF(G417="Yes",2,0))+(IF(H417="High",2,IF(H417="Moderate",1,0)))</f>
        <v>4</v>
      </c>
      <c r="J417" s="7" t="str">
        <f aca="false">IF(I417&gt;=8,"High",IF(I417&gt;=4,"Medium","Low"))</f>
        <v>Medium</v>
      </c>
    </row>
    <row r="418" customFormat="false" ht="15" hidden="false" customHeight="true" outlineLevel="0" collapsed="false">
      <c r="A418" s="7" t="n">
        <f aca="false">'Raw Data'!A418</f>
        <v>521</v>
      </c>
      <c r="B418" s="7" t="n">
        <f aca="false">'Raw Data'!B418</f>
        <v>32</v>
      </c>
      <c r="C418" s="7" t="str">
        <f aca="false">'Raw Data'!C418</f>
        <v>Male</v>
      </c>
      <c r="D418" s="7" t="str">
        <f aca="false">'Raw Data'!D418</f>
        <v>Never</v>
      </c>
      <c r="E418" s="7" t="str">
        <f aca="false">'Raw Data'!J418</f>
        <v>Normal</v>
      </c>
      <c r="F418" s="7" t="n">
        <f aca="false">'Raw Data'!K418</f>
        <v>296.9</v>
      </c>
      <c r="G418" s="7" t="str">
        <f aca="false">'Raw Data'!L418</f>
        <v>No</v>
      </c>
      <c r="H418" s="7" t="str">
        <f aca="false">'Raw Data'!M418</f>
        <v>Moderate</v>
      </c>
      <c r="I418" s="7" t="n">
        <f aca="false">(IF(D418="Current",3,IF(D418="Former",1,0)))+(IF(E418="High",3,IF(E418="Normal",1,0)))+(IF(F418&gt;=240,2,IF(F418&gt;=200,1,0)))+(IF(G418="Yes",2,0))+(IF(H418="High",2,IF(H418="Moderate",1,0)))</f>
        <v>4</v>
      </c>
      <c r="J418" s="7" t="str">
        <f aca="false">IF(I418&gt;=8,"High",IF(I418&gt;=4,"Medium","Low"))</f>
        <v>Medium</v>
      </c>
    </row>
    <row r="419" customFormat="false" ht="15" hidden="false" customHeight="true" outlineLevel="0" collapsed="false">
      <c r="A419" s="7" t="n">
        <f aca="false">'Raw Data'!A419</f>
        <v>527</v>
      </c>
      <c r="B419" s="7" t="n">
        <f aca="false">'Raw Data'!B419</f>
        <v>73</v>
      </c>
      <c r="C419" s="7" t="str">
        <f aca="false">'Raw Data'!C419</f>
        <v>Female</v>
      </c>
      <c r="D419" s="7" t="str">
        <f aca="false">'Raw Data'!D419</f>
        <v>Never</v>
      </c>
      <c r="E419" s="7" t="str">
        <f aca="false">'Raw Data'!J419</f>
        <v>Normal</v>
      </c>
      <c r="F419" s="7" t="n">
        <f aca="false">'Raw Data'!K419</f>
        <v>129.8</v>
      </c>
      <c r="G419" s="7" t="str">
        <f aca="false">'Raw Data'!L419</f>
        <v>No</v>
      </c>
      <c r="H419" s="7" t="str">
        <f aca="false">'Raw Data'!M419</f>
        <v>Moderate</v>
      </c>
      <c r="I419" s="7" t="n">
        <f aca="false">(IF(D419="Current",3,IF(D419="Former",1,0)))+(IF(E419="High",3,IF(E419="Normal",1,0)))+(IF(F419&gt;=240,2,IF(F419&gt;=200,1,0)))+(IF(G419="Yes",2,0))+(IF(H419="High",2,IF(H419="Moderate",1,0)))</f>
        <v>2</v>
      </c>
      <c r="J419" s="7" t="str">
        <f aca="false">IF(I419&gt;=8,"High",IF(I419&gt;=4,"Medium","Low"))</f>
        <v>Low</v>
      </c>
    </row>
    <row r="420" customFormat="false" ht="15" hidden="false" customHeight="true" outlineLevel="0" collapsed="false">
      <c r="A420" s="7" t="n">
        <f aca="false">'Raw Data'!A420</f>
        <v>573</v>
      </c>
      <c r="B420" s="7" t="n">
        <f aca="false">'Raw Data'!B420</f>
        <v>72</v>
      </c>
      <c r="C420" s="7" t="str">
        <f aca="false">'Raw Data'!C420</f>
        <v>Male</v>
      </c>
      <c r="D420" s="7" t="str">
        <f aca="false">'Raw Data'!D420</f>
        <v>Never</v>
      </c>
      <c r="E420" s="7" t="str">
        <f aca="false">'Raw Data'!J420</f>
        <v>Normal</v>
      </c>
      <c r="F420" s="7" t="n">
        <f aca="false">'Raw Data'!K420</f>
        <v>201.4</v>
      </c>
      <c r="G420" s="7" t="str">
        <f aca="false">'Raw Data'!L420</f>
        <v>No</v>
      </c>
      <c r="H420" s="7" t="str">
        <f aca="false">'Raw Data'!M420</f>
        <v>Moderate</v>
      </c>
      <c r="I420" s="7" t="n">
        <f aca="false">(IF(D420="Current",3,IF(D420="Former",1,0)))+(IF(E420="High",3,IF(E420="Normal",1,0)))+(IF(F420&gt;=240,2,IF(F420&gt;=200,1,0)))+(IF(G420="Yes",2,0))+(IF(H420="High",2,IF(H420="Moderate",1,0)))</f>
        <v>3</v>
      </c>
      <c r="J420" s="7" t="str">
        <f aca="false">IF(I420&gt;=8,"High",IF(I420&gt;=4,"Medium","Low"))</f>
        <v>Low</v>
      </c>
    </row>
    <row r="421" customFormat="false" ht="15" hidden="false" customHeight="true" outlineLevel="0" collapsed="false">
      <c r="A421" s="7" t="n">
        <f aca="false">'Raw Data'!A421</f>
        <v>582</v>
      </c>
      <c r="B421" s="7" t="n">
        <f aca="false">'Raw Data'!B421</f>
        <v>26</v>
      </c>
      <c r="C421" s="7" t="str">
        <f aca="false">'Raw Data'!C421</f>
        <v>Female</v>
      </c>
      <c r="D421" s="7" t="str">
        <f aca="false">'Raw Data'!D421</f>
        <v>Never</v>
      </c>
      <c r="E421" s="7" t="str">
        <f aca="false">'Raw Data'!J421</f>
        <v>Normal</v>
      </c>
      <c r="F421" s="7" t="n">
        <f aca="false">'Raw Data'!K421</f>
        <v>150</v>
      </c>
      <c r="G421" s="7" t="str">
        <f aca="false">'Raw Data'!L421</f>
        <v>No</v>
      </c>
      <c r="H421" s="7" t="str">
        <f aca="false">'Raw Data'!M421</f>
        <v>Moderate</v>
      </c>
      <c r="I421" s="7" t="n">
        <f aca="false">(IF(D421="Current",3,IF(D421="Former",1,0)))+(IF(E421="High",3,IF(E421="Normal",1,0)))+(IF(F421&gt;=240,2,IF(F421&gt;=200,1,0)))+(IF(G421="Yes",2,0))+(IF(H421="High",2,IF(H421="Moderate",1,0)))</f>
        <v>2</v>
      </c>
      <c r="J421" s="7" t="str">
        <f aca="false">IF(I421&gt;=8,"High",IF(I421&gt;=4,"Medium","Low"))</f>
        <v>Low</v>
      </c>
    </row>
    <row r="422" customFormat="false" ht="15" hidden="false" customHeight="true" outlineLevel="0" collapsed="false">
      <c r="A422" s="7" t="n">
        <f aca="false">'Raw Data'!A422</f>
        <v>602</v>
      </c>
      <c r="B422" s="7" t="n">
        <f aca="false">'Raw Data'!B422</f>
        <v>84</v>
      </c>
      <c r="C422" s="7" t="str">
        <f aca="false">'Raw Data'!C422</f>
        <v>Male</v>
      </c>
      <c r="D422" s="7" t="str">
        <f aca="false">'Raw Data'!D422</f>
        <v>Never</v>
      </c>
      <c r="E422" s="7" t="str">
        <f aca="false">'Raw Data'!J422</f>
        <v>Normal</v>
      </c>
      <c r="F422" s="7" t="n">
        <f aca="false">'Raw Data'!K422</f>
        <v>148.3</v>
      </c>
      <c r="G422" s="7" t="str">
        <f aca="false">'Raw Data'!L422</f>
        <v>No</v>
      </c>
      <c r="H422" s="7" t="str">
        <f aca="false">'Raw Data'!M422</f>
        <v>Moderate</v>
      </c>
      <c r="I422" s="7" t="n">
        <f aca="false">(IF(D422="Current",3,IF(D422="Former",1,0)))+(IF(E422="High",3,IF(E422="Normal",1,0)))+(IF(F422&gt;=240,2,IF(F422&gt;=200,1,0)))+(IF(G422="Yes",2,0))+(IF(H422="High",2,IF(H422="Moderate",1,0)))</f>
        <v>2</v>
      </c>
      <c r="J422" s="7" t="str">
        <f aca="false">IF(I422&gt;=8,"High",IF(I422&gt;=4,"Medium","Low"))</f>
        <v>Low</v>
      </c>
    </row>
    <row r="423" customFormat="false" ht="15" hidden="false" customHeight="true" outlineLevel="0" collapsed="false">
      <c r="A423" s="7" t="n">
        <f aca="false">'Raw Data'!A423</f>
        <v>608</v>
      </c>
      <c r="B423" s="7" t="n">
        <f aca="false">'Raw Data'!B423</f>
        <v>50</v>
      </c>
      <c r="C423" s="7" t="str">
        <f aca="false">'Raw Data'!C423</f>
        <v>Male</v>
      </c>
      <c r="D423" s="7" t="str">
        <f aca="false">'Raw Data'!D423</f>
        <v>Never</v>
      </c>
      <c r="E423" s="7" t="str">
        <f aca="false">'Raw Data'!J423</f>
        <v>Normal</v>
      </c>
      <c r="F423" s="7" t="n">
        <f aca="false">'Raw Data'!K423</f>
        <v>285.2</v>
      </c>
      <c r="G423" s="7" t="str">
        <f aca="false">'Raw Data'!L423</f>
        <v>No</v>
      </c>
      <c r="H423" s="7" t="str">
        <f aca="false">'Raw Data'!M423</f>
        <v>Moderate</v>
      </c>
      <c r="I423" s="7" t="n">
        <f aca="false">(IF(D423="Current",3,IF(D423="Former",1,0)))+(IF(E423="High",3,IF(E423="Normal",1,0)))+(IF(F423&gt;=240,2,IF(F423&gt;=200,1,0)))+(IF(G423="Yes",2,0))+(IF(H423="High",2,IF(H423="Moderate",1,0)))</f>
        <v>4</v>
      </c>
      <c r="J423" s="7" t="str">
        <f aca="false">IF(I423&gt;=8,"High",IF(I423&gt;=4,"Medium","Low"))</f>
        <v>Medium</v>
      </c>
    </row>
    <row r="424" customFormat="false" ht="15" hidden="false" customHeight="true" outlineLevel="0" collapsed="false">
      <c r="A424" s="7" t="n">
        <f aca="false">'Raw Data'!A424</f>
        <v>610</v>
      </c>
      <c r="B424" s="7" t="n">
        <f aca="false">'Raw Data'!B424</f>
        <v>52</v>
      </c>
      <c r="C424" s="7" t="str">
        <f aca="false">'Raw Data'!C424</f>
        <v>Male</v>
      </c>
      <c r="D424" s="7" t="str">
        <f aca="false">'Raw Data'!D424</f>
        <v>Never</v>
      </c>
      <c r="E424" s="7" t="str">
        <f aca="false">'Raw Data'!J424</f>
        <v>Normal</v>
      </c>
      <c r="F424" s="7" t="n">
        <f aca="false">'Raw Data'!K424</f>
        <v>163.8</v>
      </c>
      <c r="G424" s="7" t="str">
        <f aca="false">'Raw Data'!L424</f>
        <v>No</v>
      </c>
      <c r="H424" s="7" t="str">
        <f aca="false">'Raw Data'!M424</f>
        <v>Moderate</v>
      </c>
      <c r="I424" s="7" t="n">
        <f aca="false">(IF(D424="Current",3,IF(D424="Former",1,0)))+(IF(E424="High",3,IF(E424="Normal",1,0)))+(IF(F424&gt;=240,2,IF(F424&gt;=200,1,0)))+(IF(G424="Yes",2,0))+(IF(H424="High",2,IF(H424="Moderate",1,0)))</f>
        <v>2</v>
      </c>
      <c r="J424" s="7" t="str">
        <f aca="false">IF(I424&gt;=8,"High",IF(I424&gt;=4,"Medium","Low"))</f>
        <v>Low</v>
      </c>
    </row>
    <row r="425" customFormat="false" ht="15" hidden="false" customHeight="true" outlineLevel="0" collapsed="false">
      <c r="A425" s="7" t="n">
        <f aca="false">'Raw Data'!A425</f>
        <v>611</v>
      </c>
      <c r="B425" s="7" t="n">
        <f aca="false">'Raw Data'!B425</f>
        <v>70</v>
      </c>
      <c r="C425" s="7" t="str">
        <f aca="false">'Raw Data'!C425</f>
        <v>Male</v>
      </c>
      <c r="D425" s="7" t="str">
        <f aca="false">'Raw Data'!D425</f>
        <v>Never</v>
      </c>
      <c r="E425" s="7" t="str">
        <f aca="false">'Raw Data'!J425</f>
        <v>Normal</v>
      </c>
      <c r="F425" s="7" t="n">
        <f aca="false">'Raw Data'!K425</f>
        <v>290.2</v>
      </c>
      <c r="G425" s="7" t="str">
        <f aca="false">'Raw Data'!L425</f>
        <v>No</v>
      </c>
      <c r="H425" s="7" t="str">
        <f aca="false">'Raw Data'!M425</f>
        <v>Moderate</v>
      </c>
      <c r="I425" s="7" t="n">
        <f aca="false">(IF(D425="Current",3,IF(D425="Former",1,0)))+(IF(E425="High",3,IF(E425="Normal",1,0)))+(IF(F425&gt;=240,2,IF(F425&gt;=200,1,0)))+(IF(G425="Yes",2,0))+(IF(H425="High",2,IF(H425="Moderate",1,0)))</f>
        <v>4</v>
      </c>
      <c r="J425" s="7" t="str">
        <f aca="false">IF(I425&gt;=8,"High",IF(I425&gt;=4,"Medium","Low"))</f>
        <v>Medium</v>
      </c>
    </row>
    <row r="426" customFormat="false" ht="15" hidden="false" customHeight="true" outlineLevel="0" collapsed="false">
      <c r="A426" s="7" t="n">
        <f aca="false">'Raw Data'!A426</f>
        <v>613</v>
      </c>
      <c r="B426" s="7" t="n">
        <f aca="false">'Raw Data'!B426</f>
        <v>41</v>
      </c>
      <c r="C426" s="7" t="str">
        <f aca="false">'Raw Data'!C426</f>
        <v>Male</v>
      </c>
      <c r="D426" s="7" t="str">
        <f aca="false">'Raw Data'!D426</f>
        <v>Never</v>
      </c>
      <c r="E426" s="7" t="str">
        <f aca="false">'Raw Data'!J426</f>
        <v>Normal</v>
      </c>
      <c r="F426" s="7" t="n">
        <f aca="false">'Raw Data'!K426</f>
        <v>168.6</v>
      </c>
      <c r="G426" s="7" t="str">
        <f aca="false">'Raw Data'!L426</f>
        <v>No</v>
      </c>
      <c r="H426" s="7" t="str">
        <f aca="false">'Raw Data'!M426</f>
        <v>Moderate</v>
      </c>
      <c r="I426" s="7" t="n">
        <f aca="false">(IF(D426="Current",3,IF(D426="Former",1,0)))+(IF(E426="High",3,IF(E426="Normal",1,0)))+(IF(F426&gt;=240,2,IF(F426&gt;=200,1,0)))+(IF(G426="Yes",2,0))+(IF(H426="High",2,IF(H426="Moderate",1,0)))</f>
        <v>2</v>
      </c>
      <c r="J426" s="7" t="str">
        <f aca="false">IF(I426&gt;=8,"High",IF(I426&gt;=4,"Medium","Low"))</f>
        <v>Low</v>
      </c>
    </row>
    <row r="427" customFormat="false" ht="15" hidden="false" customHeight="true" outlineLevel="0" collapsed="false">
      <c r="A427" s="7" t="n">
        <f aca="false">'Raw Data'!A427</f>
        <v>619</v>
      </c>
      <c r="B427" s="7" t="n">
        <f aca="false">'Raw Data'!B427</f>
        <v>52</v>
      </c>
      <c r="C427" s="7" t="str">
        <f aca="false">'Raw Data'!C427</f>
        <v>Male</v>
      </c>
      <c r="D427" s="7" t="str">
        <f aca="false">'Raw Data'!D427</f>
        <v>Never</v>
      </c>
      <c r="E427" s="7" t="str">
        <f aca="false">'Raw Data'!J427</f>
        <v>Normal</v>
      </c>
      <c r="F427" s="7" t="n">
        <f aca="false">'Raw Data'!K427</f>
        <v>129.8</v>
      </c>
      <c r="G427" s="7" t="str">
        <f aca="false">'Raw Data'!L427</f>
        <v>No</v>
      </c>
      <c r="H427" s="7" t="str">
        <f aca="false">'Raw Data'!M427</f>
        <v>Moderate</v>
      </c>
      <c r="I427" s="7" t="n">
        <f aca="false">(IF(D427="Current",3,IF(D427="Former",1,0)))+(IF(E427="High",3,IF(E427="Normal",1,0)))+(IF(F427&gt;=240,2,IF(F427&gt;=200,1,0)))+(IF(G427="Yes",2,0))+(IF(H427="High",2,IF(H427="Moderate",1,0)))</f>
        <v>2</v>
      </c>
      <c r="J427" s="7" t="str">
        <f aca="false">IF(I427&gt;=8,"High",IF(I427&gt;=4,"Medium","Low"))</f>
        <v>Low</v>
      </c>
    </row>
    <row r="428" customFormat="false" ht="15" hidden="false" customHeight="true" outlineLevel="0" collapsed="false">
      <c r="A428" s="7" t="n">
        <f aca="false">'Raw Data'!A428</f>
        <v>622</v>
      </c>
      <c r="B428" s="7" t="n">
        <f aca="false">'Raw Data'!B428</f>
        <v>35</v>
      </c>
      <c r="C428" s="7" t="str">
        <f aca="false">'Raw Data'!C428</f>
        <v>Female</v>
      </c>
      <c r="D428" s="7" t="str">
        <f aca="false">'Raw Data'!D428</f>
        <v>Never</v>
      </c>
      <c r="E428" s="7" t="str">
        <f aca="false">'Raw Data'!J428</f>
        <v>Normal</v>
      </c>
      <c r="F428" s="7" t="n">
        <f aca="false">'Raw Data'!K428</f>
        <v>192.5</v>
      </c>
      <c r="G428" s="7" t="str">
        <f aca="false">'Raw Data'!L428</f>
        <v>No</v>
      </c>
      <c r="H428" s="7" t="str">
        <f aca="false">'Raw Data'!M428</f>
        <v>Moderate</v>
      </c>
      <c r="I428" s="7" t="n">
        <f aca="false">(IF(D428="Current",3,IF(D428="Former",1,0)))+(IF(E428="High",3,IF(E428="Normal",1,0)))+(IF(F428&gt;=240,2,IF(F428&gt;=200,1,0)))+(IF(G428="Yes",2,0))+(IF(H428="High",2,IF(H428="Moderate",1,0)))</f>
        <v>2</v>
      </c>
      <c r="J428" s="7" t="str">
        <f aca="false">IF(I428&gt;=8,"High",IF(I428&gt;=4,"Medium","Low"))</f>
        <v>Low</v>
      </c>
    </row>
    <row r="429" customFormat="false" ht="15" hidden="false" customHeight="true" outlineLevel="0" collapsed="false">
      <c r="A429" s="7" t="n">
        <f aca="false">'Raw Data'!A429</f>
        <v>653</v>
      </c>
      <c r="B429" s="7" t="n">
        <f aca="false">'Raw Data'!B429</f>
        <v>56</v>
      </c>
      <c r="C429" s="7" t="str">
        <f aca="false">'Raw Data'!C429</f>
        <v>Female</v>
      </c>
      <c r="D429" s="7" t="str">
        <f aca="false">'Raw Data'!D429</f>
        <v>Never</v>
      </c>
      <c r="E429" s="7" t="str">
        <f aca="false">'Raw Data'!J429</f>
        <v>Normal</v>
      </c>
      <c r="F429" s="7" t="n">
        <f aca="false">'Raw Data'!K429</f>
        <v>161.9</v>
      </c>
      <c r="G429" s="7" t="str">
        <f aca="false">'Raw Data'!L429</f>
        <v>No</v>
      </c>
      <c r="H429" s="7" t="str">
        <f aca="false">'Raw Data'!M429</f>
        <v>Moderate</v>
      </c>
      <c r="I429" s="7" t="n">
        <f aca="false">(IF(D429="Current",3,IF(D429="Former",1,0)))+(IF(E429="High",3,IF(E429="Normal",1,0)))+(IF(F429&gt;=240,2,IF(F429&gt;=200,1,0)))+(IF(G429="Yes",2,0))+(IF(H429="High",2,IF(H429="Moderate",1,0)))</f>
        <v>2</v>
      </c>
      <c r="J429" s="7" t="str">
        <f aca="false">IF(I429&gt;=8,"High",IF(I429&gt;=4,"Medium","Low"))</f>
        <v>Low</v>
      </c>
    </row>
    <row r="430" customFormat="false" ht="15" hidden="false" customHeight="true" outlineLevel="0" collapsed="false">
      <c r="A430" s="7" t="n">
        <f aca="false">'Raw Data'!A430</f>
        <v>657</v>
      </c>
      <c r="B430" s="7" t="n">
        <f aca="false">'Raw Data'!B430</f>
        <v>27</v>
      </c>
      <c r="C430" s="7" t="str">
        <f aca="false">'Raw Data'!C430</f>
        <v>Female</v>
      </c>
      <c r="D430" s="7" t="str">
        <f aca="false">'Raw Data'!D430</f>
        <v>Never</v>
      </c>
      <c r="E430" s="7" t="str">
        <f aca="false">'Raw Data'!J430</f>
        <v>Normal</v>
      </c>
      <c r="F430" s="7" t="n">
        <f aca="false">'Raw Data'!K430</f>
        <v>121.5</v>
      </c>
      <c r="G430" s="7" t="str">
        <f aca="false">'Raw Data'!L430</f>
        <v>No</v>
      </c>
      <c r="H430" s="7" t="str">
        <f aca="false">'Raw Data'!M430</f>
        <v>Moderate</v>
      </c>
      <c r="I430" s="7" t="n">
        <f aca="false">(IF(D430="Current",3,IF(D430="Former",1,0)))+(IF(E430="High",3,IF(E430="Normal",1,0)))+(IF(F430&gt;=240,2,IF(F430&gt;=200,1,0)))+(IF(G430="Yes",2,0))+(IF(H430="High",2,IF(H430="Moderate",1,0)))</f>
        <v>2</v>
      </c>
      <c r="J430" s="7" t="str">
        <f aca="false">IF(I430&gt;=8,"High",IF(I430&gt;=4,"Medium","Low"))</f>
        <v>Low</v>
      </c>
    </row>
    <row r="431" customFormat="false" ht="15" hidden="false" customHeight="true" outlineLevel="0" collapsed="false">
      <c r="A431" s="7" t="n">
        <f aca="false">'Raw Data'!A431</f>
        <v>658</v>
      </c>
      <c r="B431" s="7" t="n">
        <f aca="false">'Raw Data'!B431</f>
        <v>72</v>
      </c>
      <c r="C431" s="7" t="str">
        <f aca="false">'Raw Data'!C431</f>
        <v>Female</v>
      </c>
      <c r="D431" s="7" t="str">
        <f aca="false">'Raw Data'!D431</f>
        <v>Never</v>
      </c>
      <c r="E431" s="7" t="str">
        <f aca="false">'Raw Data'!J431</f>
        <v>Normal</v>
      </c>
      <c r="F431" s="7" t="n">
        <f aca="false">'Raw Data'!K431</f>
        <v>229.4</v>
      </c>
      <c r="G431" s="7" t="str">
        <f aca="false">'Raw Data'!L431</f>
        <v>No</v>
      </c>
      <c r="H431" s="7" t="str">
        <f aca="false">'Raw Data'!M431</f>
        <v>Moderate</v>
      </c>
      <c r="I431" s="7" t="n">
        <f aca="false">(IF(D431="Current",3,IF(D431="Former",1,0)))+(IF(E431="High",3,IF(E431="Normal",1,0)))+(IF(F431&gt;=240,2,IF(F431&gt;=200,1,0)))+(IF(G431="Yes",2,0))+(IF(H431="High",2,IF(H431="Moderate",1,0)))</f>
        <v>3</v>
      </c>
      <c r="J431" s="7" t="str">
        <f aca="false">IF(I431&gt;=8,"High",IF(I431&gt;=4,"Medium","Low"))</f>
        <v>Low</v>
      </c>
    </row>
    <row r="432" customFormat="false" ht="15" hidden="false" customHeight="true" outlineLevel="0" collapsed="false">
      <c r="A432" s="7" t="n">
        <f aca="false">'Raw Data'!A432</f>
        <v>668</v>
      </c>
      <c r="B432" s="7" t="n">
        <f aca="false">'Raw Data'!B432</f>
        <v>55</v>
      </c>
      <c r="C432" s="7" t="str">
        <f aca="false">'Raw Data'!C432</f>
        <v>Female</v>
      </c>
      <c r="D432" s="7" t="str">
        <f aca="false">'Raw Data'!D432</f>
        <v>Never</v>
      </c>
      <c r="E432" s="7" t="str">
        <f aca="false">'Raw Data'!J432</f>
        <v>Normal</v>
      </c>
      <c r="F432" s="7" t="n">
        <f aca="false">'Raw Data'!K432</f>
        <v>265.5</v>
      </c>
      <c r="G432" s="7" t="str">
        <f aca="false">'Raw Data'!L432</f>
        <v>No</v>
      </c>
      <c r="H432" s="7" t="str">
        <f aca="false">'Raw Data'!M432</f>
        <v>Moderate</v>
      </c>
      <c r="I432" s="7" t="n">
        <f aca="false">(IF(D432="Current",3,IF(D432="Former",1,0)))+(IF(E432="High",3,IF(E432="Normal",1,0)))+(IF(F432&gt;=240,2,IF(F432&gt;=200,1,0)))+(IF(G432="Yes",2,0))+(IF(H432="High",2,IF(H432="Moderate",1,0)))</f>
        <v>4</v>
      </c>
      <c r="J432" s="7" t="str">
        <f aca="false">IF(I432&gt;=8,"High",IF(I432&gt;=4,"Medium","Low"))</f>
        <v>Medium</v>
      </c>
    </row>
    <row r="433" customFormat="false" ht="15" hidden="false" customHeight="true" outlineLevel="0" collapsed="false">
      <c r="A433" s="7" t="n">
        <f aca="false">'Raw Data'!A433</f>
        <v>671</v>
      </c>
      <c r="B433" s="7" t="n">
        <f aca="false">'Raw Data'!B433</f>
        <v>54</v>
      </c>
      <c r="C433" s="7" t="str">
        <f aca="false">'Raw Data'!C433</f>
        <v>Male</v>
      </c>
      <c r="D433" s="7" t="str">
        <f aca="false">'Raw Data'!D433</f>
        <v>Never</v>
      </c>
      <c r="E433" s="7" t="str">
        <f aca="false">'Raw Data'!J433</f>
        <v>Normal</v>
      </c>
      <c r="F433" s="7" t="n">
        <f aca="false">'Raw Data'!K433</f>
        <v>157.4</v>
      </c>
      <c r="G433" s="7" t="str">
        <f aca="false">'Raw Data'!L433</f>
        <v>No</v>
      </c>
      <c r="H433" s="7" t="str">
        <f aca="false">'Raw Data'!M433</f>
        <v>Moderate</v>
      </c>
      <c r="I433" s="7" t="n">
        <f aca="false">(IF(D433="Current",3,IF(D433="Former",1,0)))+(IF(E433="High",3,IF(E433="Normal",1,0)))+(IF(F433&gt;=240,2,IF(F433&gt;=200,1,0)))+(IF(G433="Yes",2,0))+(IF(H433="High",2,IF(H433="Moderate",1,0)))</f>
        <v>2</v>
      </c>
      <c r="J433" s="7" t="str">
        <f aca="false">IF(I433&gt;=8,"High",IF(I433&gt;=4,"Medium","Low"))</f>
        <v>Low</v>
      </c>
    </row>
    <row r="434" customFormat="false" ht="15" hidden="false" customHeight="true" outlineLevel="0" collapsed="false">
      <c r="A434" s="7" t="n">
        <f aca="false">'Raw Data'!A434</f>
        <v>695</v>
      </c>
      <c r="B434" s="7" t="n">
        <f aca="false">'Raw Data'!B434</f>
        <v>61</v>
      </c>
      <c r="C434" s="7" t="str">
        <f aca="false">'Raw Data'!C434</f>
        <v>Female</v>
      </c>
      <c r="D434" s="7" t="str">
        <f aca="false">'Raw Data'!D434</f>
        <v>Never</v>
      </c>
      <c r="E434" s="7" t="str">
        <f aca="false">'Raw Data'!J434</f>
        <v>Normal</v>
      </c>
      <c r="F434" s="7" t="n">
        <f aca="false">'Raw Data'!K434</f>
        <v>127.1</v>
      </c>
      <c r="G434" s="7" t="str">
        <f aca="false">'Raw Data'!L434</f>
        <v>No</v>
      </c>
      <c r="H434" s="7" t="str">
        <f aca="false">'Raw Data'!M434</f>
        <v>Moderate</v>
      </c>
      <c r="I434" s="7" t="n">
        <f aca="false">(IF(D434="Current",3,IF(D434="Former",1,0)))+(IF(E434="High",3,IF(E434="Normal",1,0)))+(IF(F434&gt;=240,2,IF(F434&gt;=200,1,0)))+(IF(G434="Yes",2,0))+(IF(H434="High",2,IF(H434="Moderate",1,0)))</f>
        <v>2</v>
      </c>
      <c r="J434" s="7" t="str">
        <f aca="false">IF(I434&gt;=8,"High",IF(I434&gt;=4,"Medium","Low"))</f>
        <v>Low</v>
      </c>
    </row>
    <row r="435" customFormat="false" ht="15" hidden="false" customHeight="true" outlineLevel="0" collapsed="false">
      <c r="A435" s="7" t="n">
        <f aca="false">'Raw Data'!A435</f>
        <v>720</v>
      </c>
      <c r="B435" s="7" t="n">
        <f aca="false">'Raw Data'!B435</f>
        <v>30</v>
      </c>
      <c r="C435" s="7" t="str">
        <f aca="false">'Raw Data'!C435</f>
        <v>Male</v>
      </c>
      <c r="D435" s="7" t="str">
        <f aca="false">'Raw Data'!D435</f>
        <v>Never</v>
      </c>
      <c r="E435" s="7" t="str">
        <f aca="false">'Raw Data'!J435</f>
        <v>Normal</v>
      </c>
      <c r="F435" s="7" t="n">
        <f aca="false">'Raw Data'!K435</f>
        <v>138.2</v>
      </c>
      <c r="G435" s="7" t="str">
        <f aca="false">'Raw Data'!L435</f>
        <v>No</v>
      </c>
      <c r="H435" s="7" t="str">
        <f aca="false">'Raw Data'!M435</f>
        <v>Moderate</v>
      </c>
      <c r="I435" s="7" t="n">
        <f aca="false">(IF(D435="Current",3,IF(D435="Former",1,0)))+(IF(E435="High",3,IF(E435="Normal",1,0)))+(IF(F435&gt;=240,2,IF(F435&gt;=200,1,0)))+(IF(G435="Yes",2,0))+(IF(H435="High",2,IF(H435="Moderate",1,0)))</f>
        <v>2</v>
      </c>
      <c r="J435" s="7" t="str">
        <f aca="false">IF(I435&gt;=8,"High",IF(I435&gt;=4,"Medium","Low"))</f>
        <v>Low</v>
      </c>
    </row>
    <row r="436" customFormat="false" ht="15" hidden="false" customHeight="true" outlineLevel="0" collapsed="false">
      <c r="A436" s="7" t="n">
        <f aca="false">'Raw Data'!A436</f>
        <v>735</v>
      </c>
      <c r="B436" s="7" t="n">
        <f aca="false">'Raw Data'!B436</f>
        <v>41</v>
      </c>
      <c r="C436" s="7" t="str">
        <f aca="false">'Raw Data'!C436</f>
        <v>Male</v>
      </c>
      <c r="D436" s="7" t="str">
        <f aca="false">'Raw Data'!D436</f>
        <v>Never</v>
      </c>
      <c r="E436" s="7" t="str">
        <f aca="false">'Raw Data'!J436</f>
        <v>Normal</v>
      </c>
      <c r="F436" s="7" t="n">
        <f aca="false">'Raw Data'!K436</f>
        <v>215.8</v>
      </c>
      <c r="G436" s="7" t="str">
        <f aca="false">'Raw Data'!L436</f>
        <v>No</v>
      </c>
      <c r="H436" s="7" t="str">
        <f aca="false">'Raw Data'!M436</f>
        <v>Moderate</v>
      </c>
      <c r="I436" s="7" t="n">
        <f aca="false">(IF(D436="Current",3,IF(D436="Former",1,0)))+(IF(E436="High",3,IF(E436="Normal",1,0)))+(IF(F436&gt;=240,2,IF(F436&gt;=200,1,0)))+(IF(G436="Yes",2,0))+(IF(H436="High",2,IF(H436="Moderate",1,0)))</f>
        <v>3</v>
      </c>
      <c r="J436" s="7" t="str">
        <f aca="false">IF(I436&gt;=8,"High",IF(I436&gt;=4,"Medium","Low"))</f>
        <v>Low</v>
      </c>
    </row>
    <row r="437" customFormat="false" ht="15" hidden="false" customHeight="true" outlineLevel="0" collapsed="false">
      <c r="A437" s="7" t="n">
        <f aca="false">'Raw Data'!A437</f>
        <v>757</v>
      </c>
      <c r="B437" s="7" t="n">
        <f aca="false">'Raw Data'!B437</f>
        <v>30</v>
      </c>
      <c r="C437" s="7" t="str">
        <f aca="false">'Raw Data'!C437</f>
        <v>Female</v>
      </c>
      <c r="D437" s="7" t="str">
        <f aca="false">'Raw Data'!D437</f>
        <v>Never</v>
      </c>
      <c r="E437" s="7" t="str">
        <f aca="false">'Raw Data'!J437</f>
        <v>Normal</v>
      </c>
      <c r="F437" s="7" t="n">
        <f aca="false">'Raw Data'!K437</f>
        <v>271.3</v>
      </c>
      <c r="G437" s="7" t="str">
        <f aca="false">'Raw Data'!L437</f>
        <v>No</v>
      </c>
      <c r="H437" s="7" t="str">
        <f aca="false">'Raw Data'!M437</f>
        <v>Moderate</v>
      </c>
      <c r="I437" s="7" t="n">
        <f aca="false">(IF(D437="Current",3,IF(D437="Former",1,0)))+(IF(E437="High",3,IF(E437="Normal",1,0)))+(IF(F437&gt;=240,2,IF(F437&gt;=200,1,0)))+(IF(G437="Yes",2,0))+(IF(H437="High",2,IF(H437="Moderate",1,0)))</f>
        <v>4</v>
      </c>
      <c r="J437" s="7" t="str">
        <f aca="false">IF(I437&gt;=8,"High",IF(I437&gt;=4,"Medium","Low"))</f>
        <v>Medium</v>
      </c>
    </row>
    <row r="438" customFormat="false" ht="15" hidden="false" customHeight="true" outlineLevel="0" collapsed="false">
      <c r="A438" s="7" t="n">
        <f aca="false">'Raw Data'!A438</f>
        <v>777</v>
      </c>
      <c r="B438" s="7" t="n">
        <f aca="false">'Raw Data'!B438</f>
        <v>89</v>
      </c>
      <c r="C438" s="7" t="str">
        <f aca="false">'Raw Data'!C438</f>
        <v>Male</v>
      </c>
      <c r="D438" s="7" t="str">
        <f aca="false">'Raw Data'!D438</f>
        <v>Never</v>
      </c>
      <c r="E438" s="7" t="str">
        <f aca="false">'Raw Data'!J438</f>
        <v>Normal</v>
      </c>
      <c r="F438" s="7" t="n">
        <f aca="false">'Raw Data'!K438</f>
        <v>213</v>
      </c>
      <c r="G438" s="7" t="str">
        <f aca="false">'Raw Data'!L438</f>
        <v>No</v>
      </c>
      <c r="H438" s="7" t="str">
        <f aca="false">'Raw Data'!M438</f>
        <v>Moderate</v>
      </c>
      <c r="I438" s="7" t="n">
        <f aca="false">(IF(D438="Current",3,IF(D438="Former",1,0)))+(IF(E438="High",3,IF(E438="Normal",1,0)))+(IF(F438&gt;=240,2,IF(F438&gt;=200,1,0)))+(IF(G438="Yes",2,0))+(IF(H438="High",2,IF(H438="Moderate",1,0)))</f>
        <v>3</v>
      </c>
      <c r="J438" s="7" t="str">
        <f aca="false">IF(I438&gt;=8,"High",IF(I438&gt;=4,"Medium","Low"))</f>
        <v>Low</v>
      </c>
    </row>
    <row r="439" customFormat="false" ht="15" hidden="false" customHeight="true" outlineLevel="0" collapsed="false">
      <c r="A439" s="7" t="n">
        <f aca="false">'Raw Data'!A439</f>
        <v>785</v>
      </c>
      <c r="B439" s="7" t="n">
        <f aca="false">'Raw Data'!B439</f>
        <v>43</v>
      </c>
      <c r="C439" s="7" t="str">
        <f aca="false">'Raw Data'!C439</f>
        <v>Male</v>
      </c>
      <c r="D439" s="7" t="str">
        <f aca="false">'Raw Data'!D439</f>
        <v>Never</v>
      </c>
      <c r="E439" s="7" t="str">
        <f aca="false">'Raw Data'!J439</f>
        <v>Normal</v>
      </c>
      <c r="F439" s="7" t="n">
        <f aca="false">'Raw Data'!K439</f>
        <v>185.3</v>
      </c>
      <c r="G439" s="7" t="str">
        <f aca="false">'Raw Data'!L439</f>
        <v>No</v>
      </c>
      <c r="H439" s="7" t="str">
        <f aca="false">'Raw Data'!M439</f>
        <v>Moderate</v>
      </c>
      <c r="I439" s="7" t="n">
        <f aca="false">(IF(D439="Current",3,IF(D439="Former",1,0)))+(IF(E439="High",3,IF(E439="Normal",1,0)))+(IF(F439&gt;=240,2,IF(F439&gt;=200,1,0)))+(IF(G439="Yes",2,0))+(IF(H439="High",2,IF(H439="Moderate",1,0)))</f>
        <v>2</v>
      </c>
      <c r="J439" s="7" t="str">
        <f aca="false">IF(I439&gt;=8,"High",IF(I439&gt;=4,"Medium","Low"))</f>
        <v>Low</v>
      </c>
    </row>
    <row r="440" customFormat="false" ht="15" hidden="false" customHeight="true" outlineLevel="0" collapsed="false">
      <c r="A440" s="7" t="n">
        <f aca="false">'Raw Data'!A440</f>
        <v>805</v>
      </c>
      <c r="B440" s="7" t="n">
        <f aca="false">'Raw Data'!B440</f>
        <v>48</v>
      </c>
      <c r="C440" s="7" t="str">
        <f aca="false">'Raw Data'!C440</f>
        <v>Male</v>
      </c>
      <c r="D440" s="7" t="str">
        <f aca="false">'Raw Data'!D440</f>
        <v>Never</v>
      </c>
      <c r="E440" s="7" t="str">
        <f aca="false">'Raw Data'!J440</f>
        <v>Normal</v>
      </c>
      <c r="F440" s="7" t="n">
        <f aca="false">'Raw Data'!K440</f>
        <v>159.8</v>
      </c>
      <c r="G440" s="7" t="str">
        <f aca="false">'Raw Data'!L440</f>
        <v>No</v>
      </c>
      <c r="H440" s="7" t="str">
        <f aca="false">'Raw Data'!M440</f>
        <v>Moderate</v>
      </c>
      <c r="I440" s="7" t="n">
        <f aca="false">(IF(D440="Current",3,IF(D440="Former",1,0)))+(IF(E440="High",3,IF(E440="Normal",1,0)))+(IF(F440&gt;=240,2,IF(F440&gt;=200,1,0)))+(IF(G440="Yes",2,0))+(IF(H440="High",2,IF(H440="Moderate",1,0)))</f>
        <v>2</v>
      </c>
      <c r="J440" s="7" t="str">
        <f aca="false">IF(I440&gt;=8,"High",IF(I440&gt;=4,"Medium","Low"))</f>
        <v>Low</v>
      </c>
    </row>
    <row r="441" customFormat="false" ht="15" hidden="false" customHeight="true" outlineLevel="0" collapsed="false">
      <c r="A441" s="7" t="n">
        <f aca="false">'Raw Data'!A441</f>
        <v>834</v>
      </c>
      <c r="B441" s="7" t="n">
        <f aca="false">'Raw Data'!B441</f>
        <v>54</v>
      </c>
      <c r="C441" s="7" t="str">
        <f aca="false">'Raw Data'!C441</f>
        <v>Male</v>
      </c>
      <c r="D441" s="7" t="str">
        <f aca="false">'Raw Data'!D441</f>
        <v>Never</v>
      </c>
      <c r="E441" s="7" t="str">
        <f aca="false">'Raw Data'!J441</f>
        <v>Normal</v>
      </c>
      <c r="F441" s="7" t="n">
        <f aca="false">'Raw Data'!K441</f>
        <v>125.1</v>
      </c>
      <c r="G441" s="7" t="str">
        <f aca="false">'Raw Data'!L441</f>
        <v>No</v>
      </c>
      <c r="H441" s="7" t="str">
        <f aca="false">'Raw Data'!M441</f>
        <v>Moderate</v>
      </c>
      <c r="I441" s="7" t="n">
        <f aca="false">(IF(D441="Current",3,IF(D441="Former",1,0)))+(IF(E441="High",3,IF(E441="Normal",1,0)))+(IF(F441&gt;=240,2,IF(F441&gt;=200,1,0)))+(IF(G441="Yes",2,0))+(IF(H441="High",2,IF(H441="Moderate",1,0)))</f>
        <v>2</v>
      </c>
      <c r="J441" s="7" t="str">
        <f aca="false">IF(I441&gt;=8,"High",IF(I441&gt;=4,"Medium","Low"))</f>
        <v>Low</v>
      </c>
    </row>
    <row r="442" customFormat="false" ht="15" hidden="false" customHeight="true" outlineLevel="0" collapsed="false">
      <c r="A442" s="7" t="n">
        <f aca="false">'Raw Data'!A442</f>
        <v>843</v>
      </c>
      <c r="B442" s="7" t="n">
        <f aca="false">'Raw Data'!B442</f>
        <v>66</v>
      </c>
      <c r="C442" s="7" t="str">
        <f aca="false">'Raw Data'!C442</f>
        <v>Female</v>
      </c>
      <c r="D442" s="7" t="str">
        <f aca="false">'Raw Data'!D442</f>
        <v>Never</v>
      </c>
      <c r="E442" s="7" t="str">
        <f aca="false">'Raw Data'!J442</f>
        <v>Normal</v>
      </c>
      <c r="F442" s="7" t="n">
        <f aca="false">'Raw Data'!K442</f>
        <v>204.7</v>
      </c>
      <c r="G442" s="7" t="str">
        <f aca="false">'Raw Data'!L442</f>
        <v>No</v>
      </c>
      <c r="H442" s="7" t="str">
        <f aca="false">'Raw Data'!M442</f>
        <v>Moderate</v>
      </c>
      <c r="I442" s="7" t="n">
        <f aca="false">(IF(D442="Current",3,IF(D442="Former",1,0)))+(IF(E442="High",3,IF(E442="Normal",1,0)))+(IF(F442&gt;=240,2,IF(F442&gt;=200,1,0)))+(IF(G442="Yes",2,0))+(IF(H442="High",2,IF(H442="Moderate",1,0)))</f>
        <v>3</v>
      </c>
      <c r="J442" s="7" t="str">
        <f aca="false">IF(I442&gt;=8,"High",IF(I442&gt;=4,"Medium","Low"))</f>
        <v>Low</v>
      </c>
    </row>
    <row r="443" customFormat="false" ht="15" hidden="false" customHeight="true" outlineLevel="0" collapsed="false">
      <c r="A443" s="7" t="n">
        <f aca="false">'Raw Data'!A443</f>
        <v>886</v>
      </c>
      <c r="B443" s="7" t="n">
        <f aca="false">'Raw Data'!B443</f>
        <v>78</v>
      </c>
      <c r="C443" s="7" t="str">
        <f aca="false">'Raw Data'!C443</f>
        <v>Female</v>
      </c>
      <c r="D443" s="7" t="str">
        <f aca="false">'Raw Data'!D443</f>
        <v>Never</v>
      </c>
      <c r="E443" s="7" t="str">
        <f aca="false">'Raw Data'!J443</f>
        <v>Normal</v>
      </c>
      <c r="F443" s="7" t="n">
        <f aca="false">'Raw Data'!K443</f>
        <v>121.5</v>
      </c>
      <c r="G443" s="7" t="str">
        <f aca="false">'Raw Data'!L443</f>
        <v>No</v>
      </c>
      <c r="H443" s="7" t="str">
        <f aca="false">'Raw Data'!M443</f>
        <v>Moderate</v>
      </c>
      <c r="I443" s="7" t="n">
        <f aca="false">(IF(D443="Current",3,IF(D443="Former",1,0)))+(IF(E443="High",3,IF(E443="Normal",1,0)))+(IF(F443&gt;=240,2,IF(F443&gt;=200,1,0)))+(IF(G443="Yes",2,0))+(IF(H443="High",2,IF(H443="Moderate",1,0)))</f>
        <v>2</v>
      </c>
      <c r="J443" s="7" t="str">
        <f aca="false">IF(I443&gt;=8,"High",IF(I443&gt;=4,"Medium","Low"))</f>
        <v>Low</v>
      </c>
    </row>
    <row r="444" customFormat="false" ht="15" hidden="false" customHeight="true" outlineLevel="0" collapsed="false">
      <c r="A444" s="7" t="n">
        <f aca="false">'Raw Data'!A444</f>
        <v>899</v>
      </c>
      <c r="B444" s="7" t="n">
        <f aca="false">'Raw Data'!B444</f>
        <v>24</v>
      </c>
      <c r="C444" s="7" t="str">
        <f aca="false">'Raw Data'!C444</f>
        <v>Female</v>
      </c>
      <c r="D444" s="7" t="str">
        <f aca="false">'Raw Data'!D444</f>
        <v>Never</v>
      </c>
      <c r="E444" s="7" t="str">
        <f aca="false">'Raw Data'!J444</f>
        <v>Normal</v>
      </c>
      <c r="F444" s="7" t="n">
        <f aca="false">'Raw Data'!K444</f>
        <v>158.6</v>
      </c>
      <c r="G444" s="7" t="str">
        <f aca="false">'Raw Data'!L444</f>
        <v>No</v>
      </c>
      <c r="H444" s="7" t="str">
        <f aca="false">'Raw Data'!M444</f>
        <v>Moderate</v>
      </c>
      <c r="I444" s="7" t="n">
        <f aca="false">(IF(D444="Current",3,IF(D444="Former",1,0)))+(IF(E444="High",3,IF(E444="Normal",1,0)))+(IF(F444&gt;=240,2,IF(F444&gt;=200,1,0)))+(IF(G444="Yes",2,0))+(IF(H444="High",2,IF(H444="Moderate",1,0)))</f>
        <v>2</v>
      </c>
      <c r="J444" s="7" t="str">
        <f aca="false">IF(I444&gt;=8,"High",IF(I444&gt;=4,"Medium","Low"))</f>
        <v>Low</v>
      </c>
    </row>
    <row r="445" customFormat="false" ht="15" hidden="false" customHeight="true" outlineLevel="0" collapsed="false">
      <c r="A445" s="7" t="n">
        <f aca="false">'Raw Data'!A445</f>
        <v>907</v>
      </c>
      <c r="B445" s="7" t="n">
        <f aca="false">'Raw Data'!B445</f>
        <v>43</v>
      </c>
      <c r="C445" s="7" t="str">
        <f aca="false">'Raw Data'!C445</f>
        <v>Female</v>
      </c>
      <c r="D445" s="7" t="str">
        <f aca="false">'Raw Data'!D445</f>
        <v>Never</v>
      </c>
      <c r="E445" s="7" t="str">
        <f aca="false">'Raw Data'!J445</f>
        <v>Normal</v>
      </c>
      <c r="F445" s="7" t="n">
        <f aca="false">'Raw Data'!K445</f>
        <v>139.3</v>
      </c>
      <c r="G445" s="7" t="str">
        <f aca="false">'Raw Data'!L445</f>
        <v>No</v>
      </c>
      <c r="H445" s="7" t="str">
        <f aca="false">'Raw Data'!M445</f>
        <v>Moderate</v>
      </c>
      <c r="I445" s="7" t="n">
        <f aca="false">(IF(D445="Current",3,IF(D445="Former",1,0)))+(IF(E445="High",3,IF(E445="Normal",1,0)))+(IF(F445&gt;=240,2,IF(F445&gt;=200,1,0)))+(IF(G445="Yes",2,0))+(IF(H445="High",2,IF(H445="Moderate",1,0)))</f>
        <v>2</v>
      </c>
      <c r="J445" s="7" t="str">
        <f aca="false">IF(I445&gt;=8,"High",IF(I445&gt;=4,"Medium","Low"))</f>
        <v>Low</v>
      </c>
    </row>
    <row r="446" customFormat="false" ht="15" hidden="false" customHeight="true" outlineLevel="0" collapsed="false">
      <c r="A446" s="7" t="n">
        <f aca="false">'Raw Data'!A446</f>
        <v>908</v>
      </c>
      <c r="B446" s="7" t="n">
        <f aca="false">'Raw Data'!B446</f>
        <v>47</v>
      </c>
      <c r="C446" s="7" t="str">
        <f aca="false">'Raw Data'!C446</f>
        <v>Female</v>
      </c>
      <c r="D446" s="7" t="str">
        <f aca="false">'Raw Data'!D446</f>
        <v>Never</v>
      </c>
      <c r="E446" s="7" t="str">
        <f aca="false">'Raw Data'!J446</f>
        <v>Normal</v>
      </c>
      <c r="F446" s="7" t="n">
        <f aca="false">'Raw Data'!K446</f>
        <v>125.4</v>
      </c>
      <c r="G446" s="7" t="str">
        <f aca="false">'Raw Data'!L446</f>
        <v>No</v>
      </c>
      <c r="H446" s="7" t="str">
        <f aca="false">'Raw Data'!M446</f>
        <v>Moderate</v>
      </c>
      <c r="I446" s="7" t="n">
        <f aca="false">(IF(D446="Current",3,IF(D446="Former",1,0)))+(IF(E446="High",3,IF(E446="Normal",1,0)))+(IF(F446&gt;=240,2,IF(F446&gt;=200,1,0)))+(IF(G446="Yes",2,0))+(IF(H446="High",2,IF(H446="Moderate",1,0)))</f>
        <v>2</v>
      </c>
      <c r="J446" s="7" t="str">
        <f aca="false">IF(I446&gt;=8,"High",IF(I446&gt;=4,"Medium","Low"))</f>
        <v>Low</v>
      </c>
    </row>
    <row r="447" customFormat="false" ht="15" hidden="false" customHeight="true" outlineLevel="0" collapsed="false">
      <c r="A447" s="7" t="n">
        <f aca="false">'Raw Data'!A447</f>
        <v>935</v>
      </c>
      <c r="B447" s="7" t="n">
        <f aca="false">'Raw Data'!B447</f>
        <v>79</v>
      </c>
      <c r="C447" s="7" t="str">
        <f aca="false">'Raw Data'!C447</f>
        <v>Female</v>
      </c>
      <c r="D447" s="7" t="str">
        <f aca="false">'Raw Data'!D447</f>
        <v>Never</v>
      </c>
      <c r="E447" s="7" t="str">
        <f aca="false">'Raw Data'!J447</f>
        <v>Normal</v>
      </c>
      <c r="F447" s="7" t="n">
        <f aca="false">'Raw Data'!K447</f>
        <v>168.4</v>
      </c>
      <c r="G447" s="7" t="str">
        <f aca="false">'Raw Data'!L447</f>
        <v>No</v>
      </c>
      <c r="H447" s="7" t="str">
        <f aca="false">'Raw Data'!M447</f>
        <v>Moderate</v>
      </c>
      <c r="I447" s="7" t="n">
        <f aca="false">(IF(D447="Current",3,IF(D447="Former",1,0)))+(IF(E447="High",3,IF(E447="Normal",1,0)))+(IF(F447&gt;=240,2,IF(F447&gt;=200,1,0)))+(IF(G447="Yes",2,0))+(IF(H447="High",2,IF(H447="Moderate",1,0)))</f>
        <v>2</v>
      </c>
      <c r="J447" s="7" t="str">
        <f aca="false">IF(I447&gt;=8,"High",IF(I447&gt;=4,"Medium","Low"))</f>
        <v>Low</v>
      </c>
    </row>
    <row r="448" customFormat="false" ht="15" hidden="false" customHeight="true" outlineLevel="0" collapsed="false">
      <c r="A448" s="7" t="n">
        <f aca="false">'Raw Data'!A448</f>
        <v>938</v>
      </c>
      <c r="B448" s="7" t="n">
        <f aca="false">'Raw Data'!B448</f>
        <v>22</v>
      </c>
      <c r="C448" s="7" t="str">
        <f aca="false">'Raw Data'!C448</f>
        <v>Male</v>
      </c>
      <c r="D448" s="7" t="str">
        <f aca="false">'Raw Data'!D448</f>
        <v>Never</v>
      </c>
      <c r="E448" s="7" t="str">
        <f aca="false">'Raw Data'!J448</f>
        <v>Normal</v>
      </c>
      <c r="F448" s="7" t="n">
        <f aca="false">'Raw Data'!K448</f>
        <v>241.3</v>
      </c>
      <c r="G448" s="7" t="str">
        <f aca="false">'Raw Data'!L448</f>
        <v>No</v>
      </c>
      <c r="H448" s="7" t="str">
        <f aca="false">'Raw Data'!M448</f>
        <v>Moderate</v>
      </c>
      <c r="I448" s="7" t="n">
        <f aca="false">(IF(D448="Current",3,IF(D448="Former",1,0)))+(IF(E448="High",3,IF(E448="Normal",1,0)))+(IF(F448&gt;=240,2,IF(F448&gt;=200,1,0)))+(IF(G448="Yes",2,0))+(IF(H448="High",2,IF(H448="Moderate",1,0)))</f>
        <v>4</v>
      </c>
      <c r="J448" s="7" t="str">
        <f aca="false">IF(I448&gt;=8,"High",IF(I448&gt;=4,"Medium","Low"))</f>
        <v>Medium</v>
      </c>
    </row>
    <row r="449" customFormat="false" ht="15" hidden="false" customHeight="true" outlineLevel="0" collapsed="false">
      <c r="A449" s="7" t="n">
        <f aca="false">'Raw Data'!A449</f>
        <v>945</v>
      </c>
      <c r="B449" s="7" t="n">
        <f aca="false">'Raw Data'!B449</f>
        <v>66</v>
      </c>
      <c r="C449" s="7" t="str">
        <f aca="false">'Raw Data'!C449</f>
        <v>Female</v>
      </c>
      <c r="D449" s="7" t="str">
        <f aca="false">'Raw Data'!D449</f>
        <v>Never</v>
      </c>
      <c r="E449" s="7" t="str">
        <f aca="false">'Raw Data'!J449</f>
        <v>Normal</v>
      </c>
      <c r="F449" s="7" t="n">
        <f aca="false">'Raw Data'!K449</f>
        <v>148.3</v>
      </c>
      <c r="G449" s="7" t="str">
        <f aca="false">'Raw Data'!L449</f>
        <v>No</v>
      </c>
      <c r="H449" s="7" t="str">
        <f aca="false">'Raw Data'!M449</f>
        <v>Moderate</v>
      </c>
      <c r="I449" s="7" t="n">
        <f aca="false">(IF(D449="Current",3,IF(D449="Former",1,0)))+(IF(E449="High",3,IF(E449="Normal",1,0)))+(IF(F449&gt;=240,2,IF(F449&gt;=200,1,0)))+(IF(G449="Yes",2,0))+(IF(H449="High",2,IF(H449="Moderate",1,0)))</f>
        <v>2</v>
      </c>
      <c r="J449" s="7" t="str">
        <f aca="false">IF(I449&gt;=8,"High",IF(I449&gt;=4,"Medium","Low"))</f>
        <v>Low</v>
      </c>
    </row>
    <row r="450" customFormat="false" ht="15" hidden="false" customHeight="true" outlineLevel="0" collapsed="false">
      <c r="A450" s="7" t="n">
        <f aca="false">'Raw Data'!A450</f>
        <v>985</v>
      </c>
      <c r="B450" s="7" t="n">
        <f aca="false">'Raw Data'!B450</f>
        <v>53</v>
      </c>
      <c r="C450" s="7" t="str">
        <f aca="false">'Raw Data'!C450</f>
        <v>Male</v>
      </c>
      <c r="D450" s="7" t="str">
        <f aca="false">'Raw Data'!D450</f>
        <v>Never</v>
      </c>
      <c r="E450" s="7" t="str">
        <f aca="false">'Raw Data'!J450</f>
        <v>Normal</v>
      </c>
      <c r="F450" s="7" t="n">
        <f aca="false">'Raw Data'!K450</f>
        <v>220.8</v>
      </c>
      <c r="G450" s="7" t="str">
        <f aca="false">'Raw Data'!L450</f>
        <v>No</v>
      </c>
      <c r="H450" s="7" t="str">
        <f aca="false">'Raw Data'!M450</f>
        <v>Moderate</v>
      </c>
      <c r="I450" s="7" t="n">
        <f aca="false">(IF(D450="Current",3,IF(D450="Former",1,0)))+(IF(E450="High",3,IF(E450="Normal",1,0)))+(IF(F450&gt;=240,2,IF(F450&gt;=200,1,0)))+(IF(G450="Yes",2,0))+(IF(H450="High",2,IF(H450="Moderate",1,0)))</f>
        <v>3</v>
      </c>
      <c r="J450" s="7" t="str">
        <f aca="false">IF(I450&gt;=8,"High",IF(I450&gt;=4,"Medium","Low"))</f>
        <v>Low</v>
      </c>
    </row>
    <row r="451" customFormat="false" ht="15" hidden="false" customHeight="true" outlineLevel="0" collapsed="false">
      <c r="A451" s="7" t="n">
        <f aca="false">'Raw Data'!A451</f>
        <v>991</v>
      </c>
      <c r="B451" s="7" t="n">
        <f aca="false">'Raw Data'!B451</f>
        <v>87</v>
      </c>
      <c r="C451" s="7" t="str">
        <f aca="false">'Raw Data'!C451</f>
        <v>Male</v>
      </c>
      <c r="D451" s="7" t="str">
        <f aca="false">'Raw Data'!D451</f>
        <v>Never</v>
      </c>
      <c r="E451" s="7" t="str">
        <f aca="false">'Raw Data'!J451</f>
        <v>Normal</v>
      </c>
      <c r="F451" s="7" t="n">
        <f aca="false">'Raw Data'!K451</f>
        <v>296.1</v>
      </c>
      <c r="G451" s="7" t="str">
        <f aca="false">'Raw Data'!L451</f>
        <v>No</v>
      </c>
      <c r="H451" s="7" t="str">
        <f aca="false">'Raw Data'!M451</f>
        <v>Moderate</v>
      </c>
      <c r="I451" s="7" t="n">
        <f aca="false">(IF(D451="Current",3,IF(D451="Former",1,0)))+(IF(E451="High",3,IF(E451="Normal",1,0)))+(IF(F451&gt;=240,2,IF(F451&gt;=200,1,0)))+(IF(G451="Yes",2,0))+(IF(H451="High",2,IF(H451="Moderate",1,0)))</f>
        <v>4</v>
      </c>
      <c r="J451" s="7" t="str">
        <f aca="false">IF(I451&gt;=8,"High",IF(I451&gt;=4,"Medium","Low"))</f>
        <v>Medium</v>
      </c>
    </row>
    <row r="452" customFormat="false" ht="15" hidden="false" customHeight="true" outlineLevel="0" collapsed="false">
      <c r="A452" s="7" t="n">
        <f aca="false">'Raw Data'!A452</f>
        <v>999</v>
      </c>
      <c r="B452" s="7" t="n">
        <f aca="false">'Raw Data'!B452</f>
        <v>30</v>
      </c>
      <c r="C452" s="7" t="str">
        <f aca="false">'Raw Data'!C452</f>
        <v>Female</v>
      </c>
      <c r="D452" s="7" t="str">
        <f aca="false">'Raw Data'!D452</f>
        <v>Never</v>
      </c>
      <c r="E452" s="7" t="str">
        <f aca="false">'Raw Data'!J452</f>
        <v>Normal</v>
      </c>
      <c r="F452" s="7" t="n">
        <f aca="false">'Raw Data'!K452</f>
        <v>212.1</v>
      </c>
      <c r="G452" s="7" t="str">
        <f aca="false">'Raw Data'!L452</f>
        <v>No</v>
      </c>
      <c r="H452" s="7" t="str">
        <f aca="false">'Raw Data'!M452</f>
        <v>Moderate</v>
      </c>
      <c r="I452" s="7" t="n">
        <f aca="false">(IF(D452="Current",3,IF(D452="Former",1,0)))+(IF(E452="High",3,IF(E452="Normal",1,0)))+(IF(F452&gt;=240,2,IF(F452&gt;=200,1,0)))+(IF(G452="Yes",2,0))+(IF(H452="High",2,IF(H452="Moderate",1,0)))</f>
        <v>3</v>
      </c>
      <c r="J452" s="7" t="str">
        <f aca="false">IF(I452&gt;=8,"High",IF(I452&gt;=4,"Medium","Low"))</f>
        <v>Low</v>
      </c>
    </row>
    <row r="453" customFormat="false" ht="15" hidden="false" customHeight="true" outlineLevel="0" collapsed="false">
      <c r="A453" s="7" t="n">
        <f aca="false">'Raw Data'!A453</f>
        <v>1024</v>
      </c>
      <c r="B453" s="7" t="n">
        <f aca="false">'Raw Data'!B453</f>
        <v>69</v>
      </c>
      <c r="C453" s="7" t="str">
        <f aca="false">'Raw Data'!C453</f>
        <v>Male</v>
      </c>
      <c r="D453" s="7" t="str">
        <f aca="false">'Raw Data'!D453</f>
        <v>Never</v>
      </c>
      <c r="E453" s="7" t="str">
        <f aca="false">'Raw Data'!J453</f>
        <v>Normal</v>
      </c>
      <c r="F453" s="7" t="n">
        <f aca="false">'Raw Data'!K453</f>
        <v>283.1</v>
      </c>
      <c r="G453" s="7" t="str">
        <f aca="false">'Raw Data'!L453</f>
        <v>No</v>
      </c>
      <c r="H453" s="7" t="str">
        <f aca="false">'Raw Data'!M453</f>
        <v>Moderate</v>
      </c>
      <c r="I453" s="7" t="n">
        <f aca="false">(IF(D453="Current",3,IF(D453="Former",1,0)))+(IF(E453="High",3,IF(E453="Normal",1,0)))+(IF(F453&gt;=240,2,IF(F453&gt;=200,1,0)))+(IF(G453="Yes",2,0))+(IF(H453="High",2,IF(H453="Moderate",1,0)))</f>
        <v>4</v>
      </c>
      <c r="J453" s="7" t="str">
        <f aca="false">IF(I453&gt;=8,"High",IF(I453&gt;=4,"Medium","Low"))</f>
        <v>Medium</v>
      </c>
    </row>
    <row r="454" customFormat="false" ht="15" hidden="false" customHeight="true" outlineLevel="0" collapsed="false">
      <c r="A454" s="7" t="n">
        <f aca="false">'Raw Data'!A454</f>
        <v>1025</v>
      </c>
      <c r="B454" s="7" t="n">
        <f aca="false">'Raw Data'!B454</f>
        <v>50</v>
      </c>
      <c r="C454" s="7" t="str">
        <f aca="false">'Raw Data'!C454</f>
        <v>Male</v>
      </c>
      <c r="D454" s="7" t="str">
        <f aca="false">'Raw Data'!D454</f>
        <v>Never</v>
      </c>
      <c r="E454" s="7" t="str">
        <f aca="false">'Raw Data'!J454</f>
        <v>Normal</v>
      </c>
      <c r="F454" s="7" t="n">
        <f aca="false">'Raw Data'!K454</f>
        <v>277.5</v>
      </c>
      <c r="G454" s="7" t="str">
        <f aca="false">'Raw Data'!L454</f>
        <v>No</v>
      </c>
      <c r="H454" s="7" t="str">
        <f aca="false">'Raw Data'!M454</f>
        <v>Moderate</v>
      </c>
      <c r="I454" s="7" t="n">
        <f aca="false">(IF(D454="Current",3,IF(D454="Former",1,0)))+(IF(E454="High",3,IF(E454="Normal",1,0)))+(IF(F454&gt;=240,2,IF(F454&gt;=200,1,0)))+(IF(G454="Yes",2,0))+(IF(H454="High",2,IF(H454="Moderate",1,0)))</f>
        <v>4</v>
      </c>
      <c r="J454" s="7" t="str">
        <f aca="false">IF(I454&gt;=8,"High",IF(I454&gt;=4,"Medium","Low"))</f>
        <v>Medium</v>
      </c>
    </row>
    <row r="455" customFormat="false" ht="15" hidden="false" customHeight="true" outlineLevel="0" collapsed="false">
      <c r="A455" s="7" t="n">
        <f aca="false">'Raw Data'!A455</f>
        <v>1042</v>
      </c>
      <c r="B455" s="7" t="n">
        <f aca="false">'Raw Data'!B455</f>
        <v>51</v>
      </c>
      <c r="C455" s="7" t="str">
        <f aca="false">'Raw Data'!C455</f>
        <v>Male</v>
      </c>
      <c r="D455" s="7" t="str">
        <f aca="false">'Raw Data'!D455</f>
        <v>Never</v>
      </c>
      <c r="E455" s="7" t="str">
        <f aca="false">'Raw Data'!J455</f>
        <v>Normal</v>
      </c>
      <c r="F455" s="7" t="n">
        <f aca="false">'Raw Data'!K455</f>
        <v>147.7</v>
      </c>
      <c r="G455" s="7" t="str">
        <f aca="false">'Raw Data'!L455</f>
        <v>No</v>
      </c>
      <c r="H455" s="7" t="str">
        <f aca="false">'Raw Data'!M455</f>
        <v>Moderate</v>
      </c>
      <c r="I455" s="7" t="n">
        <f aca="false">(IF(D455="Current",3,IF(D455="Former",1,0)))+(IF(E455="High",3,IF(E455="Normal",1,0)))+(IF(F455&gt;=240,2,IF(F455&gt;=200,1,0)))+(IF(G455="Yes",2,0))+(IF(H455="High",2,IF(H455="Moderate",1,0)))</f>
        <v>2</v>
      </c>
      <c r="J455" s="7" t="str">
        <f aca="false">IF(I455&gt;=8,"High",IF(I455&gt;=4,"Medium","Low"))</f>
        <v>Low</v>
      </c>
    </row>
    <row r="456" customFormat="false" ht="15" hidden="false" customHeight="true" outlineLevel="0" collapsed="false">
      <c r="A456" s="7" t="n">
        <f aca="false">'Raw Data'!A456</f>
        <v>1063</v>
      </c>
      <c r="B456" s="7" t="n">
        <f aca="false">'Raw Data'!B456</f>
        <v>81</v>
      </c>
      <c r="C456" s="7" t="str">
        <f aca="false">'Raw Data'!C456</f>
        <v>Female</v>
      </c>
      <c r="D456" s="7" t="str">
        <f aca="false">'Raw Data'!D456</f>
        <v>Never</v>
      </c>
      <c r="E456" s="7" t="str">
        <f aca="false">'Raw Data'!J456</f>
        <v>Normal</v>
      </c>
      <c r="F456" s="7" t="n">
        <f aca="false">'Raw Data'!K456</f>
        <v>174.8</v>
      </c>
      <c r="G456" s="7" t="str">
        <f aca="false">'Raw Data'!L456</f>
        <v>No</v>
      </c>
      <c r="H456" s="7" t="str">
        <f aca="false">'Raw Data'!M456</f>
        <v>Moderate</v>
      </c>
      <c r="I456" s="7" t="n">
        <f aca="false">(IF(D456="Current",3,IF(D456="Former",1,0)))+(IF(E456="High",3,IF(E456="Normal",1,0)))+(IF(F456&gt;=240,2,IF(F456&gt;=200,1,0)))+(IF(G456="Yes",2,0))+(IF(H456="High",2,IF(H456="Moderate",1,0)))</f>
        <v>2</v>
      </c>
      <c r="J456" s="7" t="str">
        <f aca="false">IF(I456&gt;=8,"High",IF(I456&gt;=4,"Medium","Low"))</f>
        <v>Low</v>
      </c>
    </row>
    <row r="457" customFormat="false" ht="15" hidden="false" customHeight="true" outlineLevel="0" collapsed="false">
      <c r="A457" s="7" t="n">
        <f aca="false">'Raw Data'!A457</f>
        <v>1084</v>
      </c>
      <c r="B457" s="7" t="n">
        <f aca="false">'Raw Data'!B457</f>
        <v>24</v>
      </c>
      <c r="C457" s="7" t="str">
        <f aca="false">'Raw Data'!C457</f>
        <v>Female</v>
      </c>
      <c r="D457" s="7" t="str">
        <f aca="false">'Raw Data'!D457</f>
        <v>Never</v>
      </c>
      <c r="E457" s="7" t="str">
        <f aca="false">'Raw Data'!J457</f>
        <v>Normal</v>
      </c>
      <c r="F457" s="7" t="n">
        <f aca="false">'Raw Data'!K457</f>
        <v>263.8</v>
      </c>
      <c r="G457" s="7" t="str">
        <f aca="false">'Raw Data'!L457</f>
        <v>No</v>
      </c>
      <c r="H457" s="7" t="str">
        <f aca="false">'Raw Data'!M457</f>
        <v>Moderate</v>
      </c>
      <c r="I457" s="7" t="n">
        <f aca="false">(IF(D457="Current",3,IF(D457="Former",1,0)))+(IF(E457="High",3,IF(E457="Normal",1,0)))+(IF(F457&gt;=240,2,IF(F457&gt;=200,1,0)))+(IF(G457="Yes",2,0))+(IF(H457="High",2,IF(H457="Moderate",1,0)))</f>
        <v>4</v>
      </c>
      <c r="J457" s="7" t="str">
        <f aca="false">IF(I457&gt;=8,"High",IF(I457&gt;=4,"Medium","Low"))</f>
        <v>Medium</v>
      </c>
    </row>
    <row r="458" customFormat="false" ht="15" hidden="false" customHeight="true" outlineLevel="0" collapsed="false">
      <c r="A458" s="7" t="n">
        <f aca="false">'Raw Data'!A458</f>
        <v>1092</v>
      </c>
      <c r="B458" s="7" t="n">
        <f aca="false">'Raw Data'!B458</f>
        <v>61</v>
      </c>
      <c r="C458" s="7" t="str">
        <f aca="false">'Raw Data'!C458</f>
        <v>Female</v>
      </c>
      <c r="D458" s="7" t="str">
        <f aca="false">'Raw Data'!D458</f>
        <v>Never</v>
      </c>
      <c r="E458" s="7" t="str">
        <f aca="false">'Raw Data'!J458</f>
        <v>Normal</v>
      </c>
      <c r="F458" s="7" t="n">
        <f aca="false">'Raw Data'!K458</f>
        <v>203.7</v>
      </c>
      <c r="G458" s="7" t="str">
        <f aca="false">'Raw Data'!L458</f>
        <v>No</v>
      </c>
      <c r="H458" s="7" t="str">
        <f aca="false">'Raw Data'!M458</f>
        <v>Moderate</v>
      </c>
      <c r="I458" s="7" t="n">
        <f aca="false">(IF(D458="Current",3,IF(D458="Former",1,0)))+(IF(E458="High",3,IF(E458="Normal",1,0)))+(IF(F458&gt;=240,2,IF(F458&gt;=200,1,0)))+(IF(G458="Yes",2,0))+(IF(H458="High",2,IF(H458="Moderate",1,0)))</f>
        <v>3</v>
      </c>
      <c r="J458" s="7" t="str">
        <f aca="false">IF(I458&gt;=8,"High",IF(I458&gt;=4,"Medium","Low"))</f>
        <v>Low</v>
      </c>
    </row>
    <row r="459" customFormat="false" ht="15" hidden="false" customHeight="true" outlineLevel="0" collapsed="false">
      <c r="A459" s="7" t="n">
        <f aca="false">'Raw Data'!A459</f>
        <v>1098</v>
      </c>
      <c r="B459" s="7" t="n">
        <f aca="false">'Raw Data'!B459</f>
        <v>53</v>
      </c>
      <c r="C459" s="7" t="str">
        <f aca="false">'Raw Data'!C459</f>
        <v>Female</v>
      </c>
      <c r="D459" s="7" t="str">
        <f aca="false">'Raw Data'!D459</f>
        <v>Never</v>
      </c>
      <c r="E459" s="7" t="str">
        <f aca="false">'Raw Data'!J459</f>
        <v>Normal</v>
      </c>
      <c r="F459" s="7" t="n">
        <f aca="false">'Raw Data'!K459</f>
        <v>202.4</v>
      </c>
      <c r="G459" s="7" t="str">
        <f aca="false">'Raw Data'!L459</f>
        <v>No</v>
      </c>
      <c r="H459" s="7" t="str">
        <f aca="false">'Raw Data'!M459</f>
        <v>Moderate</v>
      </c>
      <c r="I459" s="7" t="n">
        <f aca="false">(IF(D459="Current",3,IF(D459="Former",1,0)))+(IF(E459="High",3,IF(E459="Normal",1,0)))+(IF(F459&gt;=240,2,IF(F459&gt;=200,1,0)))+(IF(G459="Yes",2,0))+(IF(H459="High",2,IF(H459="Moderate",1,0)))</f>
        <v>3</v>
      </c>
      <c r="J459" s="7" t="str">
        <f aca="false">IF(I459&gt;=8,"High",IF(I459&gt;=4,"Medium","Low"))</f>
        <v>Low</v>
      </c>
    </row>
    <row r="460" customFormat="false" ht="15" hidden="false" customHeight="true" outlineLevel="0" collapsed="false">
      <c r="A460" s="7" t="n">
        <f aca="false">'Raw Data'!A460</f>
        <v>1101</v>
      </c>
      <c r="B460" s="7" t="n">
        <f aca="false">'Raw Data'!B460</f>
        <v>48</v>
      </c>
      <c r="C460" s="7" t="str">
        <f aca="false">'Raw Data'!C460</f>
        <v>Male</v>
      </c>
      <c r="D460" s="7" t="str">
        <f aca="false">'Raw Data'!D460</f>
        <v>Never</v>
      </c>
      <c r="E460" s="7" t="str">
        <f aca="false">'Raw Data'!J460</f>
        <v>Normal</v>
      </c>
      <c r="F460" s="7" t="n">
        <f aca="false">'Raw Data'!K460</f>
        <v>184.3</v>
      </c>
      <c r="G460" s="7" t="str">
        <f aca="false">'Raw Data'!L460</f>
        <v>No</v>
      </c>
      <c r="H460" s="7" t="str">
        <f aca="false">'Raw Data'!M460</f>
        <v>Moderate</v>
      </c>
      <c r="I460" s="7" t="n">
        <f aca="false">(IF(D460="Current",3,IF(D460="Former",1,0)))+(IF(E460="High",3,IF(E460="Normal",1,0)))+(IF(F460&gt;=240,2,IF(F460&gt;=200,1,0)))+(IF(G460="Yes",2,0))+(IF(H460="High",2,IF(H460="Moderate",1,0)))</f>
        <v>2</v>
      </c>
      <c r="J460" s="7" t="str">
        <f aca="false">IF(I460&gt;=8,"High",IF(I460&gt;=4,"Medium","Low"))</f>
        <v>Low</v>
      </c>
    </row>
    <row r="461" customFormat="false" ht="15" hidden="false" customHeight="true" outlineLevel="0" collapsed="false">
      <c r="A461" s="7" t="n">
        <f aca="false">'Raw Data'!A461</f>
        <v>1104</v>
      </c>
      <c r="B461" s="7" t="n">
        <f aca="false">'Raw Data'!B461</f>
        <v>43</v>
      </c>
      <c r="C461" s="7" t="str">
        <f aca="false">'Raw Data'!C461</f>
        <v>Female</v>
      </c>
      <c r="D461" s="7" t="str">
        <f aca="false">'Raw Data'!D461</f>
        <v>Never</v>
      </c>
      <c r="E461" s="7" t="str">
        <f aca="false">'Raw Data'!J461</f>
        <v>Normal</v>
      </c>
      <c r="F461" s="7" t="n">
        <f aca="false">'Raw Data'!K461</f>
        <v>165.8</v>
      </c>
      <c r="G461" s="7" t="str">
        <f aca="false">'Raw Data'!L461</f>
        <v>No</v>
      </c>
      <c r="H461" s="7" t="str">
        <f aca="false">'Raw Data'!M461</f>
        <v>Moderate</v>
      </c>
      <c r="I461" s="7" t="n">
        <f aca="false">(IF(D461="Current",3,IF(D461="Former",1,0)))+(IF(E461="High",3,IF(E461="Normal",1,0)))+(IF(F461&gt;=240,2,IF(F461&gt;=200,1,0)))+(IF(G461="Yes",2,0))+(IF(H461="High",2,IF(H461="Moderate",1,0)))</f>
        <v>2</v>
      </c>
      <c r="J461" s="7" t="str">
        <f aca="false">IF(I461&gt;=8,"High",IF(I461&gt;=4,"Medium","Low"))</f>
        <v>Low</v>
      </c>
    </row>
    <row r="462" customFormat="false" ht="15" hidden="false" customHeight="true" outlineLevel="0" collapsed="false">
      <c r="A462" s="7" t="n">
        <f aca="false">'Raw Data'!A462</f>
        <v>1120</v>
      </c>
      <c r="B462" s="7" t="n">
        <f aca="false">'Raw Data'!B462</f>
        <v>87</v>
      </c>
      <c r="C462" s="7" t="str">
        <f aca="false">'Raw Data'!C462</f>
        <v>Male</v>
      </c>
      <c r="D462" s="7" t="str">
        <f aca="false">'Raw Data'!D462</f>
        <v>Never</v>
      </c>
      <c r="E462" s="7" t="str">
        <f aca="false">'Raw Data'!J462</f>
        <v>Normal</v>
      </c>
      <c r="F462" s="7" t="n">
        <f aca="false">'Raw Data'!K462</f>
        <v>212.2</v>
      </c>
      <c r="G462" s="7" t="str">
        <f aca="false">'Raw Data'!L462</f>
        <v>No</v>
      </c>
      <c r="H462" s="7" t="str">
        <f aca="false">'Raw Data'!M462</f>
        <v>Moderate</v>
      </c>
      <c r="I462" s="7" t="n">
        <f aca="false">(IF(D462="Current",3,IF(D462="Former",1,0)))+(IF(E462="High",3,IF(E462="Normal",1,0)))+(IF(F462&gt;=240,2,IF(F462&gt;=200,1,0)))+(IF(G462="Yes",2,0))+(IF(H462="High",2,IF(H462="Moderate",1,0)))</f>
        <v>3</v>
      </c>
      <c r="J462" s="7" t="str">
        <f aca="false">IF(I462&gt;=8,"High",IF(I462&gt;=4,"Medium","Low"))</f>
        <v>Low</v>
      </c>
    </row>
    <row r="463" customFormat="false" ht="15" hidden="false" customHeight="true" outlineLevel="0" collapsed="false">
      <c r="A463" s="7" t="n">
        <f aca="false">'Raw Data'!A463</f>
        <v>1123</v>
      </c>
      <c r="B463" s="7" t="n">
        <f aca="false">'Raw Data'!B463</f>
        <v>23</v>
      </c>
      <c r="C463" s="7" t="str">
        <f aca="false">'Raw Data'!C463</f>
        <v>Female</v>
      </c>
      <c r="D463" s="7" t="str">
        <f aca="false">'Raw Data'!D463</f>
        <v>Never</v>
      </c>
      <c r="E463" s="7" t="str">
        <f aca="false">'Raw Data'!J463</f>
        <v>Normal</v>
      </c>
      <c r="F463" s="7" t="n">
        <f aca="false">'Raw Data'!K463</f>
        <v>199.2</v>
      </c>
      <c r="G463" s="7" t="str">
        <f aca="false">'Raw Data'!L463</f>
        <v>No</v>
      </c>
      <c r="H463" s="7" t="str">
        <f aca="false">'Raw Data'!M463</f>
        <v>Moderate</v>
      </c>
      <c r="I463" s="7" t="n">
        <f aca="false">(IF(D463="Current",3,IF(D463="Former",1,0)))+(IF(E463="High",3,IF(E463="Normal",1,0)))+(IF(F463&gt;=240,2,IF(F463&gt;=200,1,0)))+(IF(G463="Yes",2,0))+(IF(H463="High",2,IF(H463="Moderate",1,0)))</f>
        <v>2</v>
      </c>
      <c r="J463" s="7" t="str">
        <f aca="false">IF(I463&gt;=8,"High",IF(I463&gt;=4,"Medium","Low"))</f>
        <v>Low</v>
      </c>
    </row>
    <row r="464" customFormat="false" ht="15" hidden="false" customHeight="true" outlineLevel="0" collapsed="false">
      <c r="A464" s="7" t="n">
        <f aca="false">'Raw Data'!A464</f>
        <v>1155</v>
      </c>
      <c r="B464" s="7" t="n">
        <f aca="false">'Raw Data'!B464</f>
        <v>85</v>
      </c>
      <c r="C464" s="7" t="str">
        <f aca="false">'Raw Data'!C464</f>
        <v>Female</v>
      </c>
      <c r="D464" s="7" t="str">
        <f aca="false">'Raw Data'!D464</f>
        <v>Never</v>
      </c>
      <c r="E464" s="7" t="str">
        <f aca="false">'Raw Data'!J464</f>
        <v>Normal</v>
      </c>
      <c r="F464" s="7" t="n">
        <f aca="false">'Raw Data'!K464</f>
        <v>266.2</v>
      </c>
      <c r="G464" s="7" t="str">
        <f aca="false">'Raw Data'!L464</f>
        <v>No</v>
      </c>
      <c r="H464" s="7" t="str">
        <f aca="false">'Raw Data'!M464</f>
        <v>Moderate</v>
      </c>
      <c r="I464" s="7" t="n">
        <f aca="false">(IF(D464="Current",3,IF(D464="Former",1,0)))+(IF(E464="High",3,IF(E464="Normal",1,0)))+(IF(F464&gt;=240,2,IF(F464&gt;=200,1,0)))+(IF(G464="Yes",2,0))+(IF(H464="High",2,IF(H464="Moderate",1,0)))</f>
        <v>4</v>
      </c>
      <c r="J464" s="7" t="str">
        <f aca="false">IF(I464&gt;=8,"High",IF(I464&gt;=4,"Medium","Low"))</f>
        <v>Medium</v>
      </c>
    </row>
    <row r="465" customFormat="false" ht="15" hidden="false" customHeight="true" outlineLevel="0" collapsed="false">
      <c r="A465" s="7" t="n">
        <f aca="false">'Raw Data'!A465</f>
        <v>1158</v>
      </c>
      <c r="B465" s="7" t="n">
        <f aca="false">'Raw Data'!B465</f>
        <v>46</v>
      </c>
      <c r="C465" s="7" t="str">
        <f aca="false">'Raw Data'!C465</f>
        <v>Female</v>
      </c>
      <c r="D465" s="7" t="str">
        <f aca="false">'Raw Data'!D465</f>
        <v>Never</v>
      </c>
      <c r="E465" s="7" t="str">
        <f aca="false">'Raw Data'!J465</f>
        <v>Normal</v>
      </c>
      <c r="F465" s="7" t="n">
        <f aca="false">'Raw Data'!K465</f>
        <v>124.2</v>
      </c>
      <c r="G465" s="7" t="str">
        <f aca="false">'Raw Data'!L465</f>
        <v>No</v>
      </c>
      <c r="H465" s="7" t="str">
        <f aca="false">'Raw Data'!M465</f>
        <v>Moderate</v>
      </c>
      <c r="I465" s="7" t="n">
        <f aca="false">(IF(D465="Current",3,IF(D465="Former",1,0)))+(IF(E465="High",3,IF(E465="Normal",1,0)))+(IF(F465&gt;=240,2,IF(F465&gt;=200,1,0)))+(IF(G465="Yes",2,0))+(IF(H465="High",2,IF(H465="Moderate",1,0)))</f>
        <v>2</v>
      </c>
      <c r="J465" s="7" t="str">
        <f aca="false">IF(I465&gt;=8,"High",IF(I465&gt;=4,"Medium","Low"))</f>
        <v>Low</v>
      </c>
    </row>
    <row r="466" customFormat="false" ht="15" hidden="false" customHeight="true" outlineLevel="0" collapsed="false">
      <c r="A466" s="7" t="n">
        <f aca="false">'Raw Data'!A466</f>
        <v>1189</v>
      </c>
      <c r="B466" s="7" t="n">
        <f aca="false">'Raw Data'!B466</f>
        <v>72</v>
      </c>
      <c r="C466" s="7" t="str">
        <f aca="false">'Raw Data'!C466</f>
        <v>Male</v>
      </c>
      <c r="D466" s="7" t="str">
        <f aca="false">'Raw Data'!D466</f>
        <v>Never</v>
      </c>
      <c r="E466" s="7" t="str">
        <f aca="false">'Raw Data'!J466</f>
        <v>Normal</v>
      </c>
      <c r="F466" s="7" t="n">
        <f aca="false">'Raw Data'!K466</f>
        <v>220.9</v>
      </c>
      <c r="G466" s="7" t="str">
        <f aca="false">'Raw Data'!L466</f>
        <v>No</v>
      </c>
      <c r="H466" s="7" t="str">
        <f aca="false">'Raw Data'!M466</f>
        <v>Moderate</v>
      </c>
      <c r="I466" s="7" t="n">
        <f aca="false">(IF(D466="Current",3,IF(D466="Former",1,0)))+(IF(E466="High",3,IF(E466="Normal",1,0)))+(IF(F466&gt;=240,2,IF(F466&gt;=200,1,0)))+(IF(G466="Yes",2,0))+(IF(H466="High",2,IF(H466="Moderate",1,0)))</f>
        <v>3</v>
      </c>
      <c r="J466" s="7" t="str">
        <f aca="false">IF(I466&gt;=8,"High",IF(I466&gt;=4,"Medium","Low"))</f>
        <v>Low</v>
      </c>
    </row>
    <row r="467" customFormat="false" ht="15" hidden="false" customHeight="true" outlineLevel="0" collapsed="false">
      <c r="A467" s="7" t="n">
        <f aca="false">'Raw Data'!A467</f>
        <v>1244</v>
      </c>
      <c r="B467" s="7" t="n">
        <f aca="false">'Raw Data'!B467</f>
        <v>83</v>
      </c>
      <c r="C467" s="7" t="str">
        <f aca="false">'Raw Data'!C467</f>
        <v>Female</v>
      </c>
      <c r="D467" s="7" t="str">
        <f aca="false">'Raw Data'!D467</f>
        <v>Never</v>
      </c>
      <c r="E467" s="7" t="str">
        <f aca="false">'Raw Data'!J467</f>
        <v>Normal</v>
      </c>
      <c r="F467" s="7" t="n">
        <f aca="false">'Raw Data'!K467</f>
        <v>147.9</v>
      </c>
      <c r="G467" s="7" t="str">
        <f aca="false">'Raw Data'!L467</f>
        <v>No</v>
      </c>
      <c r="H467" s="7" t="str">
        <f aca="false">'Raw Data'!M467</f>
        <v>Moderate</v>
      </c>
      <c r="I467" s="7" t="n">
        <f aca="false">(IF(D467="Current",3,IF(D467="Former",1,0)))+(IF(E467="High",3,IF(E467="Normal",1,0)))+(IF(F467&gt;=240,2,IF(F467&gt;=200,1,0)))+(IF(G467="Yes",2,0))+(IF(H467="High",2,IF(H467="Moderate",1,0)))</f>
        <v>2</v>
      </c>
      <c r="J467" s="7" t="str">
        <f aca="false">IF(I467&gt;=8,"High",IF(I467&gt;=4,"Medium","Low"))</f>
        <v>Low</v>
      </c>
    </row>
    <row r="468" customFormat="false" ht="15" hidden="false" customHeight="true" outlineLevel="0" collapsed="false">
      <c r="A468" s="7" t="n">
        <f aca="false">'Raw Data'!A468</f>
        <v>1269</v>
      </c>
      <c r="B468" s="7" t="n">
        <f aca="false">'Raw Data'!B468</f>
        <v>39</v>
      </c>
      <c r="C468" s="7" t="str">
        <f aca="false">'Raw Data'!C468</f>
        <v>Female</v>
      </c>
      <c r="D468" s="7" t="str">
        <f aca="false">'Raw Data'!D468</f>
        <v>Never</v>
      </c>
      <c r="E468" s="7" t="str">
        <f aca="false">'Raw Data'!J468</f>
        <v>Normal</v>
      </c>
      <c r="F468" s="7" t="n">
        <f aca="false">'Raw Data'!K468</f>
        <v>226.5</v>
      </c>
      <c r="G468" s="7" t="str">
        <f aca="false">'Raw Data'!L468</f>
        <v>No</v>
      </c>
      <c r="H468" s="7" t="str">
        <f aca="false">'Raw Data'!M468</f>
        <v>Moderate</v>
      </c>
      <c r="I468" s="7" t="n">
        <f aca="false">(IF(D468="Current",3,IF(D468="Former",1,0)))+(IF(E468="High",3,IF(E468="Normal",1,0)))+(IF(F468&gt;=240,2,IF(F468&gt;=200,1,0)))+(IF(G468="Yes",2,0))+(IF(H468="High",2,IF(H468="Moderate",1,0)))</f>
        <v>3</v>
      </c>
      <c r="J468" s="7" t="str">
        <f aca="false">IF(I468&gt;=8,"High",IF(I468&gt;=4,"Medium","Low"))</f>
        <v>Low</v>
      </c>
    </row>
    <row r="469" customFormat="false" ht="15" hidden="false" customHeight="true" outlineLevel="0" collapsed="false">
      <c r="A469" s="7" t="n">
        <f aca="false">'Raw Data'!A469</f>
        <v>1279</v>
      </c>
      <c r="B469" s="7" t="n">
        <f aca="false">'Raw Data'!B469</f>
        <v>38</v>
      </c>
      <c r="C469" s="7" t="str">
        <f aca="false">'Raw Data'!C469</f>
        <v>Female</v>
      </c>
      <c r="D469" s="7" t="str">
        <f aca="false">'Raw Data'!D469</f>
        <v>Never</v>
      </c>
      <c r="E469" s="7" t="str">
        <f aca="false">'Raw Data'!J469</f>
        <v>Normal</v>
      </c>
      <c r="F469" s="7" t="n">
        <f aca="false">'Raw Data'!K469</f>
        <v>245.1</v>
      </c>
      <c r="G469" s="7" t="str">
        <f aca="false">'Raw Data'!L469</f>
        <v>No</v>
      </c>
      <c r="H469" s="7" t="str">
        <f aca="false">'Raw Data'!M469</f>
        <v>Moderate</v>
      </c>
      <c r="I469" s="7" t="n">
        <f aca="false">(IF(D469="Current",3,IF(D469="Former",1,0)))+(IF(E469="High",3,IF(E469="Normal",1,0)))+(IF(F469&gt;=240,2,IF(F469&gt;=200,1,0)))+(IF(G469="Yes",2,0))+(IF(H469="High",2,IF(H469="Moderate",1,0)))</f>
        <v>4</v>
      </c>
      <c r="J469" s="7" t="str">
        <f aca="false">IF(I469&gt;=8,"High",IF(I469&gt;=4,"Medium","Low"))</f>
        <v>Medium</v>
      </c>
    </row>
    <row r="470" customFormat="false" ht="15" hidden="false" customHeight="true" outlineLevel="0" collapsed="false">
      <c r="A470" s="7" t="n">
        <f aca="false">'Raw Data'!A470</f>
        <v>1288</v>
      </c>
      <c r="B470" s="7" t="n">
        <f aca="false">'Raw Data'!B470</f>
        <v>61</v>
      </c>
      <c r="C470" s="7" t="str">
        <f aca="false">'Raw Data'!C470</f>
        <v>Male</v>
      </c>
      <c r="D470" s="7" t="str">
        <f aca="false">'Raw Data'!D470</f>
        <v>Never</v>
      </c>
      <c r="E470" s="7" t="str">
        <f aca="false">'Raw Data'!J470</f>
        <v>Normal</v>
      </c>
      <c r="F470" s="7" t="n">
        <f aca="false">'Raw Data'!K470</f>
        <v>156.9</v>
      </c>
      <c r="G470" s="7" t="str">
        <f aca="false">'Raw Data'!L470</f>
        <v>No</v>
      </c>
      <c r="H470" s="7" t="str">
        <f aca="false">'Raw Data'!M470</f>
        <v>Moderate</v>
      </c>
      <c r="I470" s="7" t="n">
        <f aca="false">(IF(D470="Current",3,IF(D470="Former",1,0)))+(IF(E470="High",3,IF(E470="Normal",1,0)))+(IF(F470&gt;=240,2,IF(F470&gt;=200,1,0)))+(IF(G470="Yes",2,0))+(IF(H470="High",2,IF(H470="Moderate",1,0)))</f>
        <v>2</v>
      </c>
      <c r="J470" s="7" t="str">
        <f aca="false">IF(I470&gt;=8,"High",IF(I470&gt;=4,"Medium","Low"))</f>
        <v>Low</v>
      </c>
    </row>
    <row r="471" customFormat="false" ht="15" hidden="false" customHeight="true" outlineLevel="0" collapsed="false">
      <c r="A471" s="7" t="n">
        <f aca="false">'Raw Data'!A471</f>
        <v>1293</v>
      </c>
      <c r="B471" s="7" t="n">
        <f aca="false">'Raw Data'!B471</f>
        <v>61</v>
      </c>
      <c r="C471" s="7" t="str">
        <f aca="false">'Raw Data'!C471</f>
        <v>Female</v>
      </c>
      <c r="D471" s="7" t="str">
        <f aca="false">'Raw Data'!D471</f>
        <v>Never</v>
      </c>
      <c r="E471" s="7" t="str">
        <f aca="false">'Raw Data'!J471</f>
        <v>Normal</v>
      </c>
      <c r="F471" s="7" t="n">
        <f aca="false">'Raw Data'!K471</f>
        <v>221.7</v>
      </c>
      <c r="G471" s="7" t="str">
        <f aca="false">'Raw Data'!L471</f>
        <v>No</v>
      </c>
      <c r="H471" s="7" t="str">
        <f aca="false">'Raw Data'!M471</f>
        <v>Moderate</v>
      </c>
      <c r="I471" s="7" t="n">
        <f aca="false">(IF(D471="Current",3,IF(D471="Former",1,0)))+(IF(E471="High",3,IF(E471="Normal",1,0)))+(IF(F471&gt;=240,2,IF(F471&gt;=200,1,0)))+(IF(G471="Yes",2,0))+(IF(H471="High",2,IF(H471="Moderate",1,0)))</f>
        <v>3</v>
      </c>
      <c r="J471" s="7" t="str">
        <f aca="false">IF(I471&gt;=8,"High",IF(I471&gt;=4,"Medium","Low"))</f>
        <v>Low</v>
      </c>
    </row>
    <row r="472" customFormat="false" ht="15" hidden="false" customHeight="true" outlineLevel="0" collapsed="false">
      <c r="A472" s="7" t="n">
        <f aca="false">'Raw Data'!A472</f>
        <v>1332</v>
      </c>
      <c r="B472" s="7" t="n">
        <f aca="false">'Raw Data'!B472</f>
        <v>21</v>
      </c>
      <c r="C472" s="7" t="str">
        <f aca="false">'Raw Data'!C472</f>
        <v>Male</v>
      </c>
      <c r="D472" s="7" t="str">
        <f aca="false">'Raw Data'!D472</f>
        <v>Never</v>
      </c>
      <c r="E472" s="7" t="str">
        <f aca="false">'Raw Data'!J472</f>
        <v>Normal</v>
      </c>
      <c r="F472" s="7" t="n">
        <f aca="false">'Raw Data'!K472</f>
        <v>279.8</v>
      </c>
      <c r="G472" s="7" t="str">
        <f aca="false">'Raw Data'!L472</f>
        <v>No</v>
      </c>
      <c r="H472" s="7" t="str">
        <f aca="false">'Raw Data'!M472</f>
        <v>Moderate</v>
      </c>
      <c r="I472" s="7" t="n">
        <f aca="false">(IF(D472="Current",3,IF(D472="Former",1,0)))+(IF(E472="High",3,IF(E472="Normal",1,0)))+(IF(F472&gt;=240,2,IF(F472&gt;=200,1,0)))+(IF(G472="Yes",2,0))+(IF(H472="High",2,IF(H472="Moderate",1,0)))</f>
        <v>4</v>
      </c>
      <c r="J472" s="7" t="str">
        <f aca="false">IF(I472&gt;=8,"High",IF(I472&gt;=4,"Medium","Low"))</f>
        <v>Medium</v>
      </c>
    </row>
    <row r="473" customFormat="false" ht="15" hidden="false" customHeight="true" outlineLevel="0" collapsed="false">
      <c r="A473" s="7" t="n">
        <f aca="false">'Raw Data'!A473</f>
        <v>1337</v>
      </c>
      <c r="B473" s="7" t="n">
        <f aca="false">'Raw Data'!B473</f>
        <v>62</v>
      </c>
      <c r="C473" s="7" t="str">
        <f aca="false">'Raw Data'!C473</f>
        <v>Female</v>
      </c>
      <c r="D473" s="7" t="str">
        <f aca="false">'Raw Data'!D473</f>
        <v>Never</v>
      </c>
      <c r="E473" s="7" t="str">
        <f aca="false">'Raw Data'!J473</f>
        <v>Normal</v>
      </c>
      <c r="F473" s="7" t="n">
        <f aca="false">'Raw Data'!K473</f>
        <v>149.6</v>
      </c>
      <c r="G473" s="7" t="str">
        <f aca="false">'Raw Data'!L473</f>
        <v>No</v>
      </c>
      <c r="H473" s="7" t="str">
        <f aca="false">'Raw Data'!M473</f>
        <v>Moderate</v>
      </c>
      <c r="I473" s="7" t="n">
        <f aca="false">(IF(D473="Current",3,IF(D473="Former",1,0)))+(IF(E473="High",3,IF(E473="Normal",1,0)))+(IF(F473&gt;=240,2,IF(F473&gt;=200,1,0)))+(IF(G473="Yes",2,0))+(IF(H473="High",2,IF(H473="Moderate",1,0)))</f>
        <v>2</v>
      </c>
      <c r="J473" s="7" t="str">
        <f aca="false">IF(I473&gt;=8,"High",IF(I473&gt;=4,"Medium","Low"))</f>
        <v>Low</v>
      </c>
    </row>
    <row r="474" customFormat="false" ht="15" hidden="false" customHeight="true" outlineLevel="0" collapsed="false">
      <c r="A474" s="7" t="n">
        <f aca="false">'Raw Data'!A474</f>
        <v>1366</v>
      </c>
      <c r="B474" s="7" t="n">
        <f aca="false">'Raw Data'!B474</f>
        <v>28</v>
      </c>
      <c r="C474" s="7" t="str">
        <f aca="false">'Raw Data'!C474</f>
        <v>Male</v>
      </c>
      <c r="D474" s="7" t="str">
        <f aca="false">'Raw Data'!D474</f>
        <v>Never</v>
      </c>
      <c r="E474" s="7" t="str">
        <f aca="false">'Raw Data'!J474</f>
        <v>Normal</v>
      </c>
      <c r="F474" s="7" t="n">
        <f aca="false">'Raw Data'!K474</f>
        <v>235.9</v>
      </c>
      <c r="G474" s="7" t="str">
        <f aca="false">'Raw Data'!L474</f>
        <v>No</v>
      </c>
      <c r="H474" s="7" t="str">
        <f aca="false">'Raw Data'!M474</f>
        <v>Moderate</v>
      </c>
      <c r="I474" s="7" t="n">
        <f aca="false">(IF(D474="Current",3,IF(D474="Former",1,0)))+(IF(E474="High",3,IF(E474="Normal",1,0)))+(IF(F474&gt;=240,2,IF(F474&gt;=200,1,0)))+(IF(G474="Yes",2,0))+(IF(H474="High",2,IF(H474="Moderate",1,0)))</f>
        <v>3</v>
      </c>
      <c r="J474" s="7" t="str">
        <f aca="false">IF(I474&gt;=8,"High",IF(I474&gt;=4,"Medium","Low"))</f>
        <v>Low</v>
      </c>
    </row>
    <row r="475" customFormat="false" ht="15" hidden="false" customHeight="true" outlineLevel="0" collapsed="false">
      <c r="A475" s="7" t="n">
        <f aca="false">'Raw Data'!A475</f>
        <v>1406</v>
      </c>
      <c r="B475" s="7" t="n">
        <f aca="false">'Raw Data'!B475</f>
        <v>55</v>
      </c>
      <c r="C475" s="7" t="str">
        <f aca="false">'Raw Data'!C475</f>
        <v>Female</v>
      </c>
      <c r="D475" s="7" t="str">
        <f aca="false">'Raw Data'!D475</f>
        <v>Never</v>
      </c>
      <c r="E475" s="7" t="str">
        <f aca="false">'Raw Data'!J475</f>
        <v>Normal</v>
      </c>
      <c r="F475" s="7" t="n">
        <f aca="false">'Raw Data'!K475</f>
        <v>189.2</v>
      </c>
      <c r="G475" s="7" t="str">
        <f aca="false">'Raw Data'!L475</f>
        <v>No</v>
      </c>
      <c r="H475" s="7" t="str">
        <f aca="false">'Raw Data'!M475</f>
        <v>Moderate</v>
      </c>
      <c r="I475" s="7" t="n">
        <f aca="false">(IF(D475="Current",3,IF(D475="Former",1,0)))+(IF(E475="High",3,IF(E475="Normal",1,0)))+(IF(F475&gt;=240,2,IF(F475&gt;=200,1,0)))+(IF(G475="Yes",2,0))+(IF(H475="High",2,IF(H475="Moderate",1,0)))</f>
        <v>2</v>
      </c>
      <c r="J475" s="7" t="str">
        <f aca="false">IF(I475&gt;=8,"High",IF(I475&gt;=4,"Medium","Low"))</f>
        <v>Low</v>
      </c>
    </row>
    <row r="476" customFormat="false" ht="15" hidden="false" customHeight="true" outlineLevel="0" collapsed="false">
      <c r="A476" s="7" t="n">
        <f aca="false">'Raw Data'!A476</f>
        <v>1415</v>
      </c>
      <c r="B476" s="7" t="n">
        <f aca="false">'Raw Data'!B476</f>
        <v>55</v>
      </c>
      <c r="C476" s="7" t="str">
        <f aca="false">'Raw Data'!C476</f>
        <v>Female</v>
      </c>
      <c r="D476" s="7" t="str">
        <f aca="false">'Raw Data'!D476</f>
        <v>Never</v>
      </c>
      <c r="E476" s="7" t="str">
        <f aca="false">'Raw Data'!J476</f>
        <v>Normal</v>
      </c>
      <c r="F476" s="7" t="n">
        <f aca="false">'Raw Data'!K476</f>
        <v>160.4</v>
      </c>
      <c r="G476" s="7" t="str">
        <f aca="false">'Raw Data'!L476</f>
        <v>No</v>
      </c>
      <c r="H476" s="7" t="str">
        <f aca="false">'Raw Data'!M476</f>
        <v>Moderate</v>
      </c>
      <c r="I476" s="7" t="n">
        <f aca="false">(IF(D476="Current",3,IF(D476="Former",1,0)))+(IF(E476="High",3,IF(E476="Normal",1,0)))+(IF(F476&gt;=240,2,IF(F476&gt;=200,1,0)))+(IF(G476="Yes",2,0))+(IF(H476="High",2,IF(H476="Moderate",1,0)))</f>
        <v>2</v>
      </c>
      <c r="J476" s="7" t="str">
        <f aca="false">IF(I476&gt;=8,"High",IF(I476&gt;=4,"Medium","Low"))</f>
        <v>Low</v>
      </c>
    </row>
    <row r="477" customFormat="false" ht="15" hidden="false" customHeight="true" outlineLevel="0" collapsed="false">
      <c r="A477" s="7" t="n">
        <f aca="false">'Raw Data'!A477</f>
        <v>1421</v>
      </c>
      <c r="B477" s="7" t="n">
        <f aca="false">'Raw Data'!B477</f>
        <v>50</v>
      </c>
      <c r="C477" s="7" t="str">
        <f aca="false">'Raw Data'!C477</f>
        <v>Female</v>
      </c>
      <c r="D477" s="7" t="str">
        <f aca="false">'Raw Data'!D477</f>
        <v>Never</v>
      </c>
      <c r="E477" s="7" t="str">
        <f aca="false">'Raw Data'!J477</f>
        <v>Normal</v>
      </c>
      <c r="F477" s="7" t="n">
        <f aca="false">'Raw Data'!K477</f>
        <v>279.9</v>
      </c>
      <c r="G477" s="7" t="str">
        <f aca="false">'Raw Data'!L477</f>
        <v>No</v>
      </c>
      <c r="H477" s="7" t="str">
        <f aca="false">'Raw Data'!M477</f>
        <v>Moderate</v>
      </c>
      <c r="I477" s="7" t="n">
        <f aca="false">(IF(D477="Current",3,IF(D477="Former",1,0)))+(IF(E477="High",3,IF(E477="Normal",1,0)))+(IF(F477&gt;=240,2,IF(F477&gt;=200,1,0)))+(IF(G477="Yes",2,0))+(IF(H477="High",2,IF(H477="Moderate",1,0)))</f>
        <v>4</v>
      </c>
      <c r="J477" s="7" t="str">
        <f aca="false">IF(I477&gt;=8,"High",IF(I477&gt;=4,"Medium","Low"))</f>
        <v>Medium</v>
      </c>
    </row>
    <row r="478" customFormat="false" ht="15" hidden="false" customHeight="true" outlineLevel="0" collapsed="false">
      <c r="A478" s="7" t="n">
        <f aca="false">'Raw Data'!A478</f>
        <v>1423</v>
      </c>
      <c r="B478" s="7" t="n">
        <f aca="false">'Raw Data'!B478</f>
        <v>20</v>
      </c>
      <c r="C478" s="7" t="str">
        <f aca="false">'Raw Data'!C478</f>
        <v>Male</v>
      </c>
      <c r="D478" s="7" t="str">
        <f aca="false">'Raw Data'!D478</f>
        <v>Never</v>
      </c>
      <c r="E478" s="7" t="str">
        <f aca="false">'Raw Data'!J478</f>
        <v>Normal</v>
      </c>
      <c r="F478" s="7" t="n">
        <f aca="false">'Raw Data'!K478</f>
        <v>297.6</v>
      </c>
      <c r="G478" s="7" t="str">
        <f aca="false">'Raw Data'!L478</f>
        <v>No</v>
      </c>
      <c r="H478" s="7" t="str">
        <f aca="false">'Raw Data'!M478</f>
        <v>Moderate</v>
      </c>
      <c r="I478" s="7" t="n">
        <f aca="false">(IF(D478="Current",3,IF(D478="Former",1,0)))+(IF(E478="High",3,IF(E478="Normal",1,0)))+(IF(F478&gt;=240,2,IF(F478&gt;=200,1,0)))+(IF(G478="Yes",2,0))+(IF(H478="High",2,IF(H478="Moderate",1,0)))</f>
        <v>4</v>
      </c>
      <c r="J478" s="7" t="str">
        <f aca="false">IF(I478&gt;=8,"High",IF(I478&gt;=4,"Medium","Low"))</f>
        <v>Medium</v>
      </c>
    </row>
    <row r="479" customFormat="false" ht="15" hidden="false" customHeight="true" outlineLevel="0" collapsed="false">
      <c r="A479" s="7" t="n">
        <f aca="false">'Raw Data'!A479</f>
        <v>1440</v>
      </c>
      <c r="B479" s="7" t="n">
        <f aca="false">'Raw Data'!B479</f>
        <v>65</v>
      </c>
      <c r="C479" s="7" t="str">
        <f aca="false">'Raw Data'!C479</f>
        <v>Male</v>
      </c>
      <c r="D479" s="7" t="str">
        <f aca="false">'Raw Data'!D479</f>
        <v>Never</v>
      </c>
      <c r="E479" s="7" t="str">
        <f aca="false">'Raw Data'!J479</f>
        <v>Normal</v>
      </c>
      <c r="F479" s="7" t="n">
        <f aca="false">'Raw Data'!K479</f>
        <v>259.6</v>
      </c>
      <c r="G479" s="7" t="str">
        <f aca="false">'Raw Data'!L479</f>
        <v>No</v>
      </c>
      <c r="H479" s="7" t="str">
        <f aca="false">'Raw Data'!M479</f>
        <v>Moderate</v>
      </c>
      <c r="I479" s="7" t="n">
        <f aca="false">(IF(D479="Current",3,IF(D479="Former",1,0)))+(IF(E479="High",3,IF(E479="Normal",1,0)))+(IF(F479&gt;=240,2,IF(F479&gt;=200,1,0)))+(IF(G479="Yes",2,0))+(IF(H479="High",2,IF(H479="Moderate",1,0)))</f>
        <v>4</v>
      </c>
      <c r="J479" s="7" t="str">
        <f aca="false">IF(I479&gt;=8,"High",IF(I479&gt;=4,"Medium","Low"))</f>
        <v>Medium</v>
      </c>
    </row>
    <row r="480" customFormat="false" ht="15" hidden="false" customHeight="true" outlineLevel="0" collapsed="false">
      <c r="A480" s="7" t="n">
        <f aca="false">'Raw Data'!A480</f>
        <v>1463</v>
      </c>
      <c r="B480" s="7" t="n">
        <f aca="false">'Raw Data'!B480</f>
        <v>89</v>
      </c>
      <c r="C480" s="7" t="str">
        <f aca="false">'Raw Data'!C480</f>
        <v>Female</v>
      </c>
      <c r="D480" s="7" t="str">
        <f aca="false">'Raw Data'!D480</f>
        <v>Never</v>
      </c>
      <c r="E480" s="7" t="str">
        <f aca="false">'Raw Data'!J480</f>
        <v>Normal</v>
      </c>
      <c r="F480" s="7" t="n">
        <f aca="false">'Raw Data'!K480</f>
        <v>280</v>
      </c>
      <c r="G480" s="7" t="str">
        <f aca="false">'Raw Data'!L480</f>
        <v>No</v>
      </c>
      <c r="H480" s="7" t="str">
        <f aca="false">'Raw Data'!M480</f>
        <v>Moderate</v>
      </c>
      <c r="I480" s="7" t="n">
        <f aca="false">(IF(D480="Current",3,IF(D480="Former",1,0)))+(IF(E480="High",3,IF(E480="Normal",1,0)))+(IF(F480&gt;=240,2,IF(F480&gt;=200,1,0)))+(IF(G480="Yes",2,0))+(IF(H480="High",2,IF(H480="Moderate",1,0)))</f>
        <v>4</v>
      </c>
      <c r="J480" s="7" t="str">
        <f aca="false">IF(I480&gt;=8,"High",IF(I480&gt;=4,"Medium","Low"))</f>
        <v>Medium</v>
      </c>
    </row>
    <row r="481" customFormat="false" ht="15" hidden="false" customHeight="true" outlineLevel="0" collapsed="false">
      <c r="A481" s="7" t="n">
        <f aca="false">'Raw Data'!A481</f>
        <v>1485</v>
      </c>
      <c r="B481" s="7" t="n">
        <f aca="false">'Raw Data'!B481</f>
        <v>37</v>
      </c>
      <c r="C481" s="7" t="str">
        <f aca="false">'Raw Data'!C481</f>
        <v>Female</v>
      </c>
      <c r="D481" s="7" t="str">
        <f aca="false">'Raw Data'!D481</f>
        <v>Never</v>
      </c>
      <c r="E481" s="7" t="str">
        <f aca="false">'Raw Data'!J481</f>
        <v>Normal</v>
      </c>
      <c r="F481" s="7" t="n">
        <f aca="false">'Raw Data'!K481</f>
        <v>279.6</v>
      </c>
      <c r="G481" s="7" t="str">
        <f aca="false">'Raw Data'!L481</f>
        <v>No</v>
      </c>
      <c r="H481" s="7" t="str">
        <f aca="false">'Raw Data'!M481</f>
        <v>Moderate</v>
      </c>
      <c r="I481" s="7" t="n">
        <f aca="false">(IF(D481="Current",3,IF(D481="Former",1,0)))+(IF(E481="High",3,IF(E481="Normal",1,0)))+(IF(F481&gt;=240,2,IF(F481&gt;=200,1,0)))+(IF(G481="Yes",2,0))+(IF(H481="High",2,IF(H481="Moderate",1,0)))</f>
        <v>4</v>
      </c>
      <c r="J481" s="7" t="str">
        <f aca="false">IF(I481&gt;=8,"High",IF(I481&gt;=4,"Medium","Low"))</f>
        <v>Medium</v>
      </c>
    </row>
    <row r="482" customFormat="false" ht="15" hidden="false" customHeight="true" outlineLevel="0" collapsed="false">
      <c r="A482" s="7" t="n">
        <f aca="false">'Raw Data'!A482</f>
        <v>1489</v>
      </c>
      <c r="B482" s="7" t="n">
        <f aca="false">'Raw Data'!B482</f>
        <v>45</v>
      </c>
      <c r="C482" s="7" t="str">
        <f aca="false">'Raw Data'!C482</f>
        <v>Male</v>
      </c>
      <c r="D482" s="7" t="str">
        <f aca="false">'Raw Data'!D482</f>
        <v>Never</v>
      </c>
      <c r="E482" s="7" t="str">
        <f aca="false">'Raw Data'!J482</f>
        <v>Normal</v>
      </c>
      <c r="F482" s="7" t="n">
        <f aca="false">'Raw Data'!K482</f>
        <v>122.6</v>
      </c>
      <c r="G482" s="7" t="str">
        <f aca="false">'Raw Data'!L482</f>
        <v>No</v>
      </c>
      <c r="H482" s="7" t="str">
        <f aca="false">'Raw Data'!M482</f>
        <v>Moderate</v>
      </c>
      <c r="I482" s="7" t="n">
        <f aca="false">(IF(D482="Current",3,IF(D482="Former",1,0)))+(IF(E482="High",3,IF(E482="Normal",1,0)))+(IF(F482&gt;=240,2,IF(F482&gt;=200,1,0)))+(IF(G482="Yes",2,0))+(IF(H482="High",2,IF(H482="Moderate",1,0)))</f>
        <v>2</v>
      </c>
      <c r="J482" s="7" t="str">
        <f aca="false">IF(I482&gt;=8,"High",IF(I482&gt;=4,"Medium","Low"))</f>
        <v>Low</v>
      </c>
    </row>
    <row r="483" customFormat="false" ht="15" hidden="false" customHeight="true" outlineLevel="0" collapsed="false">
      <c r="A483" s="7" t="n">
        <f aca="false">'Raw Data'!A483</f>
        <v>1493</v>
      </c>
      <c r="B483" s="7" t="n">
        <f aca="false">'Raw Data'!B483</f>
        <v>46</v>
      </c>
      <c r="C483" s="7" t="str">
        <f aca="false">'Raw Data'!C483</f>
        <v>Male</v>
      </c>
      <c r="D483" s="7" t="str">
        <f aca="false">'Raw Data'!D483</f>
        <v>Never</v>
      </c>
      <c r="E483" s="7" t="str">
        <f aca="false">'Raw Data'!J483</f>
        <v>Normal</v>
      </c>
      <c r="F483" s="7" t="n">
        <f aca="false">'Raw Data'!K483</f>
        <v>178.3</v>
      </c>
      <c r="G483" s="7" t="str">
        <f aca="false">'Raw Data'!L483</f>
        <v>No</v>
      </c>
      <c r="H483" s="7" t="str">
        <f aca="false">'Raw Data'!M483</f>
        <v>Moderate</v>
      </c>
      <c r="I483" s="7" t="n">
        <f aca="false">(IF(D483="Current",3,IF(D483="Former",1,0)))+(IF(E483="High",3,IF(E483="Normal",1,0)))+(IF(F483&gt;=240,2,IF(F483&gt;=200,1,0)))+(IF(G483="Yes",2,0))+(IF(H483="High",2,IF(H483="Moderate",1,0)))</f>
        <v>2</v>
      </c>
      <c r="J483" s="7" t="str">
        <f aca="false">IF(I483&gt;=8,"High",IF(I483&gt;=4,"Medium","Low"))</f>
        <v>Low</v>
      </c>
    </row>
    <row r="484" customFormat="false" ht="15" hidden="false" customHeight="true" outlineLevel="0" collapsed="false">
      <c r="A484" s="7" t="n">
        <f aca="false">'Raw Data'!A484</f>
        <v>1496</v>
      </c>
      <c r="B484" s="7" t="n">
        <f aca="false">'Raw Data'!B484</f>
        <v>81</v>
      </c>
      <c r="C484" s="7" t="str">
        <f aca="false">'Raw Data'!C484</f>
        <v>Male</v>
      </c>
      <c r="D484" s="7" t="str">
        <f aca="false">'Raw Data'!D484</f>
        <v>Never</v>
      </c>
      <c r="E484" s="7" t="str">
        <f aca="false">'Raw Data'!J484</f>
        <v>Normal</v>
      </c>
      <c r="F484" s="7" t="n">
        <f aca="false">'Raw Data'!K484</f>
        <v>201.4</v>
      </c>
      <c r="G484" s="7" t="str">
        <f aca="false">'Raw Data'!L484</f>
        <v>No</v>
      </c>
      <c r="H484" s="7" t="str">
        <f aca="false">'Raw Data'!M484</f>
        <v>Moderate</v>
      </c>
      <c r="I484" s="7" t="n">
        <f aca="false">(IF(D484="Current",3,IF(D484="Former",1,0)))+(IF(E484="High",3,IF(E484="Normal",1,0)))+(IF(F484&gt;=240,2,IF(F484&gt;=200,1,0)))+(IF(G484="Yes",2,0))+(IF(H484="High",2,IF(H484="Moderate",1,0)))</f>
        <v>3</v>
      </c>
      <c r="J484" s="7" t="str">
        <f aca="false">IF(I484&gt;=8,"High",IF(I484&gt;=4,"Medium","Low"))</f>
        <v>Low</v>
      </c>
    </row>
    <row r="485" customFormat="false" ht="15" hidden="false" customHeight="true" outlineLevel="0" collapsed="false">
      <c r="A485" s="7" t="n">
        <f aca="false">'Raw Data'!A485</f>
        <v>1535</v>
      </c>
      <c r="B485" s="7" t="n">
        <f aca="false">'Raw Data'!B485</f>
        <v>43</v>
      </c>
      <c r="C485" s="7" t="str">
        <f aca="false">'Raw Data'!C485</f>
        <v>Female</v>
      </c>
      <c r="D485" s="7" t="str">
        <f aca="false">'Raw Data'!D485</f>
        <v>Never</v>
      </c>
      <c r="E485" s="7" t="str">
        <f aca="false">'Raw Data'!J485</f>
        <v>Normal</v>
      </c>
      <c r="F485" s="7" t="n">
        <f aca="false">'Raw Data'!K485</f>
        <v>270.1</v>
      </c>
      <c r="G485" s="7" t="str">
        <f aca="false">'Raw Data'!L485</f>
        <v>No</v>
      </c>
      <c r="H485" s="7" t="str">
        <f aca="false">'Raw Data'!M485</f>
        <v>Moderate</v>
      </c>
      <c r="I485" s="7" t="n">
        <f aca="false">(IF(D485="Current",3,IF(D485="Former",1,0)))+(IF(E485="High",3,IF(E485="Normal",1,0)))+(IF(F485&gt;=240,2,IF(F485&gt;=200,1,0)))+(IF(G485="Yes",2,0))+(IF(H485="High",2,IF(H485="Moderate",1,0)))</f>
        <v>4</v>
      </c>
      <c r="J485" s="7" t="str">
        <f aca="false">IF(I485&gt;=8,"High",IF(I485&gt;=4,"Medium","Low"))</f>
        <v>Medium</v>
      </c>
    </row>
    <row r="486" customFormat="false" ht="15" hidden="false" customHeight="true" outlineLevel="0" collapsed="false">
      <c r="A486" s="7" t="n">
        <f aca="false">'Raw Data'!A486</f>
        <v>1542</v>
      </c>
      <c r="B486" s="7" t="n">
        <f aca="false">'Raw Data'!B486</f>
        <v>63</v>
      </c>
      <c r="C486" s="7" t="str">
        <f aca="false">'Raw Data'!C486</f>
        <v>Female</v>
      </c>
      <c r="D486" s="7" t="str">
        <f aca="false">'Raw Data'!D486</f>
        <v>Never</v>
      </c>
      <c r="E486" s="7" t="str">
        <f aca="false">'Raw Data'!J486</f>
        <v>Normal</v>
      </c>
      <c r="F486" s="7" t="n">
        <f aca="false">'Raw Data'!K486</f>
        <v>177.2</v>
      </c>
      <c r="G486" s="7" t="str">
        <f aca="false">'Raw Data'!L486</f>
        <v>No</v>
      </c>
      <c r="H486" s="7" t="str">
        <f aca="false">'Raw Data'!M486</f>
        <v>Moderate</v>
      </c>
      <c r="I486" s="7" t="n">
        <f aca="false">(IF(D486="Current",3,IF(D486="Former",1,0)))+(IF(E486="High",3,IF(E486="Normal",1,0)))+(IF(F486&gt;=240,2,IF(F486&gt;=200,1,0)))+(IF(G486="Yes",2,0))+(IF(H486="High",2,IF(H486="Moderate",1,0)))</f>
        <v>2</v>
      </c>
      <c r="J486" s="7" t="str">
        <f aca="false">IF(I486&gt;=8,"High",IF(I486&gt;=4,"Medium","Low"))</f>
        <v>Low</v>
      </c>
    </row>
    <row r="487" customFormat="false" ht="15" hidden="false" customHeight="true" outlineLevel="0" collapsed="false">
      <c r="A487" s="7" t="n">
        <f aca="false">'Raw Data'!A487</f>
        <v>1567</v>
      </c>
      <c r="B487" s="7" t="n">
        <f aca="false">'Raw Data'!B487</f>
        <v>22</v>
      </c>
      <c r="C487" s="7" t="str">
        <f aca="false">'Raw Data'!C487</f>
        <v>Male</v>
      </c>
      <c r="D487" s="7" t="str">
        <f aca="false">'Raw Data'!D487</f>
        <v>Never</v>
      </c>
      <c r="E487" s="7" t="str">
        <f aca="false">'Raw Data'!J487</f>
        <v>Normal</v>
      </c>
      <c r="F487" s="7" t="n">
        <f aca="false">'Raw Data'!K487</f>
        <v>172.6</v>
      </c>
      <c r="G487" s="7" t="str">
        <f aca="false">'Raw Data'!L487</f>
        <v>No</v>
      </c>
      <c r="H487" s="7" t="str">
        <f aca="false">'Raw Data'!M487</f>
        <v>Moderate</v>
      </c>
      <c r="I487" s="7" t="n">
        <f aca="false">(IF(D487="Current",3,IF(D487="Former",1,0)))+(IF(E487="High",3,IF(E487="Normal",1,0)))+(IF(F487&gt;=240,2,IF(F487&gt;=200,1,0)))+(IF(G487="Yes",2,0))+(IF(H487="High",2,IF(H487="Moderate",1,0)))</f>
        <v>2</v>
      </c>
      <c r="J487" s="7" t="str">
        <f aca="false">IF(I487&gt;=8,"High",IF(I487&gt;=4,"Medium","Low"))</f>
        <v>Low</v>
      </c>
    </row>
    <row r="488" customFormat="false" ht="15" hidden="false" customHeight="true" outlineLevel="0" collapsed="false">
      <c r="A488" s="7" t="n">
        <f aca="false">'Raw Data'!A488</f>
        <v>1572</v>
      </c>
      <c r="B488" s="7" t="n">
        <f aca="false">'Raw Data'!B488</f>
        <v>23</v>
      </c>
      <c r="C488" s="7" t="str">
        <f aca="false">'Raw Data'!C488</f>
        <v>Male</v>
      </c>
      <c r="D488" s="7" t="str">
        <f aca="false">'Raw Data'!D488</f>
        <v>Never</v>
      </c>
      <c r="E488" s="7" t="str">
        <f aca="false">'Raw Data'!J488</f>
        <v>Normal</v>
      </c>
      <c r="F488" s="7" t="n">
        <f aca="false">'Raw Data'!K488</f>
        <v>126.3</v>
      </c>
      <c r="G488" s="7" t="str">
        <f aca="false">'Raw Data'!L488</f>
        <v>No</v>
      </c>
      <c r="H488" s="7" t="str">
        <f aca="false">'Raw Data'!M488</f>
        <v>Moderate</v>
      </c>
      <c r="I488" s="7" t="n">
        <f aca="false">(IF(D488="Current",3,IF(D488="Former",1,0)))+(IF(E488="High",3,IF(E488="Normal",1,0)))+(IF(F488&gt;=240,2,IF(F488&gt;=200,1,0)))+(IF(G488="Yes",2,0))+(IF(H488="High",2,IF(H488="Moderate",1,0)))</f>
        <v>2</v>
      </c>
      <c r="J488" s="7" t="str">
        <f aca="false">IF(I488&gt;=8,"High",IF(I488&gt;=4,"Medium","Low"))</f>
        <v>Low</v>
      </c>
    </row>
    <row r="489" customFormat="false" ht="15" hidden="false" customHeight="true" outlineLevel="0" collapsed="false">
      <c r="A489" s="7" t="n">
        <f aca="false">'Raw Data'!A489</f>
        <v>1588</v>
      </c>
      <c r="B489" s="7" t="n">
        <f aca="false">'Raw Data'!B489</f>
        <v>77</v>
      </c>
      <c r="C489" s="7" t="str">
        <f aca="false">'Raw Data'!C489</f>
        <v>Female</v>
      </c>
      <c r="D489" s="7" t="str">
        <f aca="false">'Raw Data'!D489</f>
        <v>Never</v>
      </c>
      <c r="E489" s="7" t="str">
        <f aca="false">'Raw Data'!J489</f>
        <v>Normal</v>
      </c>
      <c r="F489" s="7" t="n">
        <f aca="false">'Raw Data'!K489</f>
        <v>126.3</v>
      </c>
      <c r="G489" s="7" t="str">
        <f aca="false">'Raw Data'!L489</f>
        <v>No</v>
      </c>
      <c r="H489" s="7" t="str">
        <f aca="false">'Raw Data'!M489</f>
        <v>Moderate</v>
      </c>
      <c r="I489" s="7" t="n">
        <f aca="false">(IF(D489="Current",3,IF(D489="Former",1,0)))+(IF(E489="High",3,IF(E489="Normal",1,0)))+(IF(F489&gt;=240,2,IF(F489&gt;=200,1,0)))+(IF(G489="Yes",2,0))+(IF(H489="High",2,IF(H489="Moderate",1,0)))</f>
        <v>2</v>
      </c>
      <c r="J489" s="7" t="str">
        <f aca="false">IF(I489&gt;=8,"High",IF(I489&gt;=4,"Medium","Low"))</f>
        <v>Low</v>
      </c>
    </row>
    <row r="490" customFormat="false" ht="15" hidden="false" customHeight="true" outlineLevel="0" collapsed="false">
      <c r="A490" s="7" t="n">
        <f aca="false">'Raw Data'!A490</f>
        <v>1592</v>
      </c>
      <c r="B490" s="7" t="n">
        <f aca="false">'Raw Data'!B490</f>
        <v>65</v>
      </c>
      <c r="C490" s="7" t="str">
        <f aca="false">'Raw Data'!C490</f>
        <v>Female</v>
      </c>
      <c r="D490" s="7" t="str">
        <f aca="false">'Raw Data'!D490</f>
        <v>Never</v>
      </c>
      <c r="E490" s="7" t="str">
        <f aca="false">'Raw Data'!J490</f>
        <v>Normal</v>
      </c>
      <c r="F490" s="7" t="n">
        <f aca="false">'Raw Data'!K490</f>
        <v>125.3</v>
      </c>
      <c r="G490" s="7" t="str">
        <f aca="false">'Raw Data'!L490</f>
        <v>No</v>
      </c>
      <c r="H490" s="7" t="str">
        <f aca="false">'Raw Data'!M490</f>
        <v>Moderate</v>
      </c>
      <c r="I490" s="7" t="n">
        <f aca="false">(IF(D490="Current",3,IF(D490="Former",1,0)))+(IF(E490="High",3,IF(E490="Normal",1,0)))+(IF(F490&gt;=240,2,IF(F490&gt;=200,1,0)))+(IF(G490="Yes",2,0))+(IF(H490="High",2,IF(H490="Moderate",1,0)))</f>
        <v>2</v>
      </c>
      <c r="J490" s="7" t="str">
        <f aca="false">IF(I490&gt;=8,"High",IF(I490&gt;=4,"Medium","Low"))</f>
        <v>Low</v>
      </c>
    </row>
    <row r="491" customFormat="false" ht="15" hidden="false" customHeight="true" outlineLevel="0" collapsed="false">
      <c r="A491" s="7" t="n">
        <f aca="false">'Raw Data'!A491</f>
        <v>1610</v>
      </c>
      <c r="B491" s="7" t="n">
        <f aca="false">'Raw Data'!B491</f>
        <v>38</v>
      </c>
      <c r="C491" s="7" t="str">
        <f aca="false">'Raw Data'!C491</f>
        <v>Female</v>
      </c>
      <c r="D491" s="7" t="str">
        <f aca="false">'Raw Data'!D491</f>
        <v>Never</v>
      </c>
      <c r="E491" s="7" t="str">
        <f aca="false">'Raw Data'!J491</f>
        <v>Normal</v>
      </c>
      <c r="F491" s="7" t="n">
        <f aca="false">'Raw Data'!K491</f>
        <v>298.3</v>
      </c>
      <c r="G491" s="7" t="str">
        <f aca="false">'Raw Data'!L491</f>
        <v>No</v>
      </c>
      <c r="H491" s="7" t="str">
        <f aca="false">'Raw Data'!M491</f>
        <v>Moderate</v>
      </c>
      <c r="I491" s="7" t="n">
        <f aca="false">(IF(D491="Current",3,IF(D491="Former",1,0)))+(IF(E491="High",3,IF(E491="Normal",1,0)))+(IF(F491&gt;=240,2,IF(F491&gt;=200,1,0)))+(IF(G491="Yes",2,0))+(IF(H491="High",2,IF(H491="Moderate",1,0)))</f>
        <v>4</v>
      </c>
      <c r="J491" s="7" t="str">
        <f aca="false">IF(I491&gt;=8,"High",IF(I491&gt;=4,"Medium","Low"))</f>
        <v>Medium</v>
      </c>
    </row>
    <row r="492" customFormat="false" ht="15" hidden="false" customHeight="true" outlineLevel="0" collapsed="false">
      <c r="A492" s="7" t="n">
        <f aca="false">'Raw Data'!A492</f>
        <v>1643</v>
      </c>
      <c r="B492" s="7" t="n">
        <f aca="false">'Raw Data'!B492</f>
        <v>64</v>
      </c>
      <c r="C492" s="7" t="str">
        <f aca="false">'Raw Data'!C492</f>
        <v>Male</v>
      </c>
      <c r="D492" s="7" t="str">
        <f aca="false">'Raw Data'!D492</f>
        <v>Never</v>
      </c>
      <c r="E492" s="7" t="str">
        <f aca="false">'Raw Data'!J492</f>
        <v>Normal</v>
      </c>
      <c r="F492" s="7" t="n">
        <f aca="false">'Raw Data'!K492</f>
        <v>282</v>
      </c>
      <c r="G492" s="7" t="str">
        <f aca="false">'Raw Data'!L492</f>
        <v>No</v>
      </c>
      <c r="H492" s="7" t="str">
        <f aca="false">'Raw Data'!M492</f>
        <v>Moderate</v>
      </c>
      <c r="I492" s="7" t="n">
        <f aca="false">(IF(D492="Current",3,IF(D492="Former",1,0)))+(IF(E492="High",3,IF(E492="Normal",1,0)))+(IF(F492&gt;=240,2,IF(F492&gt;=200,1,0)))+(IF(G492="Yes",2,0))+(IF(H492="High",2,IF(H492="Moderate",1,0)))</f>
        <v>4</v>
      </c>
      <c r="J492" s="7" t="str">
        <f aca="false">IF(I492&gt;=8,"High",IF(I492&gt;=4,"Medium","Low"))</f>
        <v>Medium</v>
      </c>
    </row>
    <row r="493" customFormat="false" ht="15" hidden="false" customHeight="true" outlineLevel="0" collapsed="false">
      <c r="A493" s="7" t="n">
        <f aca="false">'Raw Data'!A493</f>
        <v>1661</v>
      </c>
      <c r="B493" s="7" t="n">
        <f aca="false">'Raw Data'!B493</f>
        <v>53</v>
      </c>
      <c r="C493" s="7" t="str">
        <f aca="false">'Raw Data'!C493</f>
        <v>Male</v>
      </c>
      <c r="D493" s="7" t="str">
        <f aca="false">'Raw Data'!D493</f>
        <v>Never</v>
      </c>
      <c r="E493" s="7" t="str">
        <f aca="false">'Raw Data'!J493</f>
        <v>Normal</v>
      </c>
      <c r="F493" s="7" t="n">
        <f aca="false">'Raw Data'!K493</f>
        <v>291.3</v>
      </c>
      <c r="G493" s="7" t="str">
        <f aca="false">'Raw Data'!L493</f>
        <v>No</v>
      </c>
      <c r="H493" s="7" t="str">
        <f aca="false">'Raw Data'!M493</f>
        <v>Moderate</v>
      </c>
      <c r="I493" s="7" t="n">
        <f aca="false">(IF(D493="Current",3,IF(D493="Former",1,0)))+(IF(E493="High",3,IF(E493="Normal",1,0)))+(IF(F493&gt;=240,2,IF(F493&gt;=200,1,0)))+(IF(G493="Yes",2,0))+(IF(H493="High",2,IF(H493="Moderate",1,0)))</f>
        <v>4</v>
      </c>
      <c r="J493" s="7" t="str">
        <f aca="false">IF(I493&gt;=8,"High",IF(I493&gt;=4,"Medium","Low"))</f>
        <v>Medium</v>
      </c>
    </row>
    <row r="494" customFormat="false" ht="15" hidden="false" customHeight="true" outlineLevel="0" collapsed="false">
      <c r="A494" s="7" t="n">
        <f aca="false">'Raw Data'!A494</f>
        <v>1674</v>
      </c>
      <c r="B494" s="7" t="n">
        <f aca="false">'Raw Data'!B494</f>
        <v>50</v>
      </c>
      <c r="C494" s="7" t="str">
        <f aca="false">'Raw Data'!C494</f>
        <v>Female</v>
      </c>
      <c r="D494" s="7" t="str">
        <f aca="false">'Raw Data'!D494</f>
        <v>Never</v>
      </c>
      <c r="E494" s="7" t="str">
        <f aca="false">'Raw Data'!J494</f>
        <v>Normal</v>
      </c>
      <c r="F494" s="7" t="n">
        <f aca="false">'Raw Data'!K494</f>
        <v>257.3</v>
      </c>
      <c r="G494" s="7" t="str">
        <f aca="false">'Raw Data'!L494</f>
        <v>No</v>
      </c>
      <c r="H494" s="7" t="str">
        <f aca="false">'Raw Data'!M494</f>
        <v>Moderate</v>
      </c>
      <c r="I494" s="7" t="n">
        <f aca="false">(IF(D494="Current",3,IF(D494="Former",1,0)))+(IF(E494="High",3,IF(E494="Normal",1,0)))+(IF(F494&gt;=240,2,IF(F494&gt;=200,1,0)))+(IF(G494="Yes",2,0))+(IF(H494="High",2,IF(H494="Moderate",1,0)))</f>
        <v>4</v>
      </c>
      <c r="J494" s="7" t="str">
        <f aca="false">IF(I494&gt;=8,"High",IF(I494&gt;=4,"Medium","Low"))</f>
        <v>Medium</v>
      </c>
    </row>
    <row r="495" customFormat="false" ht="15" hidden="false" customHeight="true" outlineLevel="0" collapsed="false">
      <c r="A495" s="7" t="n">
        <f aca="false">'Raw Data'!A495</f>
        <v>1676</v>
      </c>
      <c r="B495" s="7" t="n">
        <f aca="false">'Raw Data'!B495</f>
        <v>69</v>
      </c>
      <c r="C495" s="7" t="str">
        <f aca="false">'Raw Data'!C495</f>
        <v>Male</v>
      </c>
      <c r="D495" s="7" t="str">
        <f aca="false">'Raw Data'!D495</f>
        <v>Never</v>
      </c>
      <c r="E495" s="7" t="str">
        <f aca="false">'Raw Data'!J495</f>
        <v>Normal</v>
      </c>
      <c r="F495" s="7" t="n">
        <f aca="false">'Raw Data'!K495</f>
        <v>213</v>
      </c>
      <c r="G495" s="7" t="str">
        <f aca="false">'Raw Data'!L495</f>
        <v>No</v>
      </c>
      <c r="H495" s="7" t="str">
        <f aca="false">'Raw Data'!M495</f>
        <v>Moderate</v>
      </c>
      <c r="I495" s="7" t="n">
        <f aca="false">(IF(D495="Current",3,IF(D495="Former",1,0)))+(IF(E495="High",3,IF(E495="Normal",1,0)))+(IF(F495&gt;=240,2,IF(F495&gt;=200,1,0)))+(IF(G495="Yes",2,0))+(IF(H495="High",2,IF(H495="Moderate",1,0)))</f>
        <v>3</v>
      </c>
      <c r="J495" s="7" t="str">
        <f aca="false">IF(I495&gt;=8,"High",IF(I495&gt;=4,"Medium","Low"))</f>
        <v>Low</v>
      </c>
    </row>
    <row r="496" customFormat="false" ht="15" hidden="false" customHeight="true" outlineLevel="0" collapsed="false">
      <c r="A496" s="7" t="n">
        <f aca="false">'Raw Data'!A496</f>
        <v>1698</v>
      </c>
      <c r="B496" s="7" t="n">
        <f aca="false">'Raw Data'!B496</f>
        <v>72</v>
      </c>
      <c r="C496" s="7" t="str">
        <f aca="false">'Raw Data'!C496</f>
        <v>Male</v>
      </c>
      <c r="D496" s="7" t="str">
        <f aca="false">'Raw Data'!D496</f>
        <v>Never</v>
      </c>
      <c r="E496" s="7" t="str">
        <f aca="false">'Raw Data'!J496</f>
        <v>Normal</v>
      </c>
      <c r="F496" s="7" t="n">
        <f aca="false">'Raw Data'!K496</f>
        <v>239.1</v>
      </c>
      <c r="G496" s="7" t="str">
        <f aca="false">'Raw Data'!L496</f>
        <v>No</v>
      </c>
      <c r="H496" s="7" t="str">
        <f aca="false">'Raw Data'!M496</f>
        <v>Moderate</v>
      </c>
      <c r="I496" s="7" t="n">
        <f aca="false">(IF(D496="Current",3,IF(D496="Former",1,0)))+(IF(E496="High",3,IF(E496="Normal",1,0)))+(IF(F496&gt;=240,2,IF(F496&gt;=200,1,0)))+(IF(G496="Yes",2,0))+(IF(H496="High",2,IF(H496="Moderate",1,0)))</f>
        <v>3</v>
      </c>
      <c r="J496" s="7" t="str">
        <f aca="false">IF(I496&gt;=8,"High",IF(I496&gt;=4,"Medium","Low"))</f>
        <v>Low</v>
      </c>
    </row>
    <row r="497" customFormat="false" ht="15" hidden="false" customHeight="true" outlineLevel="0" collapsed="false">
      <c r="A497" s="7" t="n">
        <f aca="false">'Raw Data'!A497</f>
        <v>1717</v>
      </c>
      <c r="B497" s="7" t="n">
        <f aca="false">'Raw Data'!B497</f>
        <v>20</v>
      </c>
      <c r="C497" s="7" t="str">
        <f aca="false">'Raw Data'!C497</f>
        <v>Male</v>
      </c>
      <c r="D497" s="7" t="str">
        <f aca="false">'Raw Data'!D497</f>
        <v>Never</v>
      </c>
      <c r="E497" s="7" t="str">
        <f aca="false">'Raw Data'!J497</f>
        <v>Normal</v>
      </c>
      <c r="F497" s="7" t="n">
        <f aca="false">'Raw Data'!K497</f>
        <v>202</v>
      </c>
      <c r="G497" s="7" t="str">
        <f aca="false">'Raw Data'!L497</f>
        <v>No</v>
      </c>
      <c r="H497" s="7" t="str">
        <f aca="false">'Raw Data'!M497</f>
        <v>Moderate</v>
      </c>
      <c r="I497" s="7" t="n">
        <f aca="false">(IF(D497="Current",3,IF(D497="Former",1,0)))+(IF(E497="High",3,IF(E497="Normal",1,0)))+(IF(F497&gt;=240,2,IF(F497&gt;=200,1,0)))+(IF(G497="Yes",2,0))+(IF(H497="High",2,IF(H497="Moderate",1,0)))</f>
        <v>3</v>
      </c>
      <c r="J497" s="7" t="str">
        <f aca="false">IF(I497&gt;=8,"High",IF(I497&gt;=4,"Medium","Low"))</f>
        <v>Low</v>
      </c>
    </row>
    <row r="498" customFormat="false" ht="15" hidden="false" customHeight="true" outlineLevel="0" collapsed="false">
      <c r="A498" s="7" t="n">
        <f aca="false">'Raw Data'!A498</f>
        <v>1725</v>
      </c>
      <c r="B498" s="7" t="n">
        <f aca="false">'Raw Data'!B498</f>
        <v>79</v>
      </c>
      <c r="C498" s="7" t="str">
        <f aca="false">'Raw Data'!C498</f>
        <v>Male</v>
      </c>
      <c r="D498" s="7" t="str">
        <f aca="false">'Raw Data'!D498</f>
        <v>Never</v>
      </c>
      <c r="E498" s="7" t="str">
        <f aca="false">'Raw Data'!J498</f>
        <v>Normal</v>
      </c>
      <c r="F498" s="7" t="n">
        <f aca="false">'Raw Data'!K498</f>
        <v>251.2</v>
      </c>
      <c r="G498" s="7" t="str">
        <f aca="false">'Raw Data'!L498</f>
        <v>No</v>
      </c>
      <c r="H498" s="7" t="str">
        <f aca="false">'Raw Data'!M498</f>
        <v>Moderate</v>
      </c>
      <c r="I498" s="7" t="n">
        <f aca="false">(IF(D498="Current",3,IF(D498="Former",1,0)))+(IF(E498="High",3,IF(E498="Normal",1,0)))+(IF(F498&gt;=240,2,IF(F498&gt;=200,1,0)))+(IF(G498="Yes",2,0))+(IF(H498="High",2,IF(H498="Moderate",1,0)))</f>
        <v>4</v>
      </c>
      <c r="J498" s="7" t="str">
        <f aca="false">IF(I498&gt;=8,"High",IF(I498&gt;=4,"Medium","Low"))</f>
        <v>Medium</v>
      </c>
    </row>
    <row r="499" customFormat="false" ht="15" hidden="false" customHeight="true" outlineLevel="0" collapsed="false">
      <c r="A499" s="7" t="n">
        <f aca="false">'Raw Data'!A499</f>
        <v>1727</v>
      </c>
      <c r="B499" s="7" t="n">
        <f aca="false">'Raw Data'!B499</f>
        <v>54</v>
      </c>
      <c r="C499" s="7" t="str">
        <f aca="false">'Raw Data'!C499</f>
        <v>Female</v>
      </c>
      <c r="D499" s="7" t="str">
        <f aca="false">'Raw Data'!D499</f>
        <v>Never</v>
      </c>
      <c r="E499" s="7" t="str">
        <f aca="false">'Raw Data'!J499</f>
        <v>Normal</v>
      </c>
      <c r="F499" s="7" t="n">
        <f aca="false">'Raw Data'!K499</f>
        <v>137.4</v>
      </c>
      <c r="G499" s="7" t="str">
        <f aca="false">'Raw Data'!L499</f>
        <v>No</v>
      </c>
      <c r="H499" s="7" t="str">
        <f aca="false">'Raw Data'!M499</f>
        <v>Moderate</v>
      </c>
      <c r="I499" s="7" t="n">
        <f aca="false">(IF(D499="Current",3,IF(D499="Former",1,0)))+(IF(E499="High",3,IF(E499="Normal",1,0)))+(IF(F499&gt;=240,2,IF(F499&gt;=200,1,0)))+(IF(G499="Yes",2,0))+(IF(H499="High",2,IF(H499="Moderate",1,0)))</f>
        <v>2</v>
      </c>
      <c r="J499" s="7" t="str">
        <f aca="false">IF(I499&gt;=8,"High",IF(I499&gt;=4,"Medium","Low"))</f>
        <v>Low</v>
      </c>
    </row>
    <row r="500" customFormat="false" ht="15" hidden="false" customHeight="true" outlineLevel="0" collapsed="false">
      <c r="A500" s="7" t="n">
        <f aca="false">'Raw Data'!A500</f>
        <v>1732</v>
      </c>
      <c r="B500" s="7" t="n">
        <f aca="false">'Raw Data'!B500</f>
        <v>69</v>
      </c>
      <c r="C500" s="7" t="str">
        <f aca="false">'Raw Data'!C500</f>
        <v>Male</v>
      </c>
      <c r="D500" s="7" t="str">
        <f aca="false">'Raw Data'!D500</f>
        <v>Never</v>
      </c>
      <c r="E500" s="7" t="str">
        <f aca="false">'Raw Data'!J500</f>
        <v>Normal</v>
      </c>
      <c r="F500" s="7" t="n">
        <f aca="false">'Raw Data'!K500</f>
        <v>255.6</v>
      </c>
      <c r="G500" s="7" t="str">
        <f aca="false">'Raw Data'!L500</f>
        <v>No</v>
      </c>
      <c r="H500" s="7" t="str">
        <f aca="false">'Raw Data'!M500</f>
        <v>Moderate</v>
      </c>
      <c r="I500" s="7" t="n">
        <f aca="false">(IF(D500="Current",3,IF(D500="Former",1,0)))+(IF(E500="High",3,IF(E500="Normal",1,0)))+(IF(F500&gt;=240,2,IF(F500&gt;=200,1,0)))+(IF(G500="Yes",2,0))+(IF(H500="High",2,IF(H500="Moderate",1,0)))</f>
        <v>4</v>
      </c>
      <c r="J500" s="7" t="str">
        <f aca="false">IF(I500&gt;=8,"High",IF(I500&gt;=4,"Medium","Low"))</f>
        <v>Medium</v>
      </c>
    </row>
    <row r="501" customFormat="false" ht="15" hidden="false" customHeight="true" outlineLevel="0" collapsed="false">
      <c r="A501" s="7" t="n">
        <f aca="false">'Raw Data'!A501</f>
        <v>1745</v>
      </c>
      <c r="B501" s="7" t="n">
        <f aca="false">'Raw Data'!B501</f>
        <v>89</v>
      </c>
      <c r="C501" s="7" t="str">
        <f aca="false">'Raw Data'!C501</f>
        <v>Male</v>
      </c>
      <c r="D501" s="7" t="str">
        <f aca="false">'Raw Data'!D501</f>
        <v>Never</v>
      </c>
      <c r="E501" s="7" t="str">
        <f aca="false">'Raw Data'!J501</f>
        <v>Normal</v>
      </c>
      <c r="F501" s="7" t="n">
        <f aca="false">'Raw Data'!K501</f>
        <v>286.2</v>
      </c>
      <c r="G501" s="7" t="str">
        <f aca="false">'Raw Data'!L501</f>
        <v>No</v>
      </c>
      <c r="H501" s="7" t="str">
        <f aca="false">'Raw Data'!M501</f>
        <v>Moderate</v>
      </c>
      <c r="I501" s="7" t="n">
        <f aca="false">(IF(D501="Current",3,IF(D501="Former",1,0)))+(IF(E501="High",3,IF(E501="Normal",1,0)))+(IF(F501&gt;=240,2,IF(F501&gt;=200,1,0)))+(IF(G501="Yes",2,0))+(IF(H501="High",2,IF(H501="Moderate",1,0)))</f>
        <v>4</v>
      </c>
      <c r="J501" s="7" t="str">
        <f aca="false">IF(I501&gt;=8,"High",IF(I501&gt;=4,"Medium","Low"))</f>
        <v>Medium</v>
      </c>
    </row>
    <row r="502" customFormat="false" ht="15" hidden="false" customHeight="true" outlineLevel="0" collapsed="false">
      <c r="A502" s="7" t="n">
        <f aca="false">'Raw Data'!A502</f>
        <v>1765</v>
      </c>
      <c r="B502" s="7" t="n">
        <f aca="false">'Raw Data'!B502</f>
        <v>87</v>
      </c>
      <c r="C502" s="7" t="str">
        <f aca="false">'Raw Data'!C502</f>
        <v>Female</v>
      </c>
      <c r="D502" s="7" t="str">
        <f aca="false">'Raw Data'!D502</f>
        <v>Never</v>
      </c>
      <c r="E502" s="7" t="str">
        <f aca="false">'Raw Data'!J502</f>
        <v>Normal</v>
      </c>
      <c r="F502" s="7" t="n">
        <f aca="false">'Raw Data'!K502</f>
        <v>236.1</v>
      </c>
      <c r="G502" s="7" t="str">
        <f aca="false">'Raw Data'!L502</f>
        <v>No</v>
      </c>
      <c r="H502" s="7" t="str">
        <f aca="false">'Raw Data'!M502</f>
        <v>Moderate</v>
      </c>
      <c r="I502" s="7" t="n">
        <f aca="false">(IF(D502="Current",3,IF(D502="Former",1,0)))+(IF(E502="High",3,IF(E502="Normal",1,0)))+(IF(F502&gt;=240,2,IF(F502&gt;=200,1,0)))+(IF(G502="Yes",2,0))+(IF(H502="High",2,IF(H502="Moderate",1,0)))</f>
        <v>3</v>
      </c>
      <c r="J502" s="7" t="str">
        <f aca="false">IF(I502&gt;=8,"High",IF(I502&gt;=4,"Medium","Low"))</f>
        <v>Low</v>
      </c>
    </row>
    <row r="503" customFormat="false" ht="15" hidden="false" customHeight="true" outlineLevel="0" collapsed="false">
      <c r="A503" s="7" t="n">
        <f aca="false">'Raw Data'!A503</f>
        <v>1819</v>
      </c>
      <c r="B503" s="7" t="n">
        <f aca="false">'Raw Data'!B503</f>
        <v>48</v>
      </c>
      <c r="C503" s="7" t="str">
        <f aca="false">'Raw Data'!C503</f>
        <v>Male</v>
      </c>
      <c r="D503" s="7" t="str">
        <f aca="false">'Raw Data'!D503</f>
        <v>Never</v>
      </c>
      <c r="E503" s="7" t="str">
        <f aca="false">'Raw Data'!J503</f>
        <v>Normal</v>
      </c>
      <c r="F503" s="7" t="n">
        <f aca="false">'Raw Data'!K503</f>
        <v>260.4</v>
      </c>
      <c r="G503" s="7" t="str">
        <f aca="false">'Raw Data'!L503</f>
        <v>No</v>
      </c>
      <c r="H503" s="7" t="str">
        <f aca="false">'Raw Data'!M503</f>
        <v>Moderate</v>
      </c>
      <c r="I503" s="7" t="n">
        <f aca="false">(IF(D503="Current",3,IF(D503="Former",1,0)))+(IF(E503="High",3,IF(E503="Normal",1,0)))+(IF(F503&gt;=240,2,IF(F503&gt;=200,1,0)))+(IF(G503="Yes",2,0))+(IF(H503="High",2,IF(H503="Moderate",1,0)))</f>
        <v>4</v>
      </c>
      <c r="J503" s="7" t="str">
        <f aca="false">IF(I503&gt;=8,"High",IF(I503&gt;=4,"Medium","Low"))</f>
        <v>Medium</v>
      </c>
    </row>
    <row r="504" customFormat="false" ht="15" hidden="false" customHeight="true" outlineLevel="0" collapsed="false">
      <c r="A504" s="7" t="n">
        <f aca="false">'Raw Data'!A504</f>
        <v>1863</v>
      </c>
      <c r="B504" s="7" t="n">
        <f aca="false">'Raw Data'!B504</f>
        <v>83</v>
      </c>
      <c r="C504" s="7" t="str">
        <f aca="false">'Raw Data'!C504</f>
        <v>Female</v>
      </c>
      <c r="D504" s="7" t="str">
        <f aca="false">'Raw Data'!D504</f>
        <v>Never</v>
      </c>
      <c r="E504" s="7" t="str">
        <f aca="false">'Raw Data'!J504</f>
        <v>Normal</v>
      </c>
      <c r="F504" s="7" t="n">
        <f aca="false">'Raw Data'!K504</f>
        <v>121.6</v>
      </c>
      <c r="G504" s="7" t="str">
        <f aca="false">'Raw Data'!L504</f>
        <v>No</v>
      </c>
      <c r="H504" s="7" t="str">
        <f aca="false">'Raw Data'!M504</f>
        <v>Moderate</v>
      </c>
      <c r="I504" s="7" t="n">
        <f aca="false">(IF(D504="Current",3,IF(D504="Former",1,0)))+(IF(E504="High",3,IF(E504="Normal",1,0)))+(IF(F504&gt;=240,2,IF(F504&gt;=200,1,0)))+(IF(G504="Yes",2,0))+(IF(H504="High",2,IF(H504="Moderate",1,0)))</f>
        <v>2</v>
      </c>
      <c r="J504" s="7" t="str">
        <f aca="false">IF(I504&gt;=8,"High",IF(I504&gt;=4,"Medium","Low"))</f>
        <v>Low</v>
      </c>
    </row>
    <row r="505" customFormat="false" ht="15" hidden="false" customHeight="true" outlineLevel="0" collapsed="false">
      <c r="A505" s="7" t="n">
        <f aca="false">'Raw Data'!A505</f>
        <v>1879</v>
      </c>
      <c r="B505" s="7" t="n">
        <f aca="false">'Raw Data'!B505</f>
        <v>34</v>
      </c>
      <c r="C505" s="7" t="str">
        <f aca="false">'Raw Data'!C505</f>
        <v>Male</v>
      </c>
      <c r="D505" s="7" t="str">
        <f aca="false">'Raw Data'!D505</f>
        <v>Never</v>
      </c>
      <c r="E505" s="7" t="str">
        <f aca="false">'Raw Data'!J505</f>
        <v>Normal</v>
      </c>
      <c r="F505" s="7" t="n">
        <f aca="false">'Raw Data'!K505</f>
        <v>222.9</v>
      </c>
      <c r="G505" s="7" t="str">
        <f aca="false">'Raw Data'!L505</f>
        <v>No</v>
      </c>
      <c r="H505" s="7" t="str">
        <f aca="false">'Raw Data'!M505</f>
        <v>Moderate</v>
      </c>
      <c r="I505" s="7" t="n">
        <f aca="false">(IF(D505="Current",3,IF(D505="Former",1,0)))+(IF(E505="High",3,IF(E505="Normal",1,0)))+(IF(F505&gt;=240,2,IF(F505&gt;=200,1,0)))+(IF(G505="Yes",2,0))+(IF(H505="High",2,IF(H505="Moderate",1,0)))</f>
        <v>3</v>
      </c>
      <c r="J505" s="7" t="str">
        <f aca="false">IF(I505&gt;=8,"High",IF(I505&gt;=4,"Medium","Low"))</f>
        <v>Low</v>
      </c>
    </row>
    <row r="506" customFormat="false" ht="15" hidden="false" customHeight="true" outlineLevel="0" collapsed="false">
      <c r="A506" s="7" t="n">
        <f aca="false">'Raw Data'!A506</f>
        <v>1886</v>
      </c>
      <c r="B506" s="7" t="n">
        <f aca="false">'Raw Data'!B506</f>
        <v>27</v>
      </c>
      <c r="C506" s="7" t="str">
        <f aca="false">'Raw Data'!C506</f>
        <v>Male</v>
      </c>
      <c r="D506" s="7" t="str">
        <f aca="false">'Raw Data'!D506</f>
        <v>Never</v>
      </c>
      <c r="E506" s="7" t="str">
        <f aca="false">'Raw Data'!J506</f>
        <v>Normal</v>
      </c>
      <c r="F506" s="7" t="n">
        <f aca="false">'Raw Data'!K506</f>
        <v>236.4</v>
      </c>
      <c r="G506" s="7" t="str">
        <f aca="false">'Raw Data'!L506</f>
        <v>No</v>
      </c>
      <c r="H506" s="7" t="str">
        <f aca="false">'Raw Data'!M506</f>
        <v>Moderate</v>
      </c>
      <c r="I506" s="7" t="n">
        <f aca="false">(IF(D506="Current",3,IF(D506="Former",1,0)))+(IF(E506="High",3,IF(E506="Normal",1,0)))+(IF(F506&gt;=240,2,IF(F506&gt;=200,1,0)))+(IF(G506="Yes",2,0))+(IF(H506="High",2,IF(H506="Moderate",1,0)))</f>
        <v>3</v>
      </c>
      <c r="J506" s="7" t="str">
        <f aca="false">IF(I506&gt;=8,"High",IF(I506&gt;=4,"Medium","Low"))</f>
        <v>Low</v>
      </c>
    </row>
    <row r="507" customFormat="false" ht="15" hidden="false" customHeight="true" outlineLevel="0" collapsed="false">
      <c r="A507" s="7" t="n">
        <f aca="false">'Raw Data'!A507</f>
        <v>1889</v>
      </c>
      <c r="B507" s="7" t="n">
        <f aca="false">'Raw Data'!B507</f>
        <v>72</v>
      </c>
      <c r="C507" s="7" t="str">
        <f aca="false">'Raw Data'!C507</f>
        <v>Female</v>
      </c>
      <c r="D507" s="7" t="str">
        <f aca="false">'Raw Data'!D507</f>
        <v>Never</v>
      </c>
      <c r="E507" s="7" t="str">
        <f aca="false">'Raw Data'!J507</f>
        <v>Normal</v>
      </c>
      <c r="F507" s="7" t="n">
        <f aca="false">'Raw Data'!K507</f>
        <v>149.1</v>
      </c>
      <c r="G507" s="7" t="str">
        <f aca="false">'Raw Data'!L507</f>
        <v>No</v>
      </c>
      <c r="H507" s="7" t="str">
        <f aca="false">'Raw Data'!M507</f>
        <v>Moderate</v>
      </c>
      <c r="I507" s="7" t="n">
        <f aca="false">(IF(D507="Current",3,IF(D507="Former",1,0)))+(IF(E507="High",3,IF(E507="Normal",1,0)))+(IF(F507&gt;=240,2,IF(F507&gt;=200,1,0)))+(IF(G507="Yes",2,0))+(IF(H507="High",2,IF(H507="Moderate",1,0)))</f>
        <v>2</v>
      </c>
      <c r="J507" s="7" t="str">
        <f aca="false">IF(I507&gt;=8,"High",IF(I507&gt;=4,"Medium","Low"))</f>
        <v>Low</v>
      </c>
    </row>
    <row r="508" customFormat="false" ht="15" hidden="false" customHeight="true" outlineLevel="0" collapsed="false">
      <c r="A508" s="7" t="n">
        <f aca="false">'Raw Data'!A508</f>
        <v>1908</v>
      </c>
      <c r="B508" s="7" t="n">
        <f aca="false">'Raw Data'!B508</f>
        <v>87</v>
      </c>
      <c r="C508" s="7" t="str">
        <f aca="false">'Raw Data'!C508</f>
        <v>Female</v>
      </c>
      <c r="D508" s="7" t="str">
        <f aca="false">'Raw Data'!D508</f>
        <v>Never</v>
      </c>
      <c r="E508" s="7" t="str">
        <f aca="false">'Raw Data'!J508</f>
        <v>Normal</v>
      </c>
      <c r="F508" s="7" t="n">
        <f aca="false">'Raw Data'!K508</f>
        <v>238.5</v>
      </c>
      <c r="G508" s="7" t="str">
        <f aca="false">'Raw Data'!L508</f>
        <v>No</v>
      </c>
      <c r="H508" s="7" t="str">
        <f aca="false">'Raw Data'!M508</f>
        <v>Moderate</v>
      </c>
      <c r="I508" s="7" t="n">
        <f aca="false">(IF(D508="Current",3,IF(D508="Former",1,0)))+(IF(E508="High",3,IF(E508="Normal",1,0)))+(IF(F508&gt;=240,2,IF(F508&gt;=200,1,0)))+(IF(G508="Yes",2,0))+(IF(H508="High",2,IF(H508="Moderate",1,0)))</f>
        <v>3</v>
      </c>
      <c r="J508" s="7" t="str">
        <f aca="false">IF(I508&gt;=8,"High",IF(I508&gt;=4,"Medium","Low"))</f>
        <v>Low</v>
      </c>
    </row>
    <row r="509" customFormat="false" ht="15" hidden="false" customHeight="true" outlineLevel="0" collapsed="false">
      <c r="A509" s="7" t="n">
        <f aca="false">'Raw Data'!A509</f>
        <v>1916</v>
      </c>
      <c r="B509" s="7" t="n">
        <f aca="false">'Raw Data'!B509</f>
        <v>32</v>
      </c>
      <c r="C509" s="7" t="str">
        <f aca="false">'Raw Data'!C509</f>
        <v>Male</v>
      </c>
      <c r="D509" s="7" t="str">
        <f aca="false">'Raw Data'!D509</f>
        <v>Never</v>
      </c>
      <c r="E509" s="7" t="str">
        <f aca="false">'Raw Data'!J509</f>
        <v>Normal</v>
      </c>
      <c r="F509" s="7" t="n">
        <f aca="false">'Raw Data'!K509</f>
        <v>245.8</v>
      </c>
      <c r="G509" s="7" t="str">
        <f aca="false">'Raw Data'!L509</f>
        <v>No</v>
      </c>
      <c r="H509" s="7" t="str">
        <f aca="false">'Raw Data'!M509</f>
        <v>Moderate</v>
      </c>
      <c r="I509" s="7" t="n">
        <f aca="false">(IF(D509="Current",3,IF(D509="Former",1,0)))+(IF(E509="High",3,IF(E509="Normal",1,0)))+(IF(F509&gt;=240,2,IF(F509&gt;=200,1,0)))+(IF(G509="Yes",2,0))+(IF(H509="High",2,IF(H509="Moderate",1,0)))</f>
        <v>4</v>
      </c>
      <c r="J509" s="7" t="str">
        <f aca="false">IF(I509&gt;=8,"High",IF(I509&gt;=4,"Medium","Low"))</f>
        <v>Medium</v>
      </c>
    </row>
    <row r="510" customFormat="false" ht="15" hidden="false" customHeight="true" outlineLevel="0" collapsed="false">
      <c r="A510" s="7" t="n">
        <f aca="false">'Raw Data'!A510</f>
        <v>1918</v>
      </c>
      <c r="B510" s="7" t="n">
        <f aca="false">'Raw Data'!B510</f>
        <v>58</v>
      </c>
      <c r="C510" s="7" t="str">
        <f aca="false">'Raw Data'!C510</f>
        <v>Male</v>
      </c>
      <c r="D510" s="7" t="str">
        <f aca="false">'Raw Data'!D510</f>
        <v>Never</v>
      </c>
      <c r="E510" s="7" t="str">
        <f aca="false">'Raw Data'!J510</f>
        <v>Normal</v>
      </c>
      <c r="F510" s="7" t="n">
        <f aca="false">'Raw Data'!K510</f>
        <v>167</v>
      </c>
      <c r="G510" s="7" t="str">
        <f aca="false">'Raw Data'!L510</f>
        <v>No</v>
      </c>
      <c r="H510" s="7" t="str">
        <f aca="false">'Raw Data'!M510</f>
        <v>Moderate</v>
      </c>
      <c r="I510" s="7" t="n">
        <f aca="false">(IF(D510="Current",3,IF(D510="Former",1,0)))+(IF(E510="High",3,IF(E510="Normal",1,0)))+(IF(F510&gt;=240,2,IF(F510&gt;=200,1,0)))+(IF(G510="Yes",2,0))+(IF(H510="High",2,IF(H510="Moderate",1,0)))</f>
        <v>2</v>
      </c>
      <c r="J510" s="7" t="str">
        <f aca="false">IF(I510&gt;=8,"High",IF(I510&gt;=4,"Medium","Low"))</f>
        <v>Low</v>
      </c>
    </row>
    <row r="511" customFormat="false" ht="15" hidden="false" customHeight="true" outlineLevel="0" collapsed="false">
      <c r="A511" s="7" t="n">
        <f aca="false">'Raw Data'!A511</f>
        <v>1929</v>
      </c>
      <c r="B511" s="7" t="n">
        <f aca="false">'Raw Data'!B511</f>
        <v>89</v>
      </c>
      <c r="C511" s="7" t="str">
        <f aca="false">'Raw Data'!C511</f>
        <v>Female</v>
      </c>
      <c r="D511" s="7" t="str">
        <f aca="false">'Raw Data'!D511</f>
        <v>Never</v>
      </c>
      <c r="E511" s="7" t="str">
        <f aca="false">'Raw Data'!J511</f>
        <v>Normal</v>
      </c>
      <c r="F511" s="7" t="n">
        <f aca="false">'Raw Data'!K511</f>
        <v>277.3</v>
      </c>
      <c r="G511" s="7" t="str">
        <f aca="false">'Raw Data'!L511</f>
        <v>No</v>
      </c>
      <c r="H511" s="7" t="str">
        <f aca="false">'Raw Data'!M511</f>
        <v>Moderate</v>
      </c>
      <c r="I511" s="7" t="n">
        <f aca="false">(IF(D511="Current",3,IF(D511="Former",1,0)))+(IF(E511="High",3,IF(E511="Normal",1,0)))+(IF(F511&gt;=240,2,IF(F511&gt;=200,1,0)))+(IF(G511="Yes",2,0))+(IF(H511="High",2,IF(H511="Moderate",1,0)))</f>
        <v>4</v>
      </c>
      <c r="J511" s="7" t="str">
        <f aca="false">IF(I511&gt;=8,"High",IF(I511&gt;=4,"Medium","Low"))</f>
        <v>Medium</v>
      </c>
    </row>
    <row r="512" customFormat="false" ht="15" hidden="false" customHeight="true" outlineLevel="0" collapsed="false">
      <c r="A512" s="7" t="n">
        <f aca="false">'Raw Data'!A512</f>
        <v>1997</v>
      </c>
      <c r="B512" s="7" t="n">
        <f aca="false">'Raw Data'!B512</f>
        <v>43</v>
      </c>
      <c r="C512" s="7" t="str">
        <f aca="false">'Raw Data'!C512</f>
        <v>Male</v>
      </c>
      <c r="D512" s="7" t="str">
        <f aca="false">'Raw Data'!D512</f>
        <v>Never</v>
      </c>
      <c r="E512" s="7" t="str">
        <f aca="false">'Raw Data'!J512</f>
        <v>Normal</v>
      </c>
      <c r="F512" s="7" t="n">
        <f aca="false">'Raw Data'!K512</f>
        <v>175.2</v>
      </c>
      <c r="G512" s="7" t="str">
        <f aca="false">'Raw Data'!L512</f>
        <v>No</v>
      </c>
      <c r="H512" s="7" t="str">
        <f aca="false">'Raw Data'!M512</f>
        <v>Moderate</v>
      </c>
      <c r="I512" s="7" t="n">
        <f aca="false">(IF(D512="Current",3,IF(D512="Former",1,0)))+(IF(E512="High",3,IF(E512="Normal",1,0)))+(IF(F512&gt;=240,2,IF(F512&gt;=200,1,0)))+(IF(G512="Yes",2,0))+(IF(H512="High",2,IF(H512="Moderate",1,0)))</f>
        <v>2</v>
      </c>
      <c r="J512" s="7" t="str">
        <f aca="false">IF(I512&gt;=8,"High",IF(I512&gt;=4,"Medium","Low"))</f>
        <v>Low</v>
      </c>
    </row>
    <row r="513" customFormat="false" ht="15" hidden="false" customHeight="true" outlineLevel="0" collapsed="false">
      <c r="A513" s="7" t="n">
        <f aca="false">'Raw Data'!A513</f>
        <v>2005</v>
      </c>
      <c r="B513" s="7" t="n">
        <f aca="false">'Raw Data'!B513</f>
        <v>71</v>
      </c>
      <c r="C513" s="7" t="str">
        <f aca="false">'Raw Data'!C513</f>
        <v>Female</v>
      </c>
      <c r="D513" s="7" t="str">
        <f aca="false">'Raw Data'!D513</f>
        <v>Never</v>
      </c>
      <c r="E513" s="7" t="str">
        <f aca="false">'Raw Data'!J513</f>
        <v>Normal</v>
      </c>
      <c r="F513" s="7" t="n">
        <f aca="false">'Raw Data'!K513</f>
        <v>280.3</v>
      </c>
      <c r="G513" s="7" t="str">
        <f aca="false">'Raw Data'!L513</f>
        <v>No</v>
      </c>
      <c r="H513" s="7" t="str">
        <f aca="false">'Raw Data'!M513</f>
        <v>Moderate</v>
      </c>
      <c r="I513" s="7" t="n">
        <f aca="false">(IF(D513="Current",3,IF(D513="Former",1,0)))+(IF(E513="High",3,IF(E513="Normal",1,0)))+(IF(F513&gt;=240,2,IF(F513&gt;=200,1,0)))+(IF(G513="Yes",2,0))+(IF(H513="High",2,IF(H513="Moderate",1,0)))</f>
        <v>4</v>
      </c>
      <c r="J513" s="7" t="str">
        <f aca="false">IF(I513&gt;=8,"High",IF(I513&gt;=4,"Medium","Low"))</f>
        <v>Medium</v>
      </c>
    </row>
    <row r="514" customFormat="false" ht="15" hidden="false" customHeight="true" outlineLevel="0" collapsed="false">
      <c r="A514" s="7" t="n">
        <f aca="false">'Raw Data'!A514</f>
        <v>2008</v>
      </c>
      <c r="B514" s="7" t="n">
        <f aca="false">'Raw Data'!B514</f>
        <v>73</v>
      </c>
      <c r="C514" s="7" t="str">
        <f aca="false">'Raw Data'!C514</f>
        <v>Male</v>
      </c>
      <c r="D514" s="7" t="str">
        <f aca="false">'Raw Data'!D514</f>
        <v>Never</v>
      </c>
      <c r="E514" s="7" t="str">
        <f aca="false">'Raw Data'!J514</f>
        <v>Normal</v>
      </c>
      <c r="F514" s="7" t="n">
        <f aca="false">'Raw Data'!K514</f>
        <v>261.5</v>
      </c>
      <c r="G514" s="7" t="str">
        <f aca="false">'Raw Data'!L514</f>
        <v>No</v>
      </c>
      <c r="H514" s="7" t="str">
        <f aca="false">'Raw Data'!M514</f>
        <v>Moderate</v>
      </c>
      <c r="I514" s="7" t="n">
        <f aca="false">(IF(D514="Current",3,IF(D514="Former",1,0)))+(IF(E514="High",3,IF(E514="Normal",1,0)))+(IF(F514&gt;=240,2,IF(F514&gt;=200,1,0)))+(IF(G514="Yes",2,0))+(IF(H514="High",2,IF(H514="Moderate",1,0)))</f>
        <v>4</v>
      </c>
      <c r="J514" s="7" t="str">
        <f aca="false">IF(I514&gt;=8,"High",IF(I514&gt;=4,"Medium","Low"))</f>
        <v>Medium</v>
      </c>
    </row>
    <row r="515" customFormat="false" ht="15" hidden="false" customHeight="true" outlineLevel="0" collapsed="false">
      <c r="A515" s="7" t="n">
        <f aca="false">'Raw Data'!A515</f>
        <v>2014</v>
      </c>
      <c r="B515" s="7" t="n">
        <f aca="false">'Raw Data'!B515</f>
        <v>27</v>
      </c>
      <c r="C515" s="7" t="str">
        <f aca="false">'Raw Data'!C515</f>
        <v>Male</v>
      </c>
      <c r="D515" s="7" t="str">
        <f aca="false">'Raw Data'!D515</f>
        <v>Never</v>
      </c>
      <c r="E515" s="7" t="str">
        <f aca="false">'Raw Data'!J515</f>
        <v>Normal</v>
      </c>
      <c r="F515" s="7" t="n">
        <f aca="false">'Raw Data'!K515</f>
        <v>295.9</v>
      </c>
      <c r="G515" s="7" t="str">
        <f aca="false">'Raw Data'!L515</f>
        <v>No</v>
      </c>
      <c r="H515" s="7" t="str">
        <f aca="false">'Raw Data'!M515</f>
        <v>Moderate</v>
      </c>
      <c r="I515" s="7" t="n">
        <f aca="false">(IF(D515="Current",3,IF(D515="Former",1,0)))+(IF(E515="High",3,IF(E515="Normal",1,0)))+(IF(F515&gt;=240,2,IF(F515&gt;=200,1,0)))+(IF(G515="Yes",2,0))+(IF(H515="High",2,IF(H515="Moderate",1,0)))</f>
        <v>4</v>
      </c>
      <c r="J515" s="7" t="str">
        <f aca="false">IF(I515&gt;=8,"High",IF(I515&gt;=4,"Medium","Low"))</f>
        <v>Medium</v>
      </c>
    </row>
    <row r="516" customFormat="false" ht="15" hidden="false" customHeight="true" outlineLevel="0" collapsed="false">
      <c r="A516" s="7" t="n">
        <f aca="false">'Raw Data'!A516</f>
        <v>2028</v>
      </c>
      <c r="B516" s="7" t="n">
        <f aca="false">'Raw Data'!B516</f>
        <v>24</v>
      </c>
      <c r="C516" s="7" t="str">
        <f aca="false">'Raw Data'!C516</f>
        <v>Female</v>
      </c>
      <c r="D516" s="7" t="str">
        <f aca="false">'Raw Data'!D516</f>
        <v>Never</v>
      </c>
      <c r="E516" s="7" t="str">
        <f aca="false">'Raw Data'!J516</f>
        <v>Normal</v>
      </c>
      <c r="F516" s="7" t="n">
        <f aca="false">'Raw Data'!K516</f>
        <v>167.6</v>
      </c>
      <c r="G516" s="7" t="str">
        <f aca="false">'Raw Data'!L516</f>
        <v>No</v>
      </c>
      <c r="H516" s="7" t="str">
        <f aca="false">'Raw Data'!M516</f>
        <v>Moderate</v>
      </c>
      <c r="I516" s="7" t="n">
        <f aca="false">(IF(D516="Current",3,IF(D516="Former",1,0)))+(IF(E516="High",3,IF(E516="Normal",1,0)))+(IF(F516&gt;=240,2,IF(F516&gt;=200,1,0)))+(IF(G516="Yes",2,0))+(IF(H516="High",2,IF(H516="Moderate",1,0)))</f>
        <v>2</v>
      </c>
      <c r="J516" s="7" t="str">
        <f aca="false">IF(I516&gt;=8,"High",IF(I516&gt;=4,"Medium","Low"))</f>
        <v>Low</v>
      </c>
    </row>
    <row r="517" customFormat="false" ht="15" hidden="false" customHeight="true" outlineLevel="0" collapsed="false">
      <c r="A517" s="7" t="n">
        <f aca="false">'Raw Data'!A517</f>
        <v>2039</v>
      </c>
      <c r="B517" s="7" t="n">
        <f aca="false">'Raw Data'!B517</f>
        <v>61</v>
      </c>
      <c r="C517" s="7" t="str">
        <f aca="false">'Raw Data'!C517</f>
        <v>Female</v>
      </c>
      <c r="D517" s="7" t="str">
        <f aca="false">'Raw Data'!D517</f>
        <v>Never</v>
      </c>
      <c r="E517" s="7" t="str">
        <f aca="false">'Raw Data'!J517</f>
        <v>Normal</v>
      </c>
      <c r="F517" s="7" t="n">
        <f aca="false">'Raw Data'!K517</f>
        <v>161.5</v>
      </c>
      <c r="G517" s="7" t="str">
        <f aca="false">'Raw Data'!L517</f>
        <v>No</v>
      </c>
      <c r="H517" s="7" t="str">
        <f aca="false">'Raw Data'!M517</f>
        <v>Moderate</v>
      </c>
      <c r="I517" s="7" t="n">
        <f aca="false">(IF(D517="Current",3,IF(D517="Former",1,0)))+(IF(E517="High",3,IF(E517="Normal",1,0)))+(IF(F517&gt;=240,2,IF(F517&gt;=200,1,0)))+(IF(G517="Yes",2,0))+(IF(H517="High",2,IF(H517="Moderate",1,0)))</f>
        <v>2</v>
      </c>
      <c r="J517" s="7" t="str">
        <f aca="false">IF(I517&gt;=8,"High",IF(I517&gt;=4,"Medium","Low"))</f>
        <v>Low</v>
      </c>
    </row>
    <row r="518" customFormat="false" ht="15" hidden="false" customHeight="true" outlineLevel="0" collapsed="false">
      <c r="A518" s="7" t="n">
        <f aca="false">'Raw Data'!A518</f>
        <v>2105</v>
      </c>
      <c r="B518" s="7" t="n">
        <f aca="false">'Raw Data'!B518</f>
        <v>44</v>
      </c>
      <c r="C518" s="7" t="str">
        <f aca="false">'Raw Data'!C518</f>
        <v>Male</v>
      </c>
      <c r="D518" s="7" t="str">
        <f aca="false">'Raw Data'!D518</f>
        <v>Never</v>
      </c>
      <c r="E518" s="7" t="str">
        <f aca="false">'Raw Data'!J518</f>
        <v>Normal</v>
      </c>
      <c r="F518" s="7" t="n">
        <f aca="false">'Raw Data'!K518</f>
        <v>227.7</v>
      </c>
      <c r="G518" s="7" t="str">
        <f aca="false">'Raw Data'!L518</f>
        <v>No</v>
      </c>
      <c r="H518" s="7" t="str">
        <f aca="false">'Raw Data'!M518</f>
        <v>Moderate</v>
      </c>
      <c r="I518" s="7" t="n">
        <f aca="false">(IF(D518="Current",3,IF(D518="Former",1,0)))+(IF(E518="High",3,IF(E518="Normal",1,0)))+(IF(F518&gt;=240,2,IF(F518&gt;=200,1,0)))+(IF(G518="Yes",2,0))+(IF(H518="High",2,IF(H518="Moderate",1,0)))</f>
        <v>3</v>
      </c>
      <c r="J518" s="7" t="str">
        <f aca="false">IF(I518&gt;=8,"High",IF(I518&gt;=4,"Medium","Low"))</f>
        <v>Low</v>
      </c>
    </row>
    <row r="519" customFormat="false" ht="15" hidden="false" customHeight="true" outlineLevel="0" collapsed="false">
      <c r="A519" s="7" t="n">
        <f aca="false">'Raw Data'!A519</f>
        <v>2131</v>
      </c>
      <c r="B519" s="7" t="n">
        <f aca="false">'Raw Data'!B519</f>
        <v>58</v>
      </c>
      <c r="C519" s="7" t="str">
        <f aca="false">'Raw Data'!C519</f>
        <v>Female</v>
      </c>
      <c r="D519" s="7" t="str">
        <f aca="false">'Raw Data'!D519</f>
        <v>Never</v>
      </c>
      <c r="E519" s="7" t="str">
        <f aca="false">'Raw Data'!J519</f>
        <v>Normal</v>
      </c>
      <c r="F519" s="7" t="n">
        <f aca="false">'Raw Data'!K519</f>
        <v>203.1</v>
      </c>
      <c r="G519" s="7" t="str">
        <f aca="false">'Raw Data'!L519</f>
        <v>No</v>
      </c>
      <c r="H519" s="7" t="str">
        <f aca="false">'Raw Data'!M519</f>
        <v>Moderate</v>
      </c>
      <c r="I519" s="7" t="n">
        <f aca="false">(IF(D519="Current",3,IF(D519="Former",1,0)))+(IF(E519="High",3,IF(E519="Normal",1,0)))+(IF(F519&gt;=240,2,IF(F519&gt;=200,1,0)))+(IF(G519="Yes",2,0))+(IF(H519="High",2,IF(H519="Moderate",1,0)))</f>
        <v>3</v>
      </c>
      <c r="J519" s="7" t="str">
        <f aca="false">IF(I519&gt;=8,"High",IF(I519&gt;=4,"Medium","Low"))</f>
        <v>Low</v>
      </c>
    </row>
    <row r="520" customFormat="false" ht="15" hidden="false" customHeight="true" outlineLevel="0" collapsed="false">
      <c r="A520" s="7" t="n">
        <f aca="false">'Raw Data'!A520</f>
        <v>2132</v>
      </c>
      <c r="B520" s="7" t="n">
        <f aca="false">'Raw Data'!B520</f>
        <v>88</v>
      </c>
      <c r="C520" s="7" t="str">
        <f aca="false">'Raw Data'!C520</f>
        <v>Male</v>
      </c>
      <c r="D520" s="7" t="str">
        <f aca="false">'Raw Data'!D520</f>
        <v>Never</v>
      </c>
      <c r="E520" s="7" t="str">
        <f aca="false">'Raw Data'!J520</f>
        <v>Normal</v>
      </c>
      <c r="F520" s="7" t="n">
        <f aca="false">'Raw Data'!K520</f>
        <v>239.2</v>
      </c>
      <c r="G520" s="7" t="str">
        <f aca="false">'Raw Data'!L520</f>
        <v>No</v>
      </c>
      <c r="H520" s="7" t="str">
        <f aca="false">'Raw Data'!M520</f>
        <v>Moderate</v>
      </c>
      <c r="I520" s="7" t="n">
        <f aca="false">(IF(D520="Current",3,IF(D520="Former",1,0)))+(IF(E520="High",3,IF(E520="Normal",1,0)))+(IF(F520&gt;=240,2,IF(F520&gt;=200,1,0)))+(IF(G520="Yes",2,0))+(IF(H520="High",2,IF(H520="Moderate",1,0)))</f>
        <v>3</v>
      </c>
      <c r="J520" s="7" t="str">
        <f aca="false">IF(I520&gt;=8,"High",IF(I520&gt;=4,"Medium","Low"))</f>
        <v>Low</v>
      </c>
    </row>
    <row r="521" customFormat="false" ht="15" hidden="false" customHeight="true" outlineLevel="0" collapsed="false">
      <c r="A521" s="7" t="n">
        <f aca="false">'Raw Data'!A521</f>
        <v>2138</v>
      </c>
      <c r="B521" s="7" t="n">
        <f aca="false">'Raw Data'!B521</f>
        <v>83</v>
      </c>
      <c r="C521" s="7" t="str">
        <f aca="false">'Raw Data'!C521</f>
        <v>Male</v>
      </c>
      <c r="D521" s="7" t="str">
        <f aca="false">'Raw Data'!D521</f>
        <v>Never</v>
      </c>
      <c r="E521" s="7" t="str">
        <f aca="false">'Raw Data'!J521</f>
        <v>Normal</v>
      </c>
      <c r="F521" s="7" t="n">
        <f aca="false">'Raw Data'!K521</f>
        <v>139.7</v>
      </c>
      <c r="G521" s="7" t="str">
        <f aca="false">'Raw Data'!L521</f>
        <v>No</v>
      </c>
      <c r="H521" s="7" t="str">
        <f aca="false">'Raw Data'!M521</f>
        <v>Moderate</v>
      </c>
      <c r="I521" s="7" t="n">
        <f aca="false">(IF(D521="Current",3,IF(D521="Former",1,0)))+(IF(E521="High",3,IF(E521="Normal",1,0)))+(IF(F521&gt;=240,2,IF(F521&gt;=200,1,0)))+(IF(G521="Yes",2,0))+(IF(H521="High",2,IF(H521="Moderate",1,0)))</f>
        <v>2</v>
      </c>
      <c r="J521" s="7" t="str">
        <f aca="false">IF(I521&gt;=8,"High",IF(I521&gt;=4,"Medium","Low"))</f>
        <v>Low</v>
      </c>
    </row>
    <row r="522" customFormat="false" ht="15" hidden="false" customHeight="true" outlineLevel="0" collapsed="false">
      <c r="A522" s="7" t="n">
        <f aca="false">'Raw Data'!A522</f>
        <v>2156</v>
      </c>
      <c r="B522" s="7" t="n">
        <f aca="false">'Raw Data'!B522</f>
        <v>34</v>
      </c>
      <c r="C522" s="7" t="str">
        <f aca="false">'Raw Data'!C522</f>
        <v>Male</v>
      </c>
      <c r="D522" s="7" t="str">
        <f aca="false">'Raw Data'!D522</f>
        <v>Never</v>
      </c>
      <c r="E522" s="7" t="str">
        <f aca="false">'Raw Data'!J522</f>
        <v>Normal</v>
      </c>
      <c r="F522" s="7" t="n">
        <f aca="false">'Raw Data'!K522</f>
        <v>136.3</v>
      </c>
      <c r="G522" s="7" t="str">
        <f aca="false">'Raw Data'!L522</f>
        <v>No</v>
      </c>
      <c r="H522" s="7" t="str">
        <f aca="false">'Raw Data'!M522</f>
        <v>Moderate</v>
      </c>
      <c r="I522" s="7" t="n">
        <f aca="false">(IF(D522="Current",3,IF(D522="Former",1,0)))+(IF(E522="High",3,IF(E522="Normal",1,0)))+(IF(F522&gt;=240,2,IF(F522&gt;=200,1,0)))+(IF(G522="Yes",2,0))+(IF(H522="High",2,IF(H522="Moderate",1,0)))</f>
        <v>2</v>
      </c>
      <c r="J522" s="7" t="str">
        <f aca="false">IF(I522&gt;=8,"High",IF(I522&gt;=4,"Medium","Low"))</f>
        <v>Low</v>
      </c>
    </row>
    <row r="523" customFormat="false" ht="15" hidden="false" customHeight="true" outlineLevel="0" collapsed="false">
      <c r="A523" s="7" t="n">
        <f aca="false">'Raw Data'!A523</f>
        <v>2177</v>
      </c>
      <c r="B523" s="7" t="n">
        <f aca="false">'Raw Data'!B523</f>
        <v>23</v>
      </c>
      <c r="C523" s="7" t="str">
        <f aca="false">'Raw Data'!C523</f>
        <v>Male</v>
      </c>
      <c r="D523" s="7" t="str">
        <f aca="false">'Raw Data'!D523</f>
        <v>Never</v>
      </c>
      <c r="E523" s="7" t="str">
        <f aca="false">'Raw Data'!J523</f>
        <v>Normal</v>
      </c>
      <c r="F523" s="7" t="n">
        <f aca="false">'Raw Data'!K523</f>
        <v>165.4</v>
      </c>
      <c r="G523" s="7" t="str">
        <f aca="false">'Raw Data'!L523</f>
        <v>No</v>
      </c>
      <c r="H523" s="7" t="str">
        <f aca="false">'Raw Data'!M523</f>
        <v>Moderate</v>
      </c>
      <c r="I523" s="7" t="n">
        <f aca="false">(IF(D523="Current",3,IF(D523="Former",1,0)))+(IF(E523="High",3,IF(E523="Normal",1,0)))+(IF(F523&gt;=240,2,IF(F523&gt;=200,1,0)))+(IF(G523="Yes",2,0))+(IF(H523="High",2,IF(H523="Moderate",1,0)))</f>
        <v>2</v>
      </c>
      <c r="J523" s="7" t="str">
        <f aca="false">IF(I523&gt;=8,"High",IF(I523&gt;=4,"Medium","Low"))</f>
        <v>Low</v>
      </c>
    </row>
    <row r="524" customFormat="false" ht="15" hidden="false" customHeight="true" outlineLevel="0" collapsed="false">
      <c r="A524" s="7" t="n">
        <f aca="false">'Raw Data'!A524</f>
        <v>2180</v>
      </c>
      <c r="B524" s="7" t="n">
        <f aca="false">'Raw Data'!B524</f>
        <v>64</v>
      </c>
      <c r="C524" s="7" t="str">
        <f aca="false">'Raw Data'!C524</f>
        <v>Female</v>
      </c>
      <c r="D524" s="7" t="str">
        <f aca="false">'Raw Data'!D524</f>
        <v>Never</v>
      </c>
      <c r="E524" s="7" t="str">
        <f aca="false">'Raw Data'!J524</f>
        <v>Normal</v>
      </c>
      <c r="F524" s="7" t="n">
        <f aca="false">'Raw Data'!K524</f>
        <v>236.4</v>
      </c>
      <c r="G524" s="7" t="str">
        <f aca="false">'Raw Data'!L524</f>
        <v>No</v>
      </c>
      <c r="H524" s="7" t="str">
        <f aca="false">'Raw Data'!M524</f>
        <v>Moderate</v>
      </c>
      <c r="I524" s="7" t="n">
        <f aca="false">(IF(D524="Current",3,IF(D524="Former",1,0)))+(IF(E524="High",3,IF(E524="Normal",1,0)))+(IF(F524&gt;=240,2,IF(F524&gt;=200,1,0)))+(IF(G524="Yes",2,0))+(IF(H524="High",2,IF(H524="Moderate",1,0)))</f>
        <v>3</v>
      </c>
      <c r="J524" s="7" t="str">
        <f aca="false">IF(I524&gt;=8,"High",IF(I524&gt;=4,"Medium","Low"))</f>
        <v>Low</v>
      </c>
    </row>
    <row r="525" customFormat="false" ht="15" hidden="false" customHeight="true" outlineLevel="0" collapsed="false">
      <c r="A525" s="7" t="n">
        <f aca="false">'Raw Data'!A525</f>
        <v>2185</v>
      </c>
      <c r="B525" s="7" t="n">
        <f aca="false">'Raw Data'!B525</f>
        <v>58</v>
      </c>
      <c r="C525" s="7" t="str">
        <f aca="false">'Raw Data'!C525</f>
        <v>Male</v>
      </c>
      <c r="D525" s="7" t="str">
        <f aca="false">'Raw Data'!D525</f>
        <v>Never</v>
      </c>
      <c r="E525" s="7" t="str">
        <f aca="false">'Raw Data'!J525</f>
        <v>Normal</v>
      </c>
      <c r="F525" s="7" t="n">
        <f aca="false">'Raw Data'!K525</f>
        <v>152.8</v>
      </c>
      <c r="G525" s="7" t="str">
        <f aca="false">'Raw Data'!L525</f>
        <v>No</v>
      </c>
      <c r="H525" s="7" t="str">
        <f aca="false">'Raw Data'!M525</f>
        <v>Moderate</v>
      </c>
      <c r="I525" s="7" t="n">
        <f aca="false">(IF(D525="Current",3,IF(D525="Former",1,0)))+(IF(E525="High",3,IF(E525="Normal",1,0)))+(IF(F525&gt;=240,2,IF(F525&gt;=200,1,0)))+(IF(G525="Yes",2,0))+(IF(H525="High",2,IF(H525="Moderate",1,0)))</f>
        <v>2</v>
      </c>
      <c r="J525" s="7" t="str">
        <f aca="false">IF(I525&gt;=8,"High",IF(I525&gt;=4,"Medium","Low"))</f>
        <v>Low</v>
      </c>
    </row>
    <row r="526" customFormat="false" ht="15" hidden="false" customHeight="true" outlineLevel="0" collapsed="false">
      <c r="A526" s="7" t="n">
        <f aca="false">'Raw Data'!A526</f>
        <v>2197</v>
      </c>
      <c r="B526" s="7" t="n">
        <f aca="false">'Raw Data'!B526</f>
        <v>77</v>
      </c>
      <c r="C526" s="7" t="str">
        <f aca="false">'Raw Data'!C526</f>
        <v>Male</v>
      </c>
      <c r="D526" s="7" t="str">
        <f aca="false">'Raw Data'!D526</f>
        <v>Never</v>
      </c>
      <c r="E526" s="7" t="str">
        <f aca="false">'Raw Data'!J526</f>
        <v>Normal</v>
      </c>
      <c r="F526" s="7" t="n">
        <f aca="false">'Raw Data'!K526</f>
        <v>290.4</v>
      </c>
      <c r="G526" s="7" t="str">
        <f aca="false">'Raw Data'!L526</f>
        <v>No</v>
      </c>
      <c r="H526" s="7" t="str">
        <f aca="false">'Raw Data'!M526</f>
        <v>Moderate</v>
      </c>
      <c r="I526" s="7" t="n">
        <f aca="false">(IF(D526="Current",3,IF(D526="Former",1,0)))+(IF(E526="High",3,IF(E526="Normal",1,0)))+(IF(F526&gt;=240,2,IF(F526&gt;=200,1,0)))+(IF(G526="Yes",2,0))+(IF(H526="High",2,IF(H526="Moderate",1,0)))</f>
        <v>4</v>
      </c>
      <c r="J526" s="7" t="str">
        <f aca="false">IF(I526&gt;=8,"High",IF(I526&gt;=4,"Medium","Low"))</f>
        <v>Medium</v>
      </c>
    </row>
    <row r="527" customFormat="false" ht="15" hidden="false" customHeight="true" outlineLevel="0" collapsed="false">
      <c r="A527" s="7" t="n">
        <f aca="false">'Raw Data'!A527</f>
        <v>2206</v>
      </c>
      <c r="B527" s="7" t="n">
        <f aca="false">'Raw Data'!B527</f>
        <v>88</v>
      </c>
      <c r="C527" s="7" t="str">
        <f aca="false">'Raw Data'!C527</f>
        <v>Female</v>
      </c>
      <c r="D527" s="7" t="str">
        <f aca="false">'Raw Data'!D527</f>
        <v>Never</v>
      </c>
      <c r="E527" s="7" t="str">
        <f aca="false">'Raw Data'!J527</f>
        <v>Normal</v>
      </c>
      <c r="F527" s="7" t="n">
        <f aca="false">'Raw Data'!K527</f>
        <v>135.4</v>
      </c>
      <c r="G527" s="7" t="str">
        <f aca="false">'Raw Data'!L527</f>
        <v>No</v>
      </c>
      <c r="H527" s="7" t="str">
        <f aca="false">'Raw Data'!M527</f>
        <v>Moderate</v>
      </c>
      <c r="I527" s="7" t="n">
        <f aca="false">(IF(D527="Current",3,IF(D527="Former",1,0)))+(IF(E527="High",3,IF(E527="Normal",1,0)))+(IF(F527&gt;=240,2,IF(F527&gt;=200,1,0)))+(IF(G527="Yes",2,0))+(IF(H527="High",2,IF(H527="Moderate",1,0)))</f>
        <v>2</v>
      </c>
      <c r="J527" s="7" t="str">
        <f aca="false">IF(I527&gt;=8,"High",IF(I527&gt;=4,"Medium","Low"))</f>
        <v>Low</v>
      </c>
    </row>
    <row r="528" customFormat="false" ht="15" hidden="false" customHeight="true" outlineLevel="0" collapsed="false">
      <c r="A528" s="7" t="n">
        <f aca="false">'Raw Data'!A528</f>
        <v>2230</v>
      </c>
      <c r="B528" s="7" t="n">
        <f aca="false">'Raw Data'!B528</f>
        <v>22</v>
      </c>
      <c r="C528" s="7" t="str">
        <f aca="false">'Raw Data'!C528</f>
        <v>Female</v>
      </c>
      <c r="D528" s="7" t="str">
        <f aca="false">'Raw Data'!D528</f>
        <v>Never</v>
      </c>
      <c r="E528" s="7" t="str">
        <f aca="false">'Raw Data'!J528</f>
        <v>Normal</v>
      </c>
      <c r="F528" s="7" t="n">
        <f aca="false">'Raw Data'!K528</f>
        <v>250</v>
      </c>
      <c r="G528" s="7" t="str">
        <f aca="false">'Raw Data'!L528</f>
        <v>No</v>
      </c>
      <c r="H528" s="7" t="str">
        <f aca="false">'Raw Data'!M528</f>
        <v>Moderate</v>
      </c>
      <c r="I528" s="7" t="n">
        <f aca="false">(IF(D528="Current",3,IF(D528="Former",1,0)))+(IF(E528="High",3,IF(E528="Normal",1,0)))+(IF(F528&gt;=240,2,IF(F528&gt;=200,1,0)))+(IF(G528="Yes",2,0))+(IF(H528="High",2,IF(H528="Moderate",1,0)))</f>
        <v>4</v>
      </c>
      <c r="J528" s="7" t="str">
        <f aca="false">IF(I528&gt;=8,"High",IF(I528&gt;=4,"Medium","Low"))</f>
        <v>Medium</v>
      </c>
    </row>
    <row r="529" customFormat="false" ht="15" hidden="false" customHeight="true" outlineLevel="0" collapsed="false">
      <c r="A529" s="7" t="n">
        <f aca="false">'Raw Data'!A529</f>
        <v>2231</v>
      </c>
      <c r="B529" s="7" t="n">
        <f aca="false">'Raw Data'!B529</f>
        <v>80</v>
      </c>
      <c r="C529" s="7" t="str">
        <f aca="false">'Raw Data'!C529</f>
        <v>Female</v>
      </c>
      <c r="D529" s="7" t="str">
        <f aca="false">'Raw Data'!D529</f>
        <v>Never</v>
      </c>
      <c r="E529" s="7" t="str">
        <f aca="false">'Raw Data'!J529</f>
        <v>Normal</v>
      </c>
      <c r="F529" s="7" t="n">
        <f aca="false">'Raw Data'!K529</f>
        <v>221.7</v>
      </c>
      <c r="G529" s="7" t="str">
        <f aca="false">'Raw Data'!L529</f>
        <v>No</v>
      </c>
      <c r="H529" s="7" t="str">
        <f aca="false">'Raw Data'!M529</f>
        <v>Moderate</v>
      </c>
      <c r="I529" s="7" t="n">
        <f aca="false">(IF(D529="Current",3,IF(D529="Former",1,0)))+(IF(E529="High",3,IF(E529="Normal",1,0)))+(IF(F529&gt;=240,2,IF(F529&gt;=200,1,0)))+(IF(G529="Yes",2,0))+(IF(H529="High",2,IF(H529="Moderate",1,0)))</f>
        <v>3</v>
      </c>
      <c r="J529" s="7" t="str">
        <f aca="false">IF(I529&gt;=8,"High",IF(I529&gt;=4,"Medium","Low"))</f>
        <v>Low</v>
      </c>
    </row>
    <row r="530" customFormat="false" ht="15" hidden="false" customHeight="true" outlineLevel="0" collapsed="false">
      <c r="A530" s="7" t="n">
        <f aca="false">'Raw Data'!A530</f>
        <v>2252</v>
      </c>
      <c r="B530" s="7" t="n">
        <f aca="false">'Raw Data'!B530</f>
        <v>62</v>
      </c>
      <c r="C530" s="7" t="str">
        <f aca="false">'Raw Data'!C530</f>
        <v>Female</v>
      </c>
      <c r="D530" s="7" t="str">
        <f aca="false">'Raw Data'!D530</f>
        <v>Never</v>
      </c>
      <c r="E530" s="7" t="str">
        <f aca="false">'Raw Data'!J530</f>
        <v>Normal</v>
      </c>
      <c r="F530" s="7" t="n">
        <f aca="false">'Raw Data'!K530</f>
        <v>248.9</v>
      </c>
      <c r="G530" s="7" t="str">
        <f aca="false">'Raw Data'!L530</f>
        <v>No</v>
      </c>
      <c r="H530" s="7" t="str">
        <f aca="false">'Raw Data'!M530</f>
        <v>Moderate</v>
      </c>
      <c r="I530" s="7" t="n">
        <f aca="false">(IF(D530="Current",3,IF(D530="Former",1,0)))+(IF(E530="High",3,IF(E530="Normal",1,0)))+(IF(F530&gt;=240,2,IF(F530&gt;=200,1,0)))+(IF(G530="Yes",2,0))+(IF(H530="High",2,IF(H530="Moderate",1,0)))</f>
        <v>4</v>
      </c>
      <c r="J530" s="7" t="str">
        <f aca="false">IF(I530&gt;=8,"High",IF(I530&gt;=4,"Medium","Low"))</f>
        <v>Medium</v>
      </c>
    </row>
    <row r="531" customFormat="false" ht="15" hidden="false" customHeight="true" outlineLevel="0" collapsed="false">
      <c r="A531" s="7" t="n">
        <f aca="false">'Raw Data'!A531</f>
        <v>2279</v>
      </c>
      <c r="B531" s="7" t="n">
        <f aca="false">'Raw Data'!B531</f>
        <v>20</v>
      </c>
      <c r="C531" s="7" t="str">
        <f aca="false">'Raw Data'!C531</f>
        <v>Male</v>
      </c>
      <c r="D531" s="7" t="str">
        <f aca="false">'Raw Data'!D531</f>
        <v>Never</v>
      </c>
      <c r="E531" s="7" t="str">
        <f aca="false">'Raw Data'!J531</f>
        <v>Normal</v>
      </c>
      <c r="F531" s="7" t="n">
        <f aca="false">'Raw Data'!K531</f>
        <v>121.8</v>
      </c>
      <c r="G531" s="7" t="str">
        <f aca="false">'Raw Data'!L531</f>
        <v>No</v>
      </c>
      <c r="H531" s="7" t="str">
        <f aca="false">'Raw Data'!M531</f>
        <v>Moderate</v>
      </c>
      <c r="I531" s="7" t="n">
        <f aca="false">(IF(D531="Current",3,IF(D531="Former",1,0)))+(IF(E531="High",3,IF(E531="Normal",1,0)))+(IF(F531&gt;=240,2,IF(F531&gt;=200,1,0)))+(IF(G531="Yes",2,0))+(IF(H531="High",2,IF(H531="Moderate",1,0)))</f>
        <v>2</v>
      </c>
      <c r="J531" s="7" t="str">
        <f aca="false">IF(I531&gt;=8,"High",IF(I531&gt;=4,"Medium","Low"))</f>
        <v>Low</v>
      </c>
    </row>
    <row r="532" customFormat="false" ht="15" hidden="false" customHeight="true" outlineLevel="0" collapsed="false">
      <c r="A532" s="7" t="n">
        <f aca="false">'Raw Data'!A532</f>
        <v>2297</v>
      </c>
      <c r="B532" s="7" t="n">
        <f aca="false">'Raw Data'!B532</f>
        <v>80</v>
      </c>
      <c r="C532" s="7" t="str">
        <f aca="false">'Raw Data'!C532</f>
        <v>Female</v>
      </c>
      <c r="D532" s="7" t="str">
        <f aca="false">'Raw Data'!D532</f>
        <v>Never</v>
      </c>
      <c r="E532" s="7" t="str">
        <f aca="false">'Raw Data'!J532</f>
        <v>Normal</v>
      </c>
      <c r="F532" s="7" t="n">
        <f aca="false">'Raw Data'!K532</f>
        <v>247.7</v>
      </c>
      <c r="G532" s="7" t="str">
        <f aca="false">'Raw Data'!L532</f>
        <v>No</v>
      </c>
      <c r="H532" s="7" t="str">
        <f aca="false">'Raw Data'!M532</f>
        <v>Moderate</v>
      </c>
      <c r="I532" s="7" t="n">
        <f aca="false">(IF(D532="Current",3,IF(D532="Former",1,0)))+(IF(E532="High",3,IF(E532="Normal",1,0)))+(IF(F532&gt;=240,2,IF(F532&gt;=200,1,0)))+(IF(G532="Yes",2,0))+(IF(H532="High",2,IF(H532="Moderate",1,0)))</f>
        <v>4</v>
      </c>
      <c r="J532" s="7" t="str">
        <f aca="false">IF(I532&gt;=8,"High",IF(I532&gt;=4,"Medium","Low"))</f>
        <v>Medium</v>
      </c>
    </row>
    <row r="533" customFormat="false" ht="15" hidden="false" customHeight="true" outlineLevel="0" collapsed="false">
      <c r="A533" s="7" t="n">
        <f aca="false">'Raw Data'!A533</f>
        <v>2300</v>
      </c>
      <c r="B533" s="7" t="n">
        <f aca="false">'Raw Data'!B533</f>
        <v>63</v>
      </c>
      <c r="C533" s="7" t="str">
        <f aca="false">'Raw Data'!C533</f>
        <v>Male</v>
      </c>
      <c r="D533" s="7" t="str">
        <f aca="false">'Raw Data'!D533</f>
        <v>Never</v>
      </c>
      <c r="E533" s="7" t="str">
        <f aca="false">'Raw Data'!J533</f>
        <v>Normal</v>
      </c>
      <c r="F533" s="7" t="n">
        <f aca="false">'Raw Data'!K533</f>
        <v>141.9</v>
      </c>
      <c r="G533" s="7" t="str">
        <f aca="false">'Raw Data'!L533</f>
        <v>No</v>
      </c>
      <c r="H533" s="7" t="str">
        <f aca="false">'Raw Data'!M533</f>
        <v>Moderate</v>
      </c>
      <c r="I533" s="7" t="n">
        <f aca="false">(IF(D533="Current",3,IF(D533="Former",1,0)))+(IF(E533="High",3,IF(E533="Normal",1,0)))+(IF(F533&gt;=240,2,IF(F533&gt;=200,1,0)))+(IF(G533="Yes",2,0))+(IF(H533="High",2,IF(H533="Moderate",1,0)))</f>
        <v>2</v>
      </c>
      <c r="J533" s="7" t="str">
        <f aca="false">IF(I533&gt;=8,"High",IF(I533&gt;=4,"Medium","Low"))</f>
        <v>Low</v>
      </c>
    </row>
    <row r="534" customFormat="false" ht="15" hidden="false" customHeight="true" outlineLevel="0" collapsed="false">
      <c r="A534" s="7" t="n">
        <f aca="false">'Raw Data'!A534</f>
        <v>2307</v>
      </c>
      <c r="B534" s="7" t="n">
        <f aca="false">'Raw Data'!B534</f>
        <v>41</v>
      </c>
      <c r="C534" s="7" t="str">
        <f aca="false">'Raw Data'!C534</f>
        <v>Male</v>
      </c>
      <c r="D534" s="7" t="str">
        <f aca="false">'Raw Data'!D534</f>
        <v>Never</v>
      </c>
      <c r="E534" s="7" t="str">
        <f aca="false">'Raw Data'!J534</f>
        <v>Normal</v>
      </c>
      <c r="F534" s="7" t="n">
        <f aca="false">'Raw Data'!K534</f>
        <v>226.7</v>
      </c>
      <c r="G534" s="7" t="str">
        <f aca="false">'Raw Data'!L534</f>
        <v>No</v>
      </c>
      <c r="H534" s="7" t="str">
        <f aca="false">'Raw Data'!M534</f>
        <v>Moderate</v>
      </c>
      <c r="I534" s="7" t="n">
        <f aca="false">(IF(D534="Current",3,IF(D534="Former",1,0)))+(IF(E534="High",3,IF(E534="Normal",1,0)))+(IF(F534&gt;=240,2,IF(F534&gt;=200,1,0)))+(IF(G534="Yes",2,0))+(IF(H534="High",2,IF(H534="Moderate",1,0)))</f>
        <v>3</v>
      </c>
      <c r="J534" s="7" t="str">
        <f aca="false">IF(I534&gt;=8,"High",IF(I534&gt;=4,"Medium","Low"))</f>
        <v>Low</v>
      </c>
    </row>
    <row r="535" customFormat="false" ht="15" hidden="false" customHeight="true" outlineLevel="0" collapsed="false">
      <c r="A535" s="7" t="n">
        <f aca="false">'Raw Data'!A535</f>
        <v>2332</v>
      </c>
      <c r="B535" s="7" t="n">
        <f aca="false">'Raw Data'!B535</f>
        <v>18</v>
      </c>
      <c r="C535" s="7" t="str">
        <f aca="false">'Raw Data'!C535</f>
        <v>Male</v>
      </c>
      <c r="D535" s="7" t="str">
        <f aca="false">'Raw Data'!D535</f>
        <v>Never</v>
      </c>
      <c r="E535" s="7" t="str">
        <f aca="false">'Raw Data'!J535</f>
        <v>Normal</v>
      </c>
      <c r="F535" s="7" t="n">
        <f aca="false">'Raw Data'!K535</f>
        <v>191.3</v>
      </c>
      <c r="G535" s="7" t="str">
        <f aca="false">'Raw Data'!L535</f>
        <v>No</v>
      </c>
      <c r="H535" s="7" t="str">
        <f aca="false">'Raw Data'!M535</f>
        <v>Moderate</v>
      </c>
      <c r="I535" s="7" t="n">
        <f aca="false">(IF(D535="Current",3,IF(D535="Former",1,0)))+(IF(E535="High",3,IF(E535="Normal",1,0)))+(IF(F535&gt;=240,2,IF(F535&gt;=200,1,0)))+(IF(G535="Yes",2,0))+(IF(H535="High",2,IF(H535="Moderate",1,0)))</f>
        <v>2</v>
      </c>
      <c r="J535" s="7" t="str">
        <f aca="false">IF(I535&gt;=8,"High",IF(I535&gt;=4,"Medium","Low"))</f>
        <v>Low</v>
      </c>
    </row>
    <row r="536" customFormat="false" ht="15" hidden="false" customHeight="true" outlineLevel="0" collapsed="false">
      <c r="A536" s="7" t="n">
        <f aca="false">'Raw Data'!A536</f>
        <v>2342</v>
      </c>
      <c r="B536" s="7" t="n">
        <f aca="false">'Raw Data'!B536</f>
        <v>70</v>
      </c>
      <c r="C536" s="7" t="str">
        <f aca="false">'Raw Data'!C536</f>
        <v>Female</v>
      </c>
      <c r="D536" s="7" t="str">
        <f aca="false">'Raw Data'!D536</f>
        <v>Never</v>
      </c>
      <c r="E536" s="7" t="str">
        <f aca="false">'Raw Data'!J536</f>
        <v>Normal</v>
      </c>
      <c r="F536" s="7" t="n">
        <f aca="false">'Raw Data'!K536</f>
        <v>246.4</v>
      </c>
      <c r="G536" s="7" t="str">
        <f aca="false">'Raw Data'!L536</f>
        <v>No</v>
      </c>
      <c r="H536" s="7" t="str">
        <f aca="false">'Raw Data'!M536</f>
        <v>Moderate</v>
      </c>
      <c r="I536" s="7" t="n">
        <f aca="false">(IF(D536="Current",3,IF(D536="Former",1,0)))+(IF(E536="High",3,IF(E536="Normal",1,0)))+(IF(F536&gt;=240,2,IF(F536&gt;=200,1,0)))+(IF(G536="Yes",2,0))+(IF(H536="High",2,IF(H536="Moderate",1,0)))</f>
        <v>4</v>
      </c>
      <c r="J536" s="7" t="str">
        <f aca="false">IF(I536&gt;=8,"High",IF(I536&gt;=4,"Medium","Low"))</f>
        <v>Medium</v>
      </c>
    </row>
    <row r="537" customFormat="false" ht="15" hidden="false" customHeight="true" outlineLevel="0" collapsed="false">
      <c r="A537" s="7" t="n">
        <f aca="false">'Raw Data'!A537</f>
        <v>2348</v>
      </c>
      <c r="B537" s="7" t="n">
        <f aca="false">'Raw Data'!B537</f>
        <v>79</v>
      </c>
      <c r="C537" s="7" t="str">
        <f aca="false">'Raw Data'!C537</f>
        <v>Male</v>
      </c>
      <c r="D537" s="7" t="str">
        <f aca="false">'Raw Data'!D537</f>
        <v>Never</v>
      </c>
      <c r="E537" s="7" t="str">
        <f aca="false">'Raw Data'!J537</f>
        <v>Normal</v>
      </c>
      <c r="F537" s="7" t="n">
        <f aca="false">'Raw Data'!K537</f>
        <v>184.2</v>
      </c>
      <c r="G537" s="7" t="str">
        <f aca="false">'Raw Data'!L537</f>
        <v>No</v>
      </c>
      <c r="H537" s="7" t="str">
        <f aca="false">'Raw Data'!M537</f>
        <v>Moderate</v>
      </c>
      <c r="I537" s="7" t="n">
        <f aca="false">(IF(D537="Current",3,IF(D537="Former",1,0)))+(IF(E537="High",3,IF(E537="Normal",1,0)))+(IF(F537&gt;=240,2,IF(F537&gt;=200,1,0)))+(IF(G537="Yes",2,0))+(IF(H537="High",2,IF(H537="Moderate",1,0)))</f>
        <v>2</v>
      </c>
      <c r="J537" s="7" t="str">
        <f aca="false">IF(I537&gt;=8,"High",IF(I537&gt;=4,"Medium","Low"))</f>
        <v>Low</v>
      </c>
    </row>
    <row r="538" customFormat="false" ht="15" hidden="false" customHeight="true" outlineLevel="0" collapsed="false">
      <c r="A538" s="7" t="n">
        <f aca="false">'Raw Data'!A538</f>
        <v>2364</v>
      </c>
      <c r="B538" s="7" t="n">
        <f aca="false">'Raw Data'!B538</f>
        <v>25</v>
      </c>
      <c r="C538" s="7" t="str">
        <f aca="false">'Raw Data'!C538</f>
        <v>Male</v>
      </c>
      <c r="D538" s="7" t="str">
        <f aca="false">'Raw Data'!D538</f>
        <v>Never</v>
      </c>
      <c r="E538" s="7" t="str">
        <f aca="false">'Raw Data'!J538</f>
        <v>Normal</v>
      </c>
      <c r="F538" s="7" t="n">
        <f aca="false">'Raw Data'!K538</f>
        <v>187.9</v>
      </c>
      <c r="G538" s="7" t="str">
        <f aca="false">'Raw Data'!L538</f>
        <v>No</v>
      </c>
      <c r="H538" s="7" t="str">
        <f aca="false">'Raw Data'!M538</f>
        <v>Moderate</v>
      </c>
      <c r="I538" s="7" t="n">
        <f aca="false">(IF(D538="Current",3,IF(D538="Former",1,0)))+(IF(E538="High",3,IF(E538="Normal",1,0)))+(IF(F538&gt;=240,2,IF(F538&gt;=200,1,0)))+(IF(G538="Yes",2,0))+(IF(H538="High",2,IF(H538="Moderate",1,0)))</f>
        <v>2</v>
      </c>
      <c r="J538" s="7" t="str">
        <f aca="false">IF(I538&gt;=8,"High",IF(I538&gt;=4,"Medium","Low"))</f>
        <v>Low</v>
      </c>
    </row>
    <row r="539" customFormat="false" ht="15" hidden="false" customHeight="true" outlineLevel="0" collapsed="false">
      <c r="A539" s="7" t="n">
        <f aca="false">'Raw Data'!A539</f>
        <v>2379</v>
      </c>
      <c r="B539" s="7" t="n">
        <f aca="false">'Raw Data'!B539</f>
        <v>19</v>
      </c>
      <c r="C539" s="7" t="str">
        <f aca="false">'Raw Data'!C539</f>
        <v>Female</v>
      </c>
      <c r="D539" s="7" t="str">
        <f aca="false">'Raw Data'!D539</f>
        <v>Never</v>
      </c>
      <c r="E539" s="7" t="str">
        <f aca="false">'Raw Data'!J539</f>
        <v>Normal</v>
      </c>
      <c r="F539" s="7" t="n">
        <f aca="false">'Raw Data'!K539</f>
        <v>132.4</v>
      </c>
      <c r="G539" s="7" t="str">
        <f aca="false">'Raw Data'!L539</f>
        <v>No</v>
      </c>
      <c r="H539" s="7" t="str">
        <f aca="false">'Raw Data'!M539</f>
        <v>Moderate</v>
      </c>
      <c r="I539" s="7" t="n">
        <f aca="false">(IF(D539="Current",3,IF(D539="Former",1,0)))+(IF(E539="High",3,IF(E539="Normal",1,0)))+(IF(F539&gt;=240,2,IF(F539&gt;=200,1,0)))+(IF(G539="Yes",2,0))+(IF(H539="High",2,IF(H539="Moderate",1,0)))</f>
        <v>2</v>
      </c>
      <c r="J539" s="7" t="str">
        <f aca="false">IF(I539&gt;=8,"High",IF(I539&gt;=4,"Medium","Low"))</f>
        <v>Low</v>
      </c>
    </row>
    <row r="540" customFormat="false" ht="15" hidden="false" customHeight="true" outlineLevel="0" collapsed="false">
      <c r="A540" s="7" t="n">
        <f aca="false">'Raw Data'!A540</f>
        <v>2383</v>
      </c>
      <c r="B540" s="7" t="n">
        <f aca="false">'Raw Data'!B540</f>
        <v>77</v>
      </c>
      <c r="C540" s="7" t="str">
        <f aca="false">'Raw Data'!C540</f>
        <v>Male</v>
      </c>
      <c r="D540" s="7" t="str">
        <f aca="false">'Raw Data'!D540</f>
        <v>Never</v>
      </c>
      <c r="E540" s="7" t="str">
        <f aca="false">'Raw Data'!J540</f>
        <v>Normal</v>
      </c>
      <c r="F540" s="7" t="n">
        <f aca="false">'Raw Data'!K540</f>
        <v>174.9</v>
      </c>
      <c r="G540" s="7" t="str">
        <f aca="false">'Raw Data'!L540</f>
        <v>No</v>
      </c>
      <c r="H540" s="7" t="str">
        <f aca="false">'Raw Data'!M540</f>
        <v>Moderate</v>
      </c>
      <c r="I540" s="7" t="n">
        <f aca="false">(IF(D540="Current",3,IF(D540="Former",1,0)))+(IF(E540="High",3,IF(E540="Normal",1,0)))+(IF(F540&gt;=240,2,IF(F540&gt;=200,1,0)))+(IF(G540="Yes",2,0))+(IF(H540="High",2,IF(H540="Moderate",1,0)))</f>
        <v>2</v>
      </c>
      <c r="J540" s="7" t="str">
        <f aca="false">IF(I540&gt;=8,"High",IF(I540&gt;=4,"Medium","Low"))</f>
        <v>Low</v>
      </c>
    </row>
    <row r="541" customFormat="false" ht="15" hidden="false" customHeight="true" outlineLevel="0" collapsed="false">
      <c r="A541" s="7" t="n">
        <f aca="false">'Raw Data'!A541</f>
        <v>2386</v>
      </c>
      <c r="B541" s="7" t="n">
        <f aca="false">'Raw Data'!B541</f>
        <v>57</v>
      </c>
      <c r="C541" s="7" t="str">
        <f aca="false">'Raw Data'!C541</f>
        <v>Female</v>
      </c>
      <c r="D541" s="7" t="str">
        <f aca="false">'Raw Data'!D541</f>
        <v>Never</v>
      </c>
      <c r="E541" s="7" t="str">
        <f aca="false">'Raw Data'!J541</f>
        <v>Normal</v>
      </c>
      <c r="F541" s="7" t="n">
        <f aca="false">'Raw Data'!K541</f>
        <v>222.4</v>
      </c>
      <c r="G541" s="7" t="str">
        <f aca="false">'Raw Data'!L541</f>
        <v>No</v>
      </c>
      <c r="H541" s="7" t="str">
        <f aca="false">'Raw Data'!M541</f>
        <v>Moderate</v>
      </c>
      <c r="I541" s="7" t="n">
        <f aca="false">(IF(D541="Current",3,IF(D541="Former",1,0)))+(IF(E541="High",3,IF(E541="Normal",1,0)))+(IF(F541&gt;=240,2,IF(F541&gt;=200,1,0)))+(IF(G541="Yes",2,0))+(IF(H541="High",2,IF(H541="Moderate",1,0)))</f>
        <v>3</v>
      </c>
      <c r="J541" s="7" t="str">
        <f aca="false">IF(I541&gt;=8,"High",IF(I541&gt;=4,"Medium","Low"))</f>
        <v>Low</v>
      </c>
    </row>
    <row r="542" customFormat="false" ht="15" hidden="false" customHeight="true" outlineLevel="0" collapsed="false">
      <c r="A542" s="7" t="n">
        <f aca="false">'Raw Data'!A542</f>
        <v>2395</v>
      </c>
      <c r="B542" s="7" t="n">
        <f aca="false">'Raw Data'!B542</f>
        <v>80</v>
      </c>
      <c r="C542" s="7" t="str">
        <f aca="false">'Raw Data'!C542</f>
        <v>Female</v>
      </c>
      <c r="D542" s="7" t="str">
        <f aca="false">'Raw Data'!D542</f>
        <v>Never</v>
      </c>
      <c r="E542" s="7" t="str">
        <f aca="false">'Raw Data'!J542</f>
        <v>Normal</v>
      </c>
      <c r="F542" s="7" t="n">
        <f aca="false">'Raw Data'!K542</f>
        <v>172.5</v>
      </c>
      <c r="G542" s="7" t="str">
        <f aca="false">'Raw Data'!L542</f>
        <v>No</v>
      </c>
      <c r="H542" s="7" t="str">
        <f aca="false">'Raw Data'!M542</f>
        <v>Moderate</v>
      </c>
      <c r="I542" s="7" t="n">
        <f aca="false">(IF(D542="Current",3,IF(D542="Former",1,0)))+(IF(E542="High",3,IF(E542="Normal",1,0)))+(IF(F542&gt;=240,2,IF(F542&gt;=200,1,0)))+(IF(G542="Yes",2,0))+(IF(H542="High",2,IF(H542="Moderate",1,0)))</f>
        <v>2</v>
      </c>
      <c r="J542" s="7" t="str">
        <f aca="false">IF(I542&gt;=8,"High",IF(I542&gt;=4,"Medium","Low"))</f>
        <v>Low</v>
      </c>
    </row>
    <row r="543" customFormat="false" ht="15" hidden="false" customHeight="true" outlineLevel="0" collapsed="false">
      <c r="A543" s="7" t="n">
        <f aca="false">'Raw Data'!A543</f>
        <v>2407</v>
      </c>
      <c r="B543" s="7" t="n">
        <f aca="false">'Raw Data'!B543</f>
        <v>42</v>
      </c>
      <c r="C543" s="7" t="str">
        <f aca="false">'Raw Data'!C543</f>
        <v>Female</v>
      </c>
      <c r="D543" s="7" t="str">
        <f aca="false">'Raw Data'!D543</f>
        <v>Never</v>
      </c>
      <c r="E543" s="7" t="str">
        <f aca="false">'Raw Data'!J543</f>
        <v>Normal</v>
      </c>
      <c r="F543" s="7" t="n">
        <f aca="false">'Raw Data'!K543</f>
        <v>297.1</v>
      </c>
      <c r="G543" s="7" t="str">
        <f aca="false">'Raw Data'!L543</f>
        <v>No</v>
      </c>
      <c r="H543" s="7" t="str">
        <f aca="false">'Raw Data'!M543</f>
        <v>Moderate</v>
      </c>
      <c r="I543" s="7" t="n">
        <f aca="false">(IF(D543="Current",3,IF(D543="Former",1,0)))+(IF(E543="High",3,IF(E543="Normal",1,0)))+(IF(F543&gt;=240,2,IF(F543&gt;=200,1,0)))+(IF(G543="Yes",2,0))+(IF(H543="High",2,IF(H543="Moderate",1,0)))</f>
        <v>4</v>
      </c>
      <c r="J543" s="7" t="str">
        <f aca="false">IF(I543&gt;=8,"High",IF(I543&gt;=4,"Medium","Low"))</f>
        <v>Medium</v>
      </c>
    </row>
    <row r="544" customFormat="false" ht="15" hidden="false" customHeight="true" outlineLevel="0" collapsed="false">
      <c r="A544" s="7" t="n">
        <f aca="false">'Raw Data'!A544</f>
        <v>2428</v>
      </c>
      <c r="B544" s="7" t="n">
        <f aca="false">'Raw Data'!B544</f>
        <v>42</v>
      </c>
      <c r="C544" s="7" t="str">
        <f aca="false">'Raw Data'!C544</f>
        <v>Female</v>
      </c>
      <c r="D544" s="7" t="str">
        <f aca="false">'Raw Data'!D544</f>
        <v>Never</v>
      </c>
      <c r="E544" s="7" t="str">
        <f aca="false">'Raw Data'!J544</f>
        <v>Normal</v>
      </c>
      <c r="F544" s="7" t="n">
        <f aca="false">'Raw Data'!K544</f>
        <v>194.5</v>
      </c>
      <c r="G544" s="7" t="str">
        <f aca="false">'Raw Data'!L544</f>
        <v>No</v>
      </c>
      <c r="H544" s="7" t="str">
        <f aca="false">'Raw Data'!M544</f>
        <v>Moderate</v>
      </c>
      <c r="I544" s="7" t="n">
        <f aca="false">(IF(D544="Current",3,IF(D544="Former",1,0)))+(IF(E544="High",3,IF(E544="Normal",1,0)))+(IF(F544&gt;=240,2,IF(F544&gt;=200,1,0)))+(IF(G544="Yes",2,0))+(IF(H544="High",2,IF(H544="Moderate",1,0)))</f>
        <v>2</v>
      </c>
      <c r="J544" s="7" t="str">
        <f aca="false">IF(I544&gt;=8,"High",IF(I544&gt;=4,"Medium","Low"))</f>
        <v>Low</v>
      </c>
    </row>
    <row r="545" customFormat="false" ht="15" hidden="false" customHeight="true" outlineLevel="0" collapsed="false">
      <c r="A545" s="7" t="n">
        <f aca="false">'Raw Data'!A545</f>
        <v>2451</v>
      </c>
      <c r="B545" s="7" t="n">
        <f aca="false">'Raw Data'!B545</f>
        <v>39</v>
      </c>
      <c r="C545" s="7" t="str">
        <f aca="false">'Raw Data'!C545</f>
        <v>Female</v>
      </c>
      <c r="D545" s="7" t="str">
        <f aca="false">'Raw Data'!D545</f>
        <v>Never</v>
      </c>
      <c r="E545" s="7" t="str">
        <f aca="false">'Raw Data'!J545</f>
        <v>Normal</v>
      </c>
      <c r="F545" s="7" t="n">
        <f aca="false">'Raw Data'!K545</f>
        <v>207.1</v>
      </c>
      <c r="G545" s="7" t="str">
        <f aca="false">'Raw Data'!L545</f>
        <v>No</v>
      </c>
      <c r="H545" s="7" t="str">
        <f aca="false">'Raw Data'!M545</f>
        <v>Moderate</v>
      </c>
      <c r="I545" s="7" t="n">
        <f aca="false">(IF(D545="Current",3,IF(D545="Former",1,0)))+(IF(E545="High",3,IF(E545="Normal",1,0)))+(IF(F545&gt;=240,2,IF(F545&gt;=200,1,0)))+(IF(G545="Yes",2,0))+(IF(H545="High",2,IF(H545="Moderate",1,0)))</f>
        <v>3</v>
      </c>
      <c r="J545" s="7" t="str">
        <f aca="false">IF(I545&gt;=8,"High",IF(I545&gt;=4,"Medium","Low"))</f>
        <v>Low</v>
      </c>
    </row>
    <row r="546" customFormat="false" ht="15" hidden="false" customHeight="true" outlineLevel="0" collapsed="false">
      <c r="A546" s="7" t="n">
        <f aca="false">'Raw Data'!A546</f>
        <v>2481</v>
      </c>
      <c r="B546" s="7" t="n">
        <f aca="false">'Raw Data'!B546</f>
        <v>19</v>
      </c>
      <c r="C546" s="7" t="str">
        <f aca="false">'Raw Data'!C546</f>
        <v>Male</v>
      </c>
      <c r="D546" s="7" t="str">
        <f aca="false">'Raw Data'!D546</f>
        <v>Never</v>
      </c>
      <c r="E546" s="7" t="str">
        <f aca="false">'Raw Data'!J546</f>
        <v>Normal</v>
      </c>
      <c r="F546" s="7" t="n">
        <f aca="false">'Raw Data'!K546</f>
        <v>245.3</v>
      </c>
      <c r="G546" s="7" t="str">
        <f aca="false">'Raw Data'!L546</f>
        <v>No</v>
      </c>
      <c r="H546" s="7" t="str">
        <f aca="false">'Raw Data'!M546</f>
        <v>Moderate</v>
      </c>
      <c r="I546" s="7" t="n">
        <f aca="false">(IF(D546="Current",3,IF(D546="Former",1,0)))+(IF(E546="High",3,IF(E546="Normal",1,0)))+(IF(F546&gt;=240,2,IF(F546&gt;=200,1,0)))+(IF(G546="Yes",2,0))+(IF(H546="High",2,IF(H546="Moderate",1,0)))</f>
        <v>4</v>
      </c>
      <c r="J546" s="7" t="str">
        <f aca="false">IF(I546&gt;=8,"High",IF(I546&gt;=4,"Medium","Low"))</f>
        <v>Medium</v>
      </c>
    </row>
    <row r="547" customFormat="false" ht="15" hidden="false" customHeight="true" outlineLevel="0" collapsed="false">
      <c r="A547" s="7" t="n">
        <f aca="false">'Raw Data'!A547</f>
        <v>2491</v>
      </c>
      <c r="B547" s="7" t="n">
        <f aca="false">'Raw Data'!B547</f>
        <v>65</v>
      </c>
      <c r="C547" s="7" t="str">
        <f aca="false">'Raw Data'!C547</f>
        <v>Female</v>
      </c>
      <c r="D547" s="7" t="str">
        <f aca="false">'Raw Data'!D547</f>
        <v>Never</v>
      </c>
      <c r="E547" s="7" t="str">
        <f aca="false">'Raw Data'!J547</f>
        <v>Normal</v>
      </c>
      <c r="F547" s="7" t="n">
        <f aca="false">'Raw Data'!K547</f>
        <v>175.6</v>
      </c>
      <c r="G547" s="7" t="str">
        <f aca="false">'Raw Data'!L547</f>
        <v>No</v>
      </c>
      <c r="H547" s="7" t="str">
        <f aca="false">'Raw Data'!M547</f>
        <v>Moderate</v>
      </c>
      <c r="I547" s="7" t="n">
        <f aca="false">(IF(D547="Current",3,IF(D547="Former",1,0)))+(IF(E547="High",3,IF(E547="Normal",1,0)))+(IF(F547&gt;=240,2,IF(F547&gt;=200,1,0)))+(IF(G547="Yes",2,0))+(IF(H547="High",2,IF(H547="Moderate",1,0)))</f>
        <v>2</v>
      </c>
      <c r="J547" s="7" t="str">
        <f aca="false">IF(I547&gt;=8,"High",IF(I547&gt;=4,"Medium","Low"))</f>
        <v>Low</v>
      </c>
    </row>
    <row r="548" customFormat="false" ht="15" hidden="false" customHeight="true" outlineLevel="0" collapsed="false">
      <c r="A548" s="7" t="n">
        <f aca="false">'Raw Data'!A548</f>
        <v>2492</v>
      </c>
      <c r="B548" s="7" t="n">
        <f aca="false">'Raw Data'!B548</f>
        <v>51</v>
      </c>
      <c r="C548" s="7" t="str">
        <f aca="false">'Raw Data'!C548</f>
        <v>Male</v>
      </c>
      <c r="D548" s="7" t="str">
        <f aca="false">'Raw Data'!D548</f>
        <v>Never</v>
      </c>
      <c r="E548" s="7" t="str">
        <f aca="false">'Raw Data'!J548</f>
        <v>Normal</v>
      </c>
      <c r="F548" s="7" t="n">
        <f aca="false">'Raw Data'!K548</f>
        <v>269.2</v>
      </c>
      <c r="G548" s="7" t="str">
        <f aca="false">'Raw Data'!L548</f>
        <v>No</v>
      </c>
      <c r="H548" s="7" t="str">
        <f aca="false">'Raw Data'!M548</f>
        <v>Moderate</v>
      </c>
      <c r="I548" s="7" t="n">
        <f aca="false">(IF(D548="Current",3,IF(D548="Former",1,0)))+(IF(E548="High",3,IF(E548="Normal",1,0)))+(IF(F548&gt;=240,2,IF(F548&gt;=200,1,0)))+(IF(G548="Yes",2,0))+(IF(H548="High",2,IF(H548="Moderate",1,0)))</f>
        <v>4</v>
      </c>
      <c r="J548" s="7" t="str">
        <f aca="false">IF(I548&gt;=8,"High",IF(I548&gt;=4,"Medium","Low"))</f>
        <v>Medium</v>
      </c>
    </row>
    <row r="549" customFormat="false" ht="15" hidden="false" customHeight="true" outlineLevel="0" collapsed="false">
      <c r="A549" s="7" t="n">
        <f aca="false">'Raw Data'!A549</f>
        <v>2497</v>
      </c>
      <c r="B549" s="7" t="n">
        <f aca="false">'Raw Data'!B549</f>
        <v>69</v>
      </c>
      <c r="C549" s="7" t="str">
        <f aca="false">'Raw Data'!C549</f>
        <v>Female</v>
      </c>
      <c r="D549" s="7" t="str">
        <f aca="false">'Raw Data'!D549</f>
        <v>Never</v>
      </c>
      <c r="E549" s="7" t="str">
        <f aca="false">'Raw Data'!J549</f>
        <v>Normal</v>
      </c>
      <c r="F549" s="7" t="n">
        <f aca="false">'Raw Data'!K549</f>
        <v>210.4</v>
      </c>
      <c r="G549" s="7" t="str">
        <f aca="false">'Raw Data'!L549</f>
        <v>No</v>
      </c>
      <c r="H549" s="7" t="str">
        <f aca="false">'Raw Data'!M549</f>
        <v>Moderate</v>
      </c>
      <c r="I549" s="7" t="n">
        <f aca="false">(IF(D549="Current",3,IF(D549="Former",1,0)))+(IF(E549="High",3,IF(E549="Normal",1,0)))+(IF(F549&gt;=240,2,IF(F549&gt;=200,1,0)))+(IF(G549="Yes",2,0))+(IF(H549="High",2,IF(H549="Moderate",1,0)))</f>
        <v>3</v>
      </c>
      <c r="J549" s="7" t="str">
        <f aca="false">IF(I549&gt;=8,"High",IF(I549&gt;=4,"Medium","Low"))</f>
        <v>Low</v>
      </c>
    </row>
    <row r="550" customFormat="false" ht="15" hidden="false" customHeight="true" outlineLevel="0" collapsed="false">
      <c r="A550" s="7" t="n">
        <f aca="false">'Raw Data'!A550</f>
        <v>12</v>
      </c>
      <c r="B550" s="7" t="n">
        <f aca="false">'Raw Data'!B550</f>
        <v>83</v>
      </c>
      <c r="C550" s="7" t="str">
        <f aca="false">'Raw Data'!C550</f>
        <v>Female</v>
      </c>
      <c r="D550" s="7" t="str">
        <f aca="false">'Raw Data'!D550</f>
        <v>Never</v>
      </c>
      <c r="E550" s="7" t="str">
        <f aca="false">'Raw Data'!J550</f>
        <v>Normal</v>
      </c>
      <c r="F550" s="7" t="n">
        <f aca="false">'Raw Data'!K550</f>
        <v>159.3</v>
      </c>
      <c r="G550" s="7" t="str">
        <f aca="false">'Raw Data'!L550</f>
        <v>No</v>
      </c>
      <c r="H550" s="7" t="str">
        <f aca="false">'Raw Data'!M550</f>
        <v>High</v>
      </c>
      <c r="I550" s="7" t="n">
        <f aca="false">(IF(D550="Current",3,IF(D550="Former",1,0)))+(IF(E550="High",3,IF(E550="Normal",1,0)))+(IF(F550&gt;=240,2,IF(F550&gt;=200,1,0)))+(IF(G550="Yes",2,0))+(IF(H550="High",2,IF(H550="Moderate",1,0)))</f>
        <v>3</v>
      </c>
      <c r="J550" s="7" t="str">
        <f aca="false">IF(I550&gt;=8,"High",IF(I550&gt;=4,"Medium","Low"))</f>
        <v>Low</v>
      </c>
    </row>
    <row r="551" customFormat="false" ht="15" hidden="false" customHeight="true" outlineLevel="0" collapsed="false">
      <c r="A551" s="7" t="n">
        <f aca="false">'Raw Data'!A551</f>
        <v>23</v>
      </c>
      <c r="B551" s="7" t="n">
        <f aca="false">'Raw Data'!B551</f>
        <v>65</v>
      </c>
      <c r="C551" s="7" t="str">
        <f aca="false">'Raw Data'!C551</f>
        <v>Female</v>
      </c>
      <c r="D551" s="7" t="str">
        <f aca="false">'Raw Data'!D551</f>
        <v>Never</v>
      </c>
      <c r="E551" s="7" t="str">
        <f aca="false">'Raw Data'!J551</f>
        <v>Normal</v>
      </c>
      <c r="F551" s="7" t="n">
        <f aca="false">'Raw Data'!K551</f>
        <v>295.1</v>
      </c>
      <c r="G551" s="7" t="str">
        <f aca="false">'Raw Data'!L551</f>
        <v>No</v>
      </c>
      <c r="H551" s="7" t="str">
        <f aca="false">'Raw Data'!M551</f>
        <v>High</v>
      </c>
      <c r="I551" s="7" t="n">
        <f aca="false">(IF(D551="Current",3,IF(D551="Former",1,0)))+(IF(E551="High",3,IF(E551="Normal",1,0)))+(IF(F551&gt;=240,2,IF(F551&gt;=200,1,0)))+(IF(G551="Yes",2,0))+(IF(H551="High",2,IF(H551="Moderate",1,0)))</f>
        <v>5</v>
      </c>
      <c r="J551" s="7" t="str">
        <f aca="false">IF(I551&gt;=8,"High",IF(I551&gt;=4,"Medium","Low"))</f>
        <v>Medium</v>
      </c>
    </row>
    <row r="552" customFormat="false" ht="15" hidden="false" customHeight="true" outlineLevel="0" collapsed="false">
      <c r="A552" s="7" t="n">
        <f aca="false">'Raw Data'!A552</f>
        <v>51</v>
      </c>
      <c r="B552" s="7" t="n">
        <f aca="false">'Raw Data'!B552</f>
        <v>46</v>
      </c>
      <c r="C552" s="7" t="str">
        <f aca="false">'Raw Data'!C552</f>
        <v>Male</v>
      </c>
      <c r="D552" s="7" t="str">
        <f aca="false">'Raw Data'!D552</f>
        <v>Never</v>
      </c>
      <c r="E552" s="7" t="str">
        <f aca="false">'Raw Data'!J552</f>
        <v>Normal</v>
      </c>
      <c r="F552" s="7" t="n">
        <f aca="false">'Raw Data'!K552</f>
        <v>230.4</v>
      </c>
      <c r="G552" s="7" t="str">
        <f aca="false">'Raw Data'!L552</f>
        <v>No</v>
      </c>
      <c r="H552" s="7" t="str">
        <f aca="false">'Raw Data'!M552</f>
        <v>High</v>
      </c>
      <c r="I552" s="7" t="n">
        <f aca="false">(IF(D552="Current",3,IF(D552="Former",1,0)))+(IF(E552="High",3,IF(E552="Normal",1,0)))+(IF(F552&gt;=240,2,IF(F552&gt;=200,1,0)))+(IF(G552="Yes",2,0))+(IF(H552="High",2,IF(H552="Moderate",1,0)))</f>
        <v>4</v>
      </c>
      <c r="J552" s="7" t="str">
        <f aca="false">IF(I552&gt;=8,"High",IF(I552&gt;=4,"Medium","Low"))</f>
        <v>Medium</v>
      </c>
    </row>
    <row r="553" customFormat="false" ht="15" hidden="false" customHeight="true" outlineLevel="0" collapsed="false">
      <c r="A553" s="7" t="n">
        <f aca="false">'Raw Data'!A553</f>
        <v>110</v>
      </c>
      <c r="B553" s="7" t="n">
        <f aca="false">'Raw Data'!B553</f>
        <v>74</v>
      </c>
      <c r="C553" s="7" t="str">
        <f aca="false">'Raw Data'!C553</f>
        <v>Female</v>
      </c>
      <c r="D553" s="7" t="str">
        <f aca="false">'Raw Data'!D553</f>
        <v>Never</v>
      </c>
      <c r="E553" s="7" t="str">
        <f aca="false">'Raw Data'!J553</f>
        <v>Normal</v>
      </c>
      <c r="F553" s="7" t="n">
        <f aca="false">'Raw Data'!K553</f>
        <v>130.4</v>
      </c>
      <c r="G553" s="7" t="str">
        <f aca="false">'Raw Data'!L553</f>
        <v>No</v>
      </c>
      <c r="H553" s="7" t="str">
        <f aca="false">'Raw Data'!M553</f>
        <v>High</v>
      </c>
      <c r="I553" s="7" t="n">
        <f aca="false">(IF(D553="Current",3,IF(D553="Former",1,0)))+(IF(E553="High",3,IF(E553="Normal",1,0)))+(IF(F553&gt;=240,2,IF(F553&gt;=200,1,0)))+(IF(G553="Yes",2,0))+(IF(H553="High",2,IF(H553="Moderate",1,0)))</f>
        <v>3</v>
      </c>
      <c r="J553" s="7" t="str">
        <f aca="false">IF(I553&gt;=8,"High",IF(I553&gt;=4,"Medium","Low"))</f>
        <v>Low</v>
      </c>
    </row>
    <row r="554" customFormat="false" ht="15" hidden="false" customHeight="true" outlineLevel="0" collapsed="false">
      <c r="A554" s="7" t="n">
        <f aca="false">'Raw Data'!A554</f>
        <v>119</v>
      </c>
      <c r="B554" s="7" t="n">
        <f aca="false">'Raw Data'!B554</f>
        <v>85</v>
      </c>
      <c r="C554" s="7" t="str">
        <f aca="false">'Raw Data'!C554</f>
        <v>Male</v>
      </c>
      <c r="D554" s="7" t="str">
        <f aca="false">'Raw Data'!D554</f>
        <v>Never</v>
      </c>
      <c r="E554" s="7" t="str">
        <f aca="false">'Raw Data'!J554</f>
        <v>Normal</v>
      </c>
      <c r="F554" s="7" t="n">
        <f aca="false">'Raw Data'!K554</f>
        <v>130.4</v>
      </c>
      <c r="G554" s="7" t="str">
        <f aca="false">'Raw Data'!L554</f>
        <v>Yes</v>
      </c>
      <c r="H554" s="7" t="str">
        <f aca="false">'Raw Data'!M554</f>
        <v>High</v>
      </c>
      <c r="I554" s="7" t="n">
        <f aca="false">(IF(D554="Current",3,IF(D554="Former",1,0)))+(IF(E554="High",3,IF(E554="Normal",1,0)))+(IF(F554&gt;=240,2,IF(F554&gt;=200,1,0)))+(IF(G554="Yes",2,0))+(IF(H554="High",2,IF(H554="Moderate",1,0)))</f>
        <v>5</v>
      </c>
      <c r="J554" s="7" t="str">
        <f aca="false">IF(I554&gt;=8,"High",IF(I554&gt;=4,"Medium","Low"))</f>
        <v>Medium</v>
      </c>
    </row>
    <row r="555" customFormat="false" ht="15" hidden="false" customHeight="true" outlineLevel="0" collapsed="false">
      <c r="A555" s="7" t="n">
        <f aca="false">'Raw Data'!A555</f>
        <v>185</v>
      </c>
      <c r="B555" s="7" t="n">
        <f aca="false">'Raw Data'!B555</f>
        <v>32</v>
      </c>
      <c r="C555" s="7" t="str">
        <f aca="false">'Raw Data'!C555</f>
        <v>Male</v>
      </c>
      <c r="D555" s="7" t="str">
        <f aca="false">'Raw Data'!D555</f>
        <v>Never</v>
      </c>
      <c r="E555" s="7" t="str">
        <f aca="false">'Raw Data'!J555</f>
        <v>Normal</v>
      </c>
      <c r="F555" s="7" t="n">
        <f aca="false">'Raw Data'!K555</f>
        <v>199.1</v>
      </c>
      <c r="G555" s="7" t="str">
        <f aca="false">'Raw Data'!L555</f>
        <v>No</v>
      </c>
      <c r="H555" s="7" t="str">
        <f aca="false">'Raw Data'!M555</f>
        <v>High</v>
      </c>
      <c r="I555" s="7" t="n">
        <f aca="false">(IF(D555="Current",3,IF(D555="Former",1,0)))+(IF(E555="High",3,IF(E555="Normal",1,0)))+(IF(F555&gt;=240,2,IF(F555&gt;=200,1,0)))+(IF(G555="Yes",2,0))+(IF(H555="High",2,IF(H555="Moderate",1,0)))</f>
        <v>3</v>
      </c>
      <c r="J555" s="7" t="str">
        <f aca="false">IF(I555&gt;=8,"High",IF(I555&gt;=4,"Medium","Low"))</f>
        <v>Low</v>
      </c>
    </row>
    <row r="556" customFormat="false" ht="15" hidden="false" customHeight="true" outlineLevel="0" collapsed="false">
      <c r="A556" s="7" t="n">
        <f aca="false">'Raw Data'!A556</f>
        <v>189</v>
      </c>
      <c r="B556" s="7" t="n">
        <f aca="false">'Raw Data'!B556</f>
        <v>39</v>
      </c>
      <c r="C556" s="7" t="str">
        <f aca="false">'Raw Data'!C556</f>
        <v>Male</v>
      </c>
      <c r="D556" s="7" t="str">
        <f aca="false">'Raw Data'!D556</f>
        <v>Never</v>
      </c>
      <c r="E556" s="7" t="str">
        <f aca="false">'Raw Data'!J556</f>
        <v>Normal</v>
      </c>
      <c r="F556" s="7" t="n">
        <f aca="false">'Raw Data'!K556</f>
        <v>221.7</v>
      </c>
      <c r="G556" s="7" t="str">
        <f aca="false">'Raw Data'!L556</f>
        <v>No</v>
      </c>
      <c r="H556" s="7" t="str">
        <f aca="false">'Raw Data'!M556</f>
        <v>High</v>
      </c>
      <c r="I556" s="7" t="n">
        <f aca="false">(IF(D556="Current",3,IF(D556="Former",1,0)))+(IF(E556="High",3,IF(E556="Normal",1,0)))+(IF(F556&gt;=240,2,IF(F556&gt;=200,1,0)))+(IF(G556="Yes",2,0))+(IF(H556="High",2,IF(H556="Moderate",1,0)))</f>
        <v>4</v>
      </c>
      <c r="J556" s="7" t="str">
        <f aca="false">IF(I556&gt;=8,"High",IF(I556&gt;=4,"Medium","Low"))</f>
        <v>Medium</v>
      </c>
    </row>
    <row r="557" customFormat="false" ht="15" hidden="false" customHeight="true" outlineLevel="0" collapsed="false">
      <c r="A557" s="7" t="n">
        <f aca="false">'Raw Data'!A557</f>
        <v>206</v>
      </c>
      <c r="B557" s="7" t="n">
        <f aca="false">'Raw Data'!B557</f>
        <v>60</v>
      </c>
      <c r="C557" s="7" t="str">
        <f aca="false">'Raw Data'!C557</f>
        <v>Male</v>
      </c>
      <c r="D557" s="7" t="str">
        <f aca="false">'Raw Data'!D557</f>
        <v>Never</v>
      </c>
      <c r="E557" s="7" t="str">
        <f aca="false">'Raw Data'!J557</f>
        <v>Normal</v>
      </c>
      <c r="F557" s="7" t="n">
        <f aca="false">'Raw Data'!K557</f>
        <v>207.2</v>
      </c>
      <c r="G557" s="7" t="str">
        <f aca="false">'Raw Data'!L557</f>
        <v>Yes</v>
      </c>
      <c r="H557" s="7" t="str">
        <f aca="false">'Raw Data'!M557</f>
        <v>High</v>
      </c>
      <c r="I557" s="7" t="n">
        <f aca="false">(IF(D557="Current",3,IF(D557="Former",1,0)))+(IF(E557="High",3,IF(E557="Normal",1,0)))+(IF(F557&gt;=240,2,IF(F557&gt;=200,1,0)))+(IF(G557="Yes",2,0))+(IF(H557="High",2,IF(H557="Moderate",1,0)))</f>
        <v>6</v>
      </c>
      <c r="J557" s="7" t="str">
        <f aca="false">IF(I557&gt;=8,"High",IF(I557&gt;=4,"Medium","Low"))</f>
        <v>Medium</v>
      </c>
    </row>
    <row r="558" customFormat="false" ht="15" hidden="false" customHeight="true" outlineLevel="0" collapsed="false">
      <c r="A558" s="7" t="n">
        <f aca="false">'Raw Data'!A558</f>
        <v>211</v>
      </c>
      <c r="B558" s="7" t="n">
        <f aca="false">'Raw Data'!B558</f>
        <v>25</v>
      </c>
      <c r="C558" s="7" t="str">
        <f aca="false">'Raw Data'!C558</f>
        <v>Female</v>
      </c>
      <c r="D558" s="7" t="str">
        <f aca="false">'Raw Data'!D558</f>
        <v>Never</v>
      </c>
      <c r="E558" s="7" t="str">
        <f aca="false">'Raw Data'!J558</f>
        <v>Normal</v>
      </c>
      <c r="F558" s="7" t="n">
        <f aca="false">'Raw Data'!K558</f>
        <v>263.6</v>
      </c>
      <c r="G558" s="7" t="str">
        <f aca="false">'Raw Data'!L558</f>
        <v>No</v>
      </c>
      <c r="H558" s="7" t="str">
        <f aca="false">'Raw Data'!M558</f>
        <v>High</v>
      </c>
      <c r="I558" s="7" t="n">
        <f aca="false">(IF(D558="Current",3,IF(D558="Former",1,0)))+(IF(E558="High",3,IF(E558="Normal",1,0)))+(IF(F558&gt;=240,2,IF(F558&gt;=200,1,0)))+(IF(G558="Yes",2,0))+(IF(H558="High",2,IF(H558="Moderate",1,0)))</f>
        <v>5</v>
      </c>
      <c r="J558" s="7" t="str">
        <f aca="false">IF(I558&gt;=8,"High",IF(I558&gt;=4,"Medium","Low"))</f>
        <v>Medium</v>
      </c>
    </row>
    <row r="559" customFormat="false" ht="15" hidden="false" customHeight="true" outlineLevel="0" collapsed="false">
      <c r="A559" s="7" t="n">
        <f aca="false">'Raw Data'!A559</f>
        <v>222</v>
      </c>
      <c r="B559" s="7" t="n">
        <f aca="false">'Raw Data'!B559</f>
        <v>47</v>
      </c>
      <c r="C559" s="7" t="str">
        <f aca="false">'Raw Data'!C559</f>
        <v>Male</v>
      </c>
      <c r="D559" s="7" t="str">
        <f aca="false">'Raw Data'!D559</f>
        <v>Never</v>
      </c>
      <c r="E559" s="7" t="str">
        <f aca="false">'Raw Data'!J559</f>
        <v>Normal</v>
      </c>
      <c r="F559" s="7" t="n">
        <f aca="false">'Raw Data'!K559</f>
        <v>285.3</v>
      </c>
      <c r="G559" s="7" t="str">
        <f aca="false">'Raw Data'!L559</f>
        <v>Yes</v>
      </c>
      <c r="H559" s="7" t="str">
        <f aca="false">'Raw Data'!M559</f>
        <v>High</v>
      </c>
      <c r="I559" s="7" t="n">
        <f aca="false">(IF(D559="Current",3,IF(D559="Former",1,0)))+(IF(E559="High",3,IF(E559="Normal",1,0)))+(IF(F559&gt;=240,2,IF(F559&gt;=200,1,0)))+(IF(G559="Yes",2,0))+(IF(H559="High",2,IF(H559="Moderate",1,0)))</f>
        <v>7</v>
      </c>
      <c r="J559" s="7" t="str">
        <f aca="false">IF(I559&gt;=8,"High",IF(I559&gt;=4,"Medium","Low"))</f>
        <v>Medium</v>
      </c>
    </row>
    <row r="560" customFormat="false" ht="15" hidden="false" customHeight="true" outlineLevel="0" collapsed="false">
      <c r="A560" s="7" t="n">
        <f aca="false">'Raw Data'!A560</f>
        <v>255</v>
      </c>
      <c r="B560" s="7" t="n">
        <f aca="false">'Raw Data'!B560</f>
        <v>38</v>
      </c>
      <c r="C560" s="7" t="str">
        <f aca="false">'Raw Data'!C560</f>
        <v>Female</v>
      </c>
      <c r="D560" s="7" t="str">
        <f aca="false">'Raw Data'!D560</f>
        <v>Never</v>
      </c>
      <c r="E560" s="7" t="str">
        <f aca="false">'Raw Data'!J560</f>
        <v>Normal</v>
      </c>
      <c r="F560" s="7" t="n">
        <f aca="false">'Raw Data'!K560</f>
        <v>292.3</v>
      </c>
      <c r="G560" s="7" t="str">
        <f aca="false">'Raw Data'!L560</f>
        <v>Yes</v>
      </c>
      <c r="H560" s="7" t="str">
        <f aca="false">'Raw Data'!M560</f>
        <v>High</v>
      </c>
      <c r="I560" s="7" t="n">
        <f aca="false">(IF(D560="Current",3,IF(D560="Former",1,0)))+(IF(E560="High",3,IF(E560="Normal",1,0)))+(IF(F560&gt;=240,2,IF(F560&gt;=200,1,0)))+(IF(G560="Yes",2,0))+(IF(H560="High",2,IF(H560="Moderate",1,0)))</f>
        <v>7</v>
      </c>
      <c r="J560" s="7" t="str">
        <f aca="false">IF(I560&gt;=8,"High",IF(I560&gt;=4,"Medium","Low"))</f>
        <v>Medium</v>
      </c>
    </row>
    <row r="561" customFormat="false" ht="15" hidden="false" customHeight="true" outlineLevel="0" collapsed="false">
      <c r="A561" s="7" t="n">
        <f aca="false">'Raw Data'!A561</f>
        <v>298</v>
      </c>
      <c r="B561" s="7" t="n">
        <f aca="false">'Raw Data'!B561</f>
        <v>30</v>
      </c>
      <c r="C561" s="7" t="str">
        <f aca="false">'Raw Data'!C561</f>
        <v>Female</v>
      </c>
      <c r="D561" s="7" t="str">
        <f aca="false">'Raw Data'!D561</f>
        <v>Never</v>
      </c>
      <c r="E561" s="7" t="str">
        <f aca="false">'Raw Data'!J561</f>
        <v>Normal</v>
      </c>
      <c r="F561" s="7" t="n">
        <f aca="false">'Raw Data'!K561</f>
        <v>250.9</v>
      </c>
      <c r="G561" s="7" t="str">
        <f aca="false">'Raw Data'!L561</f>
        <v>No</v>
      </c>
      <c r="H561" s="7" t="str">
        <f aca="false">'Raw Data'!M561</f>
        <v>High</v>
      </c>
      <c r="I561" s="7" t="n">
        <f aca="false">(IF(D561="Current",3,IF(D561="Former",1,0)))+(IF(E561="High",3,IF(E561="Normal",1,0)))+(IF(F561&gt;=240,2,IF(F561&gt;=200,1,0)))+(IF(G561="Yes",2,0))+(IF(H561="High",2,IF(H561="Moderate",1,0)))</f>
        <v>5</v>
      </c>
      <c r="J561" s="7" t="str">
        <f aca="false">IF(I561&gt;=8,"High",IF(I561&gt;=4,"Medium","Low"))</f>
        <v>Medium</v>
      </c>
    </row>
    <row r="562" customFormat="false" ht="15" hidden="false" customHeight="true" outlineLevel="0" collapsed="false">
      <c r="A562" s="7" t="n">
        <f aca="false">'Raw Data'!A562</f>
        <v>302</v>
      </c>
      <c r="B562" s="7" t="n">
        <f aca="false">'Raw Data'!B562</f>
        <v>39</v>
      </c>
      <c r="C562" s="7" t="str">
        <f aca="false">'Raw Data'!C562</f>
        <v>Male</v>
      </c>
      <c r="D562" s="7" t="str">
        <f aca="false">'Raw Data'!D562</f>
        <v>Never</v>
      </c>
      <c r="E562" s="7" t="str">
        <f aca="false">'Raw Data'!J562</f>
        <v>Normal</v>
      </c>
      <c r="F562" s="7" t="n">
        <f aca="false">'Raw Data'!K562</f>
        <v>222.9</v>
      </c>
      <c r="G562" s="7" t="str">
        <f aca="false">'Raw Data'!L562</f>
        <v>No</v>
      </c>
      <c r="H562" s="7" t="str">
        <f aca="false">'Raw Data'!M562</f>
        <v>High</v>
      </c>
      <c r="I562" s="7" t="n">
        <f aca="false">(IF(D562="Current",3,IF(D562="Former",1,0)))+(IF(E562="High",3,IF(E562="Normal",1,0)))+(IF(F562&gt;=240,2,IF(F562&gt;=200,1,0)))+(IF(G562="Yes",2,0))+(IF(H562="High",2,IF(H562="Moderate",1,0)))</f>
        <v>4</v>
      </c>
      <c r="J562" s="7" t="str">
        <f aca="false">IF(I562&gt;=8,"High",IF(I562&gt;=4,"Medium","Low"))</f>
        <v>Medium</v>
      </c>
    </row>
    <row r="563" customFormat="false" ht="15" hidden="false" customHeight="true" outlineLevel="0" collapsed="false">
      <c r="A563" s="7" t="n">
        <f aca="false">'Raw Data'!A563</f>
        <v>327</v>
      </c>
      <c r="B563" s="7" t="n">
        <f aca="false">'Raw Data'!B563</f>
        <v>66</v>
      </c>
      <c r="C563" s="7" t="str">
        <f aca="false">'Raw Data'!C563</f>
        <v>Male</v>
      </c>
      <c r="D563" s="7" t="str">
        <f aca="false">'Raw Data'!D563</f>
        <v>Never</v>
      </c>
      <c r="E563" s="7" t="str">
        <f aca="false">'Raw Data'!J563</f>
        <v>Normal</v>
      </c>
      <c r="F563" s="7" t="n">
        <f aca="false">'Raw Data'!K563</f>
        <v>157.1</v>
      </c>
      <c r="G563" s="7" t="str">
        <f aca="false">'Raw Data'!L563</f>
        <v>No</v>
      </c>
      <c r="H563" s="7" t="str">
        <f aca="false">'Raw Data'!M563</f>
        <v>High</v>
      </c>
      <c r="I563" s="7" t="n">
        <f aca="false">(IF(D563="Current",3,IF(D563="Former",1,0)))+(IF(E563="High",3,IF(E563="Normal",1,0)))+(IF(F563&gt;=240,2,IF(F563&gt;=200,1,0)))+(IF(G563="Yes",2,0))+(IF(H563="High",2,IF(H563="Moderate",1,0)))</f>
        <v>3</v>
      </c>
      <c r="J563" s="7" t="str">
        <f aca="false">IF(I563&gt;=8,"High",IF(I563&gt;=4,"Medium","Low"))</f>
        <v>Low</v>
      </c>
    </row>
    <row r="564" customFormat="false" ht="15" hidden="false" customHeight="true" outlineLevel="0" collapsed="false">
      <c r="A564" s="7" t="n">
        <f aca="false">'Raw Data'!A564</f>
        <v>360</v>
      </c>
      <c r="B564" s="7" t="n">
        <f aca="false">'Raw Data'!B564</f>
        <v>79</v>
      </c>
      <c r="C564" s="7" t="str">
        <f aca="false">'Raw Data'!C564</f>
        <v>Female</v>
      </c>
      <c r="D564" s="7" t="str">
        <f aca="false">'Raw Data'!D564</f>
        <v>Never</v>
      </c>
      <c r="E564" s="7" t="str">
        <f aca="false">'Raw Data'!J564</f>
        <v>Normal</v>
      </c>
      <c r="F564" s="7" t="n">
        <f aca="false">'Raw Data'!K564</f>
        <v>252.5</v>
      </c>
      <c r="G564" s="7" t="str">
        <f aca="false">'Raw Data'!L564</f>
        <v>No</v>
      </c>
      <c r="H564" s="7" t="str">
        <f aca="false">'Raw Data'!M564</f>
        <v>High</v>
      </c>
      <c r="I564" s="7" t="n">
        <f aca="false">(IF(D564="Current",3,IF(D564="Former",1,0)))+(IF(E564="High",3,IF(E564="Normal",1,0)))+(IF(F564&gt;=240,2,IF(F564&gt;=200,1,0)))+(IF(G564="Yes",2,0))+(IF(H564="High",2,IF(H564="Moderate",1,0)))</f>
        <v>5</v>
      </c>
      <c r="J564" s="7" t="str">
        <f aca="false">IF(I564&gt;=8,"High",IF(I564&gt;=4,"Medium","Low"))</f>
        <v>Medium</v>
      </c>
    </row>
    <row r="565" customFormat="false" ht="15" hidden="false" customHeight="true" outlineLevel="0" collapsed="false">
      <c r="A565" s="7" t="n">
        <f aca="false">'Raw Data'!A565</f>
        <v>386</v>
      </c>
      <c r="B565" s="7" t="n">
        <f aca="false">'Raw Data'!B565</f>
        <v>36</v>
      </c>
      <c r="C565" s="7" t="str">
        <f aca="false">'Raw Data'!C565</f>
        <v>Male</v>
      </c>
      <c r="D565" s="7" t="str">
        <f aca="false">'Raw Data'!D565</f>
        <v>Never</v>
      </c>
      <c r="E565" s="7" t="str">
        <f aca="false">'Raw Data'!J565</f>
        <v>Normal</v>
      </c>
      <c r="F565" s="7" t="n">
        <f aca="false">'Raw Data'!K565</f>
        <v>161.7</v>
      </c>
      <c r="G565" s="7" t="str">
        <f aca="false">'Raw Data'!L565</f>
        <v>No</v>
      </c>
      <c r="H565" s="7" t="str">
        <f aca="false">'Raw Data'!M565</f>
        <v>High</v>
      </c>
      <c r="I565" s="7" t="n">
        <f aca="false">(IF(D565="Current",3,IF(D565="Former",1,0)))+(IF(E565="High",3,IF(E565="Normal",1,0)))+(IF(F565&gt;=240,2,IF(F565&gt;=200,1,0)))+(IF(G565="Yes",2,0))+(IF(H565="High",2,IF(H565="Moderate",1,0)))</f>
        <v>3</v>
      </c>
      <c r="J565" s="7" t="str">
        <f aca="false">IF(I565&gt;=8,"High",IF(I565&gt;=4,"Medium","Low"))</f>
        <v>Low</v>
      </c>
    </row>
    <row r="566" customFormat="false" ht="15" hidden="false" customHeight="true" outlineLevel="0" collapsed="false">
      <c r="A566" s="7" t="n">
        <f aca="false">'Raw Data'!A566</f>
        <v>416</v>
      </c>
      <c r="B566" s="7" t="n">
        <f aca="false">'Raw Data'!B566</f>
        <v>60</v>
      </c>
      <c r="C566" s="7" t="str">
        <f aca="false">'Raw Data'!C566</f>
        <v>Male</v>
      </c>
      <c r="D566" s="7" t="str">
        <f aca="false">'Raw Data'!D566</f>
        <v>Never</v>
      </c>
      <c r="E566" s="7" t="str">
        <f aca="false">'Raw Data'!J566</f>
        <v>Normal</v>
      </c>
      <c r="F566" s="7" t="n">
        <f aca="false">'Raw Data'!K566</f>
        <v>122.3</v>
      </c>
      <c r="G566" s="7" t="str">
        <f aca="false">'Raw Data'!L566</f>
        <v>No</v>
      </c>
      <c r="H566" s="7" t="str">
        <f aca="false">'Raw Data'!M566</f>
        <v>High</v>
      </c>
      <c r="I566" s="7" t="n">
        <f aca="false">(IF(D566="Current",3,IF(D566="Former",1,0)))+(IF(E566="High",3,IF(E566="Normal",1,0)))+(IF(F566&gt;=240,2,IF(F566&gt;=200,1,0)))+(IF(G566="Yes",2,0))+(IF(H566="High",2,IF(H566="Moderate",1,0)))</f>
        <v>3</v>
      </c>
      <c r="J566" s="7" t="str">
        <f aca="false">IF(I566&gt;=8,"High",IF(I566&gt;=4,"Medium","Low"))</f>
        <v>Low</v>
      </c>
    </row>
    <row r="567" customFormat="false" ht="15" hidden="false" customHeight="true" outlineLevel="0" collapsed="false">
      <c r="A567" s="7" t="n">
        <f aca="false">'Raw Data'!A567</f>
        <v>440</v>
      </c>
      <c r="B567" s="7" t="n">
        <f aca="false">'Raw Data'!B567</f>
        <v>67</v>
      </c>
      <c r="C567" s="7" t="str">
        <f aca="false">'Raw Data'!C567</f>
        <v>Female</v>
      </c>
      <c r="D567" s="7" t="str">
        <f aca="false">'Raw Data'!D567</f>
        <v>Never</v>
      </c>
      <c r="E567" s="7" t="str">
        <f aca="false">'Raw Data'!J567</f>
        <v>Normal</v>
      </c>
      <c r="F567" s="7" t="n">
        <f aca="false">'Raw Data'!K567</f>
        <v>164.3</v>
      </c>
      <c r="G567" s="7" t="str">
        <f aca="false">'Raw Data'!L567</f>
        <v>No</v>
      </c>
      <c r="H567" s="7" t="str">
        <f aca="false">'Raw Data'!M567</f>
        <v>High</v>
      </c>
      <c r="I567" s="7" t="n">
        <f aca="false">(IF(D567="Current",3,IF(D567="Former",1,0)))+(IF(E567="High",3,IF(E567="Normal",1,0)))+(IF(F567&gt;=240,2,IF(F567&gt;=200,1,0)))+(IF(G567="Yes",2,0))+(IF(H567="High",2,IF(H567="Moderate",1,0)))</f>
        <v>3</v>
      </c>
      <c r="J567" s="7" t="str">
        <f aca="false">IF(I567&gt;=8,"High",IF(I567&gt;=4,"Medium","Low"))</f>
        <v>Low</v>
      </c>
    </row>
    <row r="568" customFormat="false" ht="15" hidden="false" customHeight="true" outlineLevel="0" collapsed="false">
      <c r="A568" s="7" t="n">
        <f aca="false">'Raw Data'!A568</f>
        <v>456</v>
      </c>
      <c r="B568" s="7" t="n">
        <f aca="false">'Raw Data'!B568</f>
        <v>32</v>
      </c>
      <c r="C568" s="7" t="str">
        <f aca="false">'Raw Data'!C568</f>
        <v>Male</v>
      </c>
      <c r="D568" s="7" t="str">
        <f aca="false">'Raw Data'!D568</f>
        <v>Never</v>
      </c>
      <c r="E568" s="7" t="str">
        <f aca="false">'Raw Data'!J568</f>
        <v>Normal</v>
      </c>
      <c r="F568" s="7" t="n">
        <f aca="false">'Raw Data'!K568</f>
        <v>239.3</v>
      </c>
      <c r="G568" s="7" t="str">
        <f aca="false">'Raw Data'!L568</f>
        <v>No</v>
      </c>
      <c r="H568" s="7" t="str">
        <f aca="false">'Raw Data'!M568</f>
        <v>High</v>
      </c>
      <c r="I568" s="7" t="n">
        <f aca="false">(IF(D568="Current",3,IF(D568="Former",1,0)))+(IF(E568="High",3,IF(E568="Normal",1,0)))+(IF(F568&gt;=240,2,IF(F568&gt;=200,1,0)))+(IF(G568="Yes",2,0))+(IF(H568="High",2,IF(H568="Moderate",1,0)))</f>
        <v>4</v>
      </c>
      <c r="J568" s="7" t="str">
        <f aca="false">IF(I568&gt;=8,"High",IF(I568&gt;=4,"Medium","Low"))</f>
        <v>Medium</v>
      </c>
    </row>
    <row r="569" customFormat="false" ht="15" hidden="false" customHeight="true" outlineLevel="0" collapsed="false">
      <c r="A569" s="7" t="n">
        <f aca="false">'Raw Data'!A569</f>
        <v>464</v>
      </c>
      <c r="B569" s="7" t="n">
        <f aca="false">'Raw Data'!B569</f>
        <v>55</v>
      </c>
      <c r="C569" s="7" t="str">
        <f aca="false">'Raw Data'!C569</f>
        <v>Male</v>
      </c>
      <c r="D569" s="7" t="str">
        <f aca="false">'Raw Data'!D569</f>
        <v>Never</v>
      </c>
      <c r="E569" s="7" t="str">
        <f aca="false">'Raw Data'!J569</f>
        <v>Normal</v>
      </c>
      <c r="F569" s="7" t="n">
        <f aca="false">'Raw Data'!K569</f>
        <v>255.3</v>
      </c>
      <c r="G569" s="7" t="str">
        <f aca="false">'Raw Data'!L569</f>
        <v>No</v>
      </c>
      <c r="H569" s="7" t="str">
        <f aca="false">'Raw Data'!M569</f>
        <v>High</v>
      </c>
      <c r="I569" s="7" t="n">
        <f aca="false">(IF(D569="Current",3,IF(D569="Former",1,0)))+(IF(E569="High",3,IF(E569="Normal",1,0)))+(IF(F569&gt;=240,2,IF(F569&gt;=200,1,0)))+(IF(G569="Yes",2,0))+(IF(H569="High",2,IF(H569="Moderate",1,0)))</f>
        <v>5</v>
      </c>
      <c r="J569" s="7" t="str">
        <f aca="false">IF(I569&gt;=8,"High",IF(I569&gt;=4,"Medium","Low"))</f>
        <v>Medium</v>
      </c>
    </row>
    <row r="570" customFormat="false" ht="15" hidden="false" customHeight="true" outlineLevel="0" collapsed="false">
      <c r="A570" s="7" t="n">
        <f aca="false">'Raw Data'!A570</f>
        <v>475</v>
      </c>
      <c r="B570" s="7" t="n">
        <f aca="false">'Raw Data'!B570</f>
        <v>73</v>
      </c>
      <c r="C570" s="7" t="str">
        <f aca="false">'Raw Data'!C570</f>
        <v>Male</v>
      </c>
      <c r="D570" s="7" t="str">
        <f aca="false">'Raw Data'!D570</f>
        <v>Never</v>
      </c>
      <c r="E570" s="7" t="str">
        <f aca="false">'Raw Data'!J570</f>
        <v>Normal</v>
      </c>
      <c r="F570" s="7" t="n">
        <f aca="false">'Raw Data'!K570</f>
        <v>243.6</v>
      </c>
      <c r="G570" s="7" t="str">
        <f aca="false">'Raw Data'!L570</f>
        <v>No</v>
      </c>
      <c r="H570" s="7" t="str">
        <f aca="false">'Raw Data'!M570</f>
        <v>High</v>
      </c>
      <c r="I570" s="7" t="n">
        <f aca="false">(IF(D570="Current",3,IF(D570="Former",1,0)))+(IF(E570="High",3,IF(E570="Normal",1,0)))+(IF(F570&gt;=240,2,IF(F570&gt;=200,1,0)))+(IF(G570="Yes",2,0))+(IF(H570="High",2,IF(H570="Moderate",1,0)))</f>
        <v>5</v>
      </c>
      <c r="J570" s="7" t="str">
        <f aca="false">IF(I570&gt;=8,"High",IF(I570&gt;=4,"Medium","Low"))</f>
        <v>Medium</v>
      </c>
    </row>
    <row r="571" customFormat="false" ht="15" hidden="false" customHeight="true" outlineLevel="0" collapsed="false">
      <c r="A571" s="7" t="n">
        <f aca="false">'Raw Data'!A571</f>
        <v>515</v>
      </c>
      <c r="B571" s="7" t="n">
        <f aca="false">'Raw Data'!B571</f>
        <v>19</v>
      </c>
      <c r="C571" s="7" t="str">
        <f aca="false">'Raw Data'!C571</f>
        <v>Male</v>
      </c>
      <c r="D571" s="7" t="str">
        <f aca="false">'Raw Data'!D571</f>
        <v>Never</v>
      </c>
      <c r="E571" s="7" t="str">
        <f aca="false">'Raw Data'!J571</f>
        <v>Normal</v>
      </c>
      <c r="F571" s="7" t="n">
        <f aca="false">'Raw Data'!K571</f>
        <v>134.3</v>
      </c>
      <c r="G571" s="7" t="str">
        <f aca="false">'Raw Data'!L571</f>
        <v>No</v>
      </c>
      <c r="H571" s="7" t="str">
        <f aca="false">'Raw Data'!M571</f>
        <v>High</v>
      </c>
      <c r="I571" s="7" t="n">
        <f aca="false">(IF(D571="Current",3,IF(D571="Former",1,0)))+(IF(E571="High",3,IF(E571="Normal",1,0)))+(IF(F571&gt;=240,2,IF(F571&gt;=200,1,0)))+(IF(G571="Yes",2,0))+(IF(H571="High",2,IF(H571="Moderate",1,0)))</f>
        <v>3</v>
      </c>
      <c r="J571" s="7" t="str">
        <f aca="false">IF(I571&gt;=8,"High",IF(I571&gt;=4,"Medium","Low"))</f>
        <v>Low</v>
      </c>
    </row>
    <row r="572" customFormat="false" ht="15" hidden="false" customHeight="true" outlineLevel="0" collapsed="false">
      <c r="A572" s="7" t="n">
        <f aca="false">'Raw Data'!A572</f>
        <v>546</v>
      </c>
      <c r="B572" s="7" t="n">
        <f aca="false">'Raw Data'!B572</f>
        <v>23</v>
      </c>
      <c r="C572" s="7" t="str">
        <f aca="false">'Raw Data'!C572</f>
        <v>Male</v>
      </c>
      <c r="D572" s="7" t="str">
        <f aca="false">'Raw Data'!D572</f>
        <v>Never</v>
      </c>
      <c r="E572" s="7" t="str">
        <f aca="false">'Raw Data'!J572</f>
        <v>Normal</v>
      </c>
      <c r="F572" s="7" t="n">
        <f aca="false">'Raw Data'!K572</f>
        <v>145.1</v>
      </c>
      <c r="G572" s="7" t="str">
        <f aca="false">'Raw Data'!L572</f>
        <v>No</v>
      </c>
      <c r="H572" s="7" t="str">
        <f aca="false">'Raw Data'!M572</f>
        <v>High</v>
      </c>
      <c r="I572" s="7" t="n">
        <f aca="false">(IF(D572="Current",3,IF(D572="Former",1,0)))+(IF(E572="High",3,IF(E572="Normal",1,0)))+(IF(F572&gt;=240,2,IF(F572&gt;=200,1,0)))+(IF(G572="Yes",2,0))+(IF(H572="High",2,IF(H572="Moderate",1,0)))</f>
        <v>3</v>
      </c>
      <c r="J572" s="7" t="str">
        <f aca="false">IF(I572&gt;=8,"High",IF(I572&gt;=4,"Medium","Low"))</f>
        <v>Low</v>
      </c>
    </row>
    <row r="573" customFormat="false" ht="15" hidden="false" customHeight="true" outlineLevel="0" collapsed="false">
      <c r="A573" s="7" t="n">
        <f aca="false">'Raw Data'!A573</f>
        <v>547</v>
      </c>
      <c r="B573" s="7" t="n">
        <f aca="false">'Raw Data'!B573</f>
        <v>85</v>
      </c>
      <c r="C573" s="7" t="str">
        <f aca="false">'Raw Data'!C573</f>
        <v>Male</v>
      </c>
      <c r="D573" s="7" t="str">
        <f aca="false">'Raw Data'!D573</f>
        <v>Never</v>
      </c>
      <c r="E573" s="7" t="str">
        <f aca="false">'Raw Data'!J573</f>
        <v>Normal</v>
      </c>
      <c r="F573" s="7" t="n">
        <f aca="false">'Raw Data'!K573</f>
        <v>211.1</v>
      </c>
      <c r="G573" s="7" t="str">
        <f aca="false">'Raw Data'!L573</f>
        <v>No</v>
      </c>
      <c r="H573" s="7" t="str">
        <f aca="false">'Raw Data'!M573</f>
        <v>High</v>
      </c>
      <c r="I573" s="7" t="n">
        <f aca="false">(IF(D573="Current",3,IF(D573="Former",1,0)))+(IF(E573="High",3,IF(E573="Normal",1,0)))+(IF(F573&gt;=240,2,IF(F573&gt;=200,1,0)))+(IF(G573="Yes",2,0))+(IF(H573="High",2,IF(H573="Moderate",1,0)))</f>
        <v>4</v>
      </c>
      <c r="J573" s="7" t="str">
        <f aca="false">IF(I573&gt;=8,"High",IF(I573&gt;=4,"Medium","Low"))</f>
        <v>Medium</v>
      </c>
    </row>
    <row r="574" customFormat="false" ht="15" hidden="false" customHeight="true" outlineLevel="0" collapsed="false">
      <c r="A574" s="7" t="n">
        <f aca="false">'Raw Data'!A574</f>
        <v>562</v>
      </c>
      <c r="B574" s="7" t="n">
        <f aca="false">'Raw Data'!B574</f>
        <v>72</v>
      </c>
      <c r="C574" s="7" t="str">
        <f aca="false">'Raw Data'!C574</f>
        <v>Male</v>
      </c>
      <c r="D574" s="7" t="str">
        <f aca="false">'Raw Data'!D574</f>
        <v>Never</v>
      </c>
      <c r="E574" s="7" t="str">
        <f aca="false">'Raw Data'!J574</f>
        <v>Normal</v>
      </c>
      <c r="F574" s="7" t="n">
        <f aca="false">'Raw Data'!K574</f>
        <v>223.1</v>
      </c>
      <c r="G574" s="7" t="str">
        <f aca="false">'Raw Data'!L574</f>
        <v>Yes</v>
      </c>
      <c r="H574" s="7" t="str">
        <f aca="false">'Raw Data'!M574</f>
        <v>High</v>
      </c>
      <c r="I574" s="7" t="n">
        <f aca="false">(IF(D574="Current",3,IF(D574="Former",1,0)))+(IF(E574="High",3,IF(E574="Normal",1,0)))+(IF(F574&gt;=240,2,IF(F574&gt;=200,1,0)))+(IF(G574="Yes",2,0))+(IF(H574="High",2,IF(H574="Moderate",1,0)))</f>
        <v>6</v>
      </c>
      <c r="J574" s="7" t="str">
        <f aca="false">IF(I574&gt;=8,"High",IF(I574&gt;=4,"Medium","Low"))</f>
        <v>Medium</v>
      </c>
    </row>
    <row r="575" customFormat="false" ht="15" hidden="false" customHeight="true" outlineLevel="0" collapsed="false">
      <c r="A575" s="7" t="n">
        <f aca="false">'Raw Data'!A575</f>
        <v>596</v>
      </c>
      <c r="B575" s="7" t="n">
        <f aca="false">'Raw Data'!B575</f>
        <v>60</v>
      </c>
      <c r="C575" s="7" t="str">
        <f aca="false">'Raw Data'!C575</f>
        <v>Female</v>
      </c>
      <c r="D575" s="7" t="str">
        <f aca="false">'Raw Data'!D575</f>
        <v>Never</v>
      </c>
      <c r="E575" s="7" t="str">
        <f aca="false">'Raw Data'!J575</f>
        <v>Normal</v>
      </c>
      <c r="F575" s="7" t="n">
        <f aca="false">'Raw Data'!K575</f>
        <v>168.4</v>
      </c>
      <c r="G575" s="7" t="str">
        <f aca="false">'Raw Data'!L575</f>
        <v>No</v>
      </c>
      <c r="H575" s="7" t="str">
        <f aca="false">'Raw Data'!M575</f>
        <v>High</v>
      </c>
      <c r="I575" s="7" t="n">
        <f aca="false">(IF(D575="Current",3,IF(D575="Former",1,0)))+(IF(E575="High",3,IF(E575="Normal",1,0)))+(IF(F575&gt;=240,2,IF(F575&gt;=200,1,0)))+(IF(G575="Yes",2,0))+(IF(H575="High",2,IF(H575="Moderate",1,0)))</f>
        <v>3</v>
      </c>
      <c r="J575" s="7" t="str">
        <f aca="false">IF(I575&gt;=8,"High",IF(I575&gt;=4,"Medium","Low"))</f>
        <v>Low</v>
      </c>
    </row>
    <row r="576" customFormat="false" ht="15" hidden="false" customHeight="true" outlineLevel="0" collapsed="false">
      <c r="A576" s="7" t="n">
        <f aca="false">'Raw Data'!A576</f>
        <v>629</v>
      </c>
      <c r="B576" s="7" t="n">
        <f aca="false">'Raw Data'!B576</f>
        <v>65</v>
      </c>
      <c r="C576" s="7" t="str">
        <f aca="false">'Raw Data'!C576</f>
        <v>Female</v>
      </c>
      <c r="D576" s="7" t="str">
        <f aca="false">'Raw Data'!D576</f>
        <v>Never</v>
      </c>
      <c r="E576" s="7" t="str">
        <f aca="false">'Raw Data'!J576</f>
        <v>Normal</v>
      </c>
      <c r="F576" s="7" t="n">
        <f aca="false">'Raw Data'!K576</f>
        <v>234.9</v>
      </c>
      <c r="G576" s="7" t="str">
        <f aca="false">'Raw Data'!L576</f>
        <v>No</v>
      </c>
      <c r="H576" s="7" t="str">
        <f aca="false">'Raw Data'!M576</f>
        <v>High</v>
      </c>
      <c r="I576" s="7" t="n">
        <f aca="false">(IF(D576="Current",3,IF(D576="Former",1,0)))+(IF(E576="High",3,IF(E576="Normal",1,0)))+(IF(F576&gt;=240,2,IF(F576&gt;=200,1,0)))+(IF(G576="Yes",2,0))+(IF(H576="High",2,IF(H576="Moderate",1,0)))</f>
        <v>4</v>
      </c>
      <c r="J576" s="7" t="str">
        <f aca="false">IF(I576&gt;=8,"High",IF(I576&gt;=4,"Medium","Low"))</f>
        <v>Medium</v>
      </c>
    </row>
    <row r="577" customFormat="false" ht="15" hidden="false" customHeight="true" outlineLevel="0" collapsed="false">
      <c r="A577" s="7" t="n">
        <f aca="false">'Raw Data'!A577</f>
        <v>635</v>
      </c>
      <c r="B577" s="7" t="n">
        <f aca="false">'Raw Data'!B577</f>
        <v>37</v>
      </c>
      <c r="C577" s="7" t="str">
        <f aca="false">'Raw Data'!C577</f>
        <v>Male</v>
      </c>
      <c r="D577" s="7" t="str">
        <f aca="false">'Raw Data'!D577</f>
        <v>Never</v>
      </c>
      <c r="E577" s="7" t="str">
        <f aca="false">'Raw Data'!J577</f>
        <v>Normal</v>
      </c>
      <c r="F577" s="7" t="n">
        <f aca="false">'Raw Data'!K577</f>
        <v>276.9</v>
      </c>
      <c r="G577" s="7" t="str">
        <f aca="false">'Raw Data'!L577</f>
        <v>Yes</v>
      </c>
      <c r="H577" s="7" t="str">
        <f aca="false">'Raw Data'!M577</f>
        <v>High</v>
      </c>
      <c r="I577" s="7" t="n">
        <f aca="false">(IF(D577="Current",3,IF(D577="Former",1,0)))+(IF(E577="High",3,IF(E577="Normal",1,0)))+(IF(F577&gt;=240,2,IF(F577&gt;=200,1,0)))+(IF(G577="Yes",2,0))+(IF(H577="High",2,IF(H577="Moderate",1,0)))</f>
        <v>7</v>
      </c>
      <c r="J577" s="7" t="str">
        <f aca="false">IF(I577&gt;=8,"High",IF(I577&gt;=4,"Medium","Low"))</f>
        <v>Medium</v>
      </c>
    </row>
    <row r="578" customFormat="false" ht="15" hidden="false" customHeight="true" outlineLevel="0" collapsed="false">
      <c r="A578" s="7" t="n">
        <f aca="false">'Raw Data'!A578</f>
        <v>670</v>
      </c>
      <c r="B578" s="7" t="n">
        <f aca="false">'Raw Data'!B578</f>
        <v>72</v>
      </c>
      <c r="C578" s="7" t="str">
        <f aca="false">'Raw Data'!C578</f>
        <v>Male</v>
      </c>
      <c r="D578" s="7" t="str">
        <f aca="false">'Raw Data'!D578</f>
        <v>Never</v>
      </c>
      <c r="E578" s="7" t="str">
        <f aca="false">'Raw Data'!J578</f>
        <v>Normal</v>
      </c>
      <c r="F578" s="7" t="n">
        <f aca="false">'Raw Data'!K578</f>
        <v>238</v>
      </c>
      <c r="G578" s="7" t="str">
        <f aca="false">'Raw Data'!L578</f>
        <v>Yes</v>
      </c>
      <c r="H578" s="7" t="str">
        <f aca="false">'Raw Data'!M578</f>
        <v>High</v>
      </c>
      <c r="I578" s="7" t="n">
        <f aca="false">(IF(D578="Current",3,IF(D578="Former",1,0)))+(IF(E578="High",3,IF(E578="Normal",1,0)))+(IF(F578&gt;=240,2,IF(F578&gt;=200,1,0)))+(IF(G578="Yes",2,0))+(IF(H578="High",2,IF(H578="Moderate",1,0)))</f>
        <v>6</v>
      </c>
      <c r="J578" s="7" t="str">
        <f aca="false">IF(I578&gt;=8,"High",IF(I578&gt;=4,"Medium","Low"))</f>
        <v>Medium</v>
      </c>
    </row>
    <row r="579" customFormat="false" ht="15" hidden="false" customHeight="true" outlineLevel="0" collapsed="false">
      <c r="A579" s="7" t="n">
        <f aca="false">'Raw Data'!A579</f>
        <v>681</v>
      </c>
      <c r="B579" s="7" t="n">
        <f aca="false">'Raw Data'!B579</f>
        <v>56</v>
      </c>
      <c r="C579" s="7" t="str">
        <f aca="false">'Raw Data'!C579</f>
        <v>Male</v>
      </c>
      <c r="D579" s="7" t="str">
        <f aca="false">'Raw Data'!D579</f>
        <v>Never</v>
      </c>
      <c r="E579" s="7" t="str">
        <f aca="false">'Raw Data'!J579</f>
        <v>Normal</v>
      </c>
      <c r="F579" s="7" t="n">
        <f aca="false">'Raw Data'!K579</f>
        <v>260.1</v>
      </c>
      <c r="G579" s="7" t="str">
        <f aca="false">'Raw Data'!L579</f>
        <v>No</v>
      </c>
      <c r="H579" s="7" t="str">
        <f aca="false">'Raw Data'!M579</f>
        <v>High</v>
      </c>
      <c r="I579" s="7" t="n">
        <f aca="false">(IF(D579="Current",3,IF(D579="Former",1,0)))+(IF(E579="High",3,IF(E579="Normal",1,0)))+(IF(F579&gt;=240,2,IF(F579&gt;=200,1,0)))+(IF(G579="Yes",2,0))+(IF(H579="High",2,IF(H579="Moderate",1,0)))</f>
        <v>5</v>
      </c>
      <c r="J579" s="7" t="str">
        <f aca="false">IF(I579&gt;=8,"High",IF(I579&gt;=4,"Medium","Low"))</f>
        <v>Medium</v>
      </c>
    </row>
    <row r="580" customFormat="false" ht="15" hidden="false" customHeight="true" outlineLevel="0" collapsed="false">
      <c r="A580" s="7" t="n">
        <f aca="false">'Raw Data'!A580</f>
        <v>683</v>
      </c>
      <c r="B580" s="7" t="n">
        <f aca="false">'Raw Data'!B580</f>
        <v>30</v>
      </c>
      <c r="C580" s="7" t="str">
        <f aca="false">'Raw Data'!C580</f>
        <v>Female</v>
      </c>
      <c r="D580" s="7" t="str">
        <f aca="false">'Raw Data'!D580</f>
        <v>Never</v>
      </c>
      <c r="E580" s="7" t="str">
        <f aca="false">'Raw Data'!J580</f>
        <v>Normal</v>
      </c>
      <c r="F580" s="7" t="n">
        <f aca="false">'Raw Data'!K580</f>
        <v>261.9</v>
      </c>
      <c r="G580" s="7" t="str">
        <f aca="false">'Raw Data'!L580</f>
        <v>No</v>
      </c>
      <c r="H580" s="7" t="str">
        <f aca="false">'Raw Data'!M580</f>
        <v>High</v>
      </c>
      <c r="I580" s="7" t="n">
        <f aca="false">(IF(D580="Current",3,IF(D580="Former",1,0)))+(IF(E580="High",3,IF(E580="Normal",1,0)))+(IF(F580&gt;=240,2,IF(F580&gt;=200,1,0)))+(IF(G580="Yes",2,0))+(IF(H580="High",2,IF(H580="Moderate",1,0)))</f>
        <v>5</v>
      </c>
      <c r="J580" s="7" t="str">
        <f aca="false">IF(I580&gt;=8,"High",IF(I580&gt;=4,"Medium","Low"))</f>
        <v>Medium</v>
      </c>
    </row>
    <row r="581" customFormat="false" ht="15" hidden="false" customHeight="true" outlineLevel="0" collapsed="false">
      <c r="A581" s="7" t="n">
        <f aca="false">'Raw Data'!A581</f>
        <v>731</v>
      </c>
      <c r="B581" s="7" t="n">
        <f aca="false">'Raw Data'!B581</f>
        <v>47</v>
      </c>
      <c r="C581" s="7" t="str">
        <f aca="false">'Raw Data'!C581</f>
        <v>Male</v>
      </c>
      <c r="D581" s="7" t="str">
        <f aca="false">'Raw Data'!D581</f>
        <v>Never</v>
      </c>
      <c r="E581" s="7" t="str">
        <f aca="false">'Raw Data'!J581</f>
        <v>Normal</v>
      </c>
      <c r="F581" s="7" t="n">
        <f aca="false">'Raw Data'!K581</f>
        <v>129.1</v>
      </c>
      <c r="G581" s="7" t="str">
        <f aca="false">'Raw Data'!L581</f>
        <v>Yes</v>
      </c>
      <c r="H581" s="7" t="str">
        <f aca="false">'Raw Data'!M581</f>
        <v>High</v>
      </c>
      <c r="I581" s="7" t="n">
        <f aca="false">(IF(D581="Current",3,IF(D581="Former",1,0)))+(IF(E581="High",3,IF(E581="Normal",1,0)))+(IF(F581&gt;=240,2,IF(F581&gt;=200,1,0)))+(IF(G581="Yes",2,0))+(IF(H581="High",2,IF(H581="Moderate",1,0)))</f>
        <v>5</v>
      </c>
      <c r="J581" s="7" t="str">
        <f aca="false">IF(I581&gt;=8,"High",IF(I581&gt;=4,"Medium","Low"))</f>
        <v>Medium</v>
      </c>
    </row>
    <row r="582" customFormat="false" ht="15" hidden="false" customHeight="true" outlineLevel="0" collapsed="false">
      <c r="A582" s="7" t="n">
        <f aca="false">'Raw Data'!A582</f>
        <v>737</v>
      </c>
      <c r="B582" s="7" t="n">
        <f aca="false">'Raw Data'!B582</f>
        <v>78</v>
      </c>
      <c r="C582" s="7" t="str">
        <f aca="false">'Raw Data'!C582</f>
        <v>Female</v>
      </c>
      <c r="D582" s="7" t="str">
        <f aca="false">'Raw Data'!D582</f>
        <v>Never</v>
      </c>
      <c r="E582" s="7" t="str">
        <f aca="false">'Raw Data'!J582</f>
        <v>Normal</v>
      </c>
      <c r="F582" s="7" t="n">
        <f aca="false">'Raw Data'!K582</f>
        <v>237.8</v>
      </c>
      <c r="G582" s="7" t="str">
        <f aca="false">'Raw Data'!L582</f>
        <v>No</v>
      </c>
      <c r="H582" s="7" t="str">
        <f aca="false">'Raw Data'!M582</f>
        <v>High</v>
      </c>
      <c r="I582" s="7" t="n">
        <f aca="false">(IF(D582="Current",3,IF(D582="Former",1,0)))+(IF(E582="High",3,IF(E582="Normal",1,0)))+(IF(F582&gt;=240,2,IF(F582&gt;=200,1,0)))+(IF(G582="Yes",2,0))+(IF(H582="High",2,IF(H582="Moderate",1,0)))</f>
        <v>4</v>
      </c>
      <c r="J582" s="7" t="str">
        <f aca="false">IF(I582&gt;=8,"High",IF(I582&gt;=4,"Medium","Low"))</f>
        <v>Medium</v>
      </c>
    </row>
    <row r="583" customFormat="false" ht="15" hidden="false" customHeight="true" outlineLevel="0" collapsed="false">
      <c r="A583" s="7" t="n">
        <f aca="false">'Raw Data'!A583</f>
        <v>738</v>
      </c>
      <c r="B583" s="7" t="n">
        <f aca="false">'Raw Data'!B583</f>
        <v>71</v>
      </c>
      <c r="C583" s="7" t="str">
        <f aca="false">'Raw Data'!C583</f>
        <v>Male</v>
      </c>
      <c r="D583" s="7" t="str">
        <f aca="false">'Raw Data'!D583</f>
        <v>Never</v>
      </c>
      <c r="E583" s="7" t="str">
        <f aca="false">'Raw Data'!J583</f>
        <v>Normal</v>
      </c>
      <c r="F583" s="7" t="n">
        <f aca="false">'Raw Data'!K583</f>
        <v>204.7</v>
      </c>
      <c r="G583" s="7" t="str">
        <f aca="false">'Raw Data'!L583</f>
        <v>No</v>
      </c>
      <c r="H583" s="7" t="str">
        <f aca="false">'Raw Data'!M583</f>
        <v>High</v>
      </c>
      <c r="I583" s="7" t="n">
        <f aca="false">(IF(D583="Current",3,IF(D583="Former",1,0)))+(IF(E583="High",3,IF(E583="Normal",1,0)))+(IF(F583&gt;=240,2,IF(F583&gt;=200,1,0)))+(IF(G583="Yes",2,0))+(IF(H583="High",2,IF(H583="Moderate",1,0)))</f>
        <v>4</v>
      </c>
      <c r="J583" s="7" t="str">
        <f aca="false">IF(I583&gt;=8,"High",IF(I583&gt;=4,"Medium","Low"))</f>
        <v>Medium</v>
      </c>
    </row>
    <row r="584" customFormat="false" ht="15" hidden="false" customHeight="true" outlineLevel="0" collapsed="false">
      <c r="A584" s="7" t="n">
        <f aca="false">'Raw Data'!A584</f>
        <v>752</v>
      </c>
      <c r="B584" s="7" t="n">
        <f aca="false">'Raw Data'!B584</f>
        <v>69</v>
      </c>
      <c r="C584" s="7" t="str">
        <f aca="false">'Raw Data'!C584</f>
        <v>Female</v>
      </c>
      <c r="D584" s="7" t="str">
        <f aca="false">'Raw Data'!D584</f>
        <v>Never</v>
      </c>
      <c r="E584" s="7" t="str">
        <f aca="false">'Raw Data'!J584</f>
        <v>Normal</v>
      </c>
      <c r="F584" s="7" t="n">
        <f aca="false">'Raw Data'!K584</f>
        <v>242.2</v>
      </c>
      <c r="G584" s="7" t="str">
        <f aca="false">'Raw Data'!L584</f>
        <v>No</v>
      </c>
      <c r="H584" s="7" t="str">
        <f aca="false">'Raw Data'!M584</f>
        <v>High</v>
      </c>
      <c r="I584" s="7" t="n">
        <f aca="false">(IF(D584="Current",3,IF(D584="Former",1,0)))+(IF(E584="High",3,IF(E584="Normal",1,0)))+(IF(F584&gt;=240,2,IF(F584&gt;=200,1,0)))+(IF(G584="Yes",2,0))+(IF(H584="High",2,IF(H584="Moderate",1,0)))</f>
        <v>5</v>
      </c>
      <c r="J584" s="7" t="str">
        <f aca="false">IF(I584&gt;=8,"High",IF(I584&gt;=4,"Medium","Low"))</f>
        <v>Medium</v>
      </c>
    </row>
    <row r="585" customFormat="false" ht="15" hidden="false" customHeight="true" outlineLevel="0" collapsed="false">
      <c r="A585" s="7" t="n">
        <f aca="false">'Raw Data'!A585</f>
        <v>775</v>
      </c>
      <c r="B585" s="7" t="n">
        <f aca="false">'Raw Data'!B585</f>
        <v>77</v>
      </c>
      <c r="C585" s="7" t="str">
        <f aca="false">'Raw Data'!C585</f>
        <v>Female</v>
      </c>
      <c r="D585" s="7" t="str">
        <f aca="false">'Raw Data'!D585</f>
        <v>Never</v>
      </c>
      <c r="E585" s="7" t="str">
        <f aca="false">'Raw Data'!J585</f>
        <v>Normal</v>
      </c>
      <c r="F585" s="7" t="n">
        <f aca="false">'Raw Data'!K585</f>
        <v>286</v>
      </c>
      <c r="G585" s="7" t="str">
        <f aca="false">'Raw Data'!L585</f>
        <v>No</v>
      </c>
      <c r="H585" s="7" t="str">
        <f aca="false">'Raw Data'!M585</f>
        <v>High</v>
      </c>
      <c r="I585" s="7" t="n">
        <f aca="false">(IF(D585="Current",3,IF(D585="Former",1,0)))+(IF(E585="High",3,IF(E585="Normal",1,0)))+(IF(F585&gt;=240,2,IF(F585&gt;=200,1,0)))+(IF(G585="Yes",2,0))+(IF(H585="High",2,IF(H585="Moderate",1,0)))</f>
        <v>5</v>
      </c>
      <c r="J585" s="7" t="str">
        <f aca="false">IF(I585&gt;=8,"High",IF(I585&gt;=4,"Medium","Low"))</f>
        <v>Medium</v>
      </c>
    </row>
    <row r="586" customFormat="false" ht="15" hidden="false" customHeight="true" outlineLevel="0" collapsed="false">
      <c r="A586" s="7" t="n">
        <f aca="false">'Raw Data'!A586</f>
        <v>792</v>
      </c>
      <c r="B586" s="7" t="n">
        <f aca="false">'Raw Data'!B586</f>
        <v>28</v>
      </c>
      <c r="C586" s="7" t="str">
        <f aca="false">'Raw Data'!C586</f>
        <v>Female</v>
      </c>
      <c r="D586" s="7" t="str">
        <f aca="false">'Raw Data'!D586</f>
        <v>Never</v>
      </c>
      <c r="E586" s="7" t="str">
        <f aca="false">'Raw Data'!J586</f>
        <v>Normal</v>
      </c>
      <c r="F586" s="7" t="n">
        <f aca="false">'Raw Data'!K586</f>
        <v>251.7</v>
      </c>
      <c r="G586" s="7" t="str">
        <f aca="false">'Raw Data'!L586</f>
        <v>No</v>
      </c>
      <c r="H586" s="7" t="str">
        <f aca="false">'Raw Data'!M586</f>
        <v>High</v>
      </c>
      <c r="I586" s="7" t="n">
        <f aca="false">(IF(D586="Current",3,IF(D586="Former",1,0)))+(IF(E586="High",3,IF(E586="Normal",1,0)))+(IF(F586&gt;=240,2,IF(F586&gt;=200,1,0)))+(IF(G586="Yes",2,0))+(IF(H586="High",2,IF(H586="Moderate",1,0)))</f>
        <v>5</v>
      </c>
      <c r="J586" s="7" t="str">
        <f aca="false">IF(I586&gt;=8,"High",IF(I586&gt;=4,"Medium","Low"))</f>
        <v>Medium</v>
      </c>
    </row>
    <row r="587" customFormat="false" ht="15" hidden="false" customHeight="true" outlineLevel="0" collapsed="false">
      <c r="A587" s="7" t="n">
        <f aca="false">'Raw Data'!A587</f>
        <v>797</v>
      </c>
      <c r="B587" s="7" t="n">
        <f aca="false">'Raw Data'!B587</f>
        <v>86</v>
      </c>
      <c r="C587" s="7" t="str">
        <f aca="false">'Raw Data'!C587</f>
        <v>Male</v>
      </c>
      <c r="D587" s="7" t="str">
        <f aca="false">'Raw Data'!D587</f>
        <v>Never</v>
      </c>
      <c r="E587" s="7" t="str">
        <f aca="false">'Raw Data'!J587</f>
        <v>Normal</v>
      </c>
      <c r="F587" s="7" t="n">
        <f aca="false">'Raw Data'!K587</f>
        <v>140.4</v>
      </c>
      <c r="G587" s="7" t="str">
        <f aca="false">'Raw Data'!L587</f>
        <v>No</v>
      </c>
      <c r="H587" s="7" t="str">
        <f aca="false">'Raw Data'!M587</f>
        <v>High</v>
      </c>
      <c r="I587" s="7" t="n">
        <f aca="false">(IF(D587="Current",3,IF(D587="Former",1,0)))+(IF(E587="High",3,IF(E587="Normal",1,0)))+(IF(F587&gt;=240,2,IF(F587&gt;=200,1,0)))+(IF(G587="Yes",2,0))+(IF(H587="High",2,IF(H587="Moderate",1,0)))</f>
        <v>3</v>
      </c>
      <c r="J587" s="7" t="str">
        <f aca="false">IF(I587&gt;=8,"High",IF(I587&gt;=4,"Medium","Low"))</f>
        <v>Low</v>
      </c>
    </row>
    <row r="588" customFormat="false" ht="15" hidden="false" customHeight="true" outlineLevel="0" collapsed="false">
      <c r="A588" s="7" t="n">
        <f aca="false">'Raw Data'!A588</f>
        <v>801</v>
      </c>
      <c r="B588" s="7" t="n">
        <f aca="false">'Raw Data'!B588</f>
        <v>43</v>
      </c>
      <c r="C588" s="7" t="str">
        <f aca="false">'Raw Data'!C588</f>
        <v>Male</v>
      </c>
      <c r="D588" s="7" t="str">
        <f aca="false">'Raw Data'!D588</f>
        <v>Never</v>
      </c>
      <c r="E588" s="7" t="str">
        <f aca="false">'Raw Data'!J588</f>
        <v>Normal</v>
      </c>
      <c r="F588" s="7" t="n">
        <f aca="false">'Raw Data'!K588</f>
        <v>123.4</v>
      </c>
      <c r="G588" s="7" t="str">
        <f aca="false">'Raw Data'!L588</f>
        <v>Yes</v>
      </c>
      <c r="H588" s="7" t="str">
        <f aca="false">'Raw Data'!M588</f>
        <v>High</v>
      </c>
      <c r="I588" s="7" t="n">
        <f aca="false">(IF(D588="Current",3,IF(D588="Former",1,0)))+(IF(E588="High",3,IF(E588="Normal",1,0)))+(IF(F588&gt;=240,2,IF(F588&gt;=200,1,0)))+(IF(G588="Yes",2,0))+(IF(H588="High",2,IF(H588="Moderate",1,0)))</f>
        <v>5</v>
      </c>
      <c r="J588" s="7" t="str">
        <f aca="false">IF(I588&gt;=8,"High",IF(I588&gt;=4,"Medium","Low"))</f>
        <v>Medium</v>
      </c>
    </row>
    <row r="589" customFormat="false" ht="15" hidden="false" customHeight="true" outlineLevel="0" collapsed="false">
      <c r="A589" s="7" t="n">
        <f aca="false">'Raw Data'!A589</f>
        <v>871</v>
      </c>
      <c r="B589" s="7" t="n">
        <f aca="false">'Raw Data'!B589</f>
        <v>24</v>
      </c>
      <c r="C589" s="7" t="str">
        <f aca="false">'Raw Data'!C589</f>
        <v>Male</v>
      </c>
      <c r="D589" s="7" t="str">
        <f aca="false">'Raw Data'!D589</f>
        <v>Never</v>
      </c>
      <c r="E589" s="7" t="str">
        <f aca="false">'Raw Data'!J589</f>
        <v>Normal</v>
      </c>
      <c r="F589" s="7" t="n">
        <f aca="false">'Raw Data'!K589</f>
        <v>282.8</v>
      </c>
      <c r="G589" s="7" t="str">
        <f aca="false">'Raw Data'!L589</f>
        <v>No</v>
      </c>
      <c r="H589" s="7" t="str">
        <f aca="false">'Raw Data'!M589</f>
        <v>High</v>
      </c>
      <c r="I589" s="7" t="n">
        <f aca="false">(IF(D589="Current",3,IF(D589="Former",1,0)))+(IF(E589="High",3,IF(E589="Normal",1,0)))+(IF(F589&gt;=240,2,IF(F589&gt;=200,1,0)))+(IF(G589="Yes",2,0))+(IF(H589="High",2,IF(H589="Moderate",1,0)))</f>
        <v>5</v>
      </c>
      <c r="J589" s="7" t="str">
        <f aca="false">IF(I589&gt;=8,"High",IF(I589&gt;=4,"Medium","Low"))</f>
        <v>Medium</v>
      </c>
    </row>
    <row r="590" customFormat="false" ht="15" hidden="false" customHeight="true" outlineLevel="0" collapsed="false">
      <c r="A590" s="7" t="n">
        <f aca="false">'Raw Data'!A590</f>
        <v>888</v>
      </c>
      <c r="B590" s="7" t="n">
        <f aca="false">'Raw Data'!B590</f>
        <v>59</v>
      </c>
      <c r="C590" s="7" t="str">
        <f aca="false">'Raw Data'!C590</f>
        <v>Female</v>
      </c>
      <c r="D590" s="7" t="str">
        <f aca="false">'Raw Data'!D590</f>
        <v>Never</v>
      </c>
      <c r="E590" s="7" t="str">
        <f aca="false">'Raw Data'!J590</f>
        <v>Normal</v>
      </c>
      <c r="F590" s="7" t="n">
        <f aca="false">'Raw Data'!K590</f>
        <v>209.4</v>
      </c>
      <c r="G590" s="7" t="str">
        <f aca="false">'Raw Data'!L590</f>
        <v>Yes</v>
      </c>
      <c r="H590" s="7" t="str">
        <f aca="false">'Raw Data'!M590</f>
        <v>High</v>
      </c>
      <c r="I590" s="7" t="n">
        <f aca="false">(IF(D590="Current",3,IF(D590="Former",1,0)))+(IF(E590="High",3,IF(E590="Normal",1,0)))+(IF(F590&gt;=240,2,IF(F590&gt;=200,1,0)))+(IF(G590="Yes",2,0))+(IF(H590="High",2,IF(H590="Moderate",1,0)))</f>
        <v>6</v>
      </c>
      <c r="J590" s="7" t="str">
        <f aca="false">IF(I590&gt;=8,"High",IF(I590&gt;=4,"Medium","Low"))</f>
        <v>Medium</v>
      </c>
    </row>
    <row r="591" customFormat="false" ht="15" hidden="false" customHeight="true" outlineLevel="0" collapsed="false">
      <c r="A591" s="7" t="n">
        <f aca="false">'Raw Data'!A591</f>
        <v>889</v>
      </c>
      <c r="B591" s="7" t="n">
        <f aca="false">'Raw Data'!B591</f>
        <v>25</v>
      </c>
      <c r="C591" s="7" t="str">
        <f aca="false">'Raw Data'!C591</f>
        <v>Male</v>
      </c>
      <c r="D591" s="7" t="str">
        <f aca="false">'Raw Data'!D591</f>
        <v>Never</v>
      </c>
      <c r="E591" s="7" t="str">
        <f aca="false">'Raw Data'!J591</f>
        <v>Normal</v>
      </c>
      <c r="F591" s="7" t="n">
        <f aca="false">'Raw Data'!K591</f>
        <v>211</v>
      </c>
      <c r="G591" s="7" t="str">
        <f aca="false">'Raw Data'!L591</f>
        <v>No</v>
      </c>
      <c r="H591" s="7" t="str">
        <f aca="false">'Raw Data'!M591</f>
        <v>High</v>
      </c>
      <c r="I591" s="7" t="n">
        <f aca="false">(IF(D591="Current",3,IF(D591="Former",1,0)))+(IF(E591="High",3,IF(E591="Normal",1,0)))+(IF(F591&gt;=240,2,IF(F591&gt;=200,1,0)))+(IF(G591="Yes",2,0))+(IF(H591="High",2,IF(H591="Moderate",1,0)))</f>
        <v>4</v>
      </c>
      <c r="J591" s="7" t="str">
        <f aca="false">IF(I591&gt;=8,"High",IF(I591&gt;=4,"Medium","Low"))</f>
        <v>Medium</v>
      </c>
    </row>
    <row r="592" customFormat="false" ht="15" hidden="false" customHeight="true" outlineLevel="0" collapsed="false">
      <c r="A592" s="7" t="n">
        <f aca="false">'Raw Data'!A592</f>
        <v>926</v>
      </c>
      <c r="B592" s="7" t="n">
        <f aca="false">'Raw Data'!B592</f>
        <v>71</v>
      </c>
      <c r="C592" s="7" t="str">
        <f aca="false">'Raw Data'!C592</f>
        <v>Male</v>
      </c>
      <c r="D592" s="7" t="str">
        <f aca="false">'Raw Data'!D592</f>
        <v>Never</v>
      </c>
      <c r="E592" s="7" t="str">
        <f aca="false">'Raw Data'!J592</f>
        <v>Normal</v>
      </c>
      <c r="F592" s="7" t="n">
        <f aca="false">'Raw Data'!K592</f>
        <v>167.9</v>
      </c>
      <c r="G592" s="7" t="str">
        <f aca="false">'Raw Data'!L592</f>
        <v>No</v>
      </c>
      <c r="H592" s="7" t="str">
        <f aca="false">'Raw Data'!M592</f>
        <v>High</v>
      </c>
      <c r="I592" s="7" t="n">
        <f aca="false">(IF(D592="Current",3,IF(D592="Former",1,0)))+(IF(E592="High",3,IF(E592="Normal",1,0)))+(IF(F592&gt;=240,2,IF(F592&gt;=200,1,0)))+(IF(G592="Yes",2,0))+(IF(H592="High",2,IF(H592="Moderate",1,0)))</f>
        <v>3</v>
      </c>
      <c r="J592" s="7" t="str">
        <f aca="false">IF(I592&gt;=8,"High",IF(I592&gt;=4,"Medium","Low"))</f>
        <v>Low</v>
      </c>
    </row>
    <row r="593" customFormat="false" ht="15" hidden="false" customHeight="true" outlineLevel="0" collapsed="false">
      <c r="A593" s="7" t="n">
        <f aca="false">'Raw Data'!A593</f>
        <v>1010</v>
      </c>
      <c r="B593" s="7" t="n">
        <f aca="false">'Raw Data'!B593</f>
        <v>67</v>
      </c>
      <c r="C593" s="7" t="str">
        <f aca="false">'Raw Data'!C593</f>
        <v>Female</v>
      </c>
      <c r="D593" s="7" t="str">
        <f aca="false">'Raw Data'!D593</f>
        <v>Never</v>
      </c>
      <c r="E593" s="7" t="str">
        <f aca="false">'Raw Data'!J593</f>
        <v>Normal</v>
      </c>
      <c r="F593" s="7" t="n">
        <f aca="false">'Raw Data'!K593</f>
        <v>255.4</v>
      </c>
      <c r="G593" s="7" t="str">
        <f aca="false">'Raw Data'!L593</f>
        <v>No</v>
      </c>
      <c r="H593" s="7" t="str">
        <f aca="false">'Raw Data'!M593</f>
        <v>High</v>
      </c>
      <c r="I593" s="7" t="n">
        <f aca="false">(IF(D593="Current",3,IF(D593="Former",1,0)))+(IF(E593="High",3,IF(E593="Normal",1,0)))+(IF(F593&gt;=240,2,IF(F593&gt;=200,1,0)))+(IF(G593="Yes",2,0))+(IF(H593="High",2,IF(H593="Moderate",1,0)))</f>
        <v>5</v>
      </c>
      <c r="J593" s="7" t="str">
        <f aca="false">IF(I593&gt;=8,"High",IF(I593&gt;=4,"Medium","Low"))</f>
        <v>Medium</v>
      </c>
    </row>
    <row r="594" customFormat="false" ht="15" hidden="false" customHeight="true" outlineLevel="0" collapsed="false">
      <c r="A594" s="7" t="n">
        <f aca="false">'Raw Data'!A594</f>
        <v>1080</v>
      </c>
      <c r="B594" s="7" t="n">
        <f aca="false">'Raw Data'!B594</f>
        <v>79</v>
      </c>
      <c r="C594" s="7" t="str">
        <f aca="false">'Raw Data'!C594</f>
        <v>Female</v>
      </c>
      <c r="D594" s="7" t="str">
        <f aca="false">'Raw Data'!D594</f>
        <v>Never</v>
      </c>
      <c r="E594" s="7" t="str">
        <f aca="false">'Raw Data'!J594</f>
        <v>Normal</v>
      </c>
      <c r="F594" s="7" t="n">
        <f aca="false">'Raw Data'!K594</f>
        <v>270.7</v>
      </c>
      <c r="G594" s="7" t="str">
        <f aca="false">'Raw Data'!L594</f>
        <v>Yes</v>
      </c>
      <c r="H594" s="7" t="str">
        <f aca="false">'Raw Data'!M594</f>
        <v>High</v>
      </c>
      <c r="I594" s="7" t="n">
        <f aca="false">(IF(D594="Current",3,IF(D594="Former",1,0)))+(IF(E594="High",3,IF(E594="Normal",1,0)))+(IF(F594&gt;=240,2,IF(F594&gt;=200,1,0)))+(IF(G594="Yes",2,0))+(IF(H594="High",2,IF(H594="Moderate",1,0)))</f>
        <v>7</v>
      </c>
      <c r="J594" s="7" t="str">
        <f aca="false">IF(I594&gt;=8,"High",IF(I594&gt;=4,"Medium","Low"))</f>
        <v>Medium</v>
      </c>
    </row>
    <row r="595" customFormat="false" ht="15" hidden="false" customHeight="true" outlineLevel="0" collapsed="false">
      <c r="A595" s="7" t="n">
        <f aca="false">'Raw Data'!A595</f>
        <v>1111</v>
      </c>
      <c r="B595" s="7" t="n">
        <f aca="false">'Raw Data'!B595</f>
        <v>84</v>
      </c>
      <c r="C595" s="7" t="str">
        <f aca="false">'Raw Data'!C595</f>
        <v>Male</v>
      </c>
      <c r="D595" s="7" t="str">
        <f aca="false">'Raw Data'!D595</f>
        <v>Never</v>
      </c>
      <c r="E595" s="7" t="str">
        <f aca="false">'Raw Data'!J595</f>
        <v>Normal</v>
      </c>
      <c r="F595" s="7" t="n">
        <f aca="false">'Raw Data'!K595</f>
        <v>204</v>
      </c>
      <c r="G595" s="7" t="str">
        <f aca="false">'Raw Data'!L595</f>
        <v>No</v>
      </c>
      <c r="H595" s="7" t="str">
        <f aca="false">'Raw Data'!M595</f>
        <v>High</v>
      </c>
      <c r="I595" s="7" t="n">
        <f aca="false">(IF(D595="Current",3,IF(D595="Former",1,0)))+(IF(E595="High",3,IF(E595="Normal",1,0)))+(IF(F595&gt;=240,2,IF(F595&gt;=200,1,0)))+(IF(G595="Yes",2,0))+(IF(H595="High",2,IF(H595="Moderate",1,0)))</f>
        <v>4</v>
      </c>
      <c r="J595" s="7" t="str">
        <f aca="false">IF(I595&gt;=8,"High",IF(I595&gt;=4,"Medium","Low"))</f>
        <v>Medium</v>
      </c>
    </row>
    <row r="596" customFormat="false" ht="15" hidden="false" customHeight="true" outlineLevel="0" collapsed="false">
      <c r="A596" s="7" t="n">
        <f aca="false">'Raw Data'!A596</f>
        <v>1143</v>
      </c>
      <c r="B596" s="7" t="n">
        <f aca="false">'Raw Data'!B596</f>
        <v>85</v>
      </c>
      <c r="C596" s="7" t="str">
        <f aca="false">'Raw Data'!C596</f>
        <v>Male</v>
      </c>
      <c r="D596" s="7" t="str">
        <f aca="false">'Raw Data'!D596</f>
        <v>Never</v>
      </c>
      <c r="E596" s="7" t="str">
        <f aca="false">'Raw Data'!J596</f>
        <v>Normal</v>
      </c>
      <c r="F596" s="7" t="n">
        <f aca="false">'Raw Data'!K596</f>
        <v>265.5</v>
      </c>
      <c r="G596" s="7" t="str">
        <f aca="false">'Raw Data'!L596</f>
        <v>Yes</v>
      </c>
      <c r="H596" s="7" t="str">
        <f aca="false">'Raw Data'!M596</f>
        <v>High</v>
      </c>
      <c r="I596" s="7" t="n">
        <f aca="false">(IF(D596="Current",3,IF(D596="Former",1,0)))+(IF(E596="High",3,IF(E596="Normal",1,0)))+(IF(F596&gt;=240,2,IF(F596&gt;=200,1,0)))+(IF(G596="Yes",2,0))+(IF(H596="High",2,IF(H596="Moderate",1,0)))</f>
        <v>7</v>
      </c>
      <c r="J596" s="7" t="str">
        <f aca="false">IF(I596&gt;=8,"High",IF(I596&gt;=4,"Medium","Low"))</f>
        <v>Medium</v>
      </c>
    </row>
    <row r="597" customFormat="false" ht="15" hidden="false" customHeight="true" outlineLevel="0" collapsed="false">
      <c r="A597" s="7" t="n">
        <f aca="false">'Raw Data'!A597</f>
        <v>1157</v>
      </c>
      <c r="B597" s="7" t="n">
        <f aca="false">'Raw Data'!B597</f>
        <v>72</v>
      </c>
      <c r="C597" s="7" t="str">
        <f aca="false">'Raw Data'!C597</f>
        <v>Male</v>
      </c>
      <c r="D597" s="7" t="str">
        <f aca="false">'Raw Data'!D597</f>
        <v>Never</v>
      </c>
      <c r="E597" s="7" t="str">
        <f aca="false">'Raw Data'!J597</f>
        <v>Normal</v>
      </c>
      <c r="F597" s="7" t="n">
        <f aca="false">'Raw Data'!K597</f>
        <v>185.9</v>
      </c>
      <c r="G597" s="7" t="str">
        <f aca="false">'Raw Data'!L597</f>
        <v>Yes</v>
      </c>
      <c r="H597" s="7" t="str">
        <f aca="false">'Raw Data'!M597</f>
        <v>High</v>
      </c>
      <c r="I597" s="7" t="n">
        <f aca="false">(IF(D597="Current",3,IF(D597="Former",1,0)))+(IF(E597="High",3,IF(E597="Normal",1,0)))+(IF(F597&gt;=240,2,IF(F597&gt;=200,1,0)))+(IF(G597="Yes",2,0))+(IF(H597="High",2,IF(H597="Moderate",1,0)))</f>
        <v>5</v>
      </c>
      <c r="J597" s="7" t="str">
        <f aca="false">IF(I597&gt;=8,"High",IF(I597&gt;=4,"Medium","Low"))</f>
        <v>Medium</v>
      </c>
    </row>
    <row r="598" customFormat="false" ht="15" hidden="false" customHeight="true" outlineLevel="0" collapsed="false">
      <c r="A598" s="7" t="n">
        <f aca="false">'Raw Data'!A598</f>
        <v>1201</v>
      </c>
      <c r="B598" s="7" t="n">
        <f aca="false">'Raw Data'!B598</f>
        <v>40</v>
      </c>
      <c r="C598" s="7" t="str">
        <f aca="false">'Raw Data'!C598</f>
        <v>Male</v>
      </c>
      <c r="D598" s="7" t="str">
        <f aca="false">'Raw Data'!D598</f>
        <v>Never</v>
      </c>
      <c r="E598" s="7" t="str">
        <f aca="false">'Raw Data'!J598</f>
        <v>Normal</v>
      </c>
      <c r="F598" s="7" t="n">
        <f aca="false">'Raw Data'!K598</f>
        <v>223.8</v>
      </c>
      <c r="G598" s="7" t="str">
        <f aca="false">'Raw Data'!L598</f>
        <v>No</v>
      </c>
      <c r="H598" s="7" t="str">
        <f aca="false">'Raw Data'!M598</f>
        <v>High</v>
      </c>
      <c r="I598" s="7" t="n">
        <f aca="false">(IF(D598="Current",3,IF(D598="Former",1,0)))+(IF(E598="High",3,IF(E598="Normal",1,0)))+(IF(F598&gt;=240,2,IF(F598&gt;=200,1,0)))+(IF(G598="Yes",2,0))+(IF(H598="High",2,IF(H598="Moderate",1,0)))</f>
        <v>4</v>
      </c>
      <c r="J598" s="7" t="str">
        <f aca="false">IF(I598&gt;=8,"High",IF(I598&gt;=4,"Medium","Low"))</f>
        <v>Medium</v>
      </c>
    </row>
    <row r="599" customFormat="false" ht="15" hidden="false" customHeight="true" outlineLevel="0" collapsed="false">
      <c r="A599" s="7" t="n">
        <f aca="false">'Raw Data'!A599</f>
        <v>1251</v>
      </c>
      <c r="B599" s="7" t="n">
        <f aca="false">'Raw Data'!B599</f>
        <v>86</v>
      </c>
      <c r="C599" s="7" t="str">
        <f aca="false">'Raw Data'!C599</f>
        <v>Male</v>
      </c>
      <c r="D599" s="7" t="str">
        <f aca="false">'Raw Data'!D599</f>
        <v>Never</v>
      </c>
      <c r="E599" s="7" t="str">
        <f aca="false">'Raw Data'!J599</f>
        <v>Normal</v>
      </c>
      <c r="F599" s="7" t="n">
        <f aca="false">'Raw Data'!K599</f>
        <v>292.2</v>
      </c>
      <c r="G599" s="7" t="str">
        <f aca="false">'Raw Data'!L599</f>
        <v>Yes</v>
      </c>
      <c r="H599" s="7" t="str">
        <f aca="false">'Raw Data'!M599</f>
        <v>High</v>
      </c>
      <c r="I599" s="7" t="n">
        <f aca="false">(IF(D599="Current",3,IF(D599="Former",1,0)))+(IF(E599="High",3,IF(E599="Normal",1,0)))+(IF(F599&gt;=240,2,IF(F599&gt;=200,1,0)))+(IF(G599="Yes",2,0))+(IF(H599="High",2,IF(H599="Moderate",1,0)))</f>
        <v>7</v>
      </c>
      <c r="J599" s="7" t="str">
        <f aca="false">IF(I599&gt;=8,"High",IF(I599&gt;=4,"Medium","Low"))</f>
        <v>Medium</v>
      </c>
    </row>
    <row r="600" customFormat="false" ht="15" hidden="false" customHeight="true" outlineLevel="0" collapsed="false">
      <c r="A600" s="7" t="n">
        <f aca="false">'Raw Data'!A600</f>
        <v>1307</v>
      </c>
      <c r="B600" s="7" t="n">
        <f aca="false">'Raw Data'!B600</f>
        <v>32</v>
      </c>
      <c r="C600" s="7" t="str">
        <f aca="false">'Raw Data'!C600</f>
        <v>Male</v>
      </c>
      <c r="D600" s="7" t="str">
        <f aca="false">'Raw Data'!D600</f>
        <v>Never</v>
      </c>
      <c r="E600" s="7" t="str">
        <f aca="false">'Raw Data'!J600</f>
        <v>Normal</v>
      </c>
      <c r="F600" s="7" t="n">
        <f aca="false">'Raw Data'!K600</f>
        <v>215.3</v>
      </c>
      <c r="G600" s="7" t="str">
        <f aca="false">'Raw Data'!L600</f>
        <v>No</v>
      </c>
      <c r="H600" s="7" t="str">
        <f aca="false">'Raw Data'!M600</f>
        <v>High</v>
      </c>
      <c r="I600" s="7" t="n">
        <f aca="false">(IF(D600="Current",3,IF(D600="Former",1,0)))+(IF(E600="High",3,IF(E600="Normal",1,0)))+(IF(F600&gt;=240,2,IF(F600&gt;=200,1,0)))+(IF(G600="Yes",2,0))+(IF(H600="High",2,IF(H600="Moderate",1,0)))</f>
        <v>4</v>
      </c>
      <c r="J600" s="7" t="str">
        <f aca="false">IF(I600&gt;=8,"High",IF(I600&gt;=4,"Medium","Low"))</f>
        <v>Medium</v>
      </c>
    </row>
    <row r="601" customFormat="false" ht="15" hidden="false" customHeight="true" outlineLevel="0" collapsed="false">
      <c r="A601" s="7" t="n">
        <f aca="false">'Raw Data'!A601</f>
        <v>1308</v>
      </c>
      <c r="B601" s="7" t="n">
        <f aca="false">'Raw Data'!B601</f>
        <v>48</v>
      </c>
      <c r="C601" s="7" t="str">
        <f aca="false">'Raw Data'!C601</f>
        <v>Male</v>
      </c>
      <c r="D601" s="7" t="str">
        <f aca="false">'Raw Data'!D601</f>
        <v>Never</v>
      </c>
      <c r="E601" s="7" t="str">
        <f aca="false">'Raw Data'!J601</f>
        <v>Normal</v>
      </c>
      <c r="F601" s="7" t="n">
        <f aca="false">'Raw Data'!K601</f>
        <v>184.1</v>
      </c>
      <c r="G601" s="7" t="str">
        <f aca="false">'Raw Data'!L601</f>
        <v>Yes</v>
      </c>
      <c r="H601" s="7" t="str">
        <f aca="false">'Raw Data'!M601</f>
        <v>High</v>
      </c>
      <c r="I601" s="7" t="n">
        <f aca="false">(IF(D601="Current",3,IF(D601="Former",1,0)))+(IF(E601="High",3,IF(E601="Normal",1,0)))+(IF(F601&gt;=240,2,IF(F601&gt;=200,1,0)))+(IF(G601="Yes",2,0))+(IF(H601="High",2,IF(H601="Moderate",1,0)))</f>
        <v>5</v>
      </c>
      <c r="J601" s="7" t="str">
        <f aca="false">IF(I601&gt;=8,"High",IF(I601&gt;=4,"Medium","Low"))</f>
        <v>Medium</v>
      </c>
    </row>
    <row r="602" customFormat="false" ht="15" hidden="false" customHeight="true" outlineLevel="0" collapsed="false">
      <c r="A602" s="7" t="n">
        <f aca="false">'Raw Data'!A602</f>
        <v>1319</v>
      </c>
      <c r="B602" s="7" t="n">
        <f aca="false">'Raw Data'!B602</f>
        <v>57</v>
      </c>
      <c r="C602" s="7" t="str">
        <f aca="false">'Raw Data'!C602</f>
        <v>Female</v>
      </c>
      <c r="D602" s="7" t="str">
        <f aca="false">'Raw Data'!D602</f>
        <v>Never</v>
      </c>
      <c r="E602" s="7" t="str">
        <f aca="false">'Raw Data'!J602</f>
        <v>Normal</v>
      </c>
      <c r="F602" s="7" t="n">
        <f aca="false">'Raw Data'!K602</f>
        <v>288.3</v>
      </c>
      <c r="G602" s="7" t="str">
        <f aca="false">'Raw Data'!L602</f>
        <v>No</v>
      </c>
      <c r="H602" s="7" t="str">
        <f aca="false">'Raw Data'!M602</f>
        <v>High</v>
      </c>
      <c r="I602" s="7" t="n">
        <f aca="false">(IF(D602="Current",3,IF(D602="Former",1,0)))+(IF(E602="High",3,IF(E602="Normal",1,0)))+(IF(F602&gt;=240,2,IF(F602&gt;=200,1,0)))+(IF(G602="Yes",2,0))+(IF(H602="High",2,IF(H602="Moderate",1,0)))</f>
        <v>5</v>
      </c>
      <c r="J602" s="7" t="str">
        <f aca="false">IF(I602&gt;=8,"High",IF(I602&gt;=4,"Medium","Low"))</f>
        <v>Medium</v>
      </c>
    </row>
    <row r="603" customFormat="false" ht="15" hidden="false" customHeight="true" outlineLevel="0" collapsed="false">
      <c r="A603" s="7" t="n">
        <f aca="false">'Raw Data'!A603</f>
        <v>1321</v>
      </c>
      <c r="B603" s="7" t="n">
        <f aca="false">'Raw Data'!B603</f>
        <v>55</v>
      </c>
      <c r="C603" s="7" t="str">
        <f aca="false">'Raw Data'!C603</f>
        <v>Male</v>
      </c>
      <c r="D603" s="7" t="str">
        <f aca="false">'Raw Data'!D603</f>
        <v>Never</v>
      </c>
      <c r="E603" s="7" t="str">
        <f aca="false">'Raw Data'!J603</f>
        <v>Normal</v>
      </c>
      <c r="F603" s="7" t="n">
        <f aca="false">'Raw Data'!K603</f>
        <v>159.6</v>
      </c>
      <c r="G603" s="7" t="str">
        <f aca="false">'Raw Data'!L603</f>
        <v>No</v>
      </c>
      <c r="H603" s="7" t="str">
        <f aca="false">'Raw Data'!M603</f>
        <v>High</v>
      </c>
      <c r="I603" s="7" t="n">
        <f aca="false">(IF(D603="Current",3,IF(D603="Former",1,0)))+(IF(E603="High",3,IF(E603="Normal",1,0)))+(IF(F603&gt;=240,2,IF(F603&gt;=200,1,0)))+(IF(G603="Yes",2,0))+(IF(H603="High",2,IF(H603="Moderate",1,0)))</f>
        <v>3</v>
      </c>
      <c r="J603" s="7" t="str">
        <f aca="false">IF(I603&gt;=8,"High",IF(I603&gt;=4,"Medium","Low"))</f>
        <v>Low</v>
      </c>
    </row>
    <row r="604" customFormat="false" ht="15" hidden="false" customHeight="true" outlineLevel="0" collapsed="false">
      <c r="A604" s="7" t="n">
        <f aca="false">'Raw Data'!A604</f>
        <v>1342</v>
      </c>
      <c r="B604" s="7" t="n">
        <f aca="false">'Raw Data'!B604</f>
        <v>53</v>
      </c>
      <c r="C604" s="7" t="str">
        <f aca="false">'Raw Data'!C604</f>
        <v>Male</v>
      </c>
      <c r="D604" s="7" t="str">
        <f aca="false">'Raw Data'!D604</f>
        <v>Never</v>
      </c>
      <c r="E604" s="7" t="str">
        <f aca="false">'Raw Data'!J604</f>
        <v>Normal</v>
      </c>
      <c r="F604" s="7" t="n">
        <f aca="false">'Raw Data'!K604</f>
        <v>134</v>
      </c>
      <c r="G604" s="7" t="str">
        <f aca="false">'Raw Data'!L604</f>
        <v>No</v>
      </c>
      <c r="H604" s="7" t="str">
        <f aca="false">'Raw Data'!M604</f>
        <v>High</v>
      </c>
      <c r="I604" s="7" t="n">
        <f aca="false">(IF(D604="Current",3,IF(D604="Former",1,0)))+(IF(E604="High",3,IF(E604="Normal",1,0)))+(IF(F604&gt;=240,2,IF(F604&gt;=200,1,0)))+(IF(G604="Yes",2,0))+(IF(H604="High",2,IF(H604="Moderate",1,0)))</f>
        <v>3</v>
      </c>
      <c r="J604" s="7" t="str">
        <f aca="false">IF(I604&gt;=8,"High",IF(I604&gt;=4,"Medium","Low"))</f>
        <v>Low</v>
      </c>
    </row>
    <row r="605" customFormat="false" ht="15" hidden="false" customHeight="true" outlineLevel="0" collapsed="false">
      <c r="A605" s="7" t="n">
        <f aca="false">'Raw Data'!A605</f>
        <v>1353</v>
      </c>
      <c r="B605" s="7" t="n">
        <f aca="false">'Raw Data'!B605</f>
        <v>89</v>
      </c>
      <c r="C605" s="7" t="str">
        <f aca="false">'Raw Data'!C605</f>
        <v>Male</v>
      </c>
      <c r="D605" s="7" t="str">
        <f aca="false">'Raw Data'!D605</f>
        <v>Never</v>
      </c>
      <c r="E605" s="7" t="str">
        <f aca="false">'Raw Data'!J605</f>
        <v>Normal</v>
      </c>
      <c r="F605" s="7" t="n">
        <f aca="false">'Raw Data'!K605</f>
        <v>163.8</v>
      </c>
      <c r="G605" s="7" t="str">
        <f aca="false">'Raw Data'!L605</f>
        <v>Yes</v>
      </c>
      <c r="H605" s="7" t="str">
        <f aca="false">'Raw Data'!M605</f>
        <v>High</v>
      </c>
      <c r="I605" s="7" t="n">
        <f aca="false">(IF(D605="Current",3,IF(D605="Former",1,0)))+(IF(E605="High",3,IF(E605="Normal",1,0)))+(IF(F605&gt;=240,2,IF(F605&gt;=200,1,0)))+(IF(G605="Yes",2,0))+(IF(H605="High",2,IF(H605="Moderate",1,0)))</f>
        <v>5</v>
      </c>
      <c r="J605" s="7" t="str">
        <f aca="false">IF(I605&gt;=8,"High",IF(I605&gt;=4,"Medium","Low"))</f>
        <v>Medium</v>
      </c>
    </row>
    <row r="606" customFormat="false" ht="15" hidden="false" customHeight="true" outlineLevel="0" collapsed="false">
      <c r="A606" s="7" t="n">
        <f aca="false">'Raw Data'!A606</f>
        <v>1355</v>
      </c>
      <c r="B606" s="7" t="n">
        <f aca="false">'Raw Data'!B606</f>
        <v>35</v>
      </c>
      <c r="C606" s="7" t="str">
        <f aca="false">'Raw Data'!C606</f>
        <v>Male</v>
      </c>
      <c r="D606" s="7" t="str">
        <f aca="false">'Raw Data'!D606</f>
        <v>Never</v>
      </c>
      <c r="E606" s="7" t="str">
        <f aca="false">'Raw Data'!J606</f>
        <v>Normal</v>
      </c>
      <c r="F606" s="7" t="n">
        <f aca="false">'Raw Data'!K606</f>
        <v>277.3</v>
      </c>
      <c r="G606" s="7" t="str">
        <f aca="false">'Raw Data'!L606</f>
        <v>Yes</v>
      </c>
      <c r="H606" s="7" t="str">
        <f aca="false">'Raw Data'!M606</f>
        <v>High</v>
      </c>
      <c r="I606" s="7" t="n">
        <f aca="false">(IF(D606="Current",3,IF(D606="Former",1,0)))+(IF(E606="High",3,IF(E606="Normal",1,0)))+(IF(F606&gt;=240,2,IF(F606&gt;=200,1,0)))+(IF(G606="Yes",2,0))+(IF(H606="High",2,IF(H606="Moderate",1,0)))</f>
        <v>7</v>
      </c>
      <c r="J606" s="7" t="str">
        <f aca="false">IF(I606&gt;=8,"High",IF(I606&gt;=4,"Medium","Low"))</f>
        <v>Medium</v>
      </c>
    </row>
    <row r="607" customFormat="false" ht="15" hidden="false" customHeight="true" outlineLevel="0" collapsed="false">
      <c r="A607" s="7" t="n">
        <f aca="false">'Raw Data'!A607</f>
        <v>1362</v>
      </c>
      <c r="B607" s="7" t="n">
        <f aca="false">'Raw Data'!B607</f>
        <v>80</v>
      </c>
      <c r="C607" s="7" t="str">
        <f aca="false">'Raw Data'!C607</f>
        <v>Male</v>
      </c>
      <c r="D607" s="7" t="str">
        <f aca="false">'Raw Data'!D607</f>
        <v>Never</v>
      </c>
      <c r="E607" s="7" t="str">
        <f aca="false">'Raw Data'!J607</f>
        <v>Normal</v>
      </c>
      <c r="F607" s="7" t="n">
        <f aca="false">'Raw Data'!K607</f>
        <v>196.1</v>
      </c>
      <c r="G607" s="7" t="str">
        <f aca="false">'Raw Data'!L607</f>
        <v>No</v>
      </c>
      <c r="H607" s="7" t="str">
        <f aca="false">'Raw Data'!M607</f>
        <v>High</v>
      </c>
      <c r="I607" s="7" t="n">
        <f aca="false">(IF(D607="Current",3,IF(D607="Former",1,0)))+(IF(E607="High",3,IF(E607="Normal",1,0)))+(IF(F607&gt;=240,2,IF(F607&gt;=200,1,0)))+(IF(G607="Yes",2,0))+(IF(H607="High",2,IF(H607="Moderate",1,0)))</f>
        <v>3</v>
      </c>
      <c r="J607" s="7" t="str">
        <f aca="false">IF(I607&gt;=8,"High",IF(I607&gt;=4,"Medium","Low"))</f>
        <v>Low</v>
      </c>
    </row>
    <row r="608" customFormat="false" ht="15" hidden="false" customHeight="true" outlineLevel="0" collapsed="false">
      <c r="A608" s="7" t="n">
        <f aca="false">'Raw Data'!A608</f>
        <v>1364</v>
      </c>
      <c r="B608" s="7" t="n">
        <f aca="false">'Raw Data'!B608</f>
        <v>81</v>
      </c>
      <c r="C608" s="7" t="str">
        <f aca="false">'Raw Data'!C608</f>
        <v>Female</v>
      </c>
      <c r="D608" s="7" t="str">
        <f aca="false">'Raw Data'!D608</f>
        <v>Never</v>
      </c>
      <c r="E608" s="7" t="str">
        <f aca="false">'Raw Data'!J608</f>
        <v>Normal</v>
      </c>
      <c r="F608" s="7" t="n">
        <f aca="false">'Raw Data'!K608</f>
        <v>127.3</v>
      </c>
      <c r="G608" s="7" t="str">
        <f aca="false">'Raw Data'!L608</f>
        <v>No</v>
      </c>
      <c r="H608" s="7" t="str">
        <f aca="false">'Raw Data'!M608</f>
        <v>High</v>
      </c>
      <c r="I608" s="7" t="n">
        <f aca="false">(IF(D608="Current",3,IF(D608="Former",1,0)))+(IF(E608="High",3,IF(E608="Normal",1,0)))+(IF(F608&gt;=240,2,IF(F608&gt;=200,1,0)))+(IF(G608="Yes",2,0))+(IF(H608="High",2,IF(H608="Moderate",1,0)))</f>
        <v>3</v>
      </c>
      <c r="J608" s="7" t="str">
        <f aca="false">IF(I608&gt;=8,"High",IF(I608&gt;=4,"Medium","Low"))</f>
        <v>Low</v>
      </c>
    </row>
    <row r="609" customFormat="false" ht="15" hidden="false" customHeight="true" outlineLevel="0" collapsed="false">
      <c r="A609" s="7" t="n">
        <f aca="false">'Raw Data'!A609</f>
        <v>1374</v>
      </c>
      <c r="B609" s="7" t="n">
        <f aca="false">'Raw Data'!B609</f>
        <v>63</v>
      </c>
      <c r="C609" s="7" t="str">
        <f aca="false">'Raw Data'!C609</f>
        <v>Female</v>
      </c>
      <c r="D609" s="7" t="str">
        <f aca="false">'Raw Data'!D609</f>
        <v>Never</v>
      </c>
      <c r="E609" s="7" t="str">
        <f aca="false">'Raw Data'!J609</f>
        <v>Normal</v>
      </c>
      <c r="F609" s="7" t="n">
        <f aca="false">'Raw Data'!K609</f>
        <v>181.2</v>
      </c>
      <c r="G609" s="7" t="str">
        <f aca="false">'Raw Data'!L609</f>
        <v>No</v>
      </c>
      <c r="H609" s="7" t="str">
        <f aca="false">'Raw Data'!M609</f>
        <v>High</v>
      </c>
      <c r="I609" s="7" t="n">
        <f aca="false">(IF(D609="Current",3,IF(D609="Former",1,0)))+(IF(E609="High",3,IF(E609="Normal",1,0)))+(IF(F609&gt;=240,2,IF(F609&gt;=200,1,0)))+(IF(G609="Yes",2,0))+(IF(H609="High",2,IF(H609="Moderate",1,0)))</f>
        <v>3</v>
      </c>
      <c r="J609" s="7" t="str">
        <f aca="false">IF(I609&gt;=8,"High",IF(I609&gt;=4,"Medium","Low"))</f>
        <v>Low</v>
      </c>
    </row>
    <row r="610" customFormat="false" ht="15" hidden="false" customHeight="true" outlineLevel="0" collapsed="false">
      <c r="A610" s="7" t="n">
        <f aca="false">'Raw Data'!A610</f>
        <v>1384</v>
      </c>
      <c r="B610" s="7" t="n">
        <f aca="false">'Raw Data'!B610</f>
        <v>76</v>
      </c>
      <c r="C610" s="7" t="str">
        <f aca="false">'Raw Data'!C610</f>
        <v>Female</v>
      </c>
      <c r="D610" s="7" t="str">
        <f aca="false">'Raw Data'!D610</f>
        <v>Never</v>
      </c>
      <c r="E610" s="7" t="str">
        <f aca="false">'Raw Data'!J610</f>
        <v>Normal</v>
      </c>
      <c r="F610" s="7" t="n">
        <f aca="false">'Raw Data'!K610</f>
        <v>144.6</v>
      </c>
      <c r="G610" s="7" t="str">
        <f aca="false">'Raw Data'!L610</f>
        <v>No</v>
      </c>
      <c r="H610" s="7" t="str">
        <f aca="false">'Raw Data'!M610</f>
        <v>High</v>
      </c>
      <c r="I610" s="7" t="n">
        <f aca="false">(IF(D610="Current",3,IF(D610="Former",1,0)))+(IF(E610="High",3,IF(E610="Normal",1,0)))+(IF(F610&gt;=240,2,IF(F610&gt;=200,1,0)))+(IF(G610="Yes",2,0))+(IF(H610="High",2,IF(H610="Moderate",1,0)))</f>
        <v>3</v>
      </c>
      <c r="J610" s="7" t="str">
        <f aca="false">IF(I610&gt;=8,"High",IF(I610&gt;=4,"Medium","Low"))</f>
        <v>Low</v>
      </c>
    </row>
    <row r="611" customFormat="false" ht="15" hidden="false" customHeight="true" outlineLevel="0" collapsed="false">
      <c r="A611" s="7" t="n">
        <f aca="false">'Raw Data'!A611</f>
        <v>1504</v>
      </c>
      <c r="B611" s="7" t="n">
        <f aca="false">'Raw Data'!B611</f>
        <v>59</v>
      </c>
      <c r="C611" s="7" t="str">
        <f aca="false">'Raw Data'!C611</f>
        <v>Female</v>
      </c>
      <c r="D611" s="7" t="str">
        <f aca="false">'Raw Data'!D611</f>
        <v>Never</v>
      </c>
      <c r="E611" s="7" t="str">
        <f aca="false">'Raw Data'!J611</f>
        <v>Normal</v>
      </c>
      <c r="F611" s="7" t="n">
        <f aca="false">'Raw Data'!K611</f>
        <v>290.6</v>
      </c>
      <c r="G611" s="7" t="str">
        <f aca="false">'Raw Data'!L611</f>
        <v>Yes</v>
      </c>
      <c r="H611" s="7" t="str">
        <f aca="false">'Raw Data'!M611</f>
        <v>High</v>
      </c>
      <c r="I611" s="7" t="n">
        <f aca="false">(IF(D611="Current",3,IF(D611="Former",1,0)))+(IF(E611="High",3,IF(E611="Normal",1,0)))+(IF(F611&gt;=240,2,IF(F611&gt;=200,1,0)))+(IF(G611="Yes",2,0))+(IF(H611="High",2,IF(H611="Moderate",1,0)))</f>
        <v>7</v>
      </c>
      <c r="J611" s="7" t="str">
        <f aca="false">IF(I611&gt;=8,"High",IF(I611&gt;=4,"Medium","Low"))</f>
        <v>Medium</v>
      </c>
    </row>
    <row r="612" customFormat="false" ht="15" hidden="false" customHeight="true" outlineLevel="0" collapsed="false">
      <c r="A612" s="7" t="n">
        <f aca="false">'Raw Data'!A612</f>
        <v>1515</v>
      </c>
      <c r="B612" s="7" t="n">
        <f aca="false">'Raw Data'!B612</f>
        <v>31</v>
      </c>
      <c r="C612" s="7" t="str">
        <f aca="false">'Raw Data'!C612</f>
        <v>Male</v>
      </c>
      <c r="D612" s="7" t="str">
        <f aca="false">'Raw Data'!D612</f>
        <v>Never</v>
      </c>
      <c r="E612" s="7" t="str">
        <f aca="false">'Raw Data'!J612</f>
        <v>Normal</v>
      </c>
      <c r="F612" s="7" t="n">
        <f aca="false">'Raw Data'!K612</f>
        <v>195.3</v>
      </c>
      <c r="G612" s="7" t="str">
        <f aca="false">'Raw Data'!L612</f>
        <v>No</v>
      </c>
      <c r="H612" s="7" t="str">
        <f aca="false">'Raw Data'!M612</f>
        <v>High</v>
      </c>
      <c r="I612" s="7" t="n">
        <f aca="false">(IF(D612="Current",3,IF(D612="Former",1,0)))+(IF(E612="High",3,IF(E612="Normal",1,0)))+(IF(F612&gt;=240,2,IF(F612&gt;=200,1,0)))+(IF(G612="Yes",2,0))+(IF(H612="High",2,IF(H612="Moderate",1,0)))</f>
        <v>3</v>
      </c>
      <c r="J612" s="7" t="str">
        <f aca="false">IF(I612&gt;=8,"High",IF(I612&gt;=4,"Medium","Low"))</f>
        <v>Low</v>
      </c>
    </row>
    <row r="613" customFormat="false" ht="15" hidden="false" customHeight="true" outlineLevel="0" collapsed="false">
      <c r="A613" s="7" t="n">
        <f aca="false">'Raw Data'!A613</f>
        <v>1517</v>
      </c>
      <c r="B613" s="7" t="n">
        <f aca="false">'Raw Data'!B613</f>
        <v>48</v>
      </c>
      <c r="C613" s="7" t="str">
        <f aca="false">'Raw Data'!C613</f>
        <v>Female</v>
      </c>
      <c r="D613" s="7" t="str">
        <f aca="false">'Raw Data'!D613</f>
        <v>Never</v>
      </c>
      <c r="E613" s="7" t="str">
        <f aca="false">'Raw Data'!J613</f>
        <v>Normal</v>
      </c>
      <c r="F613" s="7" t="n">
        <f aca="false">'Raw Data'!K613</f>
        <v>255.2</v>
      </c>
      <c r="G613" s="7" t="str">
        <f aca="false">'Raw Data'!L613</f>
        <v>No</v>
      </c>
      <c r="H613" s="7" t="str">
        <f aca="false">'Raw Data'!M613</f>
        <v>High</v>
      </c>
      <c r="I613" s="7" t="n">
        <f aca="false">(IF(D613="Current",3,IF(D613="Former",1,0)))+(IF(E613="High",3,IF(E613="Normal",1,0)))+(IF(F613&gt;=240,2,IF(F613&gt;=200,1,0)))+(IF(G613="Yes",2,0))+(IF(H613="High",2,IF(H613="Moderate",1,0)))</f>
        <v>5</v>
      </c>
      <c r="J613" s="7" t="str">
        <f aca="false">IF(I613&gt;=8,"High",IF(I613&gt;=4,"Medium","Low"))</f>
        <v>Medium</v>
      </c>
    </row>
    <row r="614" customFormat="false" ht="15" hidden="false" customHeight="true" outlineLevel="0" collapsed="false">
      <c r="A614" s="7" t="n">
        <f aca="false">'Raw Data'!A614</f>
        <v>1520</v>
      </c>
      <c r="B614" s="7" t="n">
        <f aca="false">'Raw Data'!B614</f>
        <v>38</v>
      </c>
      <c r="C614" s="7" t="str">
        <f aca="false">'Raw Data'!C614</f>
        <v>Female</v>
      </c>
      <c r="D614" s="7" t="str">
        <f aca="false">'Raw Data'!D614</f>
        <v>Never</v>
      </c>
      <c r="E614" s="7" t="str">
        <f aca="false">'Raw Data'!J614</f>
        <v>Normal</v>
      </c>
      <c r="F614" s="7" t="n">
        <f aca="false">'Raw Data'!K614</f>
        <v>188.2</v>
      </c>
      <c r="G614" s="7" t="str">
        <f aca="false">'Raw Data'!L614</f>
        <v>No</v>
      </c>
      <c r="H614" s="7" t="str">
        <f aca="false">'Raw Data'!M614</f>
        <v>High</v>
      </c>
      <c r="I614" s="7" t="n">
        <f aca="false">(IF(D614="Current",3,IF(D614="Former",1,0)))+(IF(E614="High",3,IF(E614="Normal",1,0)))+(IF(F614&gt;=240,2,IF(F614&gt;=200,1,0)))+(IF(G614="Yes",2,0))+(IF(H614="High",2,IF(H614="Moderate",1,0)))</f>
        <v>3</v>
      </c>
      <c r="J614" s="7" t="str">
        <f aca="false">IF(I614&gt;=8,"High",IF(I614&gt;=4,"Medium","Low"))</f>
        <v>Low</v>
      </c>
    </row>
    <row r="615" customFormat="false" ht="15" hidden="false" customHeight="true" outlineLevel="0" collapsed="false">
      <c r="A615" s="7" t="n">
        <f aca="false">'Raw Data'!A615</f>
        <v>1521</v>
      </c>
      <c r="B615" s="7" t="n">
        <f aca="false">'Raw Data'!B615</f>
        <v>89</v>
      </c>
      <c r="C615" s="7" t="str">
        <f aca="false">'Raw Data'!C615</f>
        <v>Female</v>
      </c>
      <c r="D615" s="7" t="str">
        <f aca="false">'Raw Data'!D615</f>
        <v>Never</v>
      </c>
      <c r="E615" s="7" t="str">
        <f aca="false">'Raw Data'!J615</f>
        <v>Normal</v>
      </c>
      <c r="F615" s="7" t="n">
        <f aca="false">'Raw Data'!K615</f>
        <v>148.3</v>
      </c>
      <c r="G615" s="7" t="str">
        <f aca="false">'Raw Data'!L615</f>
        <v>No</v>
      </c>
      <c r="H615" s="7" t="str">
        <f aca="false">'Raw Data'!M615</f>
        <v>High</v>
      </c>
      <c r="I615" s="7" t="n">
        <f aca="false">(IF(D615="Current",3,IF(D615="Former",1,0)))+(IF(E615="High",3,IF(E615="Normal",1,0)))+(IF(F615&gt;=240,2,IF(F615&gt;=200,1,0)))+(IF(G615="Yes",2,0))+(IF(H615="High",2,IF(H615="Moderate",1,0)))</f>
        <v>3</v>
      </c>
      <c r="J615" s="7" t="str">
        <f aca="false">IF(I615&gt;=8,"High",IF(I615&gt;=4,"Medium","Low"))</f>
        <v>Low</v>
      </c>
    </row>
    <row r="616" customFormat="false" ht="15" hidden="false" customHeight="true" outlineLevel="0" collapsed="false">
      <c r="A616" s="7" t="n">
        <f aca="false">'Raw Data'!A616</f>
        <v>1539</v>
      </c>
      <c r="B616" s="7" t="n">
        <f aca="false">'Raw Data'!B616</f>
        <v>74</v>
      </c>
      <c r="C616" s="7" t="str">
        <f aca="false">'Raw Data'!C616</f>
        <v>Male</v>
      </c>
      <c r="D616" s="7" t="str">
        <f aca="false">'Raw Data'!D616</f>
        <v>Never</v>
      </c>
      <c r="E616" s="7" t="str">
        <f aca="false">'Raw Data'!J616</f>
        <v>Normal</v>
      </c>
      <c r="F616" s="7" t="n">
        <f aca="false">'Raw Data'!K616</f>
        <v>244.8</v>
      </c>
      <c r="G616" s="7" t="str">
        <f aca="false">'Raw Data'!L616</f>
        <v>No</v>
      </c>
      <c r="H616" s="7" t="str">
        <f aca="false">'Raw Data'!M616</f>
        <v>High</v>
      </c>
      <c r="I616" s="7" t="n">
        <f aca="false">(IF(D616="Current",3,IF(D616="Former",1,0)))+(IF(E616="High",3,IF(E616="Normal",1,0)))+(IF(F616&gt;=240,2,IF(F616&gt;=200,1,0)))+(IF(G616="Yes",2,0))+(IF(H616="High",2,IF(H616="Moderate",1,0)))</f>
        <v>5</v>
      </c>
      <c r="J616" s="7" t="str">
        <f aca="false">IF(I616&gt;=8,"High",IF(I616&gt;=4,"Medium","Low"))</f>
        <v>Medium</v>
      </c>
    </row>
    <row r="617" customFormat="false" ht="15" hidden="false" customHeight="true" outlineLevel="0" collapsed="false">
      <c r="A617" s="7" t="n">
        <f aca="false">'Raw Data'!A617</f>
        <v>1547</v>
      </c>
      <c r="B617" s="7" t="n">
        <f aca="false">'Raw Data'!B617</f>
        <v>35</v>
      </c>
      <c r="C617" s="7" t="str">
        <f aca="false">'Raw Data'!C617</f>
        <v>Male</v>
      </c>
      <c r="D617" s="7" t="str">
        <f aca="false">'Raw Data'!D617</f>
        <v>Never</v>
      </c>
      <c r="E617" s="7" t="str">
        <f aca="false">'Raw Data'!J617</f>
        <v>Normal</v>
      </c>
      <c r="F617" s="7" t="n">
        <f aca="false">'Raw Data'!K617</f>
        <v>258.3</v>
      </c>
      <c r="G617" s="7" t="str">
        <f aca="false">'Raw Data'!L617</f>
        <v>No</v>
      </c>
      <c r="H617" s="7" t="str">
        <f aca="false">'Raw Data'!M617</f>
        <v>High</v>
      </c>
      <c r="I617" s="7" t="n">
        <f aca="false">(IF(D617="Current",3,IF(D617="Former",1,0)))+(IF(E617="High",3,IF(E617="Normal",1,0)))+(IF(F617&gt;=240,2,IF(F617&gt;=200,1,0)))+(IF(G617="Yes",2,0))+(IF(H617="High",2,IF(H617="Moderate",1,0)))</f>
        <v>5</v>
      </c>
      <c r="J617" s="7" t="str">
        <f aca="false">IF(I617&gt;=8,"High",IF(I617&gt;=4,"Medium","Low"))</f>
        <v>Medium</v>
      </c>
    </row>
    <row r="618" customFormat="false" ht="15" hidden="false" customHeight="true" outlineLevel="0" collapsed="false">
      <c r="A618" s="7" t="n">
        <f aca="false">'Raw Data'!A618</f>
        <v>1596</v>
      </c>
      <c r="B618" s="7" t="n">
        <f aca="false">'Raw Data'!B618</f>
        <v>71</v>
      </c>
      <c r="C618" s="7" t="str">
        <f aca="false">'Raw Data'!C618</f>
        <v>Female</v>
      </c>
      <c r="D618" s="7" t="str">
        <f aca="false">'Raw Data'!D618</f>
        <v>Never</v>
      </c>
      <c r="E618" s="7" t="str">
        <f aca="false">'Raw Data'!J618</f>
        <v>Normal</v>
      </c>
      <c r="F618" s="7" t="n">
        <f aca="false">'Raw Data'!K618</f>
        <v>208.5</v>
      </c>
      <c r="G618" s="7" t="str">
        <f aca="false">'Raw Data'!L618</f>
        <v>No</v>
      </c>
      <c r="H618" s="7" t="str">
        <f aca="false">'Raw Data'!M618</f>
        <v>High</v>
      </c>
      <c r="I618" s="7" t="n">
        <f aca="false">(IF(D618="Current",3,IF(D618="Former",1,0)))+(IF(E618="High",3,IF(E618="Normal",1,0)))+(IF(F618&gt;=240,2,IF(F618&gt;=200,1,0)))+(IF(G618="Yes",2,0))+(IF(H618="High",2,IF(H618="Moderate",1,0)))</f>
        <v>4</v>
      </c>
      <c r="J618" s="7" t="str">
        <f aca="false">IF(I618&gt;=8,"High",IF(I618&gt;=4,"Medium","Low"))</f>
        <v>Medium</v>
      </c>
    </row>
    <row r="619" customFormat="false" ht="15" hidden="false" customHeight="true" outlineLevel="0" collapsed="false">
      <c r="A619" s="7" t="n">
        <f aca="false">'Raw Data'!A619</f>
        <v>1606</v>
      </c>
      <c r="B619" s="7" t="n">
        <f aca="false">'Raw Data'!B619</f>
        <v>31</v>
      </c>
      <c r="C619" s="7" t="str">
        <f aca="false">'Raw Data'!C619</f>
        <v>Male</v>
      </c>
      <c r="D619" s="7" t="str">
        <f aca="false">'Raw Data'!D619</f>
        <v>Never</v>
      </c>
      <c r="E619" s="7" t="str">
        <f aca="false">'Raw Data'!J619</f>
        <v>Normal</v>
      </c>
      <c r="F619" s="7" t="n">
        <f aca="false">'Raw Data'!K619</f>
        <v>166</v>
      </c>
      <c r="G619" s="7" t="str">
        <f aca="false">'Raw Data'!L619</f>
        <v>No</v>
      </c>
      <c r="H619" s="7" t="str">
        <f aca="false">'Raw Data'!M619</f>
        <v>High</v>
      </c>
      <c r="I619" s="7" t="n">
        <f aca="false">(IF(D619="Current",3,IF(D619="Former",1,0)))+(IF(E619="High",3,IF(E619="Normal",1,0)))+(IF(F619&gt;=240,2,IF(F619&gt;=200,1,0)))+(IF(G619="Yes",2,0))+(IF(H619="High",2,IF(H619="Moderate",1,0)))</f>
        <v>3</v>
      </c>
      <c r="J619" s="7" t="str">
        <f aca="false">IF(I619&gt;=8,"High",IF(I619&gt;=4,"Medium","Low"))</f>
        <v>Low</v>
      </c>
    </row>
    <row r="620" customFormat="false" ht="15" hidden="false" customHeight="true" outlineLevel="0" collapsed="false">
      <c r="A620" s="7" t="n">
        <f aca="false">'Raw Data'!A620</f>
        <v>1638</v>
      </c>
      <c r="B620" s="7" t="n">
        <f aca="false">'Raw Data'!B620</f>
        <v>88</v>
      </c>
      <c r="C620" s="7" t="str">
        <f aca="false">'Raw Data'!C620</f>
        <v>Female</v>
      </c>
      <c r="D620" s="7" t="str">
        <f aca="false">'Raw Data'!D620</f>
        <v>Never</v>
      </c>
      <c r="E620" s="7" t="str">
        <f aca="false">'Raw Data'!J620</f>
        <v>Normal</v>
      </c>
      <c r="F620" s="7" t="n">
        <f aca="false">'Raw Data'!K620</f>
        <v>290.3</v>
      </c>
      <c r="G620" s="7" t="str">
        <f aca="false">'Raw Data'!L620</f>
        <v>No</v>
      </c>
      <c r="H620" s="7" t="str">
        <f aca="false">'Raw Data'!M620</f>
        <v>High</v>
      </c>
      <c r="I620" s="7" t="n">
        <f aca="false">(IF(D620="Current",3,IF(D620="Former",1,0)))+(IF(E620="High",3,IF(E620="Normal",1,0)))+(IF(F620&gt;=240,2,IF(F620&gt;=200,1,0)))+(IF(G620="Yes",2,0))+(IF(H620="High",2,IF(H620="Moderate",1,0)))</f>
        <v>5</v>
      </c>
      <c r="J620" s="7" t="str">
        <f aca="false">IF(I620&gt;=8,"High",IF(I620&gt;=4,"Medium","Low"))</f>
        <v>Medium</v>
      </c>
    </row>
    <row r="621" customFormat="false" ht="15" hidden="false" customHeight="true" outlineLevel="0" collapsed="false">
      <c r="A621" s="7" t="n">
        <f aca="false">'Raw Data'!A621</f>
        <v>1652</v>
      </c>
      <c r="B621" s="7" t="n">
        <f aca="false">'Raw Data'!B621</f>
        <v>26</v>
      </c>
      <c r="C621" s="7" t="str">
        <f aca="false">'Raw Data'!C621</f>
        <v>Female</v>
      </c>
      <c r="D621" s="7" t="str">
        <f aca="false">'Raw Data'!D621</f>
        <v>Never</v>
      </c>
      <c r="E621" s="7" t="str">
        <f aca="false">'Raw Data'!J621</f>
        <v>Normal</v>
      </c>
      <c r="F621" s="7" t="n">
        <f aca="false">'Raw Data'!K621</f>
        <v>142.1</v>
      </c>
      <c r="G621" s="7" t="str">
        <f aca="false">'Raw Data'!L621</f>
        <v>Yes</v>
      </c>
      <c r="H621" s="7" t="str">
        <f aca="false">'Raw Data'!M621</f>
        <v>High</v>
      </c>
      <c r="I621" s="7" t="n">
        <f aca="false">(IF(D621="Current",3,IF(D621="Former",1,0)))+(IF(E621="High",3,IF(E621="Normal",1,0)))+(IF(F621&gt;=240,2,IF(F621&gt;=200,1,0)))+(IF(G621="Yes",2,0))+(IF(H621="High",2,IF(H621="Moderate",1,0)))</f>
        <v>5</v>
      </c>
      <c r="J621" s="7" t="str">
        <f aca="false">IF(I621&gt;=8,"High",IF(I621&gt;=4,"Medium","Low"))</f>
        <v>Medium</v>
      </c>
    </row>
    <row r="622" customFormat="false" ht="15" hidden="false" customHeight="true" outlineLevel="0" collapsed="false">
      <c r="A622" s="7" t="n">
        <f aca="false">'Raw Data'!A622</f>
        <v>1655</v>
      </c>
      <c r="B622" s="7" t="n">
        <f aca="false">'Raw Data'!B622</f>
        <v>60</v>
      </c>
      <c r="C622" s="7" t="str">
        <f aca="false">'Raw Data'!C622</f>
        <v>Female</v>
      </c>
      <c r="D622" s="7" t="str">
        <f aca="false">'Raw Data'!D622</f>
        <v>Never</v>
      </c>
      <c r="E622" s="7" t="str">
        <f aca="false">'Raw Data'!J622</f>
        <v>Normal</v>
      </c>
      <c r="F622" s="7" t="n">
        <f aca="false">'Raw Data'!K622</f>
        <v>242.4</v>
      </c>
      <c r="G622" s="7" t="str">
        <f aca="false">'Raw Data'!L622</f>
        <v>Yes</v>
      </c>
      <c r="H622" s="7" t="str">
        <f aca="false">'Raw Data'!M622</f>
        <v>High</v>
      </c>
      <c r="I622" s="7" t="n">
        <f aca="false">(IF(D622="Current",3,IF(D622="Former",1,0)))+(IF(E622="High",3,IF(E622="Normal",1,0)))+(IF(F622&gt;=240,2,IF(F622&gt;=200,1,0)))+(IF(G622="Yes",2,0))+(IF(H622="High",2,IF(H622="Moderate",1,0)))</f>
        <v>7</v>
      </c>
      <c r="J622" s="7" t="str">
        <f aca="false">IF(I622&gt;=8,"High",IF(I622&gt;=4,"Medium","Low"))</f>
        <v>Medium</v>
      </c>
    </row>
    <row r="623" customFormat="false" ht="15" hidden="false" customHeight="true" outlineLevel="0" collapsed="false">
      <c r="A623" s="7" t="n">
        <f aca="false">'Raw Data'!A623</f>
        <v>1752</v>
      </c>
      <c r="B623" s="7" t="n">
        <f aca="false">'Raw Data'!B623</f>
        <v>77</v>
      </c>
      <c r="C623" s="7" t="str">
        <f aca="false">'Raw Data'!C623</f>
        <v>Female</v>
      </c>
      <c r="D623" s="7" t="str">
        <f aca="false">'Raw Data'!D623</f>
        <v>Never</v>
      </c>
      <c r="E623" s="7" t="str">
        <f aca="false">'Raw Data'!J623</f>
        <v>Normal</v>
      </c>
      <c r="F623" s="7" t="n">
        <f aca="false">'Raw Data'!K623</f>
        <v>228.8</v>
      </c>
      <c r="G623" s="7" t="str">
        <f aca="false">'Raw Data'!L623</f>
        <v>No</v>
      </c>
      <c r="H623" s="7" t="str">
        <f aca="false">'Raw Data'!M623</f>
        <v>High</v>
      </c>
      <c r="I623" s="7" t="n">
        <f aca="false">(IF(D623="Current",3,IF(D623="Former",1,0)))+(IF(E623="High",3,IF(E623="Normal",1,0)))+(IF(F623&gt;=240,2,IF(F623&gt;=200,1,0)))+(IF(G623="Yes",2,0))+(IF(H623="High",2,IF(H623="Moderate",1,0)))</f>
        <v>4</v>
      </c>
      <c r="J623" s="7" t="str">
        <f aca="false">IF(I623&gt;=8,"High",IF(I623&gt;=4,"Medium","Low"))</f>
        <v>Medium</v>
      </c>
    </row>
    <row r="624" customFormat="false" ht="15" hidden="false" customHeight="true" outlineLevel="0" collapsed="false">
      <c r="A624" s="7" t="n">
        <f aca="false">'Raw Data'!A624</f>
        <v>1753</v>
      </c>
      <c r="B624" s="7" t="n">
        <f aca="false">'Raw Data'!B624</f>
        <v>75</v>
      </c>
      <c r="C624" s="7" t="str">
        <f aca="false">'Raw Data'!C624</f>
        <v>Female</v>
      </c>
      <c r="D624" s="7" t="str">
        <f aca="false">'Raw Data'!D624</f>
        <v>Never</v>
      </c>
      <c r="E624" s="7" t="str">
        <f aca="false">'Raw Data'!J624</f>
        <v>Normal</v>
      </c>
      <c r="F624" s="7" t="n">
        <f aca="false">'Raw Data'!K624</f>
        <v>245</v>
      </c>
      <c r="G624" s="7" t="str">
        <f aca="false">'Raw Data'!L624</f>
        <v>Yes</v>
      </c>
      <c r="H624" s="7" t="str">
        <f aca="false">'Raw Data'!M624</f>
        <v>High</v>
      </c>
      <c r="I624" s="7" t="n">
        <f aca="false">(IF(D624="Current",3,IF(D624="Former",1,0)))+(IF(E624="High",3,IF(E624="Normal",1,0)))+(IF(F624&gt;=240,2,IF(F624&gt;=200,1,0)))+(IF(G624="Yes",2,0))+(IF(H624="High",2,IF(H624="Moderate",1,0)))</f>
        <v>7</v>
      </c>
      <c r="J624" s="7" t="str">
        <f aca="false">IF(I624&gt;=8,"High",IF(I624&gt;=4,"Medium","Low"))</f>
        <v>Medium</v>
      </c>
    </row>
    <row r="625" customFormat="false" ht="15" hidden="false" customHeight="true" outlineLevel="0" collapsed="false">
      <c r="A625" s="7" t="n">
        <f aca="false">'Raw Data'!A625</f>
        <v>1764</v>
      </c>
      <c r="B625" s="7" t="n">
        <f aca="false">'Raw Data'!B625</f>
        <v>84</v>
      </c>
      <c r="C625" s="7" t="str">
        <f aca="false">'Raw Data'!C625</f>
        <v>Male</v>
      </c>
      <c r="D625" s="7" t="str">
        <f aca="false">'Raw Data'!D625</f>
        <v>Never</v>
      </c>
      <c r="E625" s="7" t="str">
        <f aca="false">'Raw Data'!J625</f>
        <v>Normal</v>
      </c>
      <c r="F625" s="7" t="n">
        <f aca="false">'Raw Data'!K625</f>
        <v>196.2</v>
      </c>
      <c r="G625" s="7" t="str">
        <f aca="false">'Raw Data'!L625</f>
        <v>No</v>
      </c>
      <c r="H625" s="7" t="str">
        <f aca="false">'Raw Data'!M625</f>
        <v>High</v>
      </c>
      <c r="I625" s="7" t="n">
        <f aca="false">(IF(D625="Current",3,IF(D625="Former",1,0)))+(IF(E625="High",3,IF(E625="Normal",1,0)))+(IF(F625&gt;=240,2,IF(F625&gt;=200,1,0)))+(IF(G625="Yes",2,0))+(IF(H625="High",2,IF(H625="Moderate",1,0)))</f>
        <v>3</v>
      </c>
      <c r="J625" s="7" t="str">
        <f aca="false">IF(I625&gt;=8,"High",IF(I625&gt;=4,"Medium","Low"))</f>
        <v>Low</v>
      </c>
    </row>
    <row r="626" customFormat="false" ht="15" hidden="false" customHeight="true" outlineLevel="0" collapsed="false">
      <c r="A626" s="7" t="n">
        <f aca="false">'Raw Data'!A626</f>
        <v>1774</v>
      </c>
      <c r="B626" s="7" t="n">
        <f aca="false">'Raw Data'!B626</f>
        <v>80</v>
      </c>
      <c r="C626" s="7" t="str">
        <f aca="false">'Raw Data'!C626</f>
        <v>Male</v>
      </c>
      <c r="D626" s="7" t="str">
        <f aca="false">'Raw Data'!D626</f>
        <v>Never</v>
      </c>
      <c r="E626" s="7" t="str">
        <f aca="false">'Raw Data'!J626</f>
        <v>Normal</v>
      </c>
      <c r="F626" s="7" t="n">
        <f aca="false">'Raw Data'!K626</f>
        <v>173.1</v>
      </c>
      <c r="G626" s="7" t="str">
        <f aca="false">'Raw Data'!L626</f>
        <v>No</v>
      </c>
      <c r="H626" s="7" t="str">
        <f aca="false">'Raw Data'!M626</f>
        <v>High</v>
      </c>
      <c r="I626" s="7" t="n">
        <f aca="false">(IF(D626="Current",3,IF(D626="Former",1,0)))+(IF(E626="High",3,IF(E626="Normal",1,0)))+(IF(F626&gt;=240,2,IF(F626&gt;=200,1,0)))+(IF(G626="Yes",2,0))+(IF(H626="High",2,IF(H626="Moderate",1,0)))</f>
        <v>3</v>
      </c>
      <c r="J626" s="7" t="str">
        <f aca="false">IF(I626&gt;=8,"High",IF(I626&gt;=4,"Medium","Low"))</f>
        <v>Low</v>
      </c>
    </row>
    <row r="627" customFormat="false" ht="15" hidden="false" customHeight="true" outlineLevel="0" collapsed="false">
      <c r="A627" s="7" t="n">
        <f aca="false">'Raw Data'!A627</f>
        <v>1800</v>
      </c>
      <c r="B627" s="7" t="n">
        <f aca="false">'Raw Data'!B627</f>
        <v>24</v>
      </c>
      <c r="C627" s="7" t="str">
        <f aca="false">'Raw Data'!C627</f>
        <v>Female</v>
      </c>
      <c r="D627" s="7" t="str">
        <f aca="false">'Raw Data'!D627</f>
        <v>Never</v>
      </c>
      <c r="E627" s="7" t="str">
        <f aca="false">'Raw Data'!J627</f>
        <v>Normal</v>
      </c>
      <c r="F627" s="7" t="n">
        <f aca="false">'Raw Data'!K627</f>
        <v>134</v>
      </c>
      <c r="G627" s="7" t="str">
        <f aca="false">'Raw Data'!L627</f>
        <v>Yes</v>
      </c>
      <c r="H627" s="7" t="str">
        <f aca="false">'Raw Data'!M627</f>
        <v>High</v>
      </c>
      <c r="I627" s="7" t="n">
        <f aca="false">(IF(D627="Current",3,IF(D627="Former",1,0)))+(IF(E627="High",3,IF(E627="Normal",1,0)))+(IF(F627&gt;=240,2,IF(F627&gt;=200,1,0)))+(IF(G627="Yes",2,0))+(IF(H627="High",2,IF(H627="Moderate",1,0)))</f>
        <v>5</v>
      </c>
      <c r="J627" s="7" t="str">
        <f aca="false">IF(I627&gt;=8,"High",IF(I627&gt;=4,"Medium","Low"))</f>
        <v>Medium</v>
      </c>
    </row>
    <row r="628" customFormat="false" ht="15" hidden="false" customHeight="true" outlineLevel="0" collapsed="false">
      <c r="A628" s="7" t="n">
        <f aca="false">'Raw Data'!A628</f>
        <v>2020</v>
      </c>
      <c r="B628" s="7" t="n">
        <f aca="false">'Raw Data'!B628</f>
        <v>34</v>
      </c>
      <c r="C628" s="7" t="str">
        <f aca="false">'Raw Data'!C628</f>
        <v>Female</v>
      </c>
      <c r="D628" s="7" t="str">
        <f aca="false">'Raw Data'!D628</f>
        <v>Never</v>
      </c>
      <c r="E628" s="7" t="str">
        <f aca="false">'Raw Data'!J628</f>
        <v>Normal</v>
      </c>
      <c r="F628" s="7" t="n">
        <f aca="false">'Raw Data'!K628</f>
        <v>139</v>
      </c>
      <c r="G628" s="7" t="str">
        <f aca="false">'Raw Data'!L628</f>
        <v>No</v>
      </c>
      <c r="H628" s="7" t="str">
        <f aca="false">'Raw Data'!M628</f>
        <v>High</v>
      </c>
      <c r="I628" s="7" t="n">
        <f aca="false">(IF(D628="Current",3,IF(D628="Former",1,0)))+(IF(E628="High",3,IF(E628="Normal",1,0)))+(IF(F628&gt;=240,2,IF(F628&gt;=200,1,0)))+(IF(G628="Yes",2,0))+(IF(H628="High",2,IF(H628="Moderate",1,0)))</f>
        <v>3</v>
      </c>
      <c r="J628" s="7" t="str">
        <f aca="false">IF(I628&gt;=8,"High",IF(I628&gt;=4,"Medium","Low"))</f>
        <v>Low</v>
      </c>
    </row>
    <row r="629" customFormat="false" ht="15" hidden="false" customHeight="true" outlineLevel="0" collapsed="false">
      <c r="A629" s="7" t="n">
        <f aca="false">'Raw Data'!A629</f>
        <v>2052</v>
      </c>
      <c r="B629" s="7" t="n">
        <f aca="false">'Raw Data'!B629</f>
        <v>26</v>
      </c>
      <c r="C629" s="7" t="str">
        <f aca="false">'Raw Data'!C629</f>
        <v>Female</v>
      </c>
      <c r="D629" s="7" t="str">
        <f aca="false">'Raw Data'!D629</f>
        <v>Never</v>
      </c>
      <c r="E629" s="7" t="str">
        <f aca="false">'Raw Data'!J629</f>
        <v>Normal</v>
      </c>
      <c r="F629" s="7" t="n">
        <f aca="false">'Raw Data'!K629</f>
        <v>193.8</v>
      </c>
      <c r="G629" s="7" t="str">
        <f aca="false">'Raw Data'!L629</f>
        <v>No</v>
      </c>
      <c r="H629" s="7" t="str">
        <f aca="false">'Raw Data'!M629</f>
        <v>High</v>
      </c>
      <c r="I629" s="7" t="n">
        <f aca="false">(IF(D629="Current",3,IF(D629="Former",1,0)))+(IF(E629="High",3,IF(E629="Normal",1,0)))+(IF(F629&gt;=240,2,IF(F629&gt;=200,1,0)))+(IF(G629="Yes",2,0))+(IF(H629="High",2,IF(H629="Moderate",1,0)))</f>
        <v>3</v>
      </c>
      <c r="J629" s="7" t="str">
        <f aca="false">IF(I629&gt;=8,"High",IF(I629&gt;=4,"Medium","Low"))</f>
        <v>Low</v>
      </c>
    </row>
    <row r="630" customFormat="false" ht="15" hidden="false" customHeight="true" outlineLevel="0" collapsed="false">
      <c r="A630" s="7" t="n">
        <f aca="false">'Raw Data'!A630</f>
        <v>2070</v>
      </c>
      <c r="B630" s="7" t="n">
        <f aca="false">'Raw Data'!B630</f>
        <v>69</v>
      </c>
      <c r="C630" s="7" t="str">
        <f aca="false">'Raw Data'!C630</f>
        <v>Female</v>
      </c>
      <c r="D630" s="7" t="str">
        <f aca="false">'Raw Data'!D630</f>
        <v>Never</v>
      </c>
      <c r="E630" s="7" t="str">
        <f aca="false">'Raw Data'!J630</f>
        <v>Normal</v>
      </c>
      <c r="F630" s="7" t="n">
        <f aca="false">'Raw Data'!K630</f>
        <v>170.6</v>
      </c>
      <c r="G630" s="7" t="str">
        <f aca="false">'Raw Data'!L630</f>
        <v>No</v>
      </c>
      <c r="H630" s="7" t="str">
        <f aca="false">'Raw Data'!M630</f>
        <v>High</v>
      </c>
      <c r="I630" s="7" t="n">
        <f aca="false">(IF(D630="Current",3,IF(D630="Former",1,0)))+(IF(E630="High",3,IF(E630="Normal",1,0)))+(IF(F630&gt;=240,2,IF(F630&gt;=200,1,0)))+(IF(G630="Yes",2,0))+(IF(H630="High",2,IF(H630="Moderate",1,0)))</f>
        <v>3</v>
      </c>
      <c r="J630" s="7" t="str">
        <f aca="false">IF(I630&gt;=8,"High",IF(I630&gt;=4,"Medium","Low"))</f>
        <v>Low</v>
      </c>
    </row>
    <row r="631" customFormat="false" ht="15" hidden="false" customHeight="true" outlineLevel="0" collapsed="false">
      <c r="A631" s="7" t="n">
        <f aca="false">'Raw Data'!A631</f>
        <v>2092</v>
      </c>
      <c r="B631" s="7" t="n">
        <f aca="false">'Raw Data'!B631</f>
        <v>60</v>
      </c>
      <c r="C631" s="7" t="str">
        <f aca="false">'Raw Data'!C631</f>
        <v>Female</v>
      </c>
      <c r="D631" s="7" t="str">
        <f aca="false">'Raw Data'!D631</f>
        <v>Never</v>
      </c>
      <c r="E631" s="7" t="str">
        <f aca="false">'Raw Data'!J631</f>
        <v>Normal</v>
      </c>
      <c r="F631" s="7" t="n">
        <f aca="false">'Raw Data'!K631</f>
        <v>240</v>
      </c>
      <c r="G631" s="7" t="str">
        <f aca="false">'Raw Data'!L631</f>
        <v>No</v>
      </c>
      <c r="H631" s="7" t="str">
        <f aca="false">'Raw Data'!M631</f>
        <v>High</v>
      </c>
      <c r="I631" s="7" t="n">
        <f aca="false">(IF(D631="Current",3,IF(D631="Former",1,0)))+(IF(E631="High",3,IF(E631="Normal",1,0)))+(IF(F631&gt;=240,2,IF(F631&gt;=200,1,0)))+(IF(G631="Yes",2,0))+(IF(H631="High",2,IF(H631="Moderate",1,0)))</f>
        <v>5</v>
      </c>
      <c r="J631" s="7" t="str">
        <f aca="false">IF(I631&gt;=8,"High",IF(I631&gt;=4,"Medium","Low"))</f>
        <v>Medium</v>
      </c>
    </row>
    <row r="632" customFormat="false" ht="15" hidden="false" customHeight="true" outlineLevel="0" collapsed="false">
      <c r="A632" s="7" t="n">
        <f aca="false">'Raw Data'!A632</f>
        <v>2103</v>
      </c>
      <c r="B632" s="7" t="n">
        <f aca="false">'Raw Data'!B632</f>
        <v>19</v>
      </c>
      <c r="C632" s="7" t="str">
        <f aca="false">'Raw Data'!C632</f>
        <v>Female</v>
      </c>
      <c r="D632" s="7" t="str">
        <f aca="false">'Raw Data'!D632</f>
        <v>Never</v>
      </c>
      <c r="E632" s="7" t="str">
        <f aca="false">'Raw Data'!J632</f>
        <v>Normal</v>
      </c>
      <c r="F632" s="7" t="n">
        <f aca="false">'Raw Data'!K632</f>
        <v>247.3</v>
      </c>
      <c r="G632" s="7" t="str">
        <f aca="false">'Raw Data'!L632</f>
        <v>No</v>
      </c>
      <c r="H632" s="7" t="str">
        <f aca="false">'Raw Data'!M632</f>
        <v>High</v>
      </c>
      <c r="I632" s="7" t="n">
        <f aca="false">(IF(D632="Current",3,IF(D632="Former",1,0)))+(IF(E632="High",3,IF(E632="Normal",1,0)))+(IF(F632&gt;=240,2,IF(F632&gt;=200,1,0)))+(IF(G632="Yes",2,0))+(IF(H632="High",2,IF(H632="Moderate",1,0)))</f>
        <v>5</v>
      </c>
      <c r="J632" s="7" t="str">
        <f aca="false">IF(I632&gt;=8,"High",IF(I632&gt;=4,"Medium","Low"))</f>
        <v>Medium</v>
      </c>
    </row>
    <row r="633" customFormat="false" ht="15" hidden="false" customHeight="true" outlineLevel="0" collapsed="false">
      <c r="A633" s="7" t="n">
        <f aca="false">'Raw Data'!A633</f>
        <v>2116</v>
      </c>
      <c r="B633" s="7" t="n">
        <f aca="false">'Raw Data'!B633</f>
        <v>32</v>
      </c>
      <c r="C633" s="7" t="str">
        <f aca="false">'Raw Data'!C633</f>
        <v>Male</v>
      </c>
      <c r="D633" s="7" t="str">
        <f aca="false">'Raw Data'!D633</f>
        <v>Never</v>
      </c>
      <c r="E633" s="7" t="str">
        <f aca="false">'Raw Data'!J633</f>
        <v>Normal</v>
      </c>
      <c r="F633" s="7" t="n">
        <f aca="false">'Raw Data'!K633</f>
        <v>275.9</v>
      </c>
      <c r="G633" s="7" t="str">
        <f aca="false">'Raw Data'!L633</f>
        <v>No</v>
      </c>
      <c r="H633" s="7" t="str">
        <f aca="false">'Raw Data'!M633</f>
        <v>High</v>
      </c>
      <c r="I633" s="7" t="n">
        <f aca="false">(IF(D633="Current",3,IF(D633="Former",1,0)))+(IF(E633="High",3,IF(E633="Normal",1,0)))+(IF(F633&gt;=240,2,IF(F633&gt;=200,1,0)))+(IF(G633="Yes",2,0))+(IF(H633="High",2,IF(H633="Moderate",1,0)))</f>
        <v>5</v>
      </c>
      <c r="J633" s="7" t="str">
        <f aca="false">IF(I633&gt;=8,"High",IF(I633&gt;=4,"Medium","Low"))</f>
        <v>Medium</v>
      </c>
    </row>
    <row r="634" customFormat="false" ht="15" hidden="false" customHeight="true" outlineLevel="0" collapsed="false">
      <c r="A634" s="7" t="n">
        <f aca="false">'Raw Data'!A634</f>
        <v>2135</v>
      </c>
      <c r="B634" s="7" t="n">
        <f aca="false">'Raw Data'!B634</f>
        <v>20</v>
      </c>
      <c r="C634" s="7" t="str">
        <f aca="false">'Raw Data'!C634</f>
        <v>Female</v>
      </c>
      <c r="D634" s="7" t="str">
        <f aca="false">'Raw Data'!D634</f>
        <v>Never</v>
      </c>
      <c r="E634" s="7" t="str">
        <f aca="false">'Raw Data'!J634</f>
        <v>Normal</v>
      </c>
      <c r="F634" s="7" t="n">
        <f aca="false">'Raw Data'!K634</f>
        <v>279.8</v>
      </c>
      <c r="G634" s="7" t="str">
        <f aca="false">'Raw Data'!L634</f>
        <v>No</v>
      </c>
      <c r="H634" s="7" t="str">
        <f aca="false">'Raw Data'!M634</f>
        <v>High</v>
      </c>
      <c r="I634" s="7" t="n">
        <f aca="false">(IF(D634="Current",3,IF(D634="Former",1,0)))+(IF(E634="High",3,IF(E634="Normal",1,0)))+(IF(F634&gt;=240,2,IF(F634&gt;=200,1,0)))+(IF(G634="Yes",2,0))+(IF(H634="High",2,IF(H634="Moderate",1,0)))</f>
        <v>5</v>
      </c>
      <c r="J634" s="7" t="str">
        <f aca="false">IF(I634&gt;=8,"High",IF(I634&gt;=4,"Medium","Low"))</f>
        <v>Medium</v>
      </c>
    </row>
    <row r="635" customFormat="false" ht="15" hidden="false" customHeight="true" outlineLevel="0" collapsed="false">
      <c r="A635" s="7" t="n">
        <f aca="false">'Raw Data'!A635</f>
        <v>2165</v>
      </c>
      <c r="B635" s="7" t="n">
        <f aca="false">'Raw Data'!B635</f>
        <v>48</v>
      </c>
      <c r="C635" s="7" t="str">
        <f aca="false">'Raw Data'!C635</f>
        <v>Female</v>
      </c>
      <c r="D635" s="7" t="str">
        <f aca="false">'Raw Data'!D635</f>
        <v>Never</v>
      </c>
      <c r="E635" s="7" t="str">
        <f aca="false">'Raw Data'!J635</f>
        <v>Normal</v>
      </c>
      <c r="F635" s="7" t="n">
        <f aca="false">'Raw Data'!K635</f>
        <v>170.5</v>
      </c>
      <c r="G635" s="7" t="str">
        <f aca="false">'Raw Data'!L635</f>
        <v>No</v>
      </c>
      <c r="H635" s="7" t="str">
        <f aca="false">'Raw Data'!M635</f>
        <v>High</v>
      </c>
      <c r="I635" s="7" t="n">
        <f aca="false">(IF(D635="Current",3,IF(D635="Former",1,0)))+(IF(E635="High",3,IF(E635="Normal",1,0)))+(IF(F635&gt;=240,2,IF(F635&gt;=200,1,0)))+(IF(G635="Yes",2,0))+(IF(H635="High",2,IF(H635="Moderate",1,0)))</f>
        <v>3</v>
      </c>
      <c r="J635" s="7" t="str">
        <f aca="false">IF(I635&gt;=8,"High",IF(I635&gt;=4,"Medium","Low"))</f>
        <v>Low</v>
      </c>
    </row>
    <row r="636" customFormat="false" ht="15" hidden="false" customHeight="true" outlineLevel="0" collapsed="false">
      <c r="A636" s="7" t="n">
        <f aca="false">'Raw Data'!A636</f>
        <v>2204</v>
      </c>
      <c r="B636" s="7" t="n">
        <f aca="false">'Raw Data'!B636</f>
        <v>76</v>
      </c>
      <c r="C636" s="7" t="str">
        <f aca="false">'Raw Data'!C636</f>
        <v>Male</v>
      </c>
      <c r="D636" s="7" t="str">
        <f aca="false">'Raw Data'!D636</f>
        <v>Never</v>
      </c>
      <c r="E636" s="7" t="str">
        <f aca="false">'Raw Data'!J636</f>
        <v>Normal</v>
      </c>
      <c r="F636" s="7" t="n">
        <f aca="false">'Raw Data'!K636</f>
        <v>228.8</v>
      </c>
      <c r="G636" s="7" t="str">
        <f aca="false">'Raw Data'!L636</f>
        <v>Yes</v>
      </c>
      <c r="H636" s="7" t="str">
        <f aca="false">'Raw Data'!M636</f>
        <v>High</v>
      </c>
      <c r="I636" s="7" t="n">
        <f aca="false">(IF(D636="Current",3,IF(D636="Former",1,0)))+(IF(E636="High",3,IF(E636="Normal",1,0)))+(IF(F636&gt;=240,2,IF(F636&gt;=200,1,0)))+(IF(G636="Yes",2,0))+(IF(H636="High",2,IF(H636="Moderate",1,0)))</f>
        <v>6</v>
      </c>
      <c r="J636" s="7" t="str">
        <f aca="false">IF(I636&gt;=8,"High",IF(I636&gt;=4,"Medium","Low"))</f>
        <v>Medium</v>
      </c>
    </row>
    <row r="637" customFormat="false" ht="15" hidden="false" customHeight="true" outlineLevel="0" collapsed="false">
      <c r="A637" s="7" t="n">
        <f aca="false">'Raw Data'!A637</f>
        <v>2253</v>
      </c>
      <c r="B637" s="7" t="n">
        <f aca="false">'Raw Data'!B637</f>
        <v>49</v>
      </c>
      <c r="C637" s="7" t="str">
        <f aca="false">'Raw Data'!C637</f>
        <v>Female</v>
      </c>
      <c r="D637" s="7" t="str">
        <f aca="false">'Raw Data'!D637</f>
        <v>Never</v>
      </c>
      <c r="E637" s="7" t="str">
        <f aca="false">'Raw Data'!J637</f>
        <v>Normal</v>
      </c>
      <c r="F637" s="7" t="n">
        <f aca="false">'Raw Data'!K637</f>
        <v>180</v>
      </c>
      <c r="G637" s="7" t="str">
        <f aca="false">'Raw Data'!L637</f>
        <v>No</v>
      </c>
      <c r="H637" s="7" t="str">
        <f aca="false">'Raw Data'!M637</f>
        <v>High</v>
      </c>
      <c r="I637" s="7" t="n">
        <f aca="false">(IF(D637="Current",3,IF(D637="Former",1,0)))+(IF(E637="High",3,IF(E637="Normal",1,0)))+(IF(F637&gt;=240,2,IF(F637&gt;=200,1,0)))+(IF(G637="Yes",2,0))+(IF(H637="High",2,IF(H637="Moderate",1,0)))</f>
        <v>3</v>
      </c>
      <c r="J637" s="7" t="str">
        <f aca="false">IF(I637&gt;=8,"High",IF(I637&gt;=4,"Medium","Low"))</f>
        <v>Low</v>
      </c>
    </row>
    <row r="638" customFormat="false" ht="15" hidden="false" customHeight="true" outlineLevel="0" collapsed="false">
      <c r="A638" s="7" t="n">
        <f aca="false">'Raw Data'!A638</f>
        <v>2268</v>
      </c>
      <c r="B638" s="7" t="n">
        <f aca="false">'Raw Data'!B638</f>
        <v>75</v>
      </c>
      <c r="C638" s="7" t="str">
        <f aca="false">'Raw Data'!C638</f>
        <v>Male</v>
      </c>
      <c r="D638" s="7" t="str">
        <f aca="false">'Raw Data'!D638</f>
        <v>Never</v>
      </c>
      <c r="E638" s="7" t="str">
        <f aca="false">'Raw Data'!J638</f>
        <v>Normal</v>
      </c>
      <c r="F638" s="7" t="n">
        <f aca="false">'Raw Data'!K638</f>
        <v>281.2</v>
      </c>
      <c r="G638" s="7" t="str">
        <f aca="false">'Raw Data'!L638</f>
        <v>Yes</v>
      </c>
      <c r="H638" s="7" t="str">
        <f aca="false">'Raw Data'!M638</f>
        <v>High</v>
      </c>
      <c r="I638" s="7" t="n">
        <f aca="false">(IF(D638="Current",3,IF(D638="Former",1,0)))+(IF(E638="High",3,IF(E638="Normal",1,0)))+(IF(F638&gt;=240,2,IF(F638&gt;=200,1,0)))+(IF(G638="Yes",2,0))+(IF(H638="High",2,IF(H638="Moderate",1,0)))</f>
        <v>7</v>
      </c>
      <c r="J638" s="7" t="str">
        <f aca="false">IF(I638&gt;=8,"High",IF(I638&gt;=4,"Medium","Low"))</f>
        <v>Medium</v>
      </c>
    </row>
    <row r="639" customFormat="false" ht="15" hidden="false" customHeight="true" outlineLevel="0" collapsed="false">
      <c r="A639" s="7" t="n">
        <f aca="false">'Raw Data'!A639</f>
        <v>2433</v>
      </c>
      <c r="B639" s="7" t="n">
        <f aca="false">'Raw Data'!B639</f>
        <v>61</v>
      </c>
      <c r="C639" s="7" t="str">
        <f aca="false">'Raw Data'!C639</f>
        <v>Female</v>
      </c>
      <c r="D639" s="7" t="str">
        <f aca="false">'Raw Data'!D639</f>
        <v>Never</v>
      </c>
      <c r="E639" s="7" t="str">
        <f aca="false">'Raw Data'!J639</f>
        <v>Normal</v>
      </c>
      <c r="F639" s="7" t="n">
        <f aca="false">'Raw Data'!K639</f>
        <v>289</v>
      </c>
      <c r="G639" s="7" t="str">
        <f aca="false">'Raw Data'!L639</f>
        <v>Yes</v>
      </c>
      <c r="H639" s="7" t="str">
        <f aca="false">'Raw Data'!M639</f>
        <v>High</v>
      </c>
      <c r="I639" s="7" t="n">
        <f aca="false">(IF(D639="Current",3,IF(D639="Former",1,0)))+(IF(E639="High",3,IF(E639="Normal",1,0)))+(IF(F639&gt;=240,2,IF(F639&gt;=200,1,0)))+(IF(G639="Yes",2,0))+(IF(H639="High",2,IF(H639="Moderate",1,0)))</f>
        <v>7</v>
      </c>
      <c r="J639" s="7" t="str">
        <f aca="false">IF(I639&gt;=8,"High",IF(I639&gt;=4,"Medium","Low"))</f>
        <v>Medium</v>
      </c>
    </row>
    <row r="640" customFormat="false" ht="15" hidden="false" customHeight="true" outlineLevel="0" collapsed="false">
      <c r="A640" s="7" t="n">
        <f aca="false">'Raw Data'!A640</f>
        <v>2437</v>
      </c>
      <c r="B640" s="7" t="n">
        <f aca="false">'Raw Data'!B640</f>
        <v>55</v>
      </c>
      <c r="C640" s="7" t="str">
        <f aca="false">'Raw Data'!C640</f>
        <v>Male</v>
      </c>
      <c r="D640" s="7" t="str">
        <f aca="false">'Raw Data'!D640</f>
        <v>Never</v>
      </c>
      <c r="E640" s="7" t="str">
        <f aca="false">'Raw Data'!J640</f>
        <v>Normal</v>
      </c>
      <c r="F640" s="7" t="n">
        <f aca="false">'Raw Data'!K640</f>
        <v>128.1</v>
      </c>
      <c r="G640" s="7" t="str">
        <f aca="false">'Raw Data'!L640</f>
        <v>No</v>
      </c>
      <c r="H640" s="7" t="str">
        <f aca="false">'Raw Data'!M640</f>
        <v>High</v>
      </c>
      <c r="I640" s="7" t="n">
        <f aca="false">(IF(D640="Current",3,IF(D640="Former",1,0)))+(IF(E640="High",3,IF(E640="Normal",1,0)))+(IF(F640&gt;=240,2,IF(F640&gt;=200,1,0)))+(IF(G640="Yes",2,0))+(IF(H640="High",2,IF(H640="Moderate",1,0)))</f>
        <v>3</v>
      </c>
      <c r="J640" s="7" t="str">
        <f aca="false">IF(I640&gt;=8,"High",IF(I640&gt;=4,"Medium","Low"))</f>
        <v>Low</v>
      </c>
    </row>
    <row r="641" customFormat="false" ht="15" hidden="false" customHeight="true" outlineLevel="0" collapsed="false">
      <c r="A641" s="7" t="n">
        <f aca="false">'Raw Data'!A641</f>
        <v>2482</v>
      </c>
      <c r="B641" s="7" t="n">
        <f aca="false">'Raw Data'!B641</f>
        <v>25</v>
      </c>
      <c r="C641" s="7" t="str">
        <f aca="false">'Raw Data'!C641</f>
        <v>Male</v>
      </c>
      <c r="D641" s="7" t="str">
        <f aca="false">'Raw Data'!D641</f>
        <v>Never</v>
      </c>
      <c r="E641" s="7" t="str">
        <f aca="false">'Raw Data'!J641</f>
        <v>Normal</v>
      </c>
      <c r="F641" s="7" t="n">
        <f aca="false">'Raw Data'!K641</f>
        <v>257.9</v>
      </c>
      <c r="G641" s="7" t="str">
        <f aca="false">'Raw Data'!L641</f>
        <v>No</v>
      </c>
      <c r="H641" s="7" t="str">
        <f aca="false">'Raw Data'!M641</f>
        <v>High</v>
      </c>
      <c r="I641" s="7" t="n">
        <f aca="false">(IF(D641="Current",3,IF(D641="Former",1,0)))+(IF(E641="High",3,IF(E641="Normal",1,0)))+(IF(F641&gt;=240,2,IF(F641&gt;=200,1,0)))+(IF(G641="Yes",2,0))+(IF(H641="High",2,IF(H641="Moderate",1,0)))</f>
        <v>5</v>
      </c>
      <c r="J641" s="7" t="str">
        <f aca="false">IF(I641&gt;=8,"High",IF(I641&gt;=4,"Medium","Low"))</f>
        <v>Medium</v>
      </c>
    </row>
    <row r="642" customFormat="false" ht="15" hidden="false" customHeight="true" outlineLevel="0" collapsed="false">
      <c r="A642" s="7" t="n">
        <f aca="false">'Raw Data'!A642</f>
        <v>61</v>
      </c>
      <c r="B642" s="7" t="n">
        <f aca="false">'Raw Data'!B642</f>
        <v>51</v>
      </c>
      <c r="C642" s="7" t="str">
        <f aca="false">'Raw Data'!C642</f>
        <v>Male</v>
      </c>
      <c r="D642" s="7" t="str">
        <f aca="false">'Raw Data'!D642</f>
        <v>Never</v>
      </c>
      <c r="E642" s="7" t="str">
        <f aca="false">'Raw Data'!J642</f>
        <v>High</v>
      </c>
      <c r="F642" s="7" t="n">
        <f aca="false">'Raw Data'!K642</f>
        <v>233</v>
      </c>
      <c r="G642" s="7" t="str">
        <f aca="false">'Raw Data'!L642</f>
        <v>Yes</v>
      </c>
      <c r="H642" s="7" t="str">
        <f aca="false">'Raw Data'!M642</f>
        <v>High</v>
      </c>
      <c r="I642" s="7" t="n">
        <f aca="false">(IF(D642="Current",3,IF(D642="Former",1,0)))+(IF(E642="High",3,IF(E642="Normal",1,0)))+(IF(F642&gt;=240,2,IF(F642&gt;=200,1,0)))+(IF(G642="Yes",2,0))+(IF(H642="High",2,IF(H642="Moderate",1,0)))</f>
        <v>8</v>
      </c>
      <c r="J642" s="7" t="str">
        <f aca="false">IF(I642&gt;=8,"High",IF(I642&gt;=4,"Medium","Low"))</f>
        <v>High</v>
      </c>
    </row>
    <row r="643" customFormat="false" ht="15" hidden="false" customHeight="true" outlineLevel="0" collapsed="false">
      <c r="A643" s="7" t="n">
        <f aca="false">'Raw Data'!A643</f>
        <v>81</v>
      </c>
      <c r="B643" s="7" t="n">
        <f aca="false">'Raw Data'!B643</f>
        <v>26</v>
      </c>
      <c r="C643" s="7" t="str">
        <f aca="false">'Raw Data'!C643</f>
        <v>Female</v>
      </c>
      <c r="D643" s="7" t="str">
        <f aca="false">'Raw Data'!D643</f>
        <v>Never</v>
      </c>
      <c r="E643" s="7" t="str">
        <f aca="false">'Raw Data'!J643</f>
        <v>High</v>
      </c>
      <c r="F643" s="7" t="n">
        <f aca="false">'Raw Data'!K643</f>
        <v>201.2</v>
      </c>
      <c r="G643" s="7" t="str">
        <f aca="false">'Raw Data'!L643</f>
        <v>Yes</v>
      </c>
      <c r="H643" s="7" t="str">
        <f aca="false">'Raw Data'!M643</f>
        <v>High</v>
      </c>
      <c r="I643" s="7" t="n">
        <f aca="false">(IF(D643="Current",3,IF(D643="Former",1,0)))+(IF(E643="High",3,IF(E643="Normal",1,0)))+(IF(F643&gt;=240,2,IF(F643&gt;=200,1,0)))+(IF(G643="Yes",2,0))+(IF(H643="High",2,IF(H643="Moderate",1,0)))</f>
        <v>8</v>
      </c>
      <c r="J643" s="7" t="str">
        <f aca="false">IF(I643&gt;=8,"High",IF(I643&gt;=4,"Medium","Low"))</f>
        <v>High</v>
      </c>
    </row>
    <row r="644" customFormat="false" ht="15" hidden="false" customHeight="true" outlineLevel="0" collapsed="false">
      <c r="A644" s="7" t="n">
        <f aca="false">'Raw Data'!A644</f>
        <v>122</v>
      </c>
      <c r="B644" s="7" t="n">
        <f aca="false">'Raw Data'!B644</f>
        <v>19</v>
      </c>
      <c r="C644" s="7" t="str">
        <f aca="false">'Raw Data'!C644</f>
        <v>Male</v>
      </c>
      <c r="D644" s="7" t="str">
        <f aca="false">'Raw Data'!D644</f>
        <v>Never</v>
      </c>
      <c r="E644" s="7" t="str">
        <f aca="false">'Raw Data'!J644</f>
        <v>High</v>
      </c>
      <c r="F644" s="7" t="n">
        <f aca="false">'Raw Data'!K644</f>
        <v>147.2</v>
      </c>
      <c r="G644" s="7" t="str">
        <f aca="false">'Raw Data'!L644</f>
        <v>No</v>
      </c>
      <c r="H644" s="7" t="str">
        <f aca="false">'Raw Data'!M644</f>
        <v>High</v>
      </c>
      <c r="I644" s="7" t="n">
        <f aca="false">(IF(D644="Current",3,IF(D644="Former",1,0)))+(IF(E644="High",3,IF(E644="Normal",1,0)))+(IF(F644&gt;=240,2,IF(F644&gt;=200,1,0)))+(IF(G644="Yes",2,0))+(IF(H644="High",2,IF(H644="Moderate",1,0)))</f>
        <v>5</v>
      </c>
      <c r="J644" s="7" t="str">
        <f aca="false">IF(I644&gt;=8,"High",IF(I644&gt;=4,"Medium","Low"))</f>
        <v>Medium</v>
      </c>
    </row>
    <row r="645" customFormat="false" ht="15" hidden="false" customHeight="true" outlineLevel="0" collapsed="false">
      <c r="A645" s="7" t="n">
        <f aca="false">'Raw Data'!A645</f>
        <v>208</v>
      </c>
      <c r="B645" s="7" t="n">
        <f aca="false">'Raw Data'!B645</f>
        <v>80</v>
      </c>
      <c r="C645" s="7" t="str">
        <f aca="false">'Raw Data'!C645</f>
        <v>Male</v>
      </c>
      <c r="D645" s="7" t="str">
        <f aca="false">'Raw Data'!D645</f>
        <v>Never</v>
      </c>
      <c r="E645" s="7" t="str">
        <f aca="false">'Raw Data'!J645</f>
        <v>High</v>
      </c>
      <c r="F645" s="7" t="n">
        <f aca="false">'Raw Data'!K645</f>
        <v>213.5</v>
      </c>
      <c r="G645" s="7" t="str">
        <f aca="false">'Raw Data'!L645</f>
        <v>Yes</v>
      </c>
      <c r="H645" s="7" t="str">
        <f aca="false">'Raw Data'!M645</f>
        <v>High</v>
      </c>
      <c r="I645" s="7" t="n">
        <f aca="false">(IF(D645="Current",3,IF(D645="Former",1,0)))+(IF(E645="High",3,IF(E645="Normal",1,0)))+(IF(F645&gt;=240,2,IF(F645&gt;=200,1,0)))+(IF(G645="Yes",2,0))+(IF(H645="High",2,IF(H645="Moderate",1,0)))</f>
        <v>8</v>
      </c>
      <c r="J645" s="7" t="str">
        <f aca="false">IF(I645&gt;=8,"High",IF(I645&gt;=4,"Medium","Low"))</f>
        <v>High</v>
      </c>
    </row>
    <row r="646" customFormat="false" ht="15" hidden="false" customHeight="true" outlineLevel="0" collapsed="false">
      <c r="A646" s="7" t="n">
        <f aca="false">'Raw Data'!A646</f>
        <v>210</v>
      </c>
      <c r="B646" s="7" t="n">
        <f aca="false">'Raw Data'!B646</f>
        <v>59</v>
      </c>
      <c r="C646" s="7" t="str">
        <f aca="false">'Raw Data'!C646</f>
        <v>Female</v>
      </c>
      <c r="D646" s="7" t="str">
        <f aca="false">'Raw Data'!D646</f>
        <v>Never</v>
      </c>
      <c r="E646" s="7" t="str">
        <f aca="false">'Raw Data'!J646</f>
        <v>High</v>
      </c>
      <c r="F646" s="7" t="n">
        <f aca="false">'Raw Data'!K646</f>
        <v>188.5</v>
      </c>
      <c r="G646" s="7" t="str">
        <f aca="false">'Raw Data'!L646</f>
        <v>No</v>
      </c>
      <c r="H646" s="7" t="str">
        <f aca="false">'Raw Data'!M646</f>
        <v>High</v>
      </c>
      <c r="I646" s="7" t="n">
        <f aca="false">(IF(D646="Current",3,IF(D646="Former",1,0)))+(IF(E646="High",3,IF(E646="Normal",1,0)))+(IF(F646&gt;=240,2,IF(F646&gt;=200,1,0)))+(IF(G646="Yes",2,0))+(IF(H646="High",2,IF(H646="Moderate",1,0)))</f>
        <v>5</v>
      </c>
      <c r="J646" s="7" t="str">
        <f aca="false">IF(I646&gt;=8,"High",IF(I646&gt;=4,"Medium","Low"))</f>
        <v>Medium</v>
      </c>
    </row>
    <row r="647" customFormat="false" ht="15" hidden="false" customHeight="true" outlineLevel="0" collapsed="false">
      <c r="A647" s="7" t="n">
        <f aca="false">'Raw Data'!A647</f>
        <v>264</v>
      </c>
      <c r="B647" s="7" t="n">
        <f aca="false">'Raw Data'!B647</f>
        <v>86</v>
      </c>
      <c r="C647" s="7" t="str">
        <f aca="false">'Raw Data'!C647</f>
        <v>Female</v>
      </c>
      <c r="D647" s="7" t="str">
        <f aca="false">'Raw Data'!D647</f>
        <v>Never</v>
      </c>
      <c r="E647" s="7" t="str">
        <f aca="false">'Raw Data'!J647</f>
        <v>High</v>
      </c>
      <c r="F647" s="7" t="n">
        <f aca="false">'Raw Data'!K647</f>
        <v>143.4</v>
      </c>
      <c r="G647" s="7" t="str">
        <f aca="false">'Raw Data'!L647</f>
        <v>No</v>
      </c>
      <c r="H647" s="7" t="str">
        <f aca="false">'Raw Data'!M647</f>
        <v>High</v>
      </c>
      <c r="I647" s="7" t="n">
        <f aca="false">(IF(D647="Current",3,IF(D647="Former",1,0)))+(IF(E647="High",3,IF(E647="Normal",1,0)))+(IF(F647&gt;=240,2,IF(F647&gt;=200,1,0)))+(IF(G647="Yes",2,0))+(IF(H647="High",2,IF(H647="Moderate",1,0)))</f>
        <v>5</v>
      </c>
      <c r="J647" s="7" t="str">
        <f aca="false">IF(I647&gt;=8,"High",IF(I647&gt;=4,"Medium","Low"))</f>
        <v>Medium</v>
      </c>
    </row>
    <row r="648" customFormat="false" ht="15" hidden="false" customHeight="true" outlineLevel="0" collapsed="false">
      <c r="A648" s="7" t="n">
        <f aca="false">'Raw Data'!A648</f>
        <v>282</v>
      </c>
      <c r="B648" s="7" t="n">
        <f aca="false">'Raw Data'!B648</f>
        <v>36</v>
      </c>
      <c r="C648" s="7" t="str">
        <f aca="false">'Raw Data'!C648</f>
        <v>Male</v>
      </c>
      <c r="D648" s="7" t="str">
        <f aca="false">'Raw Data'!D648</f>
        <v>Never</v>
      </c>
      <c r="E648" s="7" t="str">
        <f aca="false">'Raw Data'!J648</f>
        <v>High</v>
      </c>
      <c r="F648" s="7" t="n">
        <f aca="false">'Raw Data'!K648</f>
        <v>283.4</v>
      </c>
      <c r="G648" s="7" t="str">
        <f aca="false">'Raw Data'!L648</f>
        <v>No</v>
      </c>
      <c r="H648" s="7" t="str">
        <f aca="false">'Raw Data'!M648</f>
        <v>High</v>
      </c>
      <c r="I648" s="7" t="n">
        <f aca="false">(IF(D648="Current",3,IF(D648="Former",1,0)))+(IF(E648="High",3,IF(E648="Normal",1,0)))+(IF(F648&gt;=240,2,IF(F648&gt;=200,1,0)))+(IF(G648="Yes",2,0))+(IF(H648="High",2,IF(H648="Moderate",1,0)))</f>
        <v>7</v>
      </c>
      <c r="J648" s="7" t="str">
        <f aca="false">IF(I648&gt;=8,"High",IF(I648&gt;=4,"Medium","Low"))</f>
        <v>Medium</v>
      </c>
    </row>
    <row r="649" customFormat="false" ht="15" hidden="false" customHeight="true" outlineLevel="0" collapsed="false">
      <c r="A649" s="7" t="n">
        <f aca="false">'Raw Data'!A649</f>
        <v>328</v>
      </c>
      <c r="B649" s="7" t="n">
        <f aca="false">'Raw Data'!B649</f>
        <v>66</v>
      </c>
      <c r="C649" s="7" t="str">
        <f aca="false">'Raw Data'!C649</f>
        <v>Male</v>
      </c>
      <c r="D649" s="7" t="str">
        <f aca="false">'Raw Data'!D649</f>
        <v>Never</v>
      </c>
      <c r="E649" s="7" t="str">
        <f aca="false">'Raw Data'!J649</f>
        <v>High</v>
      </c>
      <c r="F649" s="7" t="n">
        <f aca="false">'Raw Data'!K649</f>
        <v>241.2</v>
      </c>
      <c r="G649" s="7" t="str">
        <f aca="false">'Raw Data'!L649</f>
        <v>No</v>
      </c>
      <c r="H649" s="7" t="str">
        <f aca="false">'Raw Data'!M649</f>
        <v>High</v>
      </c>
      <c r="I649" s="7" t="n">
        <f aca="false">(IF(D649="Current",3,IF(D649="Former",1,0)))+(IF(E649="High",3,IF(E649="Normal",1,0)))+(IF(F649&gt;=240,2,IF(F649&gt;=200,1,0)))+(IF(G649="Yes",2,0))+(IF(H649="High",2,IF(H649="Moderate",1,0)))</f>
        <v>7</v>
      </c>
      <c r="J649" s="7" t="str">
        <f aca="false">IF(I649&gt;=8,"High",IF(I649&gt;=4,"Medium","Low"))</f>
        <v>Medium</v>
      </c>
    </row>
    <row r="650" customFormat="false" ht="15" hidden="false" customHeight="true" outlineLevel="0" collapsed="false">
      <c r="A650" s="7" t="n">
        <f aca="false">'Raw Data'!A650</f>
        <v>350</v>
      </c>
      <c r="B650" s="7" t="n">
        <f aca="false">'Raw Data'!B650</f>
        <v>57</v>
      </c>
      <c r="C650" s="7" t="str">
        <f aca="false">'Raw Data'!C650</f>
        <v>Female</v>
      </c>
      <c r="D650" s="7" t="str">
        <f aca="false">'Raw Data'!D650</f>
        <v>Never</v>
      </c>
      <c r="E650" s="7" t="str">
        <f aca="false">'Raw Data'!J650</f>
        <v>High</v>
      </c>
      <c r="F650" s="7" t="n">
        <f aca="false">'Raw Data'!K650</f>
        <v>238.6</v>
      </c>
      <c r="G650" s="7" t="str">
        <f aca="false">'Raw Data'!L650</f>
        <v>Yes</v>
      </c>
      <c r="H650" s="7" t="str">
        <f aca="false">'Raw Data'!M650</f>
        <v>High</v>
      </c>
      <c r="I650" s="7" t="n">
        <f aca="false">(IF(D650="Current",3,IF(D650="Former",1,0)))+(IF(E650="High",3,IF(E650="Normal",1,0)))+(IF(F650&gt;=240,2,IF(F650&gt;=200,1,0)))+(IF(G650="Yes",2,0))+(IF(H650="High",2,IF(H650="Moderate",1,0)))</f>
        <v>8</v>
      </c>
      <c r="J650" s="7" t="str">
        <f aca="false">IF(I650&gt;=8,"High",IF(I650&gt;=4,"Medium","Low"))</f>
        <v>High</v>
      </c>
    </row>
    <row r="651" customFormat="false" ht="15" hidden="false" customHeight="true" outlineLevel="0" collapsed="false">
      <c r="A651" s="7" t="n">
        <f aca="false">'Raw Data'!A651</f>
        <v>628</v>
      </c>
      <c r="B651" s="7" t="n">
        <f aca="false">'Raw Data'!B651</f>
        <v>85</v>
      </c>
      <c r="C651" s="7" t="str">
        <f aca="false">'Raw Data'!C651</f>
        <v>Male</v>
      </c>
      <c r="D651" s="7" t="str">
        <f aca="false">'Raw Data'!D651</f>
        <v>Never</v>
      </c>
      <c r="E651" s="7" t="str">
        <f aca="false">'Raw Data'!J651</f>
        <v>High</v>
      </c>
      <c r="F651" s="7" t="n">
        <f aca="false">'Raw Data'!K651</f>
        <v>158.8</v>
      </c>
      <c r="G651" s="7" t="str">
        <f aca="false">'Raw Data'!L651</f>
        <v>Yes</v>
      </c>
      <c r="H651" s="7" t="str">
        <f aca="false">'Raw Data'!M651</f>
        <v>High</v>
      </c>
      <c r="I651" s="7" t="n">
        <f aca="false">(IF(D651="Current",3,IF(D651="Former",1,0)))+(IF(E651="High",3,IF(E651="Normal",1,0)))+(IF(F651&gt;=240,2,IF(F651&gt;=200,1,0)))+(IF(G651="Yes",2,0))+(IF(H651="High",2,IF(H651="Moderate",1,0)))</f>
        <v>7</v>
      </c>
      <c r="J651" s="7" t="str">
        <f aca="false">IF(I651&gt;=8,"High",IF(I651&gt;=4,"Medium","Low"))</f>
        <v>Medium</v>
      </c>
    </row>
    <row r="652" customFormat="false" ht="15" hidden="false" customHeight="true" outlineLevel="0" collapsed="false">
      <c r="A652" s="7" t="n">
        <f aca="false">'Raw Data'!A652</f>
        <v>722</v>
      </c>
      <c r="B652" s="7" t="n">
        <f aca="false">'Raw Data'!B652</f>
        <v>66</v>
      </c>
      <c r="C652" s="7" t="str">
        <f aca="false">'Raw Data'!C652</f>
        <v>Female</v>
      </c>
      <c r="D652" s="7" t="str">
        <f aca="false">'Raw Data'!D652</f>
        <v>Never</v>
      </c>
      <c r="E652" s="7" t="str">
        <f aca="false">'Raw Data'!J652</f>
        <v>High</v>
      </c>
      <c r="F652" s="7" t="n">
        <f aca="false">'Raw Data'!K652</f>
        <v>256.4</v>
      </c>
      <c r="G652" s="7" t="str">
        <f aca="false">'Raw Data'!L652</f>
        <v>No</v>
      </c>
      <c r="H652" s="7" t="str">
        <f aca="false">'Raw Data'!M652</f>
        <v>High</v>
      </c>
      <c r="I652" s="7" t="n">
        <f aca="false">(IF(D652="Current",3,IF(D652="Former",1,0)))+(IF(E652="High",3,IF(E652="Normal",1,0)))+(IF(F652&gt;=240,2,IF(F652&gt;=200,1,0)))+(IF(G652="Yes",2,0))+(IF(H652="High",2,IF(H652="Moderate",1,0)))</f>
        <v>7</v>
      </c>
      <c r="J652" s="7" t="str">
        <f aca="false">IF(I652&gt;=8,"High",IF(I652&gt;=4,"Medium","Low"))</f>
        <v>Medium</v>
      </c>
    </row>
    <row r="653" customFormat="false" ht="15" hidden="false" customHeight="true" outlineLevel="0" collapsed="false">
      <c r="A653" s="7" t="n">
        <f aca="false">'Raw Data'!A653</f>
        <v>739</v>
      </c>
      <c r="B653" s="7" t="n">
        <f aca="false">'Raw Data'!B653</f>
        <v>52</v>
      </c>
      <c r="C653" s="7" t="str">
        <f aca="false">'Raw Data'!C653</f>
        <v>Female</v>
      </c>
      <c r="D653" s="7" t="str">
        <f aca="false">'Raw Data'!D653</f>
        <v>Never</v>
      </c>
      <c r="E653" s="7" t="str">
        <f aca="false">'Raw Data'!J653</f>
        <v>High</v>
      </c>
      <c r="F653" s="7" t="n">
        <f aca="false">'Raw Data'!K653</f>
        <v>290.2</v>
      </c>
      <c r="G653" s="7" t="str">
        <f aca="false">'Raw Data'!L653</f>
        <v>Yes</v>
      </c>
      <c r="H653" s="7" t="str">
        <f aca="false">'Raw Data'!M653</f>
        <v>High</v>
      </c>
      <c r="I653" s="7" t="n">
        <f aca="false">(IF(D653="Current",3,IF(D653="Former",1,0)))+(IF(E653="High",3,IF(E653="Normal",1,0)))+(IF(F653&gt;=240,2,IF(F653&gt;=200,1,0)))+(IF(G653="Yes",2,0))+(IF(H653="High",2,IF(H653="Moderate",1,0)))</f>
        <v>9</v>
      </c>
      <c r="J653" s="7" t="str">
        <f aca="false">IF(I653&gt;=8,"High",IF(I653&gt;=4,"Medium","Low"))</f>
        <v>High</v>
      </c>
    </row>
    <row r="654" customFormat="false" ht="15" hidden="false" customHeight="true" outlineLevel="0" collapsed="false">
      <c r="A654" s="7" t="n">
        <f aca="false">'Raw Data'!A654</f>
        <v>758</v>
      </c>
      <c r="B654" s="7" t="n">
        <f aca="false">'Raw Data'!B654</f>
        <v>59</v>
      </c>
      <c r="C654" s="7" t="str">
        <f aca="false">'Raw Data'!C654</f>
        <v>Male</v>
      </c>
      <c r="D654" s="7" t="str">
        <f aca="false">'Raw Data'!D654</f>
        <v>Never</v>
      </c>
      <c r="E654" s="7" t="str">
        <f aca="false">'Raw Data'!J654</f>
        <v>High</v>
      </c>
      <c r="F654" s="7" t="n">
        <f aca="false">'Raw Data'!K654</f>
        <v>195.2</v>
      </c>
      <c r="G654" s="7" t="str">
        <f aca="false">'Raw Data'!L654</f>
        <v>No</v>
      </c>
      <c r="H654" s="7" t="str">
        <f aca="false">'Raw Data'!M654</f>
        <v>High</v>
      </c>
      <c r="I654" s="7" t="n">
        <f aca="false">(IF(D654="Current",3,IF(D654="Former",1,0)))+(IF(E654="High",3,IF(E654="Normal",1,0)))+(IF(F654&gt;=240,2,IF(F654&gt;=200,1,0)))+(IF(G654="Yes",2,0))+(IF(H654="High",2,IF(H654="Moderate",1,0)))</f>
        <v>5</v>
      </c>
      <c r="J654" s="7" t="str">
        <f aca="false">IF(I654&gt;=8,"High",IF(I654&gt;=4,"Medium","Low"))</f>
        <v>Medium</v>
      </c>
    </row>
    <row r="655" customFormat="false" ht="15" hidden="false" customHeight="true" outlineLevel="0" collapsed="false">
      <c r="A655" s="7" t="n">
        <f aca="false">'Raw Data'!A655</f>
        <v>837</v>
      </c>
      <c r="B655" s="7" t="n">
        <f aca="false">'Raw Data'!B655</f>
        <v>41</v>
      </c>
      <c r="C655" s="7" t="str">
        <f aca="false">'Raw Data'!C655</f>
        <v>Female</v>
      </c>
      <c r="D655" s="7" t="str">
        <f aca="false">'Raw Data'!D655</f>
        <v>Never</v>
      </c>
      <c r="E655" s="7" t="str">
        <f aca="false">'Raw Data'!J655</f>
        <v>High</v>
      </c>
      <c r="F655" s="7" t="n">
        <f aca="false">'Raw Data'!K655</f>
        <v>142.7</v>
      </c>
      <c r="G655" s="7" t="str">
        <f aca="false">'Raw Data'!L655</f>
        <v>No</v>
      </c>
      <c r="H655" s="7" t="str">
        <f aca="false">'Raw Data'!M655</f>
        <v>High</v>
      </c>
      <c r="I655" s="7" t="n">
        <f aca="false">(IF(D655="Current",3,IF(D655="Former",1,0)))+(IF(E655="High",3,IF(E655="Normal",1,0)))+(IF(F655&gt;=240,2,IF(F655&gt;=200,1,0)))+(IF(G655="Yes",2,0))+(IF(H655="High",2,IF(H655="Moderate",1,0)))</f>
        <v>5</v>
      </c>
      <c r="J655" s="7" t="str">
        <f aca="false">IF(I655&gt;=8,"High",IF(I655&gt;=4,"Medium","Low"))</f>
        <v>Medium</v>
      </c>
    </row>
    <row r="656" customFormat="false" ht="15" hidden="false" customHeight="true" outlineLevel="0" collapsed="false">
      <c r="A656" s="7" t="n">
        <f aca="false">'Raw Data'!A656</f>
        <v>987</v>
      </c>
      <c r="B656" s="7" t="n">
        <f aca="false">'Raw Data'!B656</f>
        <v>21</v>
      </c>
      <c r="C656" s="7" t="str">
        <f aca="false">'Raw Data'!C656</f>
        <v>Female</v>
      </c>
      <c r="D656" s="7" t="str">
        <f aca="false">'Raw Data'!D656</f>
        <v>Never</v>
      </c>
      <c r="E656" s="7" t="str">
        <f aca="false">'Raw Data'!J656</f>
        <v>High</v>
      </c>
      <c r="F656" s="7" t="n">
        <f aca="false">'Raw Data'!K656</f>
        <v>205.6</v>
      </c>
      <c r="G656" s="7" t="str">
        <f aca="false">'Raw Data'!L656</f>
        <v>No</v>
      </c>
      <c r="H656" s="7" t="str">
        <f aca="false">'Raw Data'!M656</f>
        <v>High</v>
      </c>
      <c r="I656" s="7" t="n">
        <f aca="false">(IF(D656="Current",3,IF(D656="Former",1,0)))+(IF(E656="High",3,IF(E656="Normal",1,0)))+(IF(F656&gt;=240,2,IF(F656&gt;=200,1,0)))+(IF(G656="Yes",2,0))+(IF(H656="High",2,IF(H656="Moderate",1,0)))</f>
        <v>6</v>
      </c>
      <c r="J656" s="7" t="str">
        <f aca="false">IF(I656&gt;=8,"High",IF(I656&gt;=4,"Medium","Low"))</f>
        <v>Medium</v>
      </c>
    </row>
    <row r="657" customFormat="false" ht="15" hidden="false" customHeight="true" outlineLevel="0" collapsed="false">
      <c r="A657" s="7" t="n">
        <f aca="false">'Raw Data'!A657</f>
        <v>1198</v>
      </c>
      <c r="B657" s="7" t="n">
        <f aca="false">'Raw Data'!B657</f>
        <v>78</v>
      </c>
      <c r="C657" s="7" t="str">
        <f aca="false">'Raw Data'!C657</f>
        <v>Female</v>
      </c>
      <c r="D657" s="7" t="str">
        <f aca="false">'Raw Data'!D657</f>
        <v>Never</v>
      </c>
      <c r="E657" s="7" t="str">
        <f aca="false">'Raw Data'!J657</f>
        <v>High</v>
      </c>
      <c r="F657" s="7" t="n">
        <f aca="false">'Raw Data'!K657</f>
        <v>138.1</v>
      </c>
      <c r="G657" s="7" t="str">
        <f aca="false">'Raw Data'!L657</f>
        <v>Yes</v>
      </c>
      <c r="H657" s="7" t="str">
        <f aca="false">'Raw Data'!M657</f>
        <v>High</v>
      </c>
      <c r="I657" s="7" t="n">
        <f aca="false">(IF(D657="Current",3,IF(D657="Former",1,0)))+(IF(E657="High",3,IF(E657="Normal",1,0)))+(IF(F657&gt;=240,2,IF(F657&gt;=200,1,0)))+(IF(G657="Yes",2,0))+(IF(H657="High",2,IF(H657="Moderate",1,0)))</f>
        <v>7</v>
      </c>
      <c r="J657" s="7" t="str">
        <f aca="false">IF(I657&gt;=8,"High",IF(I657&gt;=4,"Medium","Low"))</f>
        <v>Medium</v>
      </c>
    </row>
    <row r="658" customFormat="false" ht="15" hidden="false" customHeight="true" outlineLevel="0" collapsed="false">
      <c r="A658" s="7" t="n">
        <f aca="false">'Raw Data'!A658</f>
        <v>1211</v>
      </c>
      <c r="B658" s="7" t="n">
        <f aca="false">'Raw Data'!B658</f>
        <v>64</v>
      </c>
      <c r="C658" s="7" t="str">
        <f aca="false">'Raw Data'!C658</f>
        <v>Female</v>
      </c>
      <c r="D658" s="7" t="str">
        <f aca="false">'Raw Data'!D658</f>
        <v>Never</v>
      </c>
      <c r="E658" s="7" t="str">
        <f aca="false">'Raw Data'!J658</f>
        <v>High</v>
      </c>
      <c r="F658" s="7" t="n">
        <f aca="false">'Raw Data'!K658</f>
        <v>196.4</v>
      </c>
      <c r="G658" s="7" t="str">
        <f aca="false">'Raw Data'!L658</f>
        <v>No</v>
      </c>
      <c r="H658" s="7" t="str">
        <f aca="false">'Raw Data'!M658</f>
        <v>High</v>
      </c>
      <c r="I658" s="7" t="n">
        <f aca="false">(IF(D658="Current",3,IF(D658="Former",1,0)))+(IF(E658="High",3,IF(E658="Normal",1,0)))+(IF(F658&gt;=240,2,IF(F658&gt;=200,1,0)))+(IF(G658="Yes",2,0))+(IF(H658="High",2,IF(H658="Moderate",1,0)))</f>
        <v>5</v>
      </c>
      <c r="J658" s="7" t="str">
        <f aca="false">IF(I658&gt;=8,"High",IF(I658&gt;=4,"Medium","Low"))</f>
        <v>Medium</v>
      </c>
    </row>
    <row r="659" customFormat="false" ht="15" hidden="false" customHeight="true" outlineLevel="0" collapsed="false">
      <c r="A659" s="7" t="n">
        <f aca="false">'Raw Data'!A659</f>
        <v>1252</v>
      </c>
      <c r="B659" s="7" t="n">
        <f aca="false">'Raw Data'!B659</f>
        <v>47</v>
      </c>
      <c r="C659" s="7" t="str">
        <f aca="false">'Raw Data'!C659</f>
        <v>Male</v>
      </c>
      <c r="D659" s="7" t="str">
        <f aca="false">'Raw Data'!D659</f>
        <v>Never</v>
      </c>
      <c r="E659" s="7" t="str">
        <f aca="false">'Raw Data'!J659</f>
        <v>High</v>
      </c>
      <c r="F659" s="7" t="n">
        <f aca="false">'Raw Data'!K659</f>
        <v>260.9</v>
      </c>
      <c r="G659" s="7" t="str">
        <f aca="false">'Raw Data'!L659</f>
        <v>Yes</v>
      </c>
      <c r="H659" s="7" t="str">
        <f aca="false">'Raw Data'!M659</f>
        <v>High</v>
      </c>
      <c r="I659" s="7" t="n">
        <f aca="false">(IF(D659="Current",3,IF(D659="Former",1,0)))+(IF(E659="High",3,IF(E659="Normal",1,0)))+(IF(F659&gt;=240,2,IF(F659&gt;=200,1,0)))+(IF(G659="Yes",2,0))+(IF(H659="High",2,IF(H659="Moderate",1,0)))</f>
        <v>9</v>
      </c>
      <c r="J659" s="7" t="str">
        <f aca="false">IF(I659&gt;=8,"High",IF(I659&gt;=4,"Medium","Low"))</f>
        <v>High</v>
      </c>
    </row>
    <row r="660" customFormat="false" ht="15" hidden="false" customHeight="true" outlineLevel="0" collapsed="false">
      <c r="A660" s="7" t="n">
        <f aca="false">'Raw Data'!A660</f>
        <v>1304</v>
      </c>
      <c r="B660" s="7" t="n">
        <f aca="false">'Raw Data'!B660</f>
        <v>69</v>
      </c>
      <c r="C660" s="7" t="str">
        <f aca="false">'Raw Data'!C660</f>
        <v>Female</v>
      </c>
      <c r="D660" s="7" t="str">
        <f aca="false">'Raw Data'!D660</f>
        <v>Never</v>
      </c>
      <c r="E660" s="7" t="str">
        <f aca="false">'Raw Data'!J660</f>
        <v>High</v>
      </c>
      <c r="F660" s="7" t="n">
        <f aca="false">'Raw Data'!K660</f>
        <v>186.1</v>
      </c>
      <c r="G660" s="7" t="str">
        <f aca="false">'Raw Data'!L660</f>
        <v>Yes</v>
      </c>
      <c r="H660" s="7" t="str">
        <f aca="false">'Raw Data'!M660</f>
        <v>High</v>
      </c>
      <c r="I660" s="7" t="n">
        <f aca="false">(IF(D660="Current",3,IF(D660="Former",1,0)))+(IF(E660="High",3,IF(E660="Normal",1,0)))+(IF(F660&gt;=240,2,IF(F660&gt;=200,1,0)))+(IF(G660="Yes",2,0))+(IF(H660="High",2,IF(H660="Moderate",1,0)))</f>
        <v>7</v>
      </c>
      <c r="J660" s="7" t="str">
        <f aca="false">IF(I660&gt;=8,"High",IF(I660&gt;=4,"Medium","Low"))</f>
        <v>Medium</v>
      </c>
    </row>
    <row r="661" customFormat="false" ht="15" hidden="false" customHeight="true" outlineLevel="0" collapsed="false">
      <c r="A661" s="7" t="n">
        <f aca="false">'Raw Data'!A661</f>
        <v>1345</v>
      </c>
      <c r="B661" s="7" t="n">
        <f aca="false">'Raw Data'!B661</f>
        <v>79</v>
      </c>
      <c r="C661" s="7" t="str">
        <f aca="false">'Raw Data'!C661</f>
        <v>Male</v>
      </c>
      <c r="D661" s="7" t="str">
        <f aca="false">'Raw Data'!D661</f>
        <v>Never</v>
      </c>
      <c r="E661" s="7" t="str">
        <f aca="false">'Raw Data'!J661</f>
        <v>High</v>
      </c>
      <c r="F661" s="7" t="n">
        <f aca="false">'Raw Data'!K661</f>
        <v>255.9</v>
      </c>
      <c r="G661" s="7" t="str">
        <f aca="false">'Raw Data'!L661</f>
        <v>Yes</v>
      </c>
      <c r="H661" s="7" t="str">
        <f aca="false">'Raw Data'!M661</f>
        <v>High</v>
      </c>
      <c r="I661" s="7" t="n">
        <f aca="false">(IF(D661="Current",3,IF(D661="Former",1,0)))+(IF(E661="High",3,IF(E661="Normal",1,0)))+(IF(F661&gt;=240,2,IF(F661&gt;=200,1,0)))+(IF(G661="Yes",2,0))+(IF(H661="High",2,IF(H661="Moderate",1,0)))</f>
        <v>9</v>
      </c>
      <c r="J661" s="7" t="str">
        <f aca="false">IF(I661&gt;=8,"High",IF(I661&gt;=4,"Medium","Low"))</f>
        <v>High</v>
      </c>
    </row>
    <row r="662" customFormat="false" ht="15" hidden="false" customHeight="true" outlineLevel="0" collapsed="false">
      <c r="A662" s="7" t="n">
        <f aca="false">'Raw Data'!A662</f>
        <v>1349</v>
      </c>
      <c r="B662" s="7" t="n">
        <f aca="false">'Raw Data'!B662</f>
        <v>42</v>
      </c>
      <c r="C662" s="7" t="str">
        <f aca="false">'Raw Data'!C662</f>
        <v>Female</v>
      </c>
      <c r="D662" s="7" t="str">
        <f aca="false">'Raw Data'!D662</f>
        <v>Never</v>
      </c>
      <c r="E662" s="7" t="str">
        <f aca="false">'Raw Data'!J662</f>
        <v>High</v>
      </c>
      <c r="F662" s="7" t="n">
        <f aca="false">'Raw Data'!K662</f>
        <v>126.2</v>
      </c>
      <c r="G662" s="7" t="str">
        <f aca="false">'Raw Data'!L662</f>
        <v>No</v>
      </c>
      <c r="H662" s="7" t="str">
        <f aca="false">'Raw Data'!M662</f>
        <v>High</v>
      </c>
      <c r="I662" s="7" t="n">
        <f aca="false">(IF(D662="Current",3,IF(D662="Former",1,0)))+(IF(E662="High",3,IF(E662="Normal",1,0)))+(IF(F662&gt;=240,2,IF(F662&gt;=200,1,0)))+(IF(G662="Yes",2,0))+(IF(H662="High",2,IF(H662="Moderate",1,0)))</f>
        <v>5</v>
      </c>
      <c r="J662" s="7" t="str">
        <f aca="false">IF(I662&gt;=8,"High",IF(I662&gt;=4,"Medium","Low"))</f>
        <v>Medium</v>
      </c>
    </row>
    <row r="663" customFormat="false" ht="15" hidden="false" customHeight="true" outlineLevel="0" collapsed="false">
      <c r="A663" s="7" t="n">
        <f aca="false">'Raw Data'!A663</f>
        <v>1369</v>
      </c>
      <c r="B663" s="7" t="n">
        <f aca="false">'Raw Data'!B663</f>
        <v>25</v>
      </c>
      <c r="C663" s="7" t="str">
        <f aca="false">'Raw Data'!C663</f>
        <v>Male</v>
      </c>
      <c r="D663" s="7" t="str">
        <f aca="false">'Raw Data'!D663</f>
        <v>Never</v>
      </c>
      <c r="E663" s="7" t="str">
        <f aca="false">'Raw Data'!J663</f>
        <v>High</v>
      </c>
      <c r="F663" s="7" t="n">
        <f aca="false">'Raw Data'!K663</f>
        <v>220.5</v>
      </c>
      <c r="G663" s="7" t="str">
        <f aca="false">'Raw Data'!L663</f>
        <v>No</v>
      </c>
      <c r="H663" s="7" t="str">
        <f aca="false">'Raw Data'!M663</f>
        <v>High</v>
      </c>
      <c r="I663" s="7" t="n">
        <f aca="false">(IF(D663="Current",3,IF(D663="Former",1,0)))+(IF(E663="High",3,IF(E663="Normal",1,0)))+(IF(F663&gt;=240,2,IF(F663&gt;=200,1,0)))+(IF(G663="Yes",2,0))+(IF(H663="High",2,IF(H663="Moderate",1,0)))</f>
        <v>6</v>
      </c>
      <c r="J663" s="7" t="str">
        <f aca="false">IF(I663&gt;=8,"High",IF(I663&gt;=4,"Medium","Low"))</f>
        <v>Medium</v>
      </c>
    </row>
    <row r="664" customFormat="false" ht="15" hidden="false" customHeight="true" outlineLevel="0" collapsed="false">
      <c r="A664" s="7" t="n">
        <f aca="false">'Raw Data'!A664</f>
        <v>1402</v>
      </c>
      <c r="B664" s="7" t="n">
        <f aca="false">'Raw Data'!B664</f>
        <v>35</v>
      </c>
      <c r="C664" s="7" t="str">
        <f aca="false">'Raw Data'!C664</f>
        <v>Male</v>
      </c>
      <c r="D664" s="7" t="str">
        <f aca="false">'Raw Data'!D664</f>
        <v>Never</v>
      </c>
      <c r="E664" s="7" t="str">
        <f aca="false">'Raw Data'!J664</f>
        <v>High</v>
      </c>
      <c r="F664" s="7" t="n">
        <f aca="false">'Raw Data'!K664</f>
        <v>167.8</v>
      </c>
      <c r="G664" s="7" t="str">
        <f aca="false">'Raw Data'!L664</f>
        <v>Yes</v>
      </c>
      <c r="H664" s="7" t="str">
        <f aca="false">'Raw Data'!M664</f>
        <v>High</v>
      </c>
      <c r="I664" s="7" t="n">
        <f aca="false">(IF(D664="Current",3,IF(D664="Former",1,0)))+(IF(E664="High",3,IF(E664="Normal",1,0)))+(IF(F664&gt;=240,2,IF(F664&gt;=200,1,0)))+(IF(G664="Yes",2,0))+(IF(H664="High",2,IF(H664="Moderate",1,0)))</f>
        <v>7</v>
      </c>
      <c r="J664" s="7" t="str">
        <f aca="false">IF(I664&gt;=8,"High",IF(I664&gt;=4,"Medium","Low"))</f>
        <v>Medium</v>
      </c>
    </row>
    <row r="665" customFormat="false" ht="15" hidden="false" customHeight="true" outlineLevel="0" collapsed="false">
      <c r="A665" s="7" t="n">
        <f aca="false">'Raw Data'!A665</f>
        <v>1449</v>
      </c>
      <c r="B665" s="7" t="n">
        <f aca="false">'Raw Data'!B665</f>
        <v>87</v>
      </c>
      <c r="C665" s="7" t="str">
        <f aca="false">'Raw Data'!C665</f>
        <v>Female</v>
      </c>
      <c r="D665" s="7" t="str">
        <f aca="false">'Raw Data'!D665</f>
        <v>Never</v>
      </c>
      <c r="E665" s="7" t="str">
        <f aca="false">'Raw Data'!J665</f>
        <v>High</v>
      </c>
      <c r="F665" s="7" t="n">
        <f aca="false">'Raw Data'!K665</f>
        <v>145.1</v>
      </c>
      <c r="G665" s="7" t="str">
        <f aca="false">'Raw Data'!L665</f>
        <v>No</v>
      </c>
      <c r="H665" s="7" t="str">
        <f aca="false">'Raw Data'!M665</f>
        <v>High</v>
      </c>
      <c r="I665" s="7" t="n">
        <f aca="false">(IF(D665="Current",3,IF(D665="Former",1,0)))+(IF(E665="High",3,IF(E665="Normal",1,0)))+(IF(F665&gt;=240,2,IF(F665&gt;=200,1,0)))+(IF(G665="Yes",2,0))+(IF(H665="High",2,IF(H665="Moderate",1,0)))</f>
        <v>5</v>
      </c>
      <c r="J665" s="7" t="str">
        <f aca="false">IF(I665&gt;=8,"High",IF(I665&gt;=4,"Medium","Low"))</f>
        <v>Medium</v>
      </c>
    </row>
    <row r="666" customFormat="false" ht="15" hidden="false" customHeight="true" outlineLevel="0" collapsed="false">
      <c r="A666" s="7" t="n">
        <f aca="false">'Raw Data'!A666</f>
        <v>1679</v>
      </c>
      <c r="B666" s="7" t="n">
        <f aca="false">'Raw Data'!B666</f>
        <v>56</v>
      </c>
      <c r="C666" s="7" t="str">
        <f aca="false">'Raw Data'!C666</f>
        <v>Male</v>
      </c>
      <c r="D666" s="7" t="str">
        <f aca="false">'Raw Data'!D666</f>
        <v>Never</v>
      </c>
      <c r="E666" s="7" t="str">
        <f aca="false">'Raw Data'!J666</f>
        <v>High</v>
      </c>
      <c r="F666" s="7" t="n">
        <f aca="false">'Raw Data'!K666</f>
        <v>221.6</v>
      </c>
      <c r="G666" s="7" t="str">
        <f aca="false">'Raw Data'!L666</f>
        <v>No</v>
      </c>
      <c r="H666" s="7" t="str">
        <f aca="false">'Raw Data'!M666</f>
        <v>High</v>
      </c>
      <c r="I666" s="7" t="n">
        <f aca="false">(IF(D666="Current",3,IF(D666="Former",1,0)))+(IF(E666="High",3,IF(E666="Normal",1,0)))+(IF(F666&gt;=240,2,IF(F666&gt;=200,1,0)))+(IF(G666="Yes",2,0))+(IF(H666="High",2,IF(H666="Moderate",1,0)))</f>
        <v>6</v>
      </c>
      <c r="J666" s="7" t="str">
        <f aca="false">IF(I666&gt;=8,"High",IF(I666&gt;=4,"Medium","Low"))</f>
        <v>Medium</v>
      </c>
    </row>
    <row r="667" customFormat="false" ht="15" hidden="false" customHeight="true" outlineLevel="0" collapsed="false">
      <c r="A667" s="7" t="n">
        <f aca="false">'Raw Data'!A667</f>
        <v>1681</v>
      </c>
      <c r="B667" s="7" t="n">
        <f aca="false">'Raw Data'!B667</f>
        <v>35</v>
      </c>
      <c r="C667" s="7" t="str">
        <f aca="false">'Raw Data'!C667</f>
        <v>Female</v>
      </c>
      <c r="D667" s="7" t="str">
        <f aca="false">'Raw Data'!D667</f>
        <v>Never</v>
      </c>
      <c r="E667" s="7" t="str">
        <f aca="false">'Raw Data'!J667</f>
        <v>High</v>
      </c>
      <c r="F667" s="7" t="n">
        <f aca="false">'Raw Data'!K667</f>
        <v>225.1</v>
      </c>
      <c r="G667" s="7" t="str">
        <f aca="false">'Raw Data'!L667</f>
        <v>Yes</v>
      </c>
      <c r="H667" s="7" t="str">
        <f aca="false">'Raw Data'!M667</f>
        <v>High</v>
      </c>
      <c r="I667" s="7" t="n">
        <f aca="false">(IF(D667="Current",3,IF(D667="Former",1,0)))+(IF(E667="High",3,IF(E667="Normal",1,0)))+(IF(F667&gt;=240,2,IF(F667&gt;=200,1,0)))+(IF(G667="Yes",2,0))+(IF(H667="High",2,IF(H667="Moderate",1,0)))</f>
        <v>8</v>
      </c>
      <c r="J667" s="7" t="str">
        <f aca="false">IF(I667&gt;=8,"High",IF(I667&gt;=4,"Medium","Low"))</f>
        <v>High</v>
      </c>
    </row>
    <row r="668" customFormat="false" ht="15" hidden="false" customHeight="true" outlineLevel="0" collapsed="false">
      <c r="A668" s="7" t="n">
        <f aca="false">'Raw Data'!A668</f>
        <v>1754</v>
      </c>
      <c r="B668" s="7" t="n">
        <f aca="false">'Raw Data'!B668</f>
        <v>46</v>
      </c>
      <c r="C668" s="7" t="str">
        <f aca="false">'Raw Data'!C668</f>
        <v>Female</v>
      </c>
      <c r="D668" s="7" t="str">
        <f aca="false">'Raw Data'!D668</f>
        <v>Never</v>
      </c>
      <c r="E668" s="7" t="str">
        <f aca="false">'Raw Data'!J668</f>
        <v>High</v>
      </c>
      <c r="F668" s="7" t="n">
        <f aca="false">'Raw Data'!K668</f>
        <v>253.1</v>
      </c>
      <c r="G668" s="7" t="str">
        <f aca="false">'Raw Data'!L668</f>
        <v>No</v>
      </c>
      <c r="H668" s="7" t="str">
        <f aca="false">'Raw Data'!M668</f>
        <v>High</v>
      </c>
      <c r="I668" s="7" t="n">
        <f aca="false">(IF(D668="Current",3,IF(D668="Former",1,0)))+(IF(E668="High",3,IF(E668="Normal",1,0)))+(IF(F668&gt;=240,2,IF(F668&gt;=200,1,0)))+(IF(G668="Yes",2,0))+(IF(H668="High",2,IF(H668="Moderate",1,0)))</f>
        <v>7</v>
      </c>
      <c r="J668" s="7" t="str">
        <f aca="false">IF(I668&gt;=8,"High",IF(I668&gt;=4,"Medium","Low"))</f>
        <v>Medium</v>
      </c>
    </row>
    <row r="669" customFormat="false" ht="15" hidden="false" customHeight="true" outlineLevel="0" collapsed="false">
      <c r="A669" s="7" t="n">
        <f aca="false">'Raw Data'!A669</f>
        <v>1784</v>
      </c>
      <c r="B669" s="7" t="n">
        <f aca="false">'Raw Data'!B669</f>
        <v>57</v>
      </c>
      <c r="C669" s="7" t="str">
        <f aca="false">'Raw Data'!C669</f>
        <v>Female</v>
      </c>
      <c r="D669" s="7" t="str">
        <f aca="false">'Raw Data'!D669</f>
        <v>Never</v>
      </c>
      <c r="E669" s="7" t="str">
        <f aca="false">'Raw Data'!J669</f>
        <v>High</v>
      </c>
      <c r="F669" s="7" t="n">
        <f aca="false">'Raw Data'!K669</f>
        <v>283.5</v>
      </c>
      <c r="G669" s="7" t="str">
        <f aca="false">'Raw Data'!L669</f>
        <v>No</v>
      </c>
      <c r="H669" s="7" t="str">
        <f aca="false">'Raw Data'!M669</f>
        <v>High</v>
      </c>
      <c r="I669" s="7" t="n">
        <f aca="false">(IF(D669="Current",3,IF(D669="Former",1,0)))+(IF(E669="High",3,IF(E669="Normal",1,0)))+(IF(F669&gt;=240,2,IF(F669&gt;=200,1,0)))+(IF(G669="Yes",2,0))+(IF(H669="High",2,IF(H669="Moderate",1,0)))</f>
        <v>7</v>
      </c>
      <c r="J669" s="7" t="str">
        <f aca="false">IF(I669&gt;=8,"High",IF(I669&gt;=4,"Medium","Low"))</f>
        <v>Medium</v>
      </c>
    </row>
    <row r="670" customFormat="false" ht="15" hidden="false" customHeight="true" outlineLevel="0" collapsed="false">
      <c r="A670" s="7" t="n">
        <f aca="false">'Raw Data'!A670</f>
        <v>1814</v>
      </c>
      <c r="B670" s="7" t="n">
        <f aca="false">'Raw Data'!B670</f>
        <v>77</v>
      </c>
      <c r="C670" s="7" t="str">
        <f aca="false">'Raw Data'!C670</f>
        <v>Female</v>
      </c>
      <c r="D670" s="7" t="str">
        <f aca="false">'Raw Data'!D670</f>
        <v>Never</v>
      </c>
      <c r="E670" s="7" t="str">
        <f aca="false">'Raw Data'!J670</f>
        <v>High</v>
      </c>
      <c r="F670" s="7" t="n">
        <f aca="false">'Raw Data'!K670</f>
        <v>154.8</v>
      </c>
      <c r="G670" s="7" t="str">
        <f aca="false">'Raw Data'!L670</f>
        <v>Yes</v>
      </c>
      <c r="H670" s="7" t="str">
        <f aca="false">'Raw Data'!M670</f>
        <v>High</v>
      </c>
      <c r="I670" s="7" t="n">
        <f aca="false">(IF(D670="Current",3,IF(D670="Former",1,0)))+(IF(E670="High",3,IF(E670="Normal",1,0)))+(IF(F670&gt;=240,2,IF(F670&gt;=200,1,0)))+(IF(G670="Yes",2,0))+(IF(H670="High",2,IF(H670="Moderate",1,0)))</f>
        <v>7</v>
      </c>
      <c r="J670" s="7" t="str">
        <f aca="false">IF(I670&gt;=8,"High",IF(I670&gt;=4,"Medium","Low"))</f>
        <v>Medium</v>
      </c>
    </row>
    <row r="671" customFormat="false" ht="15" hidden="false" customHeight="true" outlineLevel="0" collapsed="false">
      <c r="A671" s="7" t="n">
        <f aca="false">'Raw Data'!A671</f>
        <v>1833</v>
      </c>
      <c r="B671" s="7" t="n">
        <f aca="false">'Raw Data'!B671</f>
        <v>22</v>
      </c>
      <c r="C671" s="7" t="str">
        <f aca="false">'Raw Data'!C671</f>
        <v>Male</v>
      </c>
      <c r="D671" s="7" t="str">
        <f aca="false">'Raw Data'!D671</f>
        <v>Never</v>
      </c>
      <c r="E671" s="7" t="str">
        <f aca="false">'Raw Data'!J671</f>
        <v>High</v>
      </c>
      <c r="F671" s="7" t="n">
        <f aca="false">'Raw Data'!K671</f>
        <v>238.7</v>
      </c>
      <c r="G671" s="7" t="str">
        <f aca="false">'Raw Data'!L671</f>
        <v>Yes</v>
      </c>
      <c r="H671" s="7" t="str">
        <f aca="false">'Raw Data'!M671</f>
        <v>High</v>
      </c>
      <c r="I671" s="7" t="n">
        <f aca="false">(IF(D671="Current",3,IF(D671="Former",1,0)))+(IF(E671="High",3,IF(E671="Normal",1,0)))+(IF(F671&gt;=240,2,IF(F671&gt;=200,1,0)))+(IF(G671="Yes",2,0))+(IF(H671="High",2,IF(H671="Moderate",1,0)))</f>
        <v>8</v>
      </c>
      <c r="J671" s="7" t="str">
        <f aca="false">IF(I671&gt;=8,"High",IF(I671&gt;=4,"Medium","Low"))</f>
        <v>High</v>
      </c>
    </row>
    <row r="672" customFormat="false" ht="15" hidden="false" customHeight="true" outlineLevel="0" collapsed="false">
      <c r="A672" s="7" t="n">
        <f aca="false">'Raw Data'!A672</f>
        <v>1907</v>
      </c>
      <c r="B672" s="7" t="n">
        <f aca="false">'Raw Data'!B672</f>
        <v>69</v>
      </c>
      <c r="C672" s="7" t="str">
        <f aca="false">'Raw Data'!C672</f>
        <v>Male</v>
      </c>
      <c r="D672" s="7" t="str">
        <f aca="false">'Raw Data'!D672</f>
        <v>Never</v>
      </c>
      <c r="E672" s="7" t="str">
        <f aca="false">'Raw Data'!J672</f>
        <v>High</v>
      </c>
      <c r="F672" s="7" t="n">
        <f aca="false">'Raw Data'!K672</f>
        <v>233.4</v>
      </c>
      <c r="G672" s="7" t="str">
        <f aca="false">'Raw Data'!L672</f>
        <v>No</v>
      </c>
      <c r="H672" s="7" t="str">
        <f aca="false">'Raw Data'!M672</f>
        <v>High</v>
      </c>
      <c r="I672" s="7" t="n">
        <f aca="false">(IF(D672="Current",3,IF(D672="Former",1,0)))+(IF(E672="High",3,IF(E672="Normal",1,0)))+(IF(F672&gt;=240,2,IF(F672&gt;=200,1,0)))+(IF(G672="Yes",2,0))+(IF(H672="High",2,IF(H672="Moderate",1,0)))</f>
        <v>6</v>
      </c>
      <c r="J672" s="7" t="str">
        <f aca="false">IF(I672&gt;=8,"High",IF(I672&gt;=4,"Medium","Low"))</f>
        <v>Medium</v>
      </c>
    </row>
    <row r="673" customFormat="false" ht="15" hidden="false" customHeight="true" outlineLevel="0" collapsed="false">
      <c r="A673" s="7" t="n">
        <f aca="false">'Raw Data'!A673</f>
        <v>1932</v>
      </c>
      <c r="B673" s="7" t="n">
        <f aca="false">'Raw Data'!B673</f>
        <v>74</v>
      </c>
      <c r="C673" s="7" t="str">
        <f aca="false">'Raw Data'!C673</f>
        <v>Male</v>
      </c>
      <c r="D673" s="7" t="str">
        <f aca="false">'Raw Data'!D673</f>
        <v>Never</v>
      </c>
      <c r="E673" s="7" t="str">
        <f aca="false">'Raw Data'!J673</f>
        <v>High</v>
      </c>
      <c r="F673" s="7" t="n">
        <f aca="false">'Raw Data'!K673</f>
        <v>151.9</v>
      </c>
      <c r="G673" s="7" t="str">
        <f aca="false">'Raw Data'!L673</f>
        <v>Yes</v>
      </c>
      <c r="H673" s="7" t="str">
        <f aca="false">'Raw Data'!M673</f>
        <v>High</v>
      </c>
      <c r="I673" s="7" t="n">
        <f aca="false">(IF(D673="Current",3,IF(D673="Former",1,0)))+(IF(E673="High",3,IF(E673="Normal",1,0)))+(IF(F673&gt;=240,2,IF(F673&gt;=200,1,0)))+(IF(G673="Yes",2,0))+(IF(H673="High",2,IF(H673="Moderate",1,0)))</f>
        <v>7</v>
      </c>
      <c r="J673" s="7" t="str">
        <f aca="false">IF(I673&gt;=8,"High",IF(I673&gt;=4,"Medium","Low"))</f>
        <v>Medium</v>
      </c>
    </row>
    <row r="674" customFormat="false" ht="15" hidden="false" customHeight="true" outlineLevel="0" collapsed="false">
      <c r="A674" s="7" t="n">
        <f aca="false">'Raw Data'!A674</f>
        <v>1965</v>
      </c>
      <c r="B674" s="7" t="n">
        <f aca="false">'Raw Data'!B674</f>
        <v>50</v>
      </c>
      <c r="C674" s="7" t="str">
        <f aca="false">'Raw Data'!C674</f>
        <v>Male</v>
      </c>
      <c r="D674" s="7" t="str">
        <f aca="false">'Raw Data'!D674</f>
        <v>Never</v>
      </c>
      <c r="E674" s="7" t="str">
        <f aca="false">'Raw Data'!J674</f>
        <v>High</v>
      </c>
      <c r="F674" s="7" t="n">
        <f aca="false">'Raw Data'!K674</f>
        <v>186.9</v>
      </c>
      <c r="G674" s="7" t="str">
        <f aca="false">'Raw Data'!L674</f>
        <v>No</v>
      </c>
      <c r="H674" s="7" t="str">
        <f aca="false">'Raw Data'!M674</f>
        <v>High</v>
      </c>
      <c r="I674" s="7" t="n">
        <f aca="false">(IF(D674="Current",3,IF(D674="Former",1,0)))+(IF(E674="High",3,IF(E674="Normal",1,0)))+(IF(F674&gt;=240,2,IF(F674&gt;=200,1,0)))+(IF(G674="Yes",2,0))+(IF(H674="High",2,IF(H674="Moderate",1,0)))</f>
        <v>5</v>
      </c>
      <c r="J674" s="7" t="str">
        <f aca="false">IF(I674&gt;=8,"High",IF(I674&gt;=4,"Medium","Low"))</f>
        <v>Medium</v>
      </c>
    </row>
    <row r="675" customFormat="false" ht="15" hidden="false" customHeight="true" outlineLevel="0" collapsed="false">
      <c r="A675" s="7" t="n">
        <f aca="false">'Raw Data'!A675</f>
        <v>1977</v>
      </c>
      <c r="B675" s="7" t="n">
        <f aca="false">'Raw Data'!B675</f>
        <v>72</v>
      </c>
      <c r="C675" s="7" t="str">
        <f aca="false">'Raw Data'!C675</f>
        <v>Female</v>
      </c>
      <c r="D675" s="7" t="str">
        <f aca="false">'Raw Data'!D675</f>
        <v>Never</v>
      </c>
      <c r="E675" s="7" t="str">
        <f aca="false">'Raw Data'!J675</f>
        <v>High</v>
      </c>
      <c r="F675" s="7" t="n">
        <f aca="false">'Raw Data'!K675</f>
        <v>286.8</v>
      </c>
      <c r="G675" s="7" t="str">
        <f aca="false">'Raw Data'!L675</f>
        <v>Yes</v>
      </c>
      <c r="H675" s="7" t="str">
        <f aca="false">'Raw Data'!M675</f>
        <v>High</v>
      </c>
      <c r="I675" s="7" t="n">
        <f aca="false">(IF(D675="Current",3,IF(D675="Former",1,0)))+(IF(E675="High",3,IF(E675="Normal",1,0)))+(IF(F675&gt;=240,2,IF(F675&gt;=200,1,0)))+(IF(G675="Yes",2,0))+(IF(H675="High",2,IF(H675="Moderate",1,0)))</f>
        <v>9</v>
      </c>
      <c r="J675" s="7" t="str">
        <f aca="false">IF(I675&gt;=8,"High",IF(I675&gt;=4,"Medium","Low"))</f>
        <v>High</v>
      </c>
    </row>
    <row r="676" customFormat="false" ht="15" hidden="false" customHeight="true" outlineLevel="0" collapsed="false">
      <c r="A676" s="7" t="n">
        <f aca="false">'Raw Data'!A676</f>
        <v>2011</v>
      </c>
      <c r="B676" s="7" t="n">
        <f aca="false">'Raw Data'!B676</f>
        <v>43</v>
      </c>
      <c r="C676" s="7" t="str">
        <f aca="false">'Raw Data'!C676</f>
        <v>Male</v>
      </c>
      <c r="D676" s="7" t="str">
        <f aca="false">'Raw Data'!D676</f>
        <v>Never</v>
      </c>
      <c r="E676" s="7" t="str">
        <f aca="false">'Raw Data'!J676</f>
        <v>High</v>
      </c>
      <c r="F676" s="7" t="n">
        <f aca="false">'Raw Data'!K676</f>
        <v>237.4</v>
      </c>
      <c r="G676" s="7" t="str">
        <f aca="false">'Raw Data'!L676</f>
        <v>No</v>
      </c>
      <c r="H676" s="7" t="str">
        <f aca="false">'Raw Data'!M676</f>
        <v>High</v>
      </c>
      <c r="I676" s="7" t="n">
        <f aca="false">(IF(D676="Current",3,IF(D676="Former",1,0)))+(IF(E676="High",3,IF(E676="Normal",1,0)))+(IF(F676&gt;=240,2,IF(F676&gt;=200,1,0)))+(IF(G676="Yes",2,0))+(IF(H676="High",2,IF(H676="Moderate",1,0)))</f>
        <v>6</v>
      </c>
      <c r="J676" s="7" t="str">
        <f aca="false">IF(I676&gt;=8,"High",IF(I676&gt;=4,"Medium","Low"))</f>
        <v>Medium</v>
      </c>
    </row>
    <row r="677" customFormat="false" ht="15" hidden="false" customHeight="true" outlineLevel="0" collapsed="false">
      <c r="A677" s="7" t="n">
        <f aca="false">'Raw Data'!A677</f>
        <v>2169</v>
      </c>
      <c r="B677" s="7" t="n">
        <f aca="false">'Raw Data'!B677</f>
        <v>59</v>
      </c>
      <c r="C677" s="7" t="str">
        <f aca="false">'Raw Data'!C677</f>
        <v>Male</v>
      </c>
      <c r="D677" s="7" t="str">
        <f aca="false">'Raw Data'!D677</f>
        <v>Never</v>
      </c>
      <c r="E677" s="7" t="str">
        <f aca="false">'Raw Data'!J677</f>
        <v>High</v>
      </c>
      <c r="F677" s="7" t="n">
        <f aca="false">'Raw Data'!K677</f>
        <v>175.3</v>
      </c>
      <c r="G677" s="7" t="str">
        <f aca="false">'Raw Data'!L677</f>
        <v>No</v>
      </c>
      <c r="H677" s="7" t="str">
        <f aca="false">'Raw Data'!M677</f>
        <v>High</v>
      </c>
      <c r="I677" s="7" t="n">
        <f aca="false">(IF(D677="Current",3,IF(D677="Former",1,0)))+(IF(E677="High",3,IF(E677="Normal",1,0)))+(IF(F677&gt;=240,2,IF(F677&gt;=200,1,0)))+(IF(G677="Yes",2,0))+(IF(H677="High",2,IF(H677="Moderate",1,0)))</f>
        <v>5</v>
      </c>
      <c r="J677" s="7" t="str">
        <f aca="false">IF(I677&gt;=8,"High",IF(I677&gt;=4,"Medium","Low"))</f>
        <v>Medium</v>
      </c>
    </row>
    <row r="678" customFormat="false" ht="15" hidden="false" customHeight="true" outlineLevel="0" collapsed="false">
      <c r="A678" s="7" t="n">
        <f aca="false">'Raw Data'!A678</f>
        <v>2244</v>
      </c>
      <c r="B678" s="7" t="n">
        <f aca="false">'Raw Data'!B678</f>
        <v>24</v>
      </c>
      <c r="C678" s="7" t="str">
        <f aca="false">'Raw Data'!C678</f>
        <v>Male</v>
      </c>
      <c r="D678" s="7" t="str">
        <f aca="false">'Raw Data'!D678</f>
        <v>Never</v>
      </c>
      <c r="E678" s="7" t="str">
        <f aca="false">'Raw Data'!J678</f>
        <v>High</v>
      </c>
      <c r="F678" s="7" t="n">
        <f aca="false">'Raw Data'!K678</f>
        <v>161</v>
      </c>
      <c r="G678" s="7" t="str">
        <f aca="false">'Raw Data'!L678</f>
        <v>No</v>
      </c>
      <c r="H678" s="7" t="str">
        <f aca="false">'Raw Data'!M678</f>
        <v>High</v>
      </c>
      <c r="I678" s="7" t="n">
        <f aca="false">(IF(D678="Current",3,IF(D678="Former",1,0)))+(IF(E678="High",3,IF(E678="Normal",1,0)))+(IF(F678&gt;=240,2,IF(F678&gt;=200,1,0)))+(IF(G678="Yes",2,0))+(IF(H678="High",2,IF(H678="Moderate",1,0)))</f>
        <v>5</v>
      </c>
      <c r="J678" s="7" t="str">
        <f aca="false">IF(I678&gt;=8,"High",IF(I678&gt;=4,"Medium","Low"))</f>
        <v>Medium</v>
      </c>
    </row>
    <row r="679" customFormat="false" ht="15" hidden="false" customHeight="true" outlineLevel="0" collapsed="false">
      <c r="A679" s="7" t="n">
        <f aca="false">'Raw Data'!A679</f>
        <v>2426</v>
      </c>
      <c r="B679" s="7" t="n">
        <f aca="false">'Raw Data'!B679</f>
        <v>50</v>
      </c>
      <c r="C679" s="7" t="str">
        <f aca="false">'Raw Data'!C679</f>
        <v>Male</v>
      </c>
      <c r="D679" s="7" t="str">
        <f aca="false">'Raw Data'!D679</f>
        <v>Never</v>
      </c>
      <c r="E679" s="7" t="str">
        <f aca="false">'Raw Data'!J679</f>
        <v>High</v>
      </c>
      <c r="F679" s="7" t="n">
        <f aca="false">'Raw Data'!K679</f>
        <v>217.6</v>
      </c>
      <c r="G679" s="7" t="str">
        <f aca="false">'Raw Data'!L679</f>
        <v>No</v>
      </c>
      <c r="H679" s="7" t="str">
        <f aca="false">'Raw Data'!M679</f>
        <v>High</v>
      </c>
      <c r="I679" s="7" t="n">
        <f aca="false">(IF(D679="Current",3,IF(D679="Former",1,0)))+(IF(E679="High",3,IF(E679="Normal",1,0)))+(IF(F679&gt;=240,2,IF(F679&gt;=200,1,0)))+(IF(G679="Yes",2,0))+(IF(H679="High",2,IF(H679="Moderate",1,0)))</f>
        <v>6</v>
      </c>
      <c r="J679" s="7" t="str">
        <f aca="false">IF(I679&gt;=8,"High",IF(I679&gt;=4,"Medium","Low"))</f>
        <v>Medium</v>
      </c>
    </row>
    <row r="680" customFormat="false" ht="15" hidden="false" customHeight="true" outlineLevel="0" collapsed="false">
      <c r="A680" s="7" t="n">
        <f aca="false">'Raw Data'!A680</f>
        <v>2463</v>
      </c>
      <c r="B680" s="7" t="n">
        <f aca="false">'Raw Data'!B680</f>
        <v>47</v>
      </c>
      <c r="C680" s="7" t="str">
        <f aca="false">'Raw Data'!C680</f>
        <v>Male</v>
      </c>
      <c r="D680" s="7" t="str">
        <f aca="false">'Raw Data'!D680</f>
        <v>Never</v>
      </c>
      <c r="E680" s="7" t="str">
        <f aca="false">'Raw Data'!J680</f>
        <v>High</v>
      </c>
      <c r="F680" s="7" t="n">
        <f aca="false">'Raw Data'!K680</f>
        <v>146.2</v>
      </c>
      <c r="G680" s="7" t="str">
        <f aca="false">'Raw Data'!L680</f>
        <v>No</v>
      </c>
      <c r="H680" s="7" t="str">
        <f aca="false">'Raw Data'!M680</f>
        <v>High</v>
      </c>
      <c r="I680" s="7" t="n">
        <f aca="false">(IF(D680="Current",3,IF(D680="Former",1,0)))+(IF(E680="High",3,IF(E680="Normal",1,0)))+(IF(F680&gt;=240,2,IF(F680&gt;=200,1,0)))+(IF(G680="Yes",2,0))+(IF(H680="High",2,IF(H680="Moderate",1,0)))</f>
        <v>5</v>
      </c>
      <c r="J680" s="7" t="str">
        <f aca="false">IF(I680&gt;=8,"High",IF(I680&gt;=4,"Medium","Low"))</f>
        <v>Medium</v>
      </c>
    </row>
    <row r="681" customFormat="false" ht="15" hidden="false" customHeight="true" outlineLevel="0" collapsed="false">
      <c r="A681" s="7" t="n">
        <f aca="false">'Raw Data'!A681</f>
        <v>7</v>
      </c>
      <c r="B681" s="7" t="n">
        <f aca="false">'Raw Data'!B681</f>
        <v>58</v>
      </c>
      <c r="C681" s="7" t="str">
        <f aca="false">'Raw Data'!C681</f>
        <v>Male</v>
      </c>
      <c r="D681" s="7" t="str">
        <f aca="false">'Raw Data'!D681</f>
        <v>Never</v>
      </c>
      <c r="E681" s="7" t="str">
        <f aca="false">'Raw Data'!J681</f>
        <v>High</v>
      </c>
      <c r="F681" s="7" t="n">
        <f aca="false">'Raw Data'!K681</f>
        <v>155.8</v>
      </c>
      <c r="G681" s="7" t="str">
        <f aca="false">'Raw Data'!L681</f>
        <v>Yes</v>
      </c>
      <c r="H681" s="7" t="str">
        <f aca="false">'Raw Data'!M681</f>
        <v>Moderate</v>
      </c>
      <c r="I681" s="7" t="n">
        <f aca="false">(IF(D681="Current",3,IF(D681="Former",1,0)))+(IF(E681="High",3,IF(E681="Normal",1,0)))+(IF(F681&gt;=240,2,IF(F681&gt;=200,1,0)))+(IF(G681="Yes",2,0))+(IF(H681="High",2,IF(H681="Moderate",1,0)))</f>
        <v>6</v>
      </c>
      <c r="J681" s="7" t="str">
        <f aca="false">IF(I681&gt;=8,"High",IF(I681&gt;=4,"Medium","Low"))</f>
        <v>Medium</v>
      </c>
    </row>
    <row r="682" customFormat="false" ht="15" hidden="false" customHeight="true" outlineLevel="0" collapsed="false">
      <c r="A682" s="7" t="n">
        <f aca="false">'Raw Data'!A682</f>
        <v>9</v>
      </c>
      <c r="B682" s="7" t="n">
        <f aca="false">'Raw Data'!B682</f>
        <v>79</v>
      </c>
      <c r="C682" s="7" t="str">
        <f aca="false">'Raw Data'!C682</f>
        <v>Female</v>
      </c>
      <c r="D682" s="7" t="str">
        <f aca="false">'Raw Data'!D682</f>
        <v>Never</v>
      </c>
      <c r="E682" s="7" t="str">
        <f aca="false">'Raw Data'!J682</f>
        <v>High</v>
      </c>
      <c r="F682" s="7" t="n">
        <f aca="false">'Raw Data'!K682</f>
        <v>205</v>
      </c>
      <c r="G682" s="7" t="str">
        <f aca="false">'Raw Data'!L682</f>
        <v>Yes</v>
      </c>
      <c r="H682" s="7" t="str">
        <f aca="false">'Raw Data'!M682</f>
        <v>Moderate</v>
      </c>
      <c r="I682" s="7" t="n">
        <f aca="false">(IF(D682="Current",3,IF(D682="Former",1,0)))+(IF(E682="High",3,IF(E682="Normal",1,0)))+(IF(F682&gt;=240,2,IF(F682&gt;=200,1,0)))+(IF(G682="Yes",2,0))+(IF(H682="High",2,IF(H682="Moderate",1,0)))</f>
        <v>7</v>
      </c>
      <c r="J682" s="7" t="str">
        <f aca="false">IF(I682&gt;=8,"High",IF(I682&gt;=4,"Medium","Low"))</f>
        <v>Medium</v>
      </c>
    </row>
    <row r="683" customFormat="false" ht="15" hidden="false" customHeight="true" outlineLevel="0" collapsed="false">
      <c r="A683" s="7" t="n">
        <f aca="false">'Raw Data'!A683</f>
        <v>13</v>
      </c>
      <c r="B683" s="7" t="n">
        <f aca="false">'Raw Data'!B683</f>
        <v>79</v>
      </c>
      <c r="C683" s="7" t="str">
        <f aca="false">'Raw Data'!C683</f>
        <v>Male</v>
      </c>
      <c r="D683" s="7" t="str">
        <f aca="false">'Raw Data'!D683</f>
        <v>Never</v>
      </c>
      <c r="E683" s="7" t="str">
        <f aca="false">'Raw Data'!J683</f>
        <v>High</v>
      </c>
      <c r="F683" s="7" t="n">
        <f aca="false">'Raw Data'!K683</f>
        <v>274.9</v>
      </c>
      <c r="G683" s="7" t="str">
        <f aca="false">'Raw Data'!L683</f>
        <v>Yes</v>
      </c>
      <c r="H683" s="7" t="str">
        <f aca="false">'Raw Data'!M683</f>
        <v>Moderate</v>
      </c>
      <c r="I683" s="7" t="n">
        <f aca="false">(IF(D683="Current",3,IF(D683="Former",1,0)))+(IF(E683="High",3,IF(E683="Normal",1,0)))+(IF(F683&gt;=240,2,IF(F683&gt;=200,1,0)))+(IF(G683="Yes",2,0))+(IF(H683="High",2,IF(H683="Moderate",1,0)))</f>
        <v>8</v>
      </c>
      <c r="J683" s="7" t="str">
        <f aca="false">IF(I683&gt;=8,"High",IF(I683&gt;=4,"Medium","Low"))</f>
        <v>High</v>
      </c>
    </row>
    <row r="684" customFormat="false" ht="15" hidden="false" customHeight="true" outlineLevel="0" collapsed="false">
      <c r="A684" s="7" t="n">
        <f aca="false">'Raw Data'!A684</f>
        <v>57</v>
      </c>
      <c r="B684" s="7" t="n">
        <f aca="false">'Raw Data'!B684</f>
        <v>80</v>
      </c>
      <c r="C684" s="7" t="str">
        <f aca="false">'Raw Data'!C684</f>
        <v>Female</v>
      </c>
      <c r="D684" s="7" t="str">
        <f aca="false">'Raw Data'!D684</f>
        <v>Never</v>
      </c>
      <c r="E684" s="7" t="str">
        <f aca="false">'Raw Data'!J684</f>
        <v>High</v>
      </c>
      <c r="F684" s="7" t="n">
        <f aca="false">'Raw Data'!K684</f>
        <v>173.6</v>
      </c>
      <c r="G684" s="7" t="str">
        <f aca="false">'Raw Data'!L684</f>
        <v>No</v>
      </c>
      <c r="H684" s="7" t="str">
        <f aca="false">'Raw Data'!M684</f>
        <v>Moderate</v>
      </c>
      <c r="I684" s="7" t="n">
        <f aca="false">(IF(D684="Current",3,IF(D684="Former",1,0)))+(IF(E684="High",3,IF(E684="Normal",1,0)))+(IF(F684&gt;=240,2,IF(F684&gt;=200,1,0)))+(IF(G684="Yes",2,0))+(IF(H684="High",2,IF(H684="Moderate",1,0)))</f>
        <v>4</v>
      </c>
      <c r="J684" s="7" t="str">
        <f aca="false">IF(I684&gt;=8,"High",IF(I684&gt;=4,"Medium","Low"))</f>
        <v>Medium</v>
      </c>
    </row>
    <row r="685" customFormat="false" ht="15" hidden="false" customHeight="true" outlineLevel="0" collapsed="false">
      <c r="A685" s="7" t="n">
        <f aca="false">'Raw Data'!A685</f>
        <v>78</v>
      </c>
      <c r="B685" s="7" t="n">
        <f aca="false">'Raw Data'!B685</f>
        <v>46</v>
      </c>
      <c r="C685" s="7" t="str">
        <f aca="false">'Raw Data'!C685</f>
        <v>Female</v>
      </c>
      <c r="D685" s="7" t="str">
        <f aca="false">'Raw Data'!D685</f>
        <v>Never</v>
      </c>
      <c r="E685" s="7" t="str">
        <f aca="false">'Raw Data'!J685</f>
        <v>High</v>
      </c>
      <c r="F685" s="7" t="n">
        <f aca="false">'Raw Data'!K685</f>
        <v>122.2</v>
      </c>
      <c r="G685" s="7" t="str">
        <f aca="false">'Raw Data'!L685</f>
        <v>No</v>
      </c>
      <c r="H685" s="7" t="str">
        <f aca="false">'Raw Data'!M685</f>
        <v>Moderate</v>
      </c>
      <c r="I685" s="7" t="n">
        <f aca="false">(IF(D685="Current",3,IF(D685="Former",1,0)))+(IF(E685="High",3,IF(E685="Normal",1,0)))+(IF(F685&gt;=240,2,IF(F685&gt;=200,1,0)))+(IF(G685="Yes",2,0))+(IF(H685="High",2,IF(H685="Moderate",1,0)))</f>
        <v>4</v>
      </c>
      <c r="J685" s="7" t="str">
        <f aca="false">IF(I685&gt;=8,"High",IF(I685&gt;=4,"Medium","Low"))</f>
        <v>Medium</v>
      </c>
    </row>
    <row r="686" customFormat="false" ht="15" hidden="false" customHeight="true" outlineLevel="0" collapsed="false">
      <c r="A686" s="7" t="n">
        <f aca="false">'Raw Data'!A686</f>
        <v>80</v>
      </c>
      <c r="B686" s="7" t="n">
        <f aca="false">'Raw Data'!B686</f>
        <v>77</v>
      </c>
      <c r="C686" s="7" t="str">
        <f aca="false">'Raw Data'!C686</f>
        <v>Male</v>
      </c>
      <c r="D686" s="7" t="str">
        <f aca="false">'Raw Data'!D686</f>
        <v>Never</v>
      </c>
      <c r="E686" s="7" t="str">
        <f aca="false">'Raw Data'!J686</f>
        <v>High</v>
      </c>
      <c r="F686" s="7" t="n">
        <f aca="false">'Raw Data'!K686</f>
        <v>124.1</v>
      </c>
      <c r="G686" s="7" t="str">
        <f aca="false">'Raw Data'!L686</f>
        <v>No</v>
      </c>
      <c r="H686" s="7" t="str">
        <f aca="false">'Raw Data'!M686</f>
        <v>Moderate</v>
      </c>
      <c r="I686" s="7" t="n">
        <f aca="false">(IF(D686="Current",3,IF(D686="Former",1,0)))+(IF(E686="High",3,IF(E686="Normal",1,0)))+(IF(F686&gt;=240,2,IF(F686&gt;=200,1,0)))+(IF(G686="Yes",2,0))+(IF(H686="High",2,IF(H686="Moderate",1,0)))</f>
        <v>4</v>
      </c>
      <c r="J686" s="7" t="str">
        <f aca="false">IF(I686&gt;=8,"High",IF(I686&gt;=4,"Medium","Low"))</f>
        <v>Medium</v>
      </c>
    </row>
    <row r="687" customFormat="false" ht="15" hidden="false" customHeight="true" outlineLevel="0" collapsed="false">
      <c r="A687" s="7" t="n">
        <f aca="false">'Raw Data'!A687</f>
        <v>84</v>
      </c>
      <c r="B687" s="7" t="n">
        <f aca="false">'Raw Data'!B687</f>
        <v>68</v>
      </c>
      <c r="C687" s="7" t="str">
        <f aca="false">'Raw Data'!C687</f>
        <v>Female</v>
      </c>
      <c r="D687" s="7" t="str">
        <f aca="false">'Raw Data'!D687</f>
        <v>Never</v>
      </c>
      <c r="E687" s="7" t="str">
        <f aca="false">'Raw Data'!J687</f>
        <v>High</v>
      </c>
      <c r="F687" s="7" t="n">
        <f aca="false">'Raw Data'!K687</f>
        <v>185.2</v>
      </c>
      <c r="G687" s="7" t="str">
        <f aca="false">'Raw Data'!L687</f>
        <v>No</v>
      </c>
      <c r="H687" s="7" t="str">
        <f aca="false">'Raw Data'!M687</f>
        <v>Moderate</v>
      </c>
      <c r="I687" s="7" t="n">
        <f aca="false">(IF(D687="Current",3,IF(D687="Former",1,0)))+(IF(E687="High",3,IF(E687="Normal",1,0)))+(IF(F687&gt;=240,2,IF(F687&gt;=200,1,0)))+(IF(G687="Yes",2,0))+(IF(H687="High",2,IF(H687="Moderate",1,0)))</f>
        <v>4</v>
      </c>
      <c r="J687" s="7" t="str">
        <f aca="false">IF(I687&gt;=8,"High",IF(I687&gt;=4,"Medium","Low"))</f>
        <v>Medium</v>
      </c>
    </row>
    <row r="688" customFormat="false" ht="15" hidden="false" customHeight="true" outlineLevel="0" collapsed="false">
      <c r="A688" s="7" t="n">
        <f aca="false">'Raw Data'!A688</f>
        <v>112</v>
      </c>
      <c r="B688" s="7" t="n">
        <f aca="false">'Raw Data'!B688</f>
        <v>73</v>
      </c>
      <c r="C688" s="7" t="str">
        <f aca="false">'Raw Data'!C688</f>
        <v>Male</v>
      </c>
      <c r="D688" s="7" t="str">
        <f aca="false">'Raw Data'!D688</f>
        <v>Never</v>
      </c>
      <c r="E688" s="7" t="str">
        <f aca="false">'Raw Data'!J688</f>
        <v>High</v>
      </c>
      <c r="F688" s="7" t="n">
        <f aca="false">'Raw Data'!K688</f>
        <v>275.2</v>
      </c>
      <c r="G688" s="7" t="str">
        <f aca="false">'Raw Data'!L688</f>
        <v>No</v>
      </c>
      <c r="H688" s="7" t="str">
        <f aca="false">'Raw Data'!M688</f>
        <v>Moderate</v>
      </c>
      <c r="I688" s="7" t="n">
        <f aca="false">(IF(D688="Current",3,IF(D688="Former",1,0)))+(IF(E688="High",3,IF(E688="Normal",1,0)))+(IF(F688&gt;=240,2,IF(F688&gt;=200,1,0)))+(IF(G688="Yes",2,0))+(IF(H688="High",2,IF(H688="Moderate",1,0)))</f>
        <v>6</v>
      </c>
      <c r="J688" s="7" t="str">
        <f aca="false">IF(I688&gt;=8,"High",IF(I688&gt;=4,"Medium","Low"))</f>
        <v>Medium</v>
      </c>
    </row>
    <row r="689" customFormat="false" ht="15" hidden="false" customHeight="true" outlineLevel="0" collapsed="false">
      <c r="A689" s="7" t="n">
        <f aca="false">'Raw Data'!A689</f>
        <v>191</v>
      </c>
      <c r="B689" s="7" t="n">
        <f aca="false">'Raw Data'!B689</f>
        <v>38</v>
      </c>
      <c r="C689" s="7" t="str">
        <f aca="false">'Raw Data'!C689</f>
        <v>Female</v>
      </c>
      <c r="D689" s="7" t="str">
        <f aca="false">'Raw Data'!D689</f>
        <v>Never</v>
      </c>
      <c r="E689" s="7" t="str">
        <f aca="false">'Raw Data'!J689</f>
        <v>High</v>
      </c>
      <c r="F689" s="7" t="n">
        <f aca="false">'Raw Data'!K689</f>
        <v>219.8</v>
      </c>
      <c r="G689" s="7" t="str">
        <f aca="false">'Raw Data'!L689</f>
        <v>Yes</v>
      </c>
      <c r="H689" s="7" t="str">
        <f aca="false">'Raw Data'!M689</f>
        <v>Moderate</v>
      </c>
      <c r="I689" s="7" t="n">
        <f aca="false">(IF(D689="Current",3,IF(D689="Former",1,0)))+(IF(E689="High",3,IF(E689="Normal",1,0)))+(IF(F689&gt;=240,2,IF(F689&gt;=200,1,0)))+(IF(G689="Yes",2,0))+(IF(H689="High",2,IF(H689="Moderate",1,0)))</f>
        <v>7</v>
      </c>
      <c r="J689" s="7" t="str">
        <f aca="false">IF(I689&gt;=8,"High",IF(I689&gt;=4,"Medium","Low"))</f>
        <v>Medium</v>
      </c>
    </row>
    <row r="690" customFormat="false" ht="15" hidden="false" customHeight="true" outlineLevel="0" collapsed="false">
      <c r="A690" s="7" t="n">
        <f aca="false">'Raw Data'!A690</f>
        <v>192</v>
      </c>
      <c r="B690" s="7" t="n">
        <f aca="false">'Raw Data'!B690</f>
        <v>31</v>
      </c>
      <c r="C690" s="7" t="str">
        <f aca="false">'Raw Data'!C690</f>
        <v>Male</v>
      </c>
      <c r="D690" s="7" t="str">
        <f aca="false">'Raw Data'!D690</f>
        <v>Never</v>
      </c>
      <c r="E690" s="7" t="str">
        <f aca="false">'Raw Data'!J690</f>
        <v>High</v>
      </c>
      <c r="F690" s="7" t="n">
        <f aca="false">'Raw Data'!K690</f>
        <v>271.6</v>
      </c>
      <c r="G690" s="7" t="str">
        <f aca="false">'Raw Data'!L690</f>
        <v>No</v>
      </c>
      <c r="H690" s="7" t="str">
        <f aca="false">'Raw Data'!M690</f>
        <v>Moderate</v>
      </c>
      <c r="I690" s="7" t="n">
        <f aca="false">(IF(D690="Current",3,IF(D690="Former",1,0)))+(IF(E690="High",3,IF(E690="Normal",1,0)))+(IF(F690&gt;=240,2,IF(F690&gt;=200,1,0)))+(IF(G690="Yes",2,0))+(IF(H690="High",2,IF(H690="Moderate",1,0)))</f>
        <v>6</v>
      </c>
      <c r="J690" s="7" t="str">
        <f aca="false">IF(I690&gt;=8,"High",IF(I690&gt;=4,"Medium","Low"))</f>
        <v>Medium</v>
      </c>
    </row>
    <row r="691" customFormat="false" ht="15" hidden="false" customHeight="true" outlineLevel="0" collapsed="false">
      <c r="A691" s="7" t="n">
        <f aca="false">'Raw Data'!A691</f>
        <v>220</v>
      </c>
      <c r="B691" s="7" t="n">
        <f aca="false">'Raw Data'!B691</f>
        <v>80</v>
      </c>
      <c r="C691" s="7" t="str">
        <f aca="false">'Raw Data'!C691</f>
        <v>Male</v>
      </c>
      <c r="D691" s="7" t="str">
        <f aca="false">'Raw Data'!D691</f>
        <v>Never</v>
      </c>
      <c r="E691" s="7" t="str">
        <f aca="false">'Raw Data'!J691</f>
        <v>High</v>
      </c>
      <c r="F691" s="7" t="n">
        <f aca="false">'Raw Data'!K691</f>
        <v>282.6</v>
      </c>
      <c r="G691" s="7" t="str">
        <f aca="false">'Raw Data'!L691</f>
        <v>Yes</v>
      </c>
      <c r="H691" s="7" t="str">
        <f aca="false">'Raw Data'!M691</f>
        <v>Moderate</v>
      </c>
      <c r="I691" s="7" t="n">
        <f aca="false">(IF(D691="Current",3,IF(D691="Former",1,0)))+(IF(E691="High",3,IF(E691="Normal",1,0)))+(IF(F691&gt;=240,2,IF(F691&gt;=200,1,0)))+(IF(G691="Yes",2,0))+(IF(H691="High",2,IF(H691="Moderate",1,0)))</f>
        <v>8</v>
      </c>
      <c r="J691" s="7" t="str">
        <f aca="false">IF(I691&gt;=8,"High",IF(I691&gt;=4,"Medium","Low"))</f>
        <v>High</v>
      </c>
    </row>
    <row r="692" customFormat="false" ht="15" hidden="false" customHeight="true" outlineLevel="0" collapsed="false">
      <c r="A692" s="7" t="n">
        <f aca="false">'Raw Data'!A692</f>
        <v>223</v>
      </c>
      <c r="B692" s="7" t="n">
        <f aca="false">'Raw Data'!B692</f>
        <v>68</v>
      </c>
      <c r="C692" s="7" t="str">
        <f aca="false">'Raw Data'!C692</f>
        <v>Male</v>
      </c>
      <c r="D692" s="7" t="str">
        <f aca="false">'Raw Data'!D692</f>
        <v>Never</v>
      </c>
      <c r="E692" s="7" t="str">
        <f aca="false">'Raw Data'!J692</f>
        <v>High</v>
      </c>
      <c r="F692" s="7" t="n">
        <f aca="false">'Raw Data'!K692</f>
        <v>231.8</v>
      </c>
      <c r="G692" s="7" t="str">
        <f aca="false">'Raw Data'!L692</f>
        <v>No</v>
      </c>
      <c r="H692" s="7" t="str">
        <f aca="false">'Raw Data'!M692</f>
        <v>Moderate</v>
      </c>
      <c r="I692" s="7" t="n">
        <f aca="false">(IF(D692="Current",3,IF(D692="Former",1,0)))+(IF(E692="High",3,IF(E692="Normal",1,0)))+(IF(F692&gt;=240,2,IF(F692&gt;=200,1,0)))+(IF(G692="Yes",2,0))+(IF(H692="High",2,IF(H692="Moderate",1,0)))</f>
        <v>5</v>
      </c>
      <c r="J692" s="7" t="str">
        <f aca="false">IF(I692&gt;=8,"High",IF(I692&gt;=4,"Medium","Low"))</f>
        <v>Medium</v>
      </c>
    </row>
    <row r="693" customFormat="false" ht="15" hidden="false" customHeight="true" outlineLevel="0" collapsed="false">
      <c r="A693" s="7" t="n">
        <f aca="false">'Raw Data'!A693</f>
        <v>230</v>
      </c>
      <c r="B693" s="7" t="n">
        <f aca="false">'Raw Data'!B693</f>
        <v>72</v>
      </c>
      <c r="C693" s="7" t="str">
        <f aca="false">'Raw Data'!C693</f>
        <v>Male</v>
      </c>
      <c r="D693" s="7" t="str">
        <f aca="false">'Raw Data'!D693</f>
        <v>Never</v>
      </c>
      <c r="E693" s="7" t="str">
        <f aca="false">'Raw Data'!J693</f>
        <v>High</v>
      </c>
      <c r="F693" s="7" t="n">
        <f aca="false">'Raw Data'!K693</f>
        <v>120.5</v>
      </c>
      <c r="G693" s="7" t="str">
        <f aca="false">'Raw Data'!L693</f>
        <v>Yes</v>
      </c>
      <c r="H693" s="7" t="str">
        <f aca="false">'Raw Data'!M693</f>
        <v>Moderate</v>
      </c>
      <c r="I693" s="7" t="n">
        <f aca="false">(IF(D693="Current",3,IF(D693="Former",1,0)))+(IF(E693="High",3,IF(E693="Normal",1,0)))+(IF(F693&gt;=240,2,IF(F693&gt;=200,1,0)))+(IF(G693="Yes",2,0))+(IF(H693="High",2,IF(H693="Moderate",1,0)))</f>
        <v>6</v>
      </c>
      <c r="J693" s="7" t="str">
        <f aca="false">IF(I693&gt;=8,"High",IF(I693&gt;=4,"Medium","Low"))</f>
        <v>Medium</v>
      </c>
    </row>
    <row r="694" customFormat="false" ht="15" hidden="false" customHeight="true" outlineLevel="0" collapsed="false">
      <c r="A694" s="7" t="n">
        <f aca="false">'Raw Data'!A694</f>
        <v>239</v>
      </c>
      <c r="B694" s="7" t="n">
        <f aca="false">'Raw Data'!B694</f>
        <v>82</v>
      </c>
      <c r="C694" s="7" t="str">
        <f aca="false">'Raw Data'!C694</f>
        <v>Male</v>
      </c>
      <c r="D694" s="7" t="str">
        <f aca="false">'Raw Data'!D694</f>
        <v>Never</v>
      </c>
      <c r="E694" s="7" t="str">
        <f aca="false">'Raw Data'!J694</f>
        <v>High</v>
      </c>
      <c r="F694" s="7" t="n">
        <f aca="false">'Raw Data'!K694</f>
        <v>158.9</v>
      </c>
      <c r="G694" s="7" t="str">
        <f aca="false">'Raw Data'!L694</f>
        <v>No</v>
      </c>
      <c r="H694" s="7" t="str">
        <f aca="false">'Raw Data'!M694</f>
        <v>Moderate</v>
      </c>
      <c r="I694" s="7" t="n">
        <f aca="false">(IF(D694="Current",3,IF(D694="Former",1,0)))+(IF(E694="High",3,IF(E694="Normal",1,0)))+(IF(F694&gt;=240,2,IF(F694&gt;=200,1,0)))+(IF(G694="Yes",2,0))+(IF(H694="High",2,IF(H694="Moderate",1,0)))</f>
        <v>4</v>
      </c>
      <c r="J694" s="7" t="str">
        <f aca="false">IF(I694&gt;=8,"High",IF(I694&gt;=4,"Medium","Low"))</f>
        <v>Medium</v>
      </c>
    </row>
    <row r="695" customFormat="false" ht="15" hidden="false" customHeight="true" outlineLevel="0" collapsed="false">
      <c r="A695" s="7" t="n">
        <f aca="false">'Raw Data'!A695</f>
        <v>274</v>
      </c>
      <c r="B695" s="7" t="n">
        <f aca="false">'Raw Data'!B695</f>
        <v>29</v>
      </c>
      <c r="C695" s="7" t="str">
        <f aca="false">'Raw Data'!C695</f>
        <v>Female</v>
      </c>
      <c r="D695" s="7" t="str">
        <f aca="false">'Raw Data'!D695</f>
        <v>Never</v>
      </c>
      <c r="E695" s="7" t="str">
        <f aca="false">'Raw Data'!J695</f>
        <v>High</v>
      </c>
      <c r="F695" s="7" t="n">
        <f aca="false">'Raw Data'!K695</f>
        <v>241.6</v>
      </c>
      <c r="G695" s="7" t="str">
        <f aca="false">'Raw Data'!L695</f>
        <v>No</v>
      </c>
      <c r="H695" s="7" t="str">
        <f aca="false">'Raw Data'!M695</f>
        <v>Moderate</v>
      </c>
      <c r="I695" s="7" t="n">
        <f aca="false">(IF(D695="Current",3,IF(D695="Former",1,0)))+(IF(E695="High",3,IF(E695="Normal",1,0)))+(IF(F695&gt;=240,2,IF(F695&gt;=200,1,0)))+(IF(G695="Yes",2,0))+(IF(H695="High",2,IF(H695="Moderate",1,0)))</f>
        <v>6</v>
      </c>
      <c r="J695" s="7" t="str">
        <f aca="false">IF(I695&gt;=8,"High",IF(I695&gt;=4,"Medium","Low"))</f>
        <v>Medium</v>
      </c>
    </row>
    <row r="696" customFormat="false" ht="15" hidden="false" customHeight="true" outlineLevel="0" collapsed="false">
      <c r="A696" s="7" t="n">
        <f aca="false">'Raw Data'!A696</f>
        <v>421</v>
      </c>
      <c r="B696" s="7" t="n">
        <f aca="false">'Raw Data'!B696</f>
        <v>70</v>
      </c>
      <c r="C696" s="7" t="str">
        <f aca="false">'Raw Data'!C696</f>
        <v>Male</v>
      </c>
      <c r="D696" s="7" t="str">
        <f aca="false">'Raw Data'!D696</f>
        <v>Never</v>
      </c>
      <c r="E696" s="7" t="str">
        <f aca="false">'Raw Data'!J696</f>
        <v>High</v>
      </c>
      <c r="F696" s="7" t="n">
        <f aca="false">'Raw Data'!K696</f>
        <v>139.4</v>
      </c>
      <c r="G696" s="7" t="str">
        <f aca="false">'Raw Data'!L696</f>
        <v>No</v>
      </c>
      <c r="H696" s="7" t="str">
        <f aca="false">'Raw Data'!M696</f>
        <v>Moderate</v>
      </c>
      <c r="I696" s="7" t="n">
        <f aca="false">(IF(D696="Current",3,IF(D696="Former",1,0)))+(IF(E696="High",3,IF(E696="Normal",1,0)))+(IF(F696&gt;=240,2,IF(F696&gt;=200,1,0)))+(IF(G696="Yes",2,0))+(IF(H696="High",2,IF(H696="Moderate",1,0)))</f>
        <v>4</v>
      </c>
      <c r="J696" s="7" t="str">
        <f aca="false">IF(I696&gt;=8,"High",IF(I696&gt;=4,"Medium","Low"))</f>
        <v>Medium</v>
      </c>
    </row>
    <row r="697" customFormat="false" ht="15" hidden="false" customHeight="true" outlineLevel="0" collapsed="false">
      <c r="A697" s="7" t="n">
        <f aca="false">'Raw Data'!A697</f>
        <v>452</v>
      </c>
      <c r="B697" s="7" t="n">
        <f aca="false">'Raw Data'!B697</f>
        <v>52</v>
      </c>
      <c r="C697" s="7" t="str">
        <f aca="false">'Raw Data'!C697</f>
        <v>Female</v>
      </c>
      <c r="D697" s="7" t="str">
        <f aca="false">'Raw Data'!D697</f>
        <v>Never</v>
      </c>
      <c r="E697" s="7" t="str">
        <f aca="false">'Raw Data'!J697</f>
        <v>High</v>
      </c>
      <c r="F697" s="7" t="n">
        <f aca="false">'Raw Data'!K697</f>
        <v>223.9</v>
      </c>
      <c r="G697" s="7" t="str">
        <f aca="false">'Raw Data'!L697</f>
        <v>No</v>
      </c>
      <c r="H697" s="7" t="str">
        <f aca="false">'Raw Data'!M697</f>
        <v>Moderate</v>
      </c>
      <c r="I697" s="7" t="n">
        <f aca="false">(IF(D697="Current",3,IF(D697="Former",1,0)))+(IF(E697="High",3,IF(E697="Normal",1,0)))+(IF(F697&gt;=240,2,IF(F697&gt;=200,1,0)))+(IF(G697="Yes",2,0))+(IF(H697="High",2,IF(H697="Moderate",1,0)))</f>
        <v>5</v>
      </c>
      <c r="J697" s="7" t="str">
        <f aca="false">IF(I697&gt;=8,"High",IF(I697&gt;=4,"Medium","Low"))</f>
        <v>Medium</v>
      </c>
    </row>
    <row r="698" customFormat="false" ht="15" hidden="false" customHeight="true" outlineLevel="0" collapsed="false">
      <c r="A698" s="7" t="n">
        <f aca="false">'Raw Data'!A698</f>
        <v>486</v>
      </c>
      <c r="B698" s="7" t="n">
        <f aca="false">'Raw Data'!B698</f>
        <v>51</v>
      </c>
      <c r="C698" s="7" t="str">
        <f aca="false">'Raw Data'!C698</f>
        <v>Male</v>
      </c>
      <c r="D698" s="7" t="str">
        <f aca="false">'Raw Data'!D698</f>
        <v>Never</v>
      </c>
      <c r="E698" s="7" t="str">
        <f aca="false">'Raw Data'!J698</f>
        <v>High</v>
      </c>
      <c r="F698" s="7" t="n">
        <f aca="false">'Raw Data'!K698</f>
        <v>245.4</v>
      </c>
      <c r="G698" s="7" t="str">
        <f aca="false">'Raw Data'!L698</f>
        <v>No</v>
      </c>
      <c r="H698" s="7" t="str">
        <f aca="false">'Raw Data'!M698</f>
        <v>Moderate</v>
      </c>
      <c r="I698" s="7" t="n">
        <f aca="false">(IF(D698="Current",3,IF(D698="Former",1,0)))+(IF(E698="High",3,IF(E698="Normal",1,0)))+(IF(F698&gt;=240,2,IF(F698&gt;=200,1,0)))+(IF(G698="Yes",2,0))+(IF(H698="High",2,IF(H698="Moderate",1,0)))</f>
        <v>6</v>
      </c>
      <c r="J698" s="7" t="str">
        <f aca="false">IF(I698&gt;=8,"High",IF(I698&gt;=4,"Medium","Low"))</f>
        <v>Medium</v>
      </c>
    </row>
    <row r="699" customFormat="false" ht="15" hidden="false" customHeight="true" outlineLevel="0" collapsed="false">
      <c r="A699" s="7" t="n">
        <f aca="false">'Raw Data'!A699</f>
        <v>508</v>
      </c>
      <c r="B699" s="7" t="n">
        <f aca="false">'Raw Data'!B699</f>
        <v>55</v>
      </c>
      <c r="C699" s="7" t="str">
        <f aca="false">'Raw Data'!C699</f>
        <v>Female</v>
      </c>
      <c r="D699" s="7" t="str">
        <f aca="false">'Raw Data'!D699</f>
        <v>Never</v>
      </c>
      <c r="E699" s="7" t="str">
        <f aca="false">'Raw Data'!J699</f>
        <v>High</v>
      </c>
      <c r="F699" s="7" t="n">
        <f aca="false">'Raw Data'!K699</f>
        <v>122.2</v>
      </c>
      <c r="G699" s="7" t="str">
        <f aca="false">'Raw Data'!L699</f>
        <v>No</v>
      </c>
      <c r="H699" s="7" t="str">
        <f aca="false">'Raw Data'!M699</f>
        <v>Moderate</v>
      </c>
      <c r="I699" s="7" t="n">
        <f aca="false">(IF(D699="Current",3,IF(D699="Former",1,0)))+(IF(E699="High",3,IF(E699="Normal",1,0)))+(IF(F699&gt;=240,2,IF(F699&gt;=200,1,0)))+(IF(G699="Yes",2,0))+(IF(H699="High",2,IF(H699="Moderate",1,0)))</f>
        <v>4</v>
      </c>
      <c r="J699" s="7" t="str">
        <f aca="false">IF(I699&gt;=8,"High",IF(I699&gt;=4,"Medium","Low"))</f>
        <v>Medium</v>
      </c>
    </row>
    <row r="700" customFormat="false" ht="15" hidden="false" customHeight="true" outlineLevel="0" collapsed="false">
      <c r="A700" s="7" t="n">
        <f aca="false">'Raw Data'!A700</f>
        <v>512</v>
      </c>
      <c r="B700" s="7" t="n">
        <f aca="false">'Raw Data'!B700</f>
        <v>89</v>
      </c>
      <c r="C700" s="7" t="str">
        <f aca="false">'Raw Data'!C700</f>
        <v>Male</v>
      </c>
      <c r="D700" s="7" t="str">
        <f aca="false">'Raw Data'!D700</f>
        <v>Never</v>
      </c>
      <c r="E700" s="7" t="str">
        <f aca="false">'Raw Data'!J700</f>
        <v>High</v>
      </c>
      <c r="F700" s="7" t="n">
        <f aca="false">'Raw Data'!K700</f>
        <v>276.3</v>
      </c>
      <c r="G700" s="7" t="str">
        <f aca="false">'Raw Data'!L700</f>
        <v>No</v>
      </c>
      <c r="H700" s="7" t="str">
        <f aca="false">'Raw Data'!M700</f>
        <v>Moderate</v>
      </c>
      <c r="I700" s="7" t="n">
        <f aca="false">(IF(D700="Current",3,IF(D700="Former",1,0)))+(IF(E700="High",3,IF(E700="Normal",1,0)))+(IF(F700&gt;=240,2,IF(F700&gt;=200,1,0)))+(IF(G700="Yes",2,0))+(IF(H700="High",2,IF(H700="Moderate",1,0)))</f>
        <v>6</v>
      </c>
      <c r="J700" s="7" t="str">
        <f aca="false">IF(I700&gt;=8,"High",IF(I700&gt;=4,"Medium","Low"))</f>
        <v>Medium</v>
      </c>
    </row>
    <row r="701" customFormat="false" ht="15" hidden="false" customHeight="true" outlineLevel="0" collapsed="false">
      <c r="A701" s="7" t="n">
        <f aca="false">'Raw Data'!A701</f>
        <v>519</v>
      </c>
      <c r="B701" s="7" t="n">
        <f aca="false">'Raw Data'!B701</f>
        <v>26</v>
      </c>
      <c r="C701" s="7" t="str">
        <f aca="false">'Raw Data'!C701</f>
        <v>Female</v>
      </c>
      <c r="D701" s="7" t="str">
        <f aca="false">'Raw Data'!D701</f>
        <v>Never</v>
      </c>
      <c r="E701" s="7" t="str">
        <f aca="false">'Raw Data'!J701</f>
        <v>High</v>
      </c>
      <c r="F701" s="7" t="n">
        <f aca="false">'Raw Data'!K701</f>
        <v>144.1</v>
      </c>
      <c r="G701" s="7" t="str">
        <f aca="false">'Raw Data'!L701</f>
        <v>No</v>
      </c>
      <c r="H701" s="7" t="str">
        <f aca="false">'Raw Data'!M701</f>
        <v>Moderate</v>
      </c>
      <c r="I701" s="7" t="n">
        <f aca="false">(IF(D701="Current",3,IF(D701="Former",1,0)))+(IF(E701="High",3,IF(E701="Normal",1,0)))+(IF(F701&gt;=240,2,IF(F701&gt;=200,1,0)))+(IF(G701="Yes",2,0))+(IF(H701="High",2,IF(H701="Moderate",1,0)))</f>
        <v>4</v>
      </c>
      <c r="J701" s="7" t="str">
        <f aca="false">IF(I701&gt;=8,"High",IF(I701&gt;=4,"Medium","Low"))</f>
        <v>Medium</v>
      </c>
    </row>
    <row r="702" customFormat="false" ht="15" hidden="false" customHeight="true" outlineLevel="0" collapsed="false">
      <c r="A702" s="7" t="n">
        <f aca="false">'Raw Data'!A702</f>
        <v>556</v>
      </c>
      <c r="B702" s="7" t="n">
        <f aca="false">'Raw Data'!B702</f>
        <v>59</v>
      </c>
      <c r="C702" s="7" t="str">
        <f aca="false">'Raw Data'!C702</f>
        <v>Male</v>
      </c>
      <c r="D702" s="7" t="str">
        <f aca="false">'Raw Data'!D702</f>
        <v>Never</v>
      </c>
      <c r="E702" s="7" t="str">
        <f aca="false">'Raw Data'!J702</f>
        <v>High</v>
      </c>
      <c r="F702" s="7" t="n">
        <f aca="false">'Raw Data'!K702</f>
        <v>294.5</v>
      </c>
      <c r="G702" s="7" t="str">
        <f aca="false">'Raw Data'!L702</f>
        <v>No</v>
      </c>
      <c r="H702" s="7" t="str">
        <f aca="false">'Raw Data'!M702</f>
        <v>Moderate</v>
      </c>
      <c r="I702" s="7" t="n">
        <f aca="false">(IF(D702="Current",3,IF(D702="Former",1,0)))+(IF(E702="High",3,IF(E702="Normal",1,0)))+(IF(F702&gt;=240,2,IF(F702&gt;=200,1,0)))+(IF(G702="Yes",2,0))+(IF(H702="High",2,IF(H702="Moderate",1,0)))</f>
        <v>6</v>
      </c>
      <c r="J702" s="7" t="str">
        <f aca="false">IF(I702&gt;=8,"High",IF(I702&gt;=4,"Medium","Low"))</f>
        <v>Medium</v>
      </c>
    </row>
    <row r="703" customFormat="false" ht="15" hidden="false" customHeight="true" outlineLevel="0" collapsed="false">
      <c r="A703" s="7" t="n">
        <f aca="false">'Raw Data'!A703</f>
        <v>568</v>
      </c>
      <c r="B703" s="7" t="n">
        <f aca="false">'Raw Data'!B703</f>
        <v>82</v>
      </c>
      <c r="C703" s="7" t="str">
        <f aca="false">'Raw Data'!C703</f>
        <v>Male</v>
      </c>
      <c r="D703" s="7" t="str">
        <f aca="false">'Raw Data'!D703</f>
        <v>Never</v>
      </c>
      <c r="E703" s="7" t="str">
        <f aca="false">'Raw Data'!J703</f>
        <v>High</v>
      </c>
      <c r="F703" s="7" t="n">
        <f aca="false">'Raw Data'!K703</f>
        <v>157.8</v>
      </c>
      <c r="G703" s="7" t="str">
        <f aca="false">'Raw Data'!L703</f>
        <v>No</v>
      </c>
      <c r="H703" s="7" t="str">
        <f aca="false">'Raw Data'!M703</f>
        <v>Moderate</v>
      </c>
      <c r="I703" s="7" t="n">
        <f aca="false">(IF(D703="Current",3,IF(D703="Former",1,0)))+(IF(E703="High",3,IF(E703="Normal",1,0)))+(IF(F703&gt;=240,2,IF(F703&gt;=200,1,0)))+(IF(G703="Yes",2,0))+(IF(H703="High",2,IF(H703="Moderate",1,0)))</f>
        <v>4</v>
      </c>
      <c r="J703" s="7" t="str">
        <f aca="false">IF(I703&gt;=8,"High",IF(I703&gt;=4,"Medium","Low"))</f>
        <v>Medium</v>
      </c>
    </row>
    <row r="704" customFormat="false" ht="15" hidden="false" customHeight="true" outlineLevel="0" collapsed="false">
      <c r="A704" s="7" t="n">
        <f aca="false">'Raw Data'!A704</f>
        <v>590</v>
      </c>
      <c r="B704" s="7" t="n">
        <f aca="false">'Raw Data'!B704</f>
        <v>35</v>
      </c>
      <c r="C704" s="7" t="str">
        <f aca="false">'Raw Data'!C704</f>
        <v>Female</v>
      </c>
      <c r="D704" s="7" t="str">
        <f aca="false">'Raw Data'!D704</f>
        <v>Never</v>
      </c>
      <c r="E704" s="7" t="str">
        <f aca="false">'Raw Data'!J704</f>
        <v>High</v>
      </c>
      <c r="F704" s="7" t="n">
        <f aca="false">'Raw Data'!K704</f>
        <v>206.4</v>
      </c>
      <c r="G704" s="7" t="str">
        <f aca="false">'Raw Data'!L704</f>
        <v>No</v>
      </c>
      <c r="H704" s="7" t="str">
        <f aca="false">'Raw Data'!M704</f>
        <v>Moderate</v>
      </c>
      <c r="I704" s="7" t="n">
        <f aca="false">(IF(D704="Current",3,IF(D704="Former",1,0)))+(IF(E704="High",3,IF(E704="Normal",1,0)))+(IF(F704&gt;=240,2,IF(F704&gt;=200,1,0)))+(IF(G704="Yes",2,0))+(IF(H704="High",2,IF(H704="Moderate",1,0)))</f>
        <v>5</v>
      </c>
      <c r="J704" s="7" t="str">
        <f aca="false">IF(I704&gt;=8,"High",IF(I704&gt;=4,"Medium","Low"))</f>
        <v>Medium</v>
      </c>
    </row>
    <row r="705" customFormat="false" ht="15" hidden="false" customHeight="true" outlineLevel="0" collapsed="false">
      <c r="A705" s="7" t="n">
        <f aca="false">'Raw Data'!A705</f>
        <v>625</v>
      </c>
      <c r="B705" s="7" t="n">
        <f aca="false">'Raw Data'!B705</f>
        <v>56</v>
      </c>
      <c r="C705" s="7" t="str">
        <f aca="false">'Raw Data'!C705</f>
        <v>Female</v>
      </c>
      <c r="D705" s="7" t="str">
        <f aca="false">'Raw Data'!D705</f>
        <v>Never</v>
      </c>
      <c r="E705" s="7" t="str">
        <f aca="false">'Raw Data'!J705</f>
        <v>High</v>
      </c>
      <c r="F705" s="7" t="n">
        <f aca="false">'Raw Data'!K705</f>
        <v>132.7</v>
      </c>
      <c r="G705" s="7" t="str">
        <f aca="false">'Raw Data'!L705</f>
        <v>No</v>
      </c>
      <c r="H705" s="7" t="str">
        <f aca="false">'Raw Data'!M705</f>
        <v>Moderate</v>
      </c>
      <c r="I705" s="7" t="n">
        <f aca="false">(IF(D705="Current",3,IF(D705="Former",1,0)))+(IF(E705="High",3,IF(E705="Normal",1,0)))+(IF(F705&gt;=240,2,IF(F705&gt;=200,1,0)))+(IF(G705="Yes",2,0))+(IF(H705="High",2,IF(H705="Moderate",1,0)))</f>
        <v>4</v>
      </c>
      <c r="J705" s="7" t="str">
        <f aca="false">IF(I705&gt;=8,"High",IF(I705&gt;=4,"Medium","Low"))</f>
        <v>Medium</v>
      </c>
    </row>
    <row r="706" customFormat="false" ht="15" hidden="false" customHeight="true" outlineLevel="0" collapsed="false">
      <c r="A706" s="7" t="n">
        <f aca="false">'Raw Data'!A706</f>
        <v>630</v>
      </c>
      <c r="B706" s="7" t="n">
        <f aca="false">'Raw Data'!B706</f>
        <v>72</v>
      </c>
      <c r="C706" s="7" t="str">
        <f aca="false">'Raw Data'!C706</f>
        <v>Female</v>
      </c>
      <c r="D706" s="7" t="str">
        <f aca="false">'Raw Data'!D706</f>
        <v>Never</v>
      </c>
      <c r="E706" s="7" t="str">
        <f aca="false">'Raw Data'!J706</f>
        <v>High</v>
      </c>
      <c r="F706" s="7" t="n">
        <f aca="false">'Raw Data'!K706</f>
        <v>217.4</v>
      </c>
      <c r="G706" s="7" t="str">
        <f aca="false">'Raw Data'!L706</f>
        <v>No</v>
      </c>
      <c r="H706" s="7" t="str">
        <f aca="false">'Raw Data'!M706</f>
        <v>Moderate</v>
      </c>
      <c r="I706" s="7" t="n">
        <f aca="false">(IF(D706="Current",3,IF(D706="Former",1,0)))+(IF(E706="High",3,IF(E706="Normal",1,0)))+(IF(F706&gt;=240,2,IF(F706&gt;=200,1,0)))+(IF(G706="Yes",2,0))+(IF(H706="High",2,IF(H706="Moderate",1,0)))</f>
        <v>5</v>
      </c>
      <c r="J706" s="7" t="str">
        <f aca="false">IF(I706&gt;=8,"High",IF(I706&gt;=4,"Medium","Low"))</f>
        <v>Medium</v>
      </c>
    </row>
    <row r="707" customFormat="false" ht="15" hidden="false" customHeight="true" outlineLevel="0" collapsed="false">
      <c r="A707" s="7" t="n">
        <f aca="false">'Raw Data'!A707</f>
        <v>727</v>
      </c>
      <c r="B707" s="7" t="n">
        <f aca="false">'Raw Data'!B707</f>
        <v>72</v>
      </c>
      <c r="C707" s="7" t="str">
        <f aca="false">'Raw Data'!C707</f>
        <v>Female</v>
      </c>
      <c r="D707" s="7" t="str">
        <f aca="false">'Raw Data'!D707</f>
        <v>Never</v>
      </c>
      <c r="E707" s="7" t="str">
        <f aca="false">'Raw Data'!J707</f>
        <v>High</v>
      </c>
      <c r="F707" s="7" t="n">
        <f aca="false">'Raw Data'!K707</f>
        <v>124</v>
      </c>
      <c r="G707" s="7" t="str">
        <f aca="false">'Raw Data'!L707</f>
        <v>No</v>
      </c>
      <c r="H707" s="7" t="str">
        <f aca="false">'Raw Data'!M707</f>
        <v>Moderate</v>
      </c>
      <c r="I707" s="7" t="n">
        <f aca="false">(IF(D707="Current",3,IF(D707="Former",1,0)))+(IF(E707="High",3,IF(E707="Normal",1,0)))+(IF(F707&gt;=240,2,IF(F707&gt;=200,1,0)))+(IF(G707="Yes",2,0))+(IF(H707="High",2,IF(H707="Moderate",1,0)))</f>
        <v>4</v>
      </c>
      <c r="J707" s="7" t="str">
        <f aca="false">IF(I707&gt;=8,"High",IF(I707&gt;=4,"Medium","Low"))</f>
        <v>Medium</v>
      </c>
    </row>
    <row r="708" customFormat="false" ht="15" hidden="false" customHeight="true" outlineLevel="0" collapsed="false">
      <c r="A708" s="7" t="n">
        <f aca="false">'Raw Data'!A708</f>
        <v>781</v>
      </c>
      <c r="B708" s="7" t="n">
        <f aca="false">'Raw Data'!B708</f>
        <v>64</v>
      </c>
      <c r="C708" s="7" t="str">
        <f aca="false">'Raw Data'!C708</f>
        <v>Male</v>
      </c>
      <c r="D708" s="7" t="str">
        <f aca="false">'Raw Data'!D708</f>
        <v>Never</v>
      </c>
      <c r="E708" s="7" t="str">
        <f aca="false">'Raw Data'!J708</f>
        <v>High</v>
      </c>
      <c r="F708" s="7" t="n">
        <f aca="false">'Raw Data'!K708</f>
        <v>161.4</v>
      </c>
      <c r="G708" s="7" t="str">
        <f aca="false">'Raw Data'!L708</f>
        <v>No</v>
      </c>
      <c r="H708" s="7" t="str">
        <f aca="false">'Raw Data'!M708</f>
        <v>Moderate</v>
      </c>
      <c r="I708" s="7" t="n">
        <f aca="false">(IF(D708="Current",3,IF(D708="Former",1,0)))+(IF(E708="High",3,IF(E708="Normal",1,0)))+(IF(F708&gt;=240,2,IF(F708&gt;=200,1,0)))+(IF(G708="Yes",2,0))+(IF(H708="High",2,IF(H708="Moderate",1,0)))</f>
        <v>4</v>
      </c>
      <c r="J708" s="7" t="str">
        <f aca="false">IF(I708&gt;=8,"High",IF(I708&gt;=4,"Medium","Low"))</f>
        <v>Medium</v>
      </c>
    </row>
    <row r="709" customFormat="false" ht="15" hidden="false" customHeight="true" outlineLevel="0" collapsed="false">
      <c r="A709" s="7" t="n">
        <f aca="false">'Raw Data'!A709</f>
        <v>787</v>
      </c>
      <c r="B709" s="7" t="n">
        <f aca="false">'Raw Data'!B709</f>
        <v>85</v>
      </c>
      <c r="C709" s="7" t="str">
        <f aca="false">'Raw Data'!C709</f>
        <v>Male</v>
      </c>
      <c r="D709" s="7" t="str">
        <f aca="false">'Raw Data'!D709</f>
        <v>Never</v>
      </c>
      <c r="E709" s="7" t="str">
        <f aca="false">'Raw Data'!J709</f>
        <v>High</v>
      </c>
      <c r="F709" s="7" t="n">
        <f aca="false">'Raw Data'!K709</f>
        <v>148.5</v>
      </c>
      <c r="G709" s="7" t="str">
        <f aca="false">'Raw Data'!L709</f>
        <v>No</v>
      </c>
      <c r="H709" s="7" t="str">
        <f aca="false">'Raw Data'!M709</f>
        <v>Moderate</v>
      </c>
      <c r="I709" s="7" t="n">
        <f aca="false">(IF(D709="Current",3,IF(D709="Former",1,0)))+(IF(E709="High",3,IF(E709="Normal",1,0)))+(IF(F709&gt;=240,2,IF(F709&gt;=200,1,0)))+(IF(G709="Yes",2,0))+(IF(H709="High",2,IF(H709="Moderate",1,0)))</f>
        <v>4</v>
      </c>
      <c r="J709" s="7" t="str">
        <f aca="false">IF(I709&gt;=8,"High",IF(I709&gt;=4,"Medium","Low"))</f>
        <v>Medium</v>
      </c>
    </row>
    <row r="710" customFormat="false" ht="15" hidden="false" customHeight="true" outlineLevel="0" collapsed="false">
      <c r="A710" s="7" t="n">
        <f aca="false">'Raw Data'!A710</f>
        <v>808</v>
      </c>
      <c r="B710" s="7" t="n">
        <f aca="false">'Raw Data'!B710</f>
        <v>27</v>
      </c>
      <c r="C710" s="7" t="str">
        <f aca="false">'Raw Data'!C710</f>
        <v>Male</v>
      </c>
      <c r="D710" s="7" t="str">
        <f aca="false">'Raw Data'!D710</f>
        <v>Never</v>
      </c>
      <c r="E710" s="7" t="str">
        <f aca="false">'Raw Data'!J710</f>
        <v>High</v>
      </c>
      <c r="F710" s="7" t="n">
        <f aca="false">'Raw Data'!K710</f>
        <v>279.8</v>
      </c>
      <c r="G710" s="7" t="str">
        <f aca="false">'Raw Data'!L710</f>
        <v>Yes</v>
      </c>
      <c r="H710" s="7" t="str">
        <f aca="false">'Raw Data'!M710</f>
        <v>Moderate</v>
      </c>
      <c r="I710" s="7" t="n">
        <f aca="false">(IF(D710="Current",3,IF(D710="Former",1,0)))+(IF(E710="High",3,IF(E710="Normal",1,0)))+(IF(F710&gt;=240,2,IF(F710&gt;=200,1,0)))+(IF(G710="Yes",2,0))+(IF(H710="High",2,IF(H710="Moderate",1,0)))</f>
        <v>8</v>
      </c>
      <c r="J710" s="7" t="str">
        <f aca="false">IF(I710&gt;=8,"High",IF(I710&gt;=4,"Medium","Low"))</f>
        <v>High</v>
      </c>
    </row>
    <row r="711" customFormat="false" ht="15" hidden="false" customHeight="true" outlineLevel="0" collapsed="false">
      <c r="A711" s="7" t="n">
        <f aca="false">'Raw Data'!A711</f>
        <v>829</v>
      </c>
      <c r="B711" s="7" t="n">
        <f aca="false">'Raw Data'!B711</f>
        <v>54</v>
      </c>
      <c r="C711" s="7" t="str">
        <f aca="false">'Raw Data'!C711</f>
        <v>Male</v>
      </c>
      <c r="D711" s="7" t="str">
        <f aca="false">'Raw Data'!D711</f>
        <v>Never</v>
      </c>
      <c r="E711" s="7" t="str">
        <f aca="false">'Raw Data'!J711</f>
        <v>High</v>
      </c>
      <c r="F711" s="7" t="n">
        <f aca="false">'Raw Data'!K711</f>
        <v>296.1</v>
      </c>
      <c r="G711" s="7" t="str">
        <f aca="false">'Raw Data'!L711</f>
        <v>Yes</v>
      </c>
      <c r="H711" s="7" t="str">
        <f aca="false">'Raw Data'!M711</f>
        <v>Moderate</v>
      </c>
      <c r="I711" s="7" t="n">
        <f aca="false">(IF(D711="Current",3,IF(D711="Former",1,0)))+(IF(E711="High",3,IF(E711="Normal",1,0)))+(IF(F711&gt;=240,2,IF(F711&gt;=200,1,0)))+(IF(G711="Yes",2,0))+(IF(H711="High",2,IF(H711="Moderate",1,0)))</f>
        <v>8</v>
      </c>
      <c r="J711" s="7" t="str">
        <f aca="false">IF(I711&gt;=8,"High",IF(I711&gt;=4,"Medium","Low"))</f>
        <v>High</v>
      </c>
    </row>
    <row r="712" customFormat="false" ht="15" hidden="false" customHeight="true" outlineLevel="0" collapsed="false">
      <c r="A712" s="7" t="n">
        <f aca="false">'Raw Data'!A712</f>
        <v>830</v>
      </c>
      <c r="B712" s="7" t="n">
        <f aca="false">'Raw Data'!B712</f>
        <v>43</v>
      </c>
      <c r="C712" s="7" t="str">
        <f aca="false">'Raw Data'!C712</f>
        <v>Female</v>
      </c>
      <c r="D712" s="7" t="str">
        <f aca="false">'Raw Data'!D712</f>
        <v>Never</v>
      </c>
      <c r="E712" s="7" t="str">
        <f aca="false">'Raw Data'!J712</f>
        <v>High</v>
      </c>
      <c r="F712" s="7" t="n">
        <f aca="false">'Raw Data'!K712</f>
        <v>135.4</v>
      </c>
      <c r="G712" s="7" t="str">
        <f aca="false">'Raw Data'!L712</f>
        <v>Yes</v>
      </c>
      <c r="H712" s="7" t="str">
        <f aca="false">'Raw Data'!M712</f>
        <v>Moderate</v>
      </c>
      <c r="I712" s="7" t="n">
        <f aca="false">(IF(D712="Current",3,IF(D712="Former",1,0)))+(IF(E712="High",3,IF(E712="Normal",1,0)))+(IF(F712&gt;=240,2,IF(F712&gt;=200,1,0)))+(IF(G712="Yes",2,0))+(IF(H712="High",2,IF(H712="Moderate",1,0)))</f>
        <v>6</v>
      </c>
      <c r="J712" s="7" t="str">
        <f aca="false">IF(I712&gt;=8,"High",IF(I712&gt;=4,"Medium","Low"))</f>
        <v>Medium</v>
      </c>
    </row>
    <row r="713" customFormat="false" ht="15" hidden="false" customHeight="true" outlineLevel="0" collapsed="false">
      <c r="A713" s="7" t="n">
        <f aca="false">'Raw Data'!A713</f>
        <v>835</v>
      </c>
      <c r="B713" s="7" t="n">
        <f aca="false">'Raw Data'!B713</f>
        <v>64</v>
      </c>
      <c r="C713" s="7" t="str">
        <f aca="false">'Raw Data'!C713</f>
        <v>Male</v>
      </c>
      <c r="D713" s="7" t="str">
        <f aca="false">'Raw Data'!D713</f>
        <v>Never</v>
      </c>
      <c r="E713" s="7" t="str">
        <f aca="false">'Raw Data'!J713</f>
        <v>High</v>
      </c>
      <c r="F713" s="7" t="n">
        <f aca="false">'Raw Data'!K713</f>
        <v>256.5</v>
      </c>
      <c r="G713" s="7" t="str">
        <f aca="false">'Raw Data'!L713</f>
        <v>No</v>
      </c>
      <c r="H713" s="7" t="str">
        <f aca="false">'Raw Data'!M713</f>
        <v>Moderate</v>
      </c>
      <c r="I713" s="7" t="n">
        <f aca="false">(IF(D713="Current",3,IF(D713="Former",1,0)))+(IF(E713="High",3,IF(E713="Normal",1,0)))+(IF(F713&gt;=240,2,IF(F713&gt;=200,1,0)))+(IF(G713="Yes",2,0))+(IF(H713="High",2,IF(H713="Moderate",1,0)))</f>
        <v>6</v>
      </c>
      <c r="J713" s="7" t="str">
        <f aca="false">IF(I713&gt;=8,"High",IF(I713&gt;=4,"Medium","Low"))</f>
        <v>Medium</v>
      </c>
    </row>
    <row r="714" customFormat="false" ht="15" hidden="false" customHeight="true" outlineLevel="0" collapsed="false">
      <c r="A714" s="7" t="n">
        <f aca="false">'Raw Data'!A714</f>
        <v>866</v>
      </c>
      <c r="B714" s="7" t="n">
        <f aca="false">'Raw Data'!B714</f>
        <v>77</v>
      </c>
      <c r="C714" s="7" t="str">
        <f aca="false">'Raw Data'!C714</f>
        <v>Female</v>
      </c>
      <c r="D714" s="7" t="str">
        <f aca="false">'Raw Data'!D714</f>
        <v>Never</v>
      </c>
      <c r="E714" s="7" t="str">
        <f aca="false">'Raw Data'!J714</f>
        <v>High</v>
      </c>
      <c r="F714" s="7" t="n">
        <f aca="false">'Raw Data'!K714</f>
        <v>217.7</v>
      </c>
      <c r="G714" s="7" t="str">
        <f aca="false">'Raw Data'!L714</f>
        <v>No</v>
      </c>
      <c r="H714" s="7" t="str">
        <f aca="false">'Raw Data'!M714</f>
        <v>Moderate</v>
      </c>
      <c r="I714" s="7" t="n">
        <f aca="false">(IF(D714="Current",3,IF(D714="Former",1,0)))+(IF(E714="High",3,IF(E714="Normal",1,0)))+(IF(F714&gt;=240,2,IF(F714&gt;=200,1,0)))+(IF(G714="Yes",2,0))+(IF(H714="High",2,IF(H714="Moderate",1,0)))</f>
        <v>5</v>
      </c>
      <c r="J714" s="7" t="str">
        <f aca="false">IF(I714&gt;=8,"High",IF(I714&gt;=4,"Medium","Low"))</f>
        <v>Medium</v>
      </c>
    </row>
    <row r="715" customFormat="false" ht="15" hidden="false" customHeight="true" outlineLevel="0" collapsed="false">
      <c r="A715" s="7" t="n">
        <f aca="false">'Raw Data'!A715</f>
        <v>923</v>
      </c>
      <c r="B715" s="7" t="n">
        <f aca="false">'Raw Data'!B715</f>
        <v>69</v>
      </c>
      <c r="C715" s="7" t="str">
        <f aca="false">'Raw Data'!C715</f>
        <v>Female</v>
      </c>
      <c r="D715" s="7" t="str">
        <f aca="false">'Raw Data'!D715</f>
        <v>Never</v>
      </c>
      <c r="E715" s="7" t="str">
        <f aca="false">'Raw Data'!J715</f>
        <v>High</v>
      </c>
      <c r="F715" s="7" t="n">
        <f aca="false">'Raw Data'!K715</f>
        <v>216.8</v>
      </c>
      <c r="G715" s="7" t="str">
        <f aca="false">'Raw Data'!L715</f>
        <v>Yes</v>
      </c>
      <c r="H715" s="7" t="str">
        <f aca="false">'Raw Data'!M715</f>
        <v>Moderate</v>
      </c>
      <c r="I715" s="7" t="n">
        <f aca="false">(IF(D715="Current",3,IF(D715="Former",1,0)))+(IF(E715="High",3,IF(E715="Normal",1,0)))+(IF(F715&gt;=240,2,IF(F715&gt;=200,1,0)))+(IF(G715="Yes",2,0))+(IF(H715="High",2,IF(H715="Moderate",1,0)))</f>
        <v>7</v>
      </c>
      <c r="J715" s="7" t="str">
        <f aca="false">IF(I715&gt;=8,"High",IF(I715&gt;=4,"Medium","Low"))</f>
        <v>Medium</v>
      </c>
    </row>
    <row r="716" customFormat="false" ht="15" hidden="false" customHeight="true" outlineLevel="0" collapsed="false">
      <c r="A716" s="7" t="n">
        <f aca="false">'Raw Data'!A716</f>
        <v>924</v>
      </c>
      <c r="B716" s="7" t="n">
        <f aca="false">'Raw Data'!B716</f>
        <v>32</v>
      </c>
      <c r="C716" s="7" t="str">
        <f aca="false">'Raw Data'!C716</f>
        <v>Male</v>
      </c>
      <c r="D716" s="7" t="str">
        <f aca="false">'Raw Data'!D716</f>
        <v>Never</v>
      </c>
      <c r="E716" s="7" t="str">
        <f aca="false">'Raw Data'!J716</f>
        <v>High</v>
      </c>
      <c r="F716" s="7" t="n">
        <f aca="false">'Raw Data'!K716</f>
        <v>133.7</v>
      </c>
      <c r="G716" s="7" t="str">
        <f aca="false">'Raw Data'!L716</f>
        <v>No</v>
      </c>
      <c r="H716" s="7" t="str">
        <f aca="false">'Raw Data'!M716</f>
        <v>Moderate</v>
      </c>
      <c r="I716" s="7" t="n">
        <f aca="false">(IF(D716="Current",3,IF(D716="Former",1,0)))+(IF(E716="High",3,IF(E716="Normal",1,0)))+(IF(F716&gt;=240,2,IF(F716&gt;=200,1,0)))+(IF(G716="Yes",2,0))+(IF(H716="High",2,IF(H716="Moderate",1,0)))</f>
        <v>4</v>
      </c>
      <c r="J716" s="7" t="str">
        <f aca="false">IF(I716&gt;=8,"High",IF(I716&gt;=4,"Medium","Low"))</f>
        <v>Medium</v>
      </c>
    </row>
    <row r="717" customFormat="false" ht="15" hidden="false" customHeight="true" outlineLevel="0" collapsed="false">
      <c r="A717" s="7" t="n">
        <f aca="false">'Raw Data'!A717</f>
        <v>930</v>
      </c>
      <c r="B717" s="7" t="n">
        <f aca="false">'Raw Data'!B717</f>
        <v>64</v>
      </c>
      <c r="C717" s="7" t="str">
        <f aca="false">'Raw Data'!C717</f>
        <v>Female</v>
      </c>
      <c r="D717" s="7" t="str">
        <f aca="false">'Raw Data'!D717</f>
        <v>Never</v>
      </c>
      <c r="E717" s="7" t="str">
        <f aca="false">'Raw Data'!J717</f>
        <v>High</v>
      </c>
      <c r="F717" s="7" t="n">
        <f aca="false">'Raw Data'!K717</f>
        <v>167.3</v>
      </c>
      <c r="G717" s="7" t="str">
        <f aca="false">'Raw Data'!L717</f>
        <v>Yes</v>
      </c>
      <c r="H717" s="7" t="str">
        <f aca="false">'Raw Data'!M717</f>
        <v>Moderate</v>
      </c>
      <c r="I717" s="7" t="n">
        <f aca="false">(IF(D717="Current",3,IF(D717="Former",1,0)))+(IF(E717="High",3,IF(E717="Normal",1,0)))+(IF(F717&gt;=240,2,IF(F717&gt;=200,1,0)))+(IF(G717="Yes",2,0))+(IF(H717="High",2,IF(H717="Moderate",1,0)))</f>
        <v>6</v>
      </c>
      <c r="J717" s="7" t="str">
        <f aca="false">IF(I717&gt;=8,"High",IF(I717&gt;=4,"Medium","Low"))</f>
        <v>Medium</v>
      </c>
    </row>
    <row r="718" customFormat="false" ht="15" hidden="false" customHeight="true" outlineLevel="0" collapsed="false">
      <c r="A718" s="7" t="n">
        <f aca="false">'Raw Data'!A718</f>
        <v>1001</v>
      </c>
      <c r="B718" s="7" t="n">
        <f aca="false">'Raw Data'!B718</f>
        <v>83</v>
      </c>
      <c r="C718" s="7" t="str">
        <f aca="false">'Raw Data'!C718</f>
        <v>Male</v>
      </c>
      <c r="D718" s="7" t="str">
        <f aca="false">'Raw Data'!D718</f>
        <v>Never</v>
      </c>
      <c r="E718" s="7" t="str">
        <f aca="false">'Raw Data'!J718</f>
        <v>High</v>
      </c>
      <c r="F718" s="7" t="n">
        <f aca="false">'Raw Data'!K718</f>
        <v>287.8</v>
      </c>
      <c r="G718" s="7" t="str">
        <f aca="false">'Raw Data'!L718</f>
        <v>No</v>
      </c>
      <c r="H718" s="7" t="str">
        <f aca="false">'Raw Data'!M718</f>
        <v>Moderate</v>
      </c>
      <c r="I718" s="7" t="n">
        <f aca="false">(IF(D718="Current",3,IF(D718="Former",1,0)))+(IF(E718="High",3,IF(E718="Normal",1,0)))+(IF(F718&gt;=240,2,IF(F718&gt;=200,1,0)))+(IF(G718="Yes",2,0))+(IF(H718="High",2,IF(H718="Moderate",1,0)))</f>
        <v>6</v>
      </c>
      <c r="J718" s="7" t="str">
        <f aca="false">IF(I718&gt;=8,"High",IF(I718&gt;=4,"Medium","Low"))</f>
        <v>Medium</v>
      </c>
    </row>
    <row r="719" customFormat="false" ht="15" hidden="false" customHeight="true" outlineLevel="0" collapsed="false">
      <c r="A719" s="7" t="n">
        <f aca="false">'Raw Data'!A719</f>
        <v>1069</v>
      </c>
      <c r="B719" s="7" t="n">
        <f aca="false">'Raw Data'!B719</f>
        <v>62</v>
      </c>
      <c r="C719" s="7" t="str">
        <f aca="false">'Raw Data'!C719</f>
        <v>Female</v>
      </c>
      <c r="D719" s="7" t="str">
        <f aca="false">'Raw Data'!D719</f>
        <v>Never</v>
      </c>
      <c r="E719" s="7" t="str">
        <f aca="false">'Raw Data'!J719</f>
        <v>High</v>
      </c>
      <c r="F719" s="7" t="n">
        <f aca="false">'Raw Data'!K719</f>
        <v>154.7</v>
      </c>
      <c r="G719" s="7" t="str">
        <f aca="false">'Raw Data'!L719</f>
        <v>No</v>
      </c>
      <c r="H719" s="7" t="str">
        <f aca="false">'Raw Data'!M719</f>
        <v>Moderate</v>
      </c>
      <c r="I719" s="7" t="n">
        <f aca="false">(IF(D719="Current",3,IF(D719="Former",1,0)))+(IF(E719="High",3,IF(E719="Normal",1,0)))+(IF(F719&gt;=240,2,IF(F719&gt;=200,1,0)))+(IF(G719="Yes",2,0))+(IF(H719="High",2,IF(H719="Moderate",1,0)))</f>
        <v>4</v>
      </c>
      <c r="J719" s="7" t="str">
        <f aca="false">IF(I719&gt;=8,"High",IF(I719&gt;=4,"Medium","Low"))</f>
        <v>Medium</v>
      </c>
    </row>
    <row r="720" customFormat="false" ht="15" hidden="false" customHeight="true" outlineLevel="0" collapsed="false">
      <c r="A720" s="7" t="n">
        <f aca="false">'Raw Data'!A720</f>
        <v>1078</v>
      </c>
      <c r="B720" s="7" t="n">
        <f aca="false">'Raw Data'!B720</f>
        <v>32</v>
      </c>
      <c r="C720" s="7" t="str">
        <f aca="false">'Raw Data'!C720</f>
        <v>Male</v>
      </c>
      <c r="D720" s="7" t="str">
        <f aca="false">'Raw Data'!D720</f>
        <v>Never</v>
      </c>
      <c r="E720" s="7" t="str">
        <f aca="false">'Raw Data'!J720</f>
        <v>High</v>
      </c>
      <c r="F720" s="7" t="n">
        <f aca="false">'Raw Data'!K720</f>
        <v>210.4</v>
      </c>
      <c r="G720" s="7" t="str">
        <f aca="false">'Raw Data'!L720</f>
        <v>No</v>
      </c>
      <c r="H720" s="7" t="str">
        <f aca="false">'Raw Data'!M720</f>
        <v>Moderate</v>
      </c>
      <c r="I720" s="7" t="n">
        <f aca="false">(IF(D720="Current",3,IF(D720="Former",1,0)))+(IF(E720="High",3,IF(E720="Normal",1,0)))+(IF(F720&gt;=240,2,IF(F720&gt;=200,1,0)))+(IF(G720="Yes",2,0))+(IF(H720="High",2,IF(H720="Moderate",1,0)))</f>
        <v>5</v>
      </c>
      <c r="J720" s="7" t="str">
        <f aca="false">IF(I720&gt;=8,"High",IF(I720&gt;=4,"Medium","Low"))</f>
        <v>Medium</v>
      </c>
    </row>
    <row r="721" customFormat="false" ht="15" hidden="false" customHeight="true" outlineLevel="0" collapsed="false">
      <c r="A721" s="7" t="n">
        <f aca="false">'Raw Data'!A721</f>
        <v>1136</v>
      </c>
      <c r="B721" s="7" t="n">
        <f aca="false">'Raw Data'!B721</f>
        <v>48</v>
      </c>
      <c r="C721" s="7" t="str">
        <f aca="false">'Raw Data'!C721</f>
        <v>Male</v>
      </c>
      <c r="D721" s="7" t="str">
        <f aca="false">'Raw Data'!D721</f>
        <v>Never</v>
      </c>
      <c r="E721" s="7" t="str">
        <f aca="false">'Raw Data'!J721</f>
        <v>High</v>
      </c>
      <c r="F721" s="7" t="n">
        <f aca="false">'Raw Data'!K721</f>
        <v>186.9</v>
      </c>
      <c r="G721" s="7" t="str">
        <f aca="false">'Raw Data'!L721</f>
        <v>Yes</v>
      </c>
      <c r="H721" s="7" t="str">
        <f aca="false">'Raw Data'!M721</f>
        <v>Moderate</v>
      </c>
      <c r="I721" s="7" t="n">
        <f aca="false">(IF(D721="Current",3,IF(D721="Former",1,0)))+(IF(E721="High",3,IF(E721="Normal",1,0)))+(IF(F721&gt;=240,2,IF(F721&gt;=200,1,0)))+(IF(G721="Yes",2,0))+(IF(H721="High",2,IF(H721="Moderate",1,0)))</f>
        <v>6</v>
      </c>
      <c r="J721" s="7" t="str">
        <f aca="false">IF(I721&gt;=8,"High",IF(I721&gt;=4,"Medium","Low"))</f>
        <v>Medium</v>
      </c>
    </row>
    <row r="722" customFormat="false" ht="15" hidden="false" customHeight="true" outlineLevel="0" collapsed="false">
      <c r="A722" s="7" t="n">
        <f aca="false">'Raw Data'!A722</f>
        <v>1150</v>
      </c>
      <c r="B722" s="7" t="n">
        <f aca="false">'Raw Data'!B722</f>
        <v>47</v>
      </c>
      <c r="C722" s="7" t="str">
        <f aca="false">'Raw Data'!C722</f>
        <v>Male</v>
      </c>
      <c r="D722" s="7" t="str">
        <f aca="false">'Raw Data'!D722</f>
        <v>Never</v>
      </c>
      <c r="E722" s="7" t="str">
        <f aca="false">'Raw Data'!J722</f>
        <v>High</v>
      </c>
      <c r="F722" s="7" t="n">
        <f aca="false">'Raw Data'!K722</f>
        <v>175.5</v>
      </c>
      <c r="G722" s="7" t="str">
        <f aca="false">'Raw Data'!L722</f>
        <v>No</v>
      </c>
      <c r="H722" s="7" t="str">
        <f aca="false">'Raw Data'!M722</f>
        <v>Moderate</v>
      </c>
      <c r="I722" s="7" t="n">
        <f aca="false">(IF(D722="Current",3,IF(D722="Former",1,0)))+(IF(E722="High",3,IF(E722="Normal",1,0)))+(IF(F722&gt;=240,2,IF(F722&gt;=200,1,0)))+(IF(G722="Yes",2,0))+(IF(H722="High",2,IF(H722="Moderate",1,0)))</f>
        <v>4</v>
      </c>
      <c r="J722" s="7" t="str">
        <f aca="false">IF(I722&gt;=8,"High",IF(I722&gt;=4,"Medium","Low"))</f>
        <v>Medium</v>
      </c>
    </row>
    <row r="723" customFormat="false" ht="15" hidden="false" customHeight="true" outlineLevel="0" collapsed="false">
      <c r="A723" s="7" t="n">
        <f aca="false">'Raw Data'!A723</f>
        <v>1160</v>
      </c>
      <c r="B723" s="7" t="n">
        <f aca="false">'Raw Data'!B723</f>
        <v>47</v>
      </c>
      <c r="C723" s="7" t="str">
        <f aca="false">'Raw Data'!C723</f>
        <v>Male</v>
      </c>
      <c r="D723" s="7" t="str">
        <f aca="false">'Raw Data'!D723</f>
        <v>Never</v>
      </c>
      <c r="E723" s="7" t="str">
        <f aca="false">'Raw Data'!J723</f>
        <v>High</v>
      </c>
      <c r="F723" s="7" t="n">
        <f aca="false">'Raw Data'!K723</f>
        <v>265</v>
      </c>
      <c r="G723" s="7" t="str">
        <f aca="false">'Raw Data'!L723</f>
        <v>No</v>
      </c>
      <c r="H723" s="7" t="str">
        <f aca="false">'Raw Data'!M723</f>
        <v>Moderate</v>
      </c>
      <c r="I723" s="7" t="n">
        <f aca="false">(IF(D723="Current",3,IF(D723="Former",1,0)))+(IF(E723="High",3,IF(E723="Normal",1,0)))+(IF(F723&gt;=240,2,IF(F723&gt;=200,1,0)))+(IF(G723="Yes",2,0))+(IF(H723="High",2,IF(H723="Moderate",1,0)))</f>
        <v>6</v>
      </c>
      <c r="J723" s="7" t="str">
        <f aca="false">IF(I723&gt;=8,"High",IF(I723&gt;=4,"Medium","Low"))</f>
        <v>Medium</v>
      </c>
    </row>
    <row r="724" customFormat="false" ht="15" hidden="false" customHeight="true" outlineLevel="0" collapsed="false">
      <c r="A724" s="7" t="n">
        <f aca="false">'Raw Data'!A724</f>
        <v>1166</v>
      </c>
      <c r="B724" s="7" t="n">
        <f aca="false">'Raw Data'!B724</f>
        <v>48</v>
      </c>
      <c r="C724" s="7" t="str">
        <f aca="false">'Raw Data'!C724</f>
        <v>Male</v>
      </c>
      <c r="D724" s="7" t="str">
        <f aca="false">'Raw Data'!D724</f>
        <v>Never</v>
      </c>
      <c r="E724" s="7" t="str">
        <f aca="false">'Raw Data'!J724</f>
        <v>High</v>
      </c>
      <c r="F724" s="7" t="n">
        <f aca="false">'Raw Data'!K724</f>
        <v>184</v>
      </c>
      <c r="G724" s="7" t="str">
        <f aca="false">'Raw Data'!L724</f>
        <v>No</v>
      </c>
      <c r="H724" s="7" t="str">
        <f aca="false">'Raw Data'!M724</f>
        <v>Moderate</v>
      </c>
      <c r="I724" s="7" t="n">
        <f aca="false">(IF(D724="Current",3,IF(D724="Former",1,0)))+(IF(E724="High",3,IF(E724="Normal",1,0)))+(IF(F724&gt;=240,2,IF(F724&gt;=200,1,0)))+(IF(G724="Yes",2,0))+(IF(H724="High",2,IF(H724="Moderate",1,0)))</f>
        <v>4</v>
      </c>
      <c r="J724" s="7" t="str">
        <f aca="false">IF(I724&gt;=8,"High",IF(I724&gt;=4,"Medium","Low"))</f>
        <v>Medium</v>
      </c>
    </row>
    <row r="725" customFormat="false" ht="15" hidden="false" customHeight="true" outlineLevel="0" collapsed="false">
      <c r="A725" s="7" t="n">
        <f aca="false">'Raw Data'!A725</f>
        <v>1212</v>
      </c>
      <c r="B725" s="7" t="n">
        <f aca="false">'Raw Data'!B725</f>
        <v>38</v>
      </c>
      <c r="C725" s="7" t="str">
        <f aca="false">'Raw Data'!C725</f>
        <v>Female</v>
      </c>
      <c r="D725" s="7" t="str">
        <f aca="false">'Raw Data'!D725</f>
        <v>Never</v>
      </c>
      <c r="E725" s="7" t="str">
        <f aca="false">'Raw Data'!J725</f>
        <v>High</v>
      </c>
      <c r="F725" s="7" t="n">
        <f aca="false">'Raw Data'!K725</f>
        <v>168.5</v>
      </c>
      <c r="G725" s="7" t="str">
        <f aca="false">'Raw Data'!L725</f>
        <v>No</v>
      </c>
      <c r="H725" s="7" t="str">
        <f aca="false">'Raw Data'!M725</f>
        <v>Moderate</v>
      </c>
      <c r="I725" s="7" t="n">
        <f aca="false">(IF(D725="Current",3,IF(D725="Former",1,0)))+(IF(E725="High",3,IF(E725="Normal",1,0)))+(IF(F725&gt;=240,2,IF(F725&gt;=200,1,0)))+(IF(G725="Yes",2,0))+(IF(H725="High",2,IF(H725="Moderate",1,0)))</f>
        <v>4</v>
      </c>
      <c r="J725" s="7" t="str">
        <f aca="false">IF(I725&gt;=8,"High",IF(I725&gt;=4,"Medium","Low"))</f>
        <v>Medium</v>
      </c>
    </row>
    <row r="726" customFormat="false" ht="15" hidden="false" customHeight="true" outlineLevel="0" collapsed="false">
      <c r="A726" s="7" t="n">
        <f aca="false">'Raw Data'!A726</f>
        <v>1241</v>
      </c>
      <c r="B726" s="7" t="n">
        <f aca="false">'Raw Data'!B726</f>
        <v>80</v>
      </c>
      <c r="C726" s="7" t="str">
        <f aca="false">'Raw Data'!C726</f>
        <v>Female</v>
      </c>
      <c r="D726" s="7" t="str">
        <f aca="false">'Raw Data'!D726</f>
        <v>Never</v>
      </c>
      <c r="E726" s="7" t="str">
        <f aca="false">'Raw Data'!J726</f>
        <v>High</v>
      </c>
      <c r="F726" s="7" t="n">
        <f aca="false">'Raw Data'!K726</f>
        <v>248.7</v>
      </c>
      <c r="G726" s="7" t="str">
        <f aca="false">'Raw Data'!L726</f>
        <v>No</v>
      </c>
      <c r="H726" s="7" t="str">
        <f aca="false">'Raw Data'!M726</f>
        <v>Moderate</v>
      </c>
      <c r="I726" s="7" t="n">
        <f aca="false">(IF(D726="Current",3,IF(D726="Former",1,0)))+(IF(E726="High",3,IF(E726="Normal",1,0)))+(IF(F726&gt;=240,2,IF(F726&gt;=200,1,0)))+(IF(G726="Yes",2,0))+(IF(H726="High",2,IF(H726="Moderate",1,0)))</f>
        <v>6</v>
      </c>
      <c r="J726" s="7" t="str">
        <f aca="false">IF(I726&gt;=8,"High",IF(I726&gt;=4,"Medium","Low"))</f>
        <v>Medium</v>
      </c>
    </row>
    <row r="727" customFormat="false" ht="15" hidden="false" customHeight="true" outlineLevel="0" collapsed="false">
      <c r="A727" s="7" t="n">
        <f aca="false">'Raw Data'!A727</f>
        <v>1246</v>
      </c>
      <c r="B727" s="7" t="n">
        <f aca="false">'Raw Data'!B727</f>
        <v>32</v>
      </c>
      <c r="C727" s="7" t="str">
        <f aca="false">'Raw Data'!C727</f>
        <v>Female</v>
      </c>
      <c r="D727" s="7" t="str">
        <f aca="false">'Raw Data'!D727</f>
        <v>Never</v>
      </c>
      <c r="E727" s="7" t="str">
        <f aca="false">'Raw Data'!J727</f>
        <v>High</v>
      </c>
      <c r="F727" s="7" t="n">
        <f aca="false">'Raw Data'!K727</f>
        <v>263.5</v>
      </c>
      <c r="G727" s="7" t="str">
        <f aca="false">'Raw Data'!L727</f>
        <v>No</v>
      </c>
      <c r="H727" s="7" t="str">
        <f aca="false">'Raw Data'!M727</f>
        <v>Moderate</v>
      </c>
      <c r="I727" s="7" t="n">
        <f aca="false">(IF(D727="Current",3,IF(D727="Former",1,0)))+(IF(E727="High",3,IF(E727="Normal",1,0)))+(IF(F727&gt;=240,2,IF(F727&gt;=200,1,0)))+(IF(G727="Yes",2,0))+(IF(H727="High",2,IF(H727="Moderate",1,0)))</f>
        <v>6</v>
      </c>
      <c r="J727" s="7" t="str">
        <f aca="false">IF(I727&gt;=8,"High",IF(I727&gt;=4,"Medium","Low"))</f>
        <v>Medium</v>
      </c>
    </row>
    <row r="728" customFormat="false" ht="15" hidden="false" customHeight="true" outlineLevel="0" collapsed="false">
      <c r="A728" s="7" t="n">
        <f aca="false">'Raw Data'!A728</f>
        <v>1305</v>
      </c>
      <c r="B728" s="7" t="n">
        <f aca="false">'Raw Data'!B728</f>
        <v>55</v>
      </c>
      <c r="C728" s="7" t="str">
        <f aca="false">'Raw Data'!C728</f>
        <v>Female</v>
      </c>
      <c r="D728" s="7" t="str">
        <f aca="false">'Raw Data'!D728</f>
        <v>Never</v>
      </c>
      <c r="E728" s="7" t="str">
        <f aca="false">'Raw Data'!J728</f>
        <v>High</v>
      </c>
      <c r="F728" s="7" t="n">
        <f aca="false">'Raw Data'!K728</f>
        <v>224.3</v>
      </c>
      <c r="G728" s="7" t="str">
        <f aca="false">'Raw Data'!L728</f>
        <v>Yes</v>
      </c>
      <c r="H728" s="7" t="str">
        <f aca="false">'Raw Data'!M728</f>
        <v>Moderate</v>
      </c>
      <c r="I728" s="7" t="n">
        <f aca="false">(IF(D728="Current",3,IF(D728="Former",1,0)))+(IF(E728="High",3,IF(E728="Normal",1,0)))+(IF(F728&gt;=240,2,IF(F728&gt;=200,1,0)))+(IF(G728="Yes",2,0))+(IF(H728="High",2,IF(H728="Moderate",1,0)))</f>
        <v>7</v>
      </c>
      <c r="J728" s="7" t="str">
        <f aca="false">IF(I728&gt;=8,"High",IF(I728&gt;=4,"Medium","Low"))</f>
        <v>Medium</v>
      </c>
    </row>
    <row r="729" customFormat="false" ht="15" hidden="false" customHeight="true" outlineLevel="0" collapsed="false">
      <c r="A729" s="7" t="n">
        <f aca="false">'Raw Data'!A729</f>
        <v>1330</v>
      </c>
      <c r="B729" s="7" t="n">
        <f aca="false">'Raw Data'!B729</f>
        <v>75</v>
      </c>
      <c r="C729" s="7" t="str">
        <f aca="false">'Raw Data'!C729</f>
        <v>Male</v>
      </c>
      <c r="D729" s="7" t="str">
        <f aca="false">'Raw Data'!D729</f>
        <v>Never</v>
      </c>
      <c r="E729" s="7" t="str">
        <f aca="false">'Raw Data'!J729</f>
        <v>High</v>
      </c>
      <c r="F729" s="7" t="n">
        <f aca="false">'Raw Data'!K729</f>
        <v>176.4</v>
      </c>
      <c r="G729" s="7" t="str">
        <f aca="false">'Raw Data'!L729</f>
        <v>No</v>
      </c>
      <c r="H729" s="7" t="str">
        <f aca="false">'Raw Data'!M729</f>
        <v>Moderate</v>
      </c>
      <c r="I729" s="7" t="n">
        <f aca="false">(IF(D729="Current",3,IF(D729="Former",1,0)))+(IF(E729="High",3,IF(E729="Normal",1,0)))+(IF(F729&gt;=240,2,IF(F729&gt;=200,1,0)))+(IF(G729="Yes",2,0))+(IF(H729="High",2,IF(H729="Moderate",1,0)))</f>
        <v>4</v>
      </c>
      <c r="J729" s="7" t="str">
        <f aca="false">IF(I729&gt;=8,"High",IF(I729&gt;=4,"Medium","Low"))</f>
        <v>Medium</v>
      </c>
    </row>
    <row r="730" customFormat="false" ht="15" hidden="false" customHeight="true" outlineLevel="0" collapsed="false">
      <c r="A730" s="7" t="n">
        <f aca="false">'Raw Data'!A730</f>
        <v>1407</v>
      </c>
      <c r="B730" s="7" t="n">
        <f aca="false">'Raw Data'!B730</f>
        <v>22</v>
      </c>
      <c r="C730" s="7" t="str">
        <f aca="false">'Raw Data'!C730</f>
        <v>Female</v>
      </c>
      <c r="D730" s="7" t="str">
        <f aca="false">'Raw Data'!D730</f>
        <v>Never</v>
      </c>
      <c r="E730" s="7" t="str">
        <f aca="false">'Raw Data'!J730</f>
        <v>High</v>
      </c>
      <c r="F730" s="7" t="n">
        <f aca="false">'Raw Data'!K730</f>
        <v>258.7</v>
      </c>
      <c r="G730" s="7" t="str">
        <f aca="false">'Raw Data'!L730</f>
        <v>No</v>
      </c>
      <c r="H730" s="7" t="str">
        <f aca="false">'Raw Data'!M730</f>
        <v>Moderate</v>
      </c>
      <c r="I730" s="7" t="n">
        <f aca="false">(IF(D730="Current",3,IF(D730="Former",1,0)))+(IF(E730="High",3,IF(E730="Normal",1,0)))+(IF(F730&gt;=240,2,IF(F730&gt;=200,1,0)))+(IF(G730="Yes",2,0))+(IF(H730="High",2,IF(H730="Moderate",1,0)))</f>
        <v>6</v>
      </c>
      <c r="J730" s="7" t="str">
        <f aca="false">IF(I730&gt;=8,"High",IF(I730&gt;=4,"Medium","Low"))</f>
        <v>Medium</v>
      </c>
    </row>
    <row r="731" customFormat="false" ht="15" hidden="false" customHeight="true" outlineLevel="0" collapsed="false">
      <c r="A731" s="7" t="n">
        <f aca="false">'Raw Data'!A731</f>
        <v>1419</v>
      </c>
      <c r="B731" s="7" t="n">
        <f aca="false">'Raw Data'!B731</f>
        <v>70</v>
      </c>
      <c r="C731" s="7" t="str">
        <f aca="false">'Raw Data'!C731</f>
        <v>Female</v>
      </c>
      <c r="D731" s="7" t="str">
        <f aca="false">'Raw Data'!D731</f>
        <v>Never</v>
      </c>
      <c r="E731" s="7" t="str">
        <f aca="false">'Raw Data'!J731</f>
        <v>High</v>
      </c>
      <c r="F731" s="7" t="n">
        <f aca="false">'Raw Data'!K731</f>
        <v>185.7</v>
      </c>
      <c r="G731" s="7" t="str">
        <f aca="false">'Raw Data'!L731</f>
        <v>No</v>
      </c>
      <c r="H731" s="7" t="str">
        <f aca="false">'Raw Data'!M731</f>
        <v>Moderate</v>
      </c>
      <c r="I731" s="7" t="n">
        <f aca="false">(IF(D731="Current",3,IF(D731="Former",1,0)))+(IF(E731="High",3,IF(E731="Normal",1,0)))+(IF(F731&gt;=240,2,IF(F731&gt;=200,1,0)))+(IF(G731="Yes",2,0))+(IF(H731="High",2,IF(H731="Moderate",1,0)))</f>
        <v>4</v>
      </c>
      <c r="J731" s="7" t="str">
        <f aca="false">IF(I731&gt;=8,"High",IF(I731&gt;=4,"Medium","Low"))</f>
        <v>Medium</v>
      </c>
    </row>
    <row r="732" customFormat="false" ht="15" hidden="false" customHeight="true" outlineLevel="0" collapsed="false">
      <c r="A732" s="7" t="n">
        <f aca="false">'Raw Data'!A732</f>
        <v>1429</v>
      </c>
      <c r="B732" s="7" t="n">
        <f aca="false">'Raw Data'!B732</f>
        <v>31</v>
      </c>
      <c r="C732" s="7" t="str">
        <f aca="false">'Raw Data'!C732</f>
        <v>Male</v>
      </c>
      <c r="D732" s="7" t="str">
        <f aca="false">'Raw Data'!D732</f>
        <v>Never</v>
      </c>
      <c r="E732" s="7" t="str">
        <f aca="false">'Raw Data'!J732</f>
        <v>High</v>
      </c>
      <c r="F732" s="7" t="n">
        <f aca="false">'Raw Data'!K732</f>
        <v>234.6</v>
      </c>
      <c r="G732" s="7" t="str">
        <f aca="false">'Raw Data'!L732</f>
        <v>No</v>
      </c>
      <c r="H732" s="7" t="str">
        <f aca="false">'Raw Data'!M732</f>
        <v>Moderate</v>
      </c>
      <c r="I732" s="7" t="n">
        <f aca="false">(IF(D732="Current",3,IF(D732="Former",1,0)))+(IF(E732="High",3,IF(E732="Normal",1,0)))+(IF(F732&gt;=240,2,IF(F732&gt;=200,1,0)))+(IF(G732="Yes",2,0))+(IF(H732="High",2,IF(H732="Moderate",1,0)))</f>
        <v>5</v>
      </c>
      <c r="J732" s="7" t="str">
        <f aca="false">IF(I732&gt;=8,"High",IF(I732&gt;=4,"Medium","Low"))</f>
        <v>Medium</v>
      </c>
    </row>
    <row r="733" customFormat="false" ht="15" hidden="false" customHeight="true" outlineLevel="0" collapsed="false">
      <c r="A733" s="7" t="n">
        <f aca="false">'Raw Data'!A733</f>
        <v>1435</v>
      </c>
      <c r="B733" s="7" t="n">
        <f aca="false">'Raw Data'!B733</f>
        <v>84</v>
      </c>
      <c r="C733" s="7" t="str">
        <f aca="false">'Raw Data'!C733</f>
        <v>Female</v>
      </c>
      <c r="D733" s="7" t="str">
        <f aca="false">'Raw Data'!D733</f>
        <v>Never</v>
      </c>
      <c r="E733" s="7" t="str">
        <f aca="false">'Raw Data'!J733</f>
        <v>High</v>
      </c>
      <c r="F733" s="7" t="n">
        <f aca="false">'Raw Data'!K733</f>
        <v>154.3</v>
      </c>
      <c r="G733" s="7" t="str">
        <f aca="false">'Raw Data'!L733</f>
        <v>No</v>
      </c>
      <c r="H733" s="7" t="str">
        <f aca="false">'Raw Data'!M733</f>
        <v>Moderate</v>
      </c>
      <c r="I733" s="7" t="n">
        <f aca="false">(IF(D733="Current",3,IF(D733="Former",1,0)))+(IF(E733="High",3,IF(E733="Normal",1,0)))+(IF(F733&gt;=240,2,IF(F733&gt;=200,1,0)))+(IF(G733="Yes",2,0))+(IF(H733="High",2,IF(H733="Moderate",1,0)))</f>
        <v>4</v>
      </c>
      <c r="J733" s="7" t="str">
        <f aca="false">IF(I733&gt;=8,"High",IF(I733&gt;=4,"Medium","Low"))</f>
        <v>Medium</v>
      </c>
    </row>
    <row r="734" customFormat="false" ht="15" hidden="false" customHeight="true" outlineLevel="0" collapsed="false">
      <c r="A734" s="7" t="n">
        <f aca="false">'Raw Data'!A734</f>
        <v>1464</v>
      </c>
      <c r="B734" s="7" t="n">
        <f aca="false">'Raw Data'!B734</f>
        <v>76</v>
      </c>
      <c r="C734" s="7" t="str">
        <f aca="false">'Raw Data'!C734</f>
        <v>Female</v>
      </c>
      <c r="D734" s="7" t="str">
        <f aca="false">'Raw Data'!D734</f>
        <v>Never</v>
      </c>
      <c r="E734" s="7" t="str">
        <f aca="false">'Raw Data'!J734</f>
        <v>High</v>
      </c>
      <c r="F734" s="7" t="n">
        <f aca="false">'Raw Data'!K734</f>
        <v>154.3</v>
      </c>
      <c r="G734" s="7" t="str">
        <f aca="false">'Raw Data'!L734</f>
        <v>No</v>
      </c>
      <c r="H734" s="7" t="str">
        <f aca="false">'Raw Data'!M734</f>
        <v>Moderate</v>
      </c>
      <c r="I734" s="7" t="n">
        <f aca="false">(IF(D734="Current",3,IF(D734="Former",1,0)))+(IF(E734="High",3,IF(E734="Normal",1,0)))+(IF(F734&gt;=240,2,IF(F734&gt;=200,1,0)))+(IF(G734="Yes",2,0))+(IF(H734="High",2,IF(H734="Moderate",1,0)))</f>
        <v>4</v>
      </c>
      <c r="J734" s="7" t="str">
        <f aca="false">IF(I734&gt;=8,"High",IF(I734&gt;=4,"Medium","Low"))</f>
        <v>Medium</v>
      </c>
    </row>
    <row r="735" customFormat="false" ht="15" hidden="false" customHeight="true" outlineLevel="0" collapsed="false">
      <c r="A735" s="7" t="n">
        <f aca="false">'Raw Data'!A735</f>
        <v>1473</v>
      </c>
      <c r="B735" s="7" t="n">
        <f aca="false">'Raw Data'!B735</f>
        <v>49</v>
      </c>
      <c r="C735" s="7" t="str">
        <f aca="false">'Raw Data'!C735</f>
        <v>Male</v>
      </c>
      <c r="D735" s="7" t="str">
        <f aca="false">'Raw Data'!D735</f>
        <v>Never</v>
      </c>
      <c r="E735" s="7" t="str">
        <f aca="false">'Raw Data'!J735</f>
        <v>High</v>
      </c>
      <c r="F735" s="7" t="n">
        <f aca="false">'Raw Data'!K735</f>
        <v>182.2</v>
      </c>
      <c r="G735" s="7" t="str">
        <f aca="false">'Raw Data'!L735</f>
        <v>No</v>
      </c>
      <c r="H735" s="7" t="str">
        <f aca="false">'Raw Data'!M735</f>
        <v>Moderate</v>
      </c>
      <c r="I735" s="7" t="n">
        <f aca="false">(IF(D735="Current",3,IF(D735="Former",1,0)))+(IF(E735="High",3,IF(E735="Normal",1,0)))+(IF(F735&gt;=240,2,IF(F735&gt;=200,1,0)))+(IF(G735="Yes",2,0))+(IF(H735="High",2,IF(H735="Moderate",1,0)))</f>
        <v>4</v>
      </c>
      <c r="J735" s="7" t="str">
        <f aca="false">IF(I735&gt;=8,"High",IF(I735&gt;=4,"Medium","Low"))</f>
        <v>Medium</v>
      </c>
    </row>
    <row r="736" customFormat="false" ht="15" hidden="false" customHeight="true" outlineLevel="0" collapsed="false">
      <c r="A736" s="7" t="n">
        <f aca="false">'Raw Data'!A736</f>
        <v>1486</v>
      </c>
      <c r="B736" s="7" t="n">
        <f aca="false">'Raw Data'!B736</f>
        <v>22</v>
      </c>
      <c r="C736" s="7" t="str">
        <f aca="false">'Raw Data'!C736</f>
        <v>Female</v>
      </c>
      <c r="D736" s="7" t="str">
        <f aca="false">'Raw Data'!D736</f>
        <v>Never</v>
      </c>
      <c r="E736" s="7" t="str">
        <f aca="false">'Raw Data'!J736</f>
        <v>High</v>
      </c>
      <c r="F736" s="7" t="n">
        <f aca="false">'Raw Data'!K736</f>
        <v>226.9</v>
      </c>
      <c r="G736" s="7" t="str">
        <f aca="false">'Raw Data'!L736</f>
        <v>No</v>
      </c>
      <c r="H736" s="7" t="str">
        <f aca="false">'Raw Data'!M736</f>
        <v>Moderate</v>
      </c>
      <c r="I736" s="7" t="n">
        <f aca="false">(IF(D736="Current",3,IF(D736="Former",1,0)))+(IF(E736="High",3,IF(E736="Normal",1,0)))+(IF(F736&gt;=240,2,IF(F736&gt;=200,1,0)))+(IF(G736="Yes",2,0))+(IF(H736="High",2,IF(H736="Moderate",1,0)))</f>
        <v>5</v>
      </c>
      <c r="J736" s="7" t="str">
        <f aca="false">IF(I736&gt;=8,"High",IF(I736&gt;=4,"Medium","Low"))</f>
        <v>Medium</v>
      </c>
    </row>
    <row r="737" customFormat="false" ht="15" hidden="false" customHeight="true" outlineLevel="0" collapsed="false">
      <c r="A737" s="7" t="n">
        <f aca="false">'Raw Data'!A737</f>
        <v>1508</v>
      </c>
      <c r="B737" s="7" t="n">
        <f aca="false">'Raw Data'!B737</f>
        <v>49</v>
      </c>
      <c r="C737" s="7" t="str">
        <f aca="false">'Raw Data'!C737</f>
        <v>Male</v>
      </c>
      <c r="D737" s="7" t="str">
        <f aca="false">'Raw Data'!D737</f>
        <v>Never</v>
      </c>
      <c r="E737" s="7" t="str">
        <f aca="false">'Raw Data'!J737</f>
        <v>High</v>
      </c>
      <c r="F737" s="7" t="n">
        <f aca="false">'Raw Data'!K737</f>
        <v>288</v>
      </c>
      <c r="G737" s="7" t="str">
        <f aca="false">'Raw Data'!L737</f>
        <v>Yes</v>
      </c>
      <c r="H737" s="7" t="str">
        <f aca="false">'Raw Data'!M737</f>
        <v>Moderate</v>
      </c>
      <c r="I737" s="7" t="n">
        <f aca="false">(IF(D737="Current",3,IF(D737="Former",1,0)))+(IF(E737="High",3,IF(E737="Normal",1,0)))+(IF(F737&gt;=240,2,IF(F737&gt;=200,1,0)))+(IF(G737="Yes",2,0))+(IF(H737="High",2,IF(H737="Moderate",1,0)))</f>
        <v>8</v>
      </c>
      <c r="J737" s="7" t="str">
        <f aca="false">IF(I737&gt;=8,"High",IF(I737&gt;=4,"Medium","Low"))</f>
        <v>High</v>
      </c>
    </row>
    <row r="738" customFormat="false" ht="15" hidden="false" customHeight="true" outlineLevel="0" collapsed="false">
      <c r="A738" s="7" t="n">
        <f aca="false">'Raw Data'!A738</f>
        <v>1541</v>
      </c>
      <c r="B738" s="7" t="n">
        <f aca="false">'Raw Data'!B738</f>
        <v>35</v>
      </c>
      <c r="C738" s="7" t="str">
        <f aca="false">'Raw Data'!C738</f>
        <v>Male</v>
      </c>
      <c r="D738" s="7" t="str">
        <f aca="false">'Raw Data'!D738</f>
        <v>Never</v>
      </c>
      <c r="E738" s="7" t="str">
        <f aca="false">'Raw Data'!J738</f>
        <v>High</v>
      </c>
      <c r="F738" s="7" t="n">
        <f aca="false">'Raw Data'!K738</f>
        <v>215.3</v>
      </c>
      <c r="G738" s="7" t="str">
        <f aca="false">'Raw Data'!L738</f>
        <v>No</v>
      </c>
      <c r="H738" s="7" t="str">
        <f aca="false">'Raw Data'!M738</f>
        <v>Moderate</v>
      </c>
      <c r="I738" s="7" t="n">
        <f aca="false">(IF(D738="Current",3,IF(D738="Former",1,0)))+(IF(E738="High",3,IF(E738="Normal",1,0)))+(IF(F738&gt;=240,2,IF(F738&gt;=200,1,0)))+(IF(G738="Yes",2,0))+(IF(H738="High",2,IF(H738="Moderate",1,0)))</f>
        <v>5</v>
      </c>
      <c r="J738" s="7" t="str">
        <f aca="false">IF(I738&gt;=8,"High",IF(I738&gt;=4,"Medium","Low"))</f>
        <v>Medium</v>
      </c>
    </row>
    <row r="739" customFormat="false" ht="15" hidden="false" customHeight="true" outlineLevel="0" collapsed="false">
      <c r="A739" s="7" t="n">
        <f aca="false">'Raw Data'!A739</f>
        <v>1555</v>
      </c>
      <c r="B739" s="7" t="n">
        <f aca="false">'Raw Data'!B739</f>
        <v>19</v>
      </c>
      <c r="C739" s="7" t="str">
        <f aca="false">'Raw Data'!C739</f>
        <v>Female</v>
      </c>
      <c r="D739" s="7" t="str">
        <f aca="false">'Raw Data'!D739</f>
        <v>Never</v>
      </c>
      <c r="E739" s="7" t="str">
        <f aca="false">'Raw Data'!J739</f>
        <v>High</v>
      </c>
      <c r="F739" s="7" t="n">
        <f aca="false">'Raw Data'!K739</f>
        <v>171.7</v>
      </c>
      <c r="G739" s="7" t="str">
        <f aca="false">'Raw Data'!L739</f>
        <v>No</v>
      </c>
      <c r="H739" s="7" t="str">
        <f aca="false">'Raw Data'!M739</f>
        <v>Moderate</v>
      </c>
      <c r="I739" s="7" t="n">
        <f aca="false">(IF(D739="Current",3,IF(D739="Former",1,0)))+(IF(E739="High",3,IF(E739="Normal",1,0)))+(IF(F739&gt;=240,2,IF(F739&gt;=200,1,0)))+(IF(G739="Yes",2,0))+(IF(H739="High",2,IF(H739="Moderate",1,0)))</f>
        <v>4</v>
      </c>
      <c r="J739" s="7" t="str">
        <f aca="false">IF(I739&gt;=8,"High",IF(I739&gt;=4,"Medium","Low"))</f>
        <v>Medium</v>
      </c>
    </row>
    <row r="740" customFormat="false" ht="15" hidden="false" customHeight="true" outlineLevel="0" collapsed="false">
      <c r="A740" s="7" t="n">
        <f aca="false">'Raw Data'!A740</f>
        <v>1568</v>
      </c>
      <c r="B740" s="7" t="n">
        <f aca="false">'Raw Data'!B740</f>
        <v>48</v>
      </c>
      <c r="C740" s="7" t="str">
        <f aca="false">'Raw Data'!C740</f>
        <v>Female</v>
      </c>
      <c r="D740" s="7" t="str">
        <f aca="false">'Raw Data'!D740</f>
        <v>Never</v>
      </c>
      <c r="E740" s="7" t="str">
        <f aca="false">'Raw Data'!J740</f>
        <v>High</v>
      </c>
      <c r="F740" s="7" t="n">
        <f aca="false">'Raw Data'!K740</f>
        <v>190.5</v>
      </c>
      <c r="G740" s="7" t="str">
        <f aca="false">'Raw Data'!L740</f>
        <v>No</v>
      </c>
      <c r="H740" s="7" t="str">
        <f aca="false">'Raw Data'!M740</f>
        <v>Moderate</v>
      </c>
      <c r="I740" s="7" t="n">
        <f aca="false">(IF(D740="Current",3,IF(D740="Former",1,0)))+(IF(E740="High",3,IF(E740="Normal",1,0)))+(IF(F740&gt;=240,2,IF(F740&gt;=200,1,0)))+(IF(G740="Yes",2,0))+(IF(H740="High",2,IF(H740="Moderate",1,0)))</f>
        <v>4</v>
      </c>
      <c r="J740" s="7" t="str">
        <f aca="false">IF(I740&gt;=8,"High",IF(I740&gt;=4,"Medium","Low"))</f>
        <v>Medium</v>
      </c>
    </row>
    <row r="741" customFormat="false" ht="15" hidden="false" customHeight="true" outlineLevel="0" collapsed="false">
      <c r="A741" s="7" t="n">
        <f aca="false">'Raw Data'!A741</f>
        <v>1609</v>
      </c>
      <c r="B741" s="7" t="n">
        <f aca="false">'Raw Data'!B741</f>
        <v>45</v>
      </c>
      <c r="C741" s="7" t="str">
        <f aca="false">'Raw Data'!C741</f>
        <v>Male</v>
      </c>
      <c r="D741" s="7" t="str">
        <f aca="false">'Raw Data'!D741</f>
        <v>Never</v>
      </c>
      <c r="E741" s="7" t="str">
        <f aca="false">'Raw Data'!J741</f>
        <v>High</v>
      </c>
      <c r="F741" s="7" t="n">
        <f aca="false">'Raw Data'!K741</f>
        <v>183.3</v>
      </c>
      <c r="G741" s="7" t="str">
        <f aca="false">'Raw Data'!L741</f>
        <v>No</v>
      </c>
      <c r="H741" s="7" t="str">
        <f aca="false">'Raw Data'!M741</f>
        <v>Moderate</v>
      </c>
      <c r="I741" s="7" t="n">
        <f aca="false">(IF(D741="Current",3,IF(D741="Former",1,0)))+(IF(E741="High",3,IF(E741="Normal",1,0)))+(IF(F741&gt;=240,2,IF(F741&gt;=200,1,0)))+(IF(G741="Yes",2,0))+(IF(H741="High",2,IF(H741="Moderate",1,0)))</f>
        <v>4</v>
      </c>
      <c r="J741" s="7" t="str">
        <f aca="false">IF(I741&gt;=8,"High",IF(I741&gt;=4,"Medium","Low"))</f>
        <v>Medium</v>
      </c>
    </row>
    <row r="742" customFormat="false" ht="15" hidden="false" customHeight="true" outlineLevel="0" collapsed="false">
      <c r="A742" s="7" t="n">
        <f aca="false">'Raw Data'!A742</f>
        <v>1635</v>
      </c>
      <c r="B742" s="7" t="n">
        <f aca="false">'Raw Data'!B742</f>
        <v>43</v>
      </c>
      <c r="C742" s="7" t="str">
        <f aca="false">'Raw Data'!C742</f>
        <v>Male</v>
      </c>
      <c r="D742" s="7" t="str">
        <f aca="false">'Raw Data'!D742</f>
        <v>Never</v>
      </c>
      <c r="E742" s="7" t="str">
        <f aca="false">'Raw Data'!J742</f>
        <v>High</v>
      </c>
      <c r="F742" s="7" t="n">
        <f aca="false">'Raw Data'!K742</f>
        <v>182</v>
      </c>
      <c r="G742" s="7" t="str">
        <f aca="false">'Raw Data'!L742</f>
        <v>No</v>
      </c>
      <c r="H742" s="7" t="str">
        <f aca="false">'Raw Data'!M742</f>
        <v>Moderate</v>
      </c>
      <c r="I742" s="7" t="n">
        <f aca="false">(IF(D742="Current",3,IF(D742="Former",1,0)))+(IF(E742="High",3,IF(E742="Normal",1,0)))+(IF(F742&gt;=240,2,IF(F742&gt;=200,1,0)))+(IF(G742="Yes",2,0))+(IF(H742="High",2,IF(H742="Moderate",1,0)))</f>
        <v>4</v>
      </c>
      <c r="J742" s="7" t="str">
        <f aca="false">IF(I742&gt;=8,"High",IF(I742&gt;=4,"Medium","Low"))</f>
        <v>Medium</v>
      </c>
    </row>
    <row r="743" customFormat="false" ht="15" hidden="false" customHeight="true" outlineLevel="0" collapsed="false">
      <c r="A743" s="7" t="n">
        <f aca="false">'Raw Data'!A743</f>
        <v>1660</v>
      </c>
      <c r="B743" s="7" t="n">
        <f aca="false">'Raw Data'!B743</f>
        <v>58</v>
      </c>
      <c r="C743" s="7" t="str">
        <f aca="false">'Raw Data'!C743</f>
        <v>Male</v>
      </c>
      <c r="D743" s="7" t="str">
        <f aca="false">'Raw Data'!D743</f>
        <v>Never</v>
      </c>
      <c r="E743" s="7" t="str">
        <f aca="false">'Raw Data'!J743</f>
        <v>High</v>
      </c>
      <c r="F743" s="7" t="n">
        <f aca="false">'Raw Data'!K743</f>
        <v>121.2</v>
      </c>
      <c r="G743" s="7" t="str">
        <f aca="false">'Raw Data'!L743</f>
        <v>Yes</v>
      </c>
      <c r="H743" s="7" t="str">
        <f aca="false">'Raw Data'!M743</f>
        <v>Moderate</v>
      </c>
      <c r="I743" s="7" t="n">
        <f aca="false">(IF(D743="Current",3,IF(D743="Former",1,0)))+(IF(E743="High",3,IF(E743="Normal",1,0)))+(IF(F743&gt;=240,2,IF(F743&gt;=200,1,0)))+(IF(G743="Yes",2,0))+(IF(H743="High",2,IF(H743="Moderate",1,0)))</f>
        <v>6</v>
      </c>
      <c r="J743" s="7" t="str">
        <f aca="false">IF(I743&gt;=8,"High",IF(I743&gt;=4,"Medium","Low"))</f>
        <v>Medium</v>
      </c>
    </row>
    <row r="744" customFormat="false" ht="15" hidden="false" customHeight="true" outlineLevel="0" collapsed="false">
      <c r="A744" s="7" t="n">
        <f aca="false">'Raw Data'!A744</f>
        <v>1693</v>
      </c>
      <c r="B744" s="7" t="n">
        <f aca="false">'Raw Data'!B744</f>
        <v>66</v>
      </c>
      <c r="C744" s="7" t="str">
        <f aca="false">'Raw Data'!C744</f>
        <v>Female</v>
      </c>
      <c r="D744" s="7" t="str">
        <f aca="false">'Raw Data'!D744</f>
        <v>Never</v>
      </c>
      <c r="E744" s="7" t="str">
        <f aca="false">'Raw Data'!J744</f>
        <v>High</v>
      </c>
      <c r="F744" s="7" t="n">
        <f aca="false">'Raw Data'!K744</f>
        <v>126.8</v>
      </c>
      <c r="G744" s="7" t="str">
        <f aca="false">'Raw Data'!L744</f>
        <v>No</v>
      </c>
      <c r="H744" s="7" t="str">
        <f aca="false">'Raw Data'!M744</f>
        <v>Moderate</v>
      </c>
      <c r="I744" s="7" t="n">
        <f aca="false">(IF(D744="Current",3,IF(D744="Former",1,0)))+(IF(E744="High",3,IF(E744="Normal",1,0)))+(IF(F744&gt;=240,2,IF(F744&gt;=200,1,0)))+(IF(G744="Yes",2,0))+(IF(H744="High",2,IF(H744="Moderate",1,0)))</f>
        <v>4</v>
      </c>
      <c r="J744" s="7" t="str">
        <f aca="false">IF(I744&gt;=8,"High",IF(I744&gt;=4,"Medium","Low"))</f>
        <v>Medium</v>
      </c>
    </row>
    <row r="745" customFormat="false" ht="15" hidden="false" customHeight="true" outlineLevel="0" collapsed="false">
      <c r="A745" s="7" t="n">
        <f aca="false">'Raw Data'!A745</f>
        <v>1705</v>
      </c>
      <c r="B745" s="7" t="n">
        <f aca="false">'Raw Data'!B745</f>
        <v>57</v>
      </c>
      <c r="C745" s="7" t="str">
        <f aca="false">'Raw Data'!C745</f>
        <v>Female</v>
      </c>
      <c r="D745" s="7" t="str">
        <f aca="false">'Raw Data'!D745</f>
        <v>Never</v>
      </c>
      <c r="E745" s="7" t="str">
        <f aca="false">'Raw Data'!J745</f>
        <v>High</v>
      </c>
      <c r="F745" s="7" t="n">
        <f aca="false">'Raw Data'!K745</f>
        <v>123.9</v>
      </c>
      <c r="G745" s="7" t="str">
        <f aca="false">'Raw Data'!L745</f>
        <v>Yes</v>
      </c>
      <c r="H745" s="7" t="str">
        <f aca="false">'Raw Data'!M745</f>
        <v>Moderate</v>
      </c>
      <c r="I745" s="7" t="n">
        <f aca="false">(IF(D745="Current",3,IF(D745="Former",1,0)))+(IF(E745="High",3,IF(E745="Normal",1,0)))+(IF(F745&gt;=240,2,IF(F745&gt;=200,1,0)))+(IF(G745="Yes",2,0))+(IF(H745="High",2,IF(H745="Moderate",1,0)))</f>
        <v>6</v>
      </c>
      <c r="J745" s="7" t="str">
        <f aca="false">IF(I745&gt;=8,"High",IF(I745&gt;=4,"Medium","Low"))</f>
        <v>Medium</v>
      </c>
    </row>
    <row r="746" customFormat="false" ht="15" hidden="false" customHeight="true" outlineLevel="0" collapsed="false">
      <c r="A746" s="7" t="n">
        <f aca="false">'Raw Data'!A746</f>
        <v>1709</v>
      </c>
      <c r="B746" s="7" t="n">
        <f aca="false">'Raw Data'!B746</f>
        <v>51</v>
      </c>
      <c r="C746" s="7" t="str">
        <f aca="false">'Raw Data'!C746</f>
        <v>Male</v>
      </c>
      <c r="D746" s="7" t="str">
        <f aca="false">'Raw Data'!D746</f>
        <v>Never</v>
      </c>
      <c r="E746" s="7" t="str">
        <f aca="false">'Raw Data'!J746</f>
        <v>High</v>
      </c>
      <c r="F746" s="7" t="n">
        <f aca="false">'Raw Data'!K746</f>
        <v>250.8</v>
      </c>
      <c r="G746" s="7" t="str">
        <f aca="false">'Raw Data'!L746</f>
        <v>No</v>
      </c>
      <c r="H746" s="7" t="str">
        <f aca="false">'Raw Data'!M746</f>
        <v>Moderate</v>
      </c>
      <c r="I746" s="7" t="n">
        <f aca="false">(IF(D746="Current",3,IF(D746="Former",1,0)))+(IF(E746="High",3,IF(E746="Normal",1,0)))+(IF(F746&gt;=240,2,IF(F746&gt;=200,1,0)))+(IF(G746="Yes",2,0))+(IF(H746="High",2,IF(H746="Moderate",1,0)))</f>
        <v>6</v>
      </c>
      <c r="J746" s="7" t="str">
        <f aca="false">IF(I746&gt;=8,"High",IF(I746&gt;=4,"Medium","Low"))</f>
        <v>Medium</v>
      </c>
    </row>
    <row r="747" customFormat="false" ht="15" hidden="false" customHeight="true" outlineLevel="0" collapsed="false">
      <c r="A747" s="7" t="n">
        <f aca="false">'Raw Data'!A747</f>
        <v>1722</v>
      </c>
      <c r="B747" s="7" t="n">
        <f aca="false">'Raw Data'!B747</f>
        <v>33</v>
      </c>
      <c r="C747" s="7" t="str">
        <f aca="false">'Raw Data'!C747</f>
        <v>Female</v>
      </c>
      <c r="D747" s="7" t="str">
        <f aca="false">'Raw Data'!D747</f>
        <v>Never</v>
      </c>
      <c r="E747" s="7" t="str">
        <f aca="false">'Raw Data'!J747</f>
        <v>High</v>
      </c>
      <c r="F747" s="7" t="n">
        <f aca="false">'Raw Data'!K747</f>
        <v>157.7</v>
      </c>
      <c r="G747" s="7" t="str">
        <f aca="false">'Raw Data'!L747</f>
        <v>Yes</v>
      </c>
      <c r="H747" s="7" t="str">
        <f aca="false">'Raw Data'!M747</f>
        <v>Moderate</v>
      </c>
      <c r="I747" s="7" t="n">
        <f aca="false">(IF(D747="Current",3,IF(D747="Former",1,0)))+(IF(E747="High",3,IF(E747="Normal",1,0)))+(IF(F747&gt;=240,2,IF(F747&gt;=200,1,0)))+(IF(G747="Yes",2,0))+(IF(H747="High",2,IF(H747="Moderate",1,0)))</f>
        <v>6</v>
      </c>
      <c r="J747" s="7" t="str">
        <f aca="false">IF(I747&gt;=8,"High",IF(I747&gt;=4,"Medium","Low"))</f>
        <v>Medium</v>
      </c>
    </row>
    <row r="748" customFormat="false" ht="15" hidden="false" customHeight="true" outlineLevel="0" collapsed="false">
      <c r="A748" s="7" t="n">
        <f aca="false">'Raw Data'!A748</f>
        <v>1756</v>
      </c>
      <c r="B748" s="7" t="n">
        <f aca="false">'Raw Data'!B748</f>
        <v>79</v>
      </c>
      <c r="C748" s="7" t="str">
        <f aca="false">'Raw Data'!C748</f>
        <v>Female</v>
      </c>
      <c r="D748" s="7" t="str">
        <f aca="false">'Raw Data'!D748</f>
        <v>Never</v>
      </c>
      <c r="E748" s="7" t="str">
        <f aca="false">'Raw Data'!J748</f>
        <v>High</v>
      </c>
      <c r="F748" s="7" t="n">
        <f aca="false">'Raw Data'!K748</f>
        <v>290.7</v>
      </c>
      <c r="G748" s="7" t="str">
        <f aca="false">'Raw Data'!L748</f>
        <v>No</v>
      </c>
      <c r="H748" s="7" t="str">
        <f aca="false">'Raw Data'!M748</f>
        <v>Moderate</v>
      </c>
      <c r="I748" s="7" t="n">
        <f aca="false">(IF(D748="Current",3,IF(D748="Former",1,0)))+(IF(E748="High",3,IF(E748="Normal",1,0)))+(IF(F748&gt;=240,2,IF(F748&gt;=200,1,0)))+(IF(G748="Yes",2,0))+(IF(H748="High",2,IF(H748="Moderate",1,0)))</f>
        <v>6</v>
      </c>
      <c r="J748" s="7" t="str">
        <f aca="false">IF(I748&gt;=8,"High",IF(I748&gt;=4,"Medium","Low"))</f>
        <v>Medium</v>
      </c>
    </row>
    <row r="749" customFormat="false" ht="15" hidden="false" customHeight="true" outlineLevel="0" collapsed="false">
      <c r="A749" s="7" t="n">
        <f aca="false">'Raw Data'!A749</f>
        <v>1767</v>
      </c>
      <c r="B749" s="7" t="n">
        <f aca="false">'Raw Data'!B749</f>
        <v>62</v>
      </c>
      <c r="C749" s="7" t="str">
        <f aca="false">'Raw Data'!C749</f>
        <v>Male</v>
      </c>
      <c r="D749" s="7" t="str">
        <f aca="false">'Raw Data'!D749</f>
        <v>Never</v>
      </c>
      <c r="E749" s="7" t="str">
        <f aca="false">'Raw Data'!J749</f>
        <v>High</v>
      </c>
      <c r="F749" s="7" t="n">
        <f aca="false">'Raw Data'!K749</f>
        <v>122.1</v>
      </c>
      <c r="G749" s="7" t="str">
        <f aca="false">'Raw Data'!L749</f>
        <v>Yes</v>
      </c>
      <c r="H749" s="7" t="str">
        <f aca="false">'Raw Data'!M749</f>
        <v>Moderate</v>
      </c>
      <c r="I749" s="7" t="n">
        <f aca="false">(IF(D749="Current",3,IF(D749="Former",1,0)))+(IF(E749="High",3,IF(E749="Normal",1,0)))+(IF(F749&gt;=240,2,IF(F749&gt;=200,1,0)))+(IF(G749="Yes",2,0))+(IF(H749="High",2,IF(H749="Moderate",1,0)))</f>
        <v>6</v>
      </c>
      <c r="J749" s="7" t="str">
        <f aca="false">IF(I749&gt;=8,"High",IF(I749&gt;=4,"Medium","Low"))</f>
        <v>Medium</v>
      </c>
    </row>
    <row r="750" customFormat="false" ht="15" hidden="false" customHeight="true" outlineLevel="0" collapsed="false">
      <c r="A750" s="7" t="n">
        <f aca="false">'Raw Data'!A750</f>
        <v>1785</v>
      </c>
      <c r="B750" s="7" t="n">
        <f aca="false">'Raw Data'!B750</f>
        <v>49</v>
      </c>
      <c r="C750" s="7" t="str">
        <f aca="false">'Raw Data'!C750</f>
        <v>Male</v>
      </c>
      <c r="D750" s="7" t="str">
        <f aca="false">'Raw Data'!D750</f>
        <v>Never</v>
      </c>
      <c r="E750" s="7" t="str">
        <f aca="false">'Raw Data'!J750</f>
        <v>High</v>
      </c>
      <c r="F750" s="7" t="n">
        <f aca="false">'Raw Data'!K750</f>
        <v>168.1</v>
      </c>
      <c r="G750" s="7" t="str">
        <f aca="false">'Raw Data'!L750</f>
        <v>No</v>
      </c>
      <c r="H750" s="7" t="str">
        <f aca="false">'Raw Data'!M750</f>
        <v>Moderate</v>
      </c>
      <c r="I750" s="7" t="n">
        <f aca="false">(IF(D750="Current",3,IF(D750="Former",1,0)))+(IF(E750="High",3,IF(E750="Normal",1,0)))+(IF(F750&gt;=240,2,IF(F750&gt;=200,1,0)))+(IF(G750="Yes",2,0))+(IF(H750="High",2,IF(H750="Moderate",1,0)))</f>
        <v>4</v>
      </c>
      <c r="J750" s="7" t="str">
        <f aca="false">IF(I750&gt;=8,"High",IF(I750&gt;=4,"Medium","Low"))</f>
        <v>Medium</v>
      </c>
    </row>
    <row r="751" customFormat="false" ht="15" hidden="false" customHeight="true" outlineLevel="0" collapsed="false">
      <c r="A751" s="7" t="n">
        <f aca="false">'Raw Data'!A751</f>
        <v>1834</v>
      </c>
      <c r="B751" s="7" t="n">
        <f aca="false">'Raw Data'!B751</f>
        <v>36</v>
      </c>
      <c r="C751" s="7" t="str">
        <f aca="false">'Raw Data'!C751</f>
        <v>Male</v>
      </c>
      <c r="D751" s="7" t="str">
        <f aca="false">'Raw Data'!D751</f>
        <v>Never</v>
      </c>
      <c r="E751" s="7" t="str">
        <f aca="false">'Raw Data'!J751</f>
        <v>High</v>
      </c>
      <c r="F751" s="7" t="n">
        <f aca="false">'Raw Data'!K751</f>
        <v>195.5</v>
      </c>
      <c r="G751" s="7" t="str">
        <f aca="false">'Raw Data'!L751</f>
        <v>No</v>
      </c>
      <c r="H751" s="7" t="str">
        <f aca="false">'Raw Data'!M751</f>
        <v>Moderate</v>
      </c>
      <c r="I751" s="7" t="n">
        <f aca="false">(IF(D751="Current",3,IF(D751="Former",1,0)))+(IF(E751="High",3,IF(E751="Normal",1,0)))+(IF(F751&gt;=240,2,IF(F751&gt;=200,1,0)))+(IF(G751="Yes",2,0))+(IF(H751="High",2,IF(H751="Moderate",1,0)))</f>
        <v>4</v>
      </c>
      <c r="J751" s="7" t="str">
        <f aca="false">IF(I751&gt;=8,"High",IF(I751&gt;=4,"Medium","Low"))</f>
        <v>Medium</v>
      </c>
    </row>
    <row r="752" customFormat="false" ht="15" hidden="false" customHeight="true" outlineLevel="0" collapsed="false">
      <c r="A752" s="7" t="n">
        <f aca="false">'Raw Data'!A752</f>
        <v>1853</v>
      </c>
      <c r="B752" s="7" t="n">
        <f aca="false">'Raw Data'!B752</f>
        <v>72</v>
      </c>
      <c r="C752" s="7" t="str">
        <f aca="false">'Raw Data'!C752</f>
        <v>Male</v>
      </c>
      <c r="D752" s="7" t="str">
        <f aca="false">'Raw Data'!D752</f>
        <v>Never</v>
      </c>
      <c r="E752" s="7" t="str">
        <f aca="false">'Raw Data'!J752</f>
        <v>High</v>
      </c>
      <c r="F752" s="7" t="n">
        <f aca="false">'Raw Data'!K752</f>
        <v>196.6</v>
      </c>
      <c r="G752" s="7" t="str">
        <f aca="false">'Raw Data'!L752</f>
        <v>Yes</v>
      </c>
      <c r="H752" s="7" t="str">
        <f aca="false">'Raw Data'!M752</f>
        <v>Moderate</v>
      </c>
      <c r="I752" s="7" t="n">
        <f aca="false">(IF(D752="Current",3,IF(D752="Former",1,0)))+(IF(E752="High",3,IF(E752="Normal",1,0)))+(IF(F752&gt;=240,2,IF(F752&gt;=200,1,0)))+(IF(G752="Yes",2,0))+(IF(H752="High",2,IF(H752="Moderate",1,0)))</f>
        <v>6</v>
      </c>
      <c r="J752" s="7" t="str">
        <f aca="false">IF(I752&gt;=8,"High",IF(I752&gt;=4,"Medium","Low"))</f>
        <v>Medium</v>
      </c>
    </row>
    <row r="753" customFormat="false" ht="15" hidden="false" customHeight="true" outlineLevel="0" collapsed="false">
      <c r="A753" s="7" t="n">
        <f aca="false">'Raw Data'!A753</f>
        <v>1875</v>
      </c>
      <c r="B753" s="7" t="n">
        <f aca="false">'Raw Data'!B753</f>
        <v>68</v>
      </c>
      <c r="C753" s="7" t="str">
        <f aca="false">'Raw Data'!C753</f>
        <v>Male</v>
      </c>
      <c r="D753" s="7" t="str">
        <f aca="false">'Raw Data'!D753</f>
        <v>Never</v>
      </c>
      <c r="E753" s="7" t="str">
        <f aca="false">'Raw Data'!J753</f>
        <v>High</v>
      </c>
      <c r="F753" s="7" t="n">
        <f aca="false">'Raw Data'!K753</f>
        <v>232.1</v>
      </c>
      <c r="G753" s="7" t="str">
        <f aca="false">'Raw Data'!L753</f>
        <v>No</v>
      </c>
      <c r="H753" s="7" t="str">
        <f aca="false">'Raw Data'!M753</f>
        <v>Moderate</v>
      </c>
      <c r="I753" s="7" t="n">
        <f aca="false">(IF(D753="Current",3,IF(D753="Former",1,0)))+(IF(E753="High",3,IF(E753="Normal",1,0)))+(IF(F753&gt;=240,2,IF(F753&gt;=200,1,0)))+(IF(G753="Yes",2,0))+(IF(H753="High",2,IF(H753="Moderate",1,0)))</f>
        <v>5</v>
      </c>
      <c r="J753" s="7" t="str">
        <f aca="false">IF(I753&gt;=8,"High",IF(I753&gt;=4,"Medium","Low"))</f>
        <v>Medium</v>
      </c>
    </row>
    <row r="754" customFormat="false" ht="15" hidden="false" customHeight="true" outlineLevel="0" collapsed="false">
      <c r="A754" s="7" t="n">
        <f aca="false">'Raw Data'!A754</f>
        <v>1884</v>
      </c>
      <c r="B754" s="7" t="n">
        <f aca="false">'Raw Data'!B754</f>
        <v>29</v>
      </c>
      <c r="C754" s="7" t="str">
        <f aca="false">'Raw Data'!C754</f>
        <v>Female</v>
      </c>
      <c r="D754" s="7" t="str">
        <f aca="false">'Raw Data'!D754</f>
        <v>Never</v>
      </c>
      <c r="E754" s="7" t="str">
        <f aca="false">'Raw Data'!J754</f>
        <v>High</v>
      </c>
      <c r="F754" s="7" t="n">
        <f aca="false">'Raw Data'!K754</f>
        <v>241.9</v>
      </c>
      <c r="G754" s="7" t="str">
        <f aca="false">'Raw Data'!L754</f>
        <v>No</v>
      </c>
      <c r="H754" s="7" t="str">
        <f aca="false">'Raw Data'!M754</f>
        <v>Moderate</v>
      </c>
      <c r="I754" s="7" t="n">
        <f aca="false">(IF(D754="Current",3,IF(D754="Former",1,0)))+(IF(E754="High",3,IF(E754="Normal",1,0)))+(IF(F754&gt;=240,2,IF(F754&gt;=200,1,0)))+(IF(G754="Yes",2,0))+(IF(H754="High",2,IF(H754="Moderate",1,0)))</f>
        <v>6</v>
      </c>
      <c r="J754" s="7" t="str">
        <f aca="false">IF(I754&gt;=8,"High",IF(I754&gt;=4,"Medium","Low"))</f>
        <v>Medium</v>
      </c>
    </row>
    <row r="755" customFormat="false" ht="15" hidden="false" customHeight="true" outlineLevel="0" collapsed="false">
      <c r="A755" s="7" t="n">
        <f aca="false">'Raw Data'!A755</f>
        <v>1906</v>
      </c>
      <c r="B755" s="7" t="n">
        <f aca="false">'Raw Data'!B755</f>
        <v>49</v>
      </c>
      <c r="C755" s="7" t="str">
        <f aca="false">'Raw Data'!C755</f>
        <v>Female</v>
      </c>
      <c r="D755" s="7" t="str">
        <f aca="false">'Raw Data'!D755</f>
        <v>Never</v>
      </c>
      <c r="E755" s="7" t="str">
        <f aca="false">'Raw Data'!J755</f>
        <v>High</v>
      </c>
      <c r="F755" s="7" t="n">
        <f aca="false">'Raw Data'!K755</f>
        <v>291.3</v>
      </c>
      <c r="G755" s="7" t="str">
        <f aca="false">'Raw Data'!L755</f>
        <v>Yes</v>
      </c>
      <c r="H755" s="7" t="str">
        <f aca="false">'Raw Data'!M755</f>
        <v>Moderate</v>
      </c>
      <c r="I755" s="7" t="n">
        <f aca="false">(IF(D755="Current",3,IF(D755="Former",1,0)))+(IF(E755="High",3,IF(E755="Normal",1,0)))+(IF(F755&gt;=240,2,IF(F755&gt;=200,1,0)))+(IF(G755="Yes",2,0))+(IF(H755="High",2,IF(H755="Moderate",1,0)))</f>
        <v>8</v>
      </c>
      <c r="J755" s="7" t="str">
        <f aca="false">IF(I755&gt;=8,"High",IF(I755&gt;=4,"Medium","Low"))</f>
        <v>High</v>
      </c>
    </row>
    <row r="756" customFormat="false" ht="15" hidden="false" customHeight="true" outlineLevel="0" collapsed="false">
      <c r="A756" s="7" t="n">
        <f aca="false">'Raw Data'!A756</f>
        <v>1920</v>
      </c>
      <c r="B756" s="7" t="n">
        <f aca="false">'Raw Data'!B756</f>
        <v>22</v>
      </c>
      <c r="C756" s="7" t="str">
        <f aca="false">'Raw Data'!C756</f>
        <v>Female</v>
      </c>
      <c r="D756" s="7" t="str">
        <f aca="false">'Raw Data'!D756</f>
        <v>Never</v>
      </c>
      <c r="E756" s="7" t="str">
        <f aca="false">'Raw Data'!J756</f>
        <v>High</v>
      </c>
      <c r="F756" s="7" t="n">
        <f aca="false">'Raw Data'!K756</f>
        <v>217.4</v>
      </c>
      <c r="G756" s="7" t="str">
        <f aca="false">'Raw Data'!L756</f>
        <v>Yes</v>
      </c>
      <c r="H756" s="7" t="str">
        <f aca="false">'Raw Data'!M756</f>
        <v>Moderate</v>
      </c>
      <c r="I756" s="7" t="n">
        <f aca="false">(IF(D756="Current",3,IF(D756="Former",1,0)))+(IF(E756="High",3,IF(E756="Normal",1,0)))+(IF(F756&gt;=240,2,IF(F756&gt;=200,1,0)))+(IF(G756="Yes",2,0))+(IF(H756="High",2,IF(H756="Moderate",1,0)))</f>
        <v>7</v>
      </c>
      <c r="J756" s="7" t="str">
        <f aca="false">IF(I756&gt;=8,"High",IF(I756&gt;=4,"Medium","Low"))</f>
        <v>Medium</v>
      </c>
    </row>
    <row r="757" customFormat="false" ht="15" hidden="false" customHeight="true" outlineLevel="0" collapsed="false">
      <c r="A757" s="7" t="n">
        <f aca="false">'Raw Data'!A757</f>
        <v>1924</v>
      </c>
      <c r="B757" s="7" t="n">
        <f aca="false">'Raw Data'!B757</f>
        <v>75</v>
      </c>
      <c r="C757" s="7" t="str">
        <f aca="false">'Raw Data'!C757</f>
        <v>Female</v>
      </c>
      <c r="D757" s="7" t="str">
        <f aca="false">'Raw Data'!D757</f>
        <v>Never</v>
      </c>
      <c r="E757" s="7" t="str">
        <f aca="false">'Raw Data'!J757</f>
        <v>High</v>
      </c>
      <c r="F757" s="7" t="n">
        <f aca="false">'Raw Data'!K757</f>
        <v>276.7</v>
      </c>
      <c r="G757" s="7" t="str">
        <f aca="false">'Raw Data'!L757</f>
        <v>No</v>
      </c>
      <c r="H757" s="7" t="str">
        <f aca="false">'Raw Data'!M757</f>
        <v>Moderate</v>
      </c>
      <c r="I757" s="7" t="n">
        <f aca="false">(IF(D757="Current",3,IF(D757="Former",1,0)))+(IF(E757="High",3,IF(E757="Normal",1,0)))+(IF(F757&gt;=240,2,IF(F757&gt;=200,1,0)))+(IF(G757="Yes",2,0))+(IF(H757="High",2,IF(H757="Moderate",1,0)))</f>
        <v>6</v>
      </c>
      <c r="J757" s="7" t="str">
        <f aca="false">IF(I757&gt;=8,"High",IF(I757&gt;=4,"Medium","Low"))</f>
        <v>Medium</v>
      </c>
    </row>
    <row r="758" customFormat="false" ht="15" hidden="false" customHeight="true" outlineLevel="0" collapsed="false">
      <c r="A758" s="7" t="n">
        <f aca="false">'Raw Data'!A758</f>
        <v>1934</v>
      </c>
      <c r="B758" s="7" t="n">
        <f aca="false">'Raw Data'!B758</f>
        <v>57</v>
      </c>
      <c r="C758" s="7" t="str">
        <f aca="false">'Raw Data'!C758</f>
        <v>Female</v>
      </c>
      <c r="D758" s="7" t="str">
        <f aca="false">'Raw Data'!D758</f>
        <v>Never</v>
      </c>
      <c r="E758" s="7" t="str">
        <f aca="false">'Raw Data'!J758</f>
        <v>High</v>
      </c>
      <c r="F758" s="7" t="n">
        <f aca="false">'Raw Data'!K758</f>
        <v>211.8</v>
      </c>
      <c r="G758" s="7" t="str">
        <f aca="false">'Raw Data'!L758</f>
        <v>No</v>
      </c>
      <c r="H758" s="7" t="str">
        <f aca="false">'Raw Data'!M758</f>
        <v>Moderate</v>
      </c>
      <c r="I758" s="7" t="n">
        <f aca="false">(IF(D758="Current",3,IF(D758="Former",1,0)))+(IF(E758="High",3,IF(E758="Normal",1,0)))+(IF(F758&gt;=240,2,IF(F758&gt;=200,1,0)))+(IF(G758="Yes",2,0))+(IF(H758="High",2,IF(H758="Moderate",1,0)))</f>
        <v>5</v>
      </c>
      <c r="J758" s="7" t="str">
        <f aca="false">IF(I758&gt;=8,"High",IF(I758&gt;=4,"Medium","Low"))</f>
        <v>Medium</v>
      </c>
    </row>
    <row r="759" customFormat="false" ht="15" hidden="false" customHeight="true" outlineLevel="0" collapsed="false">
      <c r="A759" s="7" t="n">
        <f aca="false">'Raw Data'!A759</f>
        <v>1951</v>
      </c>
      <c r="B759" s="7" t="n">
        <f aca="false">'Raw Data'!B759</f>
        <v>49</v>
      </c>
      <c r="C759" s="7" t="str">
        <f aca="false">'Raw Data'!C759</f>
        <v>Male</v>
      </c>
      <c r="D759" s="7" t="str">
        <f aca="false">'Raw Data'!D759</f>
        <v>Never</v>
      </c>
      <c r="E759" s="7" t="str">
        <f aca="false">'Raw Data'!J759</f>
        <v>High</v>
      </c>
      <c r="F759" s="7" t="n">
        <f aca="false">'Raw Data'!K759</f>
        <v>205</v>
      </c>
      <c r="G759" s="7" t="str">
        <f aca="false">'Raw Data'!L759</f>
        <v>No</v>
      </c>
      <c r="H759" s="7" t="str">
        <f aca="false">'Raw Data'!M759</f>
        <v>Moderate</v>
      </c>
      <c r="I759" s="7" t="n">
        <f aca="false">(IF(D759="Current",3,IF(D759="Former",1,0)))+(IF(E759="High",3,IF(E759="Normal",1,0)))+(IF(F759&gt;=240,2,IF(F759&gt;=200,1,0)))+(IF(G759="Yes",2,0))+(IF(H759="High",2,IF(H759="Moderate",1,0)))</f>
        <v>5</v>
      </c>
      <c r="J759" s="7" t="str">
        <f aca="false">IF(I759&gt;=8,"High",IF(I759&gt;=4,"Medium","Low"))</f>
        <v>Medium</v>
      </c>
    </row>
    <row r="760" customFormat="false" ht="15" hidden="false" customHeight="true" outlineLevel="0" collapsed="false">
      <c r="A760" s="7" t="n">
        <f aca="false">'Raw Data'!A760</f>
        <v>1959</v>
      </c>
      <c r="B760" s="7" t="n">
        <f aca="false">'Raw Data'!B760</f>
        <v>29</v>
      </c>
      <c r="C760" s="7" t="str">
        <f aca="false">'Raw Data'!C760</f>
        <v>Female</v>
      </c>
      <c r="D760" s="7" t="str">
        <f aca="false">'Raw Data'!D760</f>
        <v>Never</v>
      </c>
      <c r="E760" s="7" t="str">
        <f aca="false">'Raw Data'!J760</f>
        <v>High</v>
      </c>
      <c r="F760" s="7" t="n">
        <f aca="false">'Raw Data'!K760</f>
        <v>179.9</v>
      </c>
      <c r="G760" s="7" t="str">
        <f aca="false">'Raw Data'!L760</f>
        <v>Yes</v>
      </c>
      <c r="H760" s="7" t="str">
        <f aca="false">'Raw Data'!M760</f>
        <v>Moderate</v>
      </c>
      <c r="I760" s="7" t="n">
        <f aca="false">(IF(D760="Current",3,IF(D760="Former",1,0)))+(IF(E760="High",3,IF(E760="Normal",1,0)))+(IF(F760&gt;=240,2,IF(F760&gt;=200,1,0)))+(IF(G760="Yes",2,0))+(IF(H760="High",2,IF(H760="Moderate",1,0)))</f>
        <v>6</v>
      </c>
      <c r="J760" s="7" t="str">
        <f aca="false">IF(I760&gt;=8,"High",IF(I760&gt;=4,"Medium","Low"))</f>
        <v>Medium</v>
      </c>
    </row>
    <row r="761" customFormat="false" ht="15" hidden="false" customHeight="true" outlineLevel="0" collapsed="false">
      <c r="A761" s="7" t="n">
        <f aca="false">'Raw Data'!A761</f>
        <v>1964</v>
      </c>
      <c r="B761" s="7" t="n">
        <f aca="false">'Raw Data'!B761</f>
        <v>33</v>
      </c>
      <c r="C761" s="7" t="str">
        <f aca="false">'Raw Data'!C761</f>
        <v>Male</v>
      </c>
      <c r="D761" s="7" t="str">
        <f aca="false">'Raw Data'!D761</f>
        <v>Never</v>
      </c>
      <c r="E761" s="7" t="str">
        <f aca="false">'Raw Data'!J761</f>
        <v>High</v>
      </c>
      <c r="F761" s="7" t="n">
        <f aca="false">'Raw Data'!K761</f>
        <v>211.4</v>
      </c>
      <c r="G761" s="7" t="str">
        <f aca="false">'Raw Data'!L761</f>
        <v>No</v>
      </c>
      <c r="H761" s="7" t="str">
        <f aca="false">'Raw Data'!M761</f>
        <v>Moderate</v>
      </c>
      <c r="I761" s="7" t="n">
        <f aca="false">(IF(D761="Current",3,IF(D761="Former",1,0)))+(IF(E761="High",3,IF(E761="Normal",1,0)))+(IF(F761&gt;=240,2,IF(F761&gt;=200,1,0)))+(IF(G761="Yes",2,0))+(IF(H761="High",2,IF(H761="Moderate",1,0)))</f>
        <v>5</v>
      </c>
      <c r="J761" s="7" t="str">
        <f aca="false">IF(I761&gt;=8,"High",IF(I761&gt;=4,"Medium","Low"))</f>
        <v>Medium</v>
      </c>
    </row>
    <row r="762" customFormat="false" ht="15" hidden="false" customHeight="true" outlineLevel="0" collapsed="false">
      <c r="A762" s="7" t="n">
        <f aca="false">'Raw Data'!A762</f>
        <v>1979</v>
      </c>
      <c r="B762" s="7" t="n">
        <f aca="false">'Raw Data'!B762</f>
        <v>47</v>
      </c>
      <c r="C762" s="7" t="str">
        <f aca="false">'Raw Data'!C762</f>
        <v>Male</v>
      </c>
      <c r="D762" s="7" t="str">
        <f aca="false">'Raw Data'!D762</f>
        <v>Never</v>
      </c>
      <c r="E762" s="7" t="str">
        <f aca="false">'Raw Data'!J762</f>
        <v>High</v>
      </c>
      <c r="F762" s="7" t="n">
        <f aca="false">'Raw Data'!K762</f>
        <v>150.2</v>
      </c>
      <c r="G762" s="7" t="str">
        <f aca="false">'Raw Data'!L762</f>
        <v>Yes</v>
      </c>
      <c r="H762" s="7" t="str">
        <f aca="false">'Raw Data'!M762</f>
        <v>Moderate</v>
      </c>
      <c r="I762" s="7" t="n">
        <f aca="false">(IF(D762="Current",3,IF(D762="Former",1,0)))+(IF(E762="High",3,IF(E762="Normal",1,0)))+(IF(F762&gt;=240,2,IF(F762&gt;=200,1,0)))+(IF(G762="Yes",2,0))+(IF(H762="High",2,IF(H762="Moderate",1,0)))</f>
        <v>6</v>
      </c>
      <c r="J762" s="7" t="str">
        <f aca="false">IF(I762&gt;=8,"High",IF(I762&gt;=4,"Medium","Low"))</f>
        <v>Medium</v>
      </c>
    </row>
    <row r="763" customFormat="false" ht="15" hidden="false" customHeight="true" outlineLevel="0" collapsed="false">
      <c r="A763" s="7" t="n">
        <f aca="false">'Raw Data'!A763</f>
        <v>2030</v>
      </c>
      <c r="B763" s="7" t="n">
        <f aca="false">'Raw Data'!B763</f>
        <v>37</v>
      </c>
      <c r="C763" s="7" t="str">
        <f aca="false">'Raw Data'!C763</f>
        <v>Female</v>
      </c>
      <c r="D763" s="7" t="str">
        <f aca="false">'Raw Data'!D763</f>
        <v>Never</v>
      </c>
      <c r="E763" s="7" t="str">
        <f aca="false">'Raw Data'!J763</f>
        <v>High</v>
      </c>
      <c r="F763" s="7" t="n">
        <f aca="false">'Raw Data'!K763</f>
        <v>178.7</v>
      </c>
      <c r="G763" s="7" t="str">
        <f aca="false">'Raw Data'!L763</f>
        <v>Yes</v>
      </c>
      <c r="H763" s="7" t="str">
        <f aca="false">'Raw Data'!M763</f>
        <v>Moderate</v>
      </c>
      <c r="I763" s="7" t="n">
        <f aca="false">(IF(D763="Current",3,IF(D763="Former",1,0)))+(IF(E763="High",3,IF(E763="Normal",1,0)))+(IF(F763&gt;=240,2,IF(F763&gt;=200,1,0)))+(IF(G763="Yes",2,0))+(IF(H763="High",2,IF(H763="Moderate",1,0)))</f>
        <v>6</v>
      </c>
      <c r="J763" s="7" t="str">
        <f aca="false">IF(I763&gt;=8,"High",IF(I763&gt;=4,"Medium","Low"))</f>
        <v>Medium</v>
      </c>
    </row>
    <row r="764" customFormat="false" ht="15" hidden="false" customHeight="true" outlineLevel="0" collapsed="false">
      <c r="A764" s="7" t="n">
        <f aca="false">'Raw Data'!A764</f>
        <v>2106</v>
      </c>
      <c r="B764" s="7" t="n">
        <f aca="false">'Raw Data'!B764</f>
        <v>57</v>
      </c>
      <c r="C764" s="7" t="str">
        <f aca="false">'Raw Data'!C764</f>
        <v>Male</v>
      </c>
      <c r="D764" s="7" t="str">
        <f aca="false">'Raw Data'!D764</f>
        <v>Never</v>
      </c>
      <c r="E764" s="7" t="str">
        <f aca="false">'Raw Data'!J764</f>
        <v>High</v>
      </c>
      <c r="F764" s="7" t="n">
        <f aca="false">'Raw Data'!K764</f>
        <v>145.1</v>
      </c>
      <c r="G764" s="7" t="str">
        <f aca="false">'Raw Data'!L764</f>
        <v>No</v>
      </c>
      <c r="H764" s="7" t="str">
        <f aca="false">'Raw Data'!M764</f>
        <v>Moderate</v>
      </c>
      <c r="I764" s="7" t="n">
        <f aca="false">(IF(D764="Current",3,IF(D764="Former",1,0)))+(IF(E764="High",3,IF(E764="Normal",1,0)))+(IF(F764&gt;=240,2,IF(F764&gt;=200,1,0)))+(IF(G764="Yes",2,0))+(IF(H764="High",2,IF(H764="Moderate",1,0)))</f>
        <v>4</v>
      </c>
      <c r="J764" s="7" t="str">
        <f aca="false">IF(I764&gt;=8,"High",IF(I764&gt;=4,"Medium","Low"))</f>
        <v>Medium</v>
      </c>
    </row>
    <row r="765" customFormat="false" ht="15" hidden="false" customHeight="true" outlineLevel="0" collapsed="false">
      <c r="A765" s="7" t="n">
        <f aca="false">'Raw Data'!A765</f>
        <v>2124</v>
      </c>
      <c r="B765" s="7" t="n">
        <f aca="false">'Raw Data'!B765</f>
        <v>39</v>
      </c>
      <c r="C765" s="7" t="str">
        <f aca="false">'Raw Data'!C765</f>
        <v>Female</v>
      </c>
      <c r="D765" s="7" t="str">
        <f aca="false">'Raw Data'!D765</f>
        <v>Never</v>
      </c>
      <c r="E765" s="7" t="str">
        <f aca="false">'Raw Data'!J765</f>
        <v>High</v>
      </c>
      <c r="F765" s="7" t="n">
        <f aca="false">'Raw Data'!K765</f>
        <v>121.1</v>
      </c>
      <c r="G765" s="7" t="str">
        <f aca="false">'Raw Data'!L765</f>
        <v>Yes</v>
      </c>
      <c r="H765" s="7" t="str">
        <f aca="false">'Raw Data'!M765</f>
        <v>Moderate</v>
      </c>
      <c r="I765" s="7" t="n">
        <f aca="false">(IF(D765="Current",3,IF(D765="Former",1,0)))+(IF(E765="High",3,IF(E765="Normal",1,0)))+(IF(F765&gt;=240,2,IF(F765&gt;=200,1,0)))+(IF(G765="Yes",2,0))+(IF(H765="High",2,IF(H765="Moderate",1,0)))</f>
        <v>6</v>
      </c>
      <c r="J765" s="7" t="str">
        <f aca="false">IF(I765&gt;=8,"High",IF(I765&gt;=4,"Medium","Low"))</f>
        <v>Medium</v>
      </c>
    </row>
    <row r="766" customFormat="false" ht="15" hidden="false" customHeight="true" outlineLevel="0" collapsed="false">
      <c r="A766" s="7" t="n">
        <f aca="false">'Raw Data'!A766</f>
        <v>2137</v>
      </c>
      <c r="B766" s="7" t="n">
        <f aca="false">'Raw Data'!B766</f>
        <v>32</v>
      </c>
      <c r="C766" s="7" t="str">
        <f aca="false">'Raw Data'!C766</f>
        <v>Female</v>
      </c>
      <c r="D766" s="7" t="str">
        <f aca="false">'Raw Data'!D766</f>
        <v>Never</v>
      </c>
      <c r="E766" s="7" t="str">
        <f aca="false">'Raw Data'!J766</f>
        <v>High</v>
      </c>
      <c r="F766" s="7" t="n">
        <f aca="false">'Raw Data'!K766</f>
        <v>224.6</v>
      </c>
      <c r="G766" s="7" t="str">
        <f aca="false">'Raw Data'!L766</f>
        <v>No</v>
      </c>
      <c r="H766" s="7" t="str">
        <f aca="false">'Raw Data'!M766</f>
        <v>Moderate</v>
      </c>
      <c r="I766" s="7" t="n">
        <f aca="false">(IF(D766="Current",3,IF(D766="Former",1,0)))+(IF(E766="High",3,IF(E766="Normal",1,0)))+(IF(F766&gt;=240,2,IF(F766&gt;=200,1,0)))+(IF(G766="Yes",2,0))+(IF(H766="High",2,IF(H766="Moderate",1,0)))</f>
        <v>5</v>
      </c>
      <c r="J766" s="7" t="str">
        <f aca="false">IF(I766&gt;=8,"High",IF(I766&gt;=4,"Medium","Low"))</f>
        <v>Medium</v>
      </c>
    </row>
    <row r="767" customFormat="false" ht="15" hidden="false" customHeight="true" outlineLevel="0" collapsed="false">
      <c r="A767" s="7" t="n">
        <f aca="false">'Raw Data'!A767</f>
        <v>2161</v>
      </c>
      <c r="B767" s="7" t="n">
        <f aca="false">'Raw Data'!B767</f>
        <v>75</v>
      </c>
      <c r="C767" s="7" t="str">
        <f aca="false">'Raw Data'!C767</f>
        <v>Male</v>
      </c>
      <c r="D767" s="7" t="str">
        <f aca="false">'Raw Data'!D767</f>
        <v>Never</v>
      </c>
      <c r="E767" s="7" t="str">
        <f aca="false">'Raw Data'!J767</f>
        <v>High</v>
      </c>
      <c r="F767" s="7" t="n">
        <f aca="false">'Raw Data'!K767</f>
        <v>241.4</v>
      </c>
      <c r="G767" s="7" t="str">
        <f aca="false">'Raw Data'!L767</f>
        <v>Yes</v>
      </c>
      <c r="H767" s="7" t="str">
        <f aca="false">'Raw Data'!M767</f>
        <v>Moderate</v>
      </c>
      <c r="I767" s="7" t="n">
        <f aca="false">(IF(D767="Current",3,IF(D767="Former",1,0)))+(IF(E767="High",3,IF(E767="Normal",1,0)))+(IF(F767&gt;=240,2,IF(F767&gt;=200,1,0)))+(IF(G767="Yes",2,0))+(IF(H767="High",2,IF(H767="Moderate",1,0)))</f>
        <v>8</v>
      </c>
      <c r="J767" s="7" t="str">
        <f aca="false">IF(I767&gt;=8,"High",IF(I767&gt;=4,"Medium","Low"))</f>
        <v>High</v>
      </c>
    </row>
    <row r="768" customFormat="false" ht="15" hidden="false" customHeight="true" outlineLevel="0" collapsed="false">
      <c r="A768" s="7" t="n">
        <f aca="false">'Raw Data'!A768</f>
        <v>2196</v>
      </c>
      <c r="B768" s="7" t="n">
        <f aca="false">'Raw Data'!B768</f>
        <v>31</v>
      </c>
      <c r="C768" s="7" t="str">
        <f aca="false">'Raw Data'!C768</f>
        <v>Male</v>
      </c>
      <c r="D768" s="7" t="str">
        <f aca="false">'Raw Data'!D768</f>
        <v>Never</v>
      </c>
      <c r="E768" s="7" t="str">
        <f aca="false">'Raw Data'!J768</f>
        <v>High</v>
      </c>
      <c r="F768" s="7" t="n">
        <f aca="false">'Raw Data'!K768</f>
        <v>286.9</v>
      </c>
      <c r="G768" s="7" t="str">
        <f aca="false">'Raw Data'!L768</f>
        <v>No</v>
      </c>
      <c r="H768" s="7" t="str">
        <f aca="false">'Raw Data'!M768</f>
        <v>Moderate</v>
      </c>
      <c r="I768" s="7" t="n">
        <f aca="false">(IF(D768="Current",3,IF(D768="Former",1,0)))+(IF(E768="High",3,IF(E768="Normal",1,0)))+(IF(F768&gt;=240,2,IF(F768&gt;=200,1,0)))+(IF(G768="Yes",2,0))+(IF(H768="High",2,IF(H768="Moderate",1,0)))</f>
        <v>6</v>
      </c>
      <c r="J768" s="7" t="str">
        <f aca="false">IF(I768&gt;=8,"High",IF(I768&gt;=4,"Medium","Low"))</f>
        <v>Medium</v>
      </c>
    </row>
    <row r="769" customFormat="false" ht="15" hidden="false" customHeight="true" outlineLevel="0" collapsed="false">
      <c r="A769" s="7" t="n">
        <f aca="false">'Raw Data'!A769</f>
        <v>2229</v>
      </c>
      <c r="B769" s="7" t="n">
        <f aca="false">'Raw Data'!B769</f>
        <v>55</v>
      </c>
      <c r="C769" s="7" t="str">
        <f aca="false">'Raw Data'!C769</f>
        <v>Male</v>
      </c>
      <c r="D769" s="7" t="str">
        <f aca="false">'Raw Data'!D769</f>
        <v>Never</v>
      </c>
      <c r="E769" s="7" t="str">
        <f aca="false">'Raw Data'!J769</f>
        <v>High</v>
      </c>
      <c r="F769" s="7" t="n">
        <f aca="false">'Raw Data'!K769</f>
        <v>126.4</v>
      </c>
      <c r="G769" s="7" t="str">
        <f aca="false">'Raw Data'!L769</f>
        <v>No</v>
      </c>
      <c r="H769" s="7" t="str">
        <f aca="false">'Raw Data'!M769</f>
        <v>Moderate</v>
      </c>
      <c r="I769" s="7" t="n">
        <f aca="false">(IF(D769="Current",3,IF(D769="Former",1,0)))+(IF(E769="High",3,IF(E769="Normal",1,0)))+(IF(F769&gt;=240,2,IF(F769&gt;=200,1,0)))+(IF(G769="Yes",2,0))+(IF(H769="High",2,IF(H769="Moderate",1,0)))</f>
        <v>4</v>
      </c>
      <c r="J769" s="7" t="str">
        <f aca="false">IF(I769&gt;=8,"High",IF(I769&gt;=4,"Medium","Low"))</f>
        <v>Medium</v>
      </c>
    </row>
    <row r="770" customFormat="false" ht="15" hidden="false" customHeight="true" outlineLevel="0" collapsed="false">
      <c r="A770" s="7" t="n">
        <f aca="false">'Raw Data'!A770</f>
        <v>2235</v>
      </c>
      <c r="B770" s="7" t="n">
        <f aca="false">'Raw Data'!B770</f>
        <v>38</v>
      </c>
      <c r="C770" s="7" t="str">
        <f aca="false">'Raw Data'!C770</f>
        <v>Male</v>
      </c>
      <c r="D770" s="7" t="str">
        <f aca="false">'Raw Data'!D770</f>
        <v>Never</v>
      </c>
      <c r="E770" s="7" t="str">
        <f aca="false">'Raw Data'!J770</f>
        <v>High</v>
      </c>
      <c r="F770" s="7" t="n">
        <f aca="false">'Raw Data'!K770</f>
        <v>285.7</v>
      </c>
      <c r="G770" s="7" t="str">
        <f aca="false">'Raw Data'!L770</f>
        <v>No</v>
      </c>
      <c r="H770" s="7" t="str">
        <f aca="false">'Raw Data'!M770</f>
        <v>Moderate</v>
      </c>
      <c r="I770" s="7" t="n">
        <f aca="false">(IF(D770="Current",3,IF(D770="Former",1,0)))+(IF(E770="High",3,IF(E770="Normal",1,0)))+(IF(F770&gt;=240,2,IF(F770&gt;=200,1,0)))+(IF(G770="Yes",2,0))+(IF(H770="High",2,IF(H770="Moderate",1,0)))</f>
        <v>6</v>
      </c>
      <c r="J770" s="7" t="str">
        <f aca="false">IF(I770&gt;=8,"High",IF(I770&gt;=4,"Medium","Low"))</f>
        <v>Medium</v>
      </c>
    </row>
    <row r="771" customFormat="false" ht="15" hidden="false" customHeight="true" outlineLevel="0" collapsed="false">
      <c r="A771" s="7" t="n">
        <f aca="false">'Raw Data'!A771</f>
        <v>2240</v>
      </c>
      <c r="B771" s="7" t="n">
        <f aca="false">'Raw Data'!B771</f>
        <v>54</v>
      </c>
      <c r="C771" s="7" t="str">
        <f aca="false">'Raw Data'!C771</f>
        <v>Male</v>
      </c>
      <c r="D771" s="7" t="str">
        <f aca="false">'Raw Data'!D771</f>
        <v>Never</v>
      </c>
      <c r="E771" s="7" t="str">
        <f aca="false">'Raw Data'!J771</f>
        <v>High</v>
      </c>
      <c r="F771" s="7" t="n">
        <f aca="false">'Raw Data'!K771</f>
        <v>134.6</v>
      </c>
      <c r="G771" s="7" t="str">
        <f aca="false">'Raw Data'!L771</f>
        <v>No</v>
      </c>
      <c r="H771" s="7" t="str">
        <f aca="false">'Raw Data'!M771</f>
        <v>Moderate</v>
      </c>
      <c r="I771" s="7" t="n">
        <f aca="false">(IF(D771="Current",3,IF(D771="Former",1,0)))+(IF(E771="High",3,IF(E771="Normal",1,0)))+(IF(F771&gt;=240,2,IF(F771&gt;=200,1,0)))+(IF(G771="Yes",2,0))+(IF(H771="High",2,IF(H771="Moderate",1,0)))</f>
        <v>4</v>
      </c>
      <c r="J771" s="7" t="str">
        <f aca="false">IF(I771&gt;=8,"High",IF(I771&gt;=4,"Medium","Low"))</f>
        <v>Medium</v>
      </c>
    </row>
    <row r="772" customFormat="false" ht="15" hidden="false" customHeight="true" outlineLevel="0" collapsed="false">
      <c r="A772" s="7" t="n">
        <f aca="false">'Raw Data'!A772</f>
        <v>2274</v>
      </c>
      <c r="B772" s="7" t="n">
        <f aca="false">'Raw Data'!B772</f>
        <v>39</v>
      </c>
      <c r="C772" s="7" t="str">
        <f aca="false">'Raw Data'!C772</f>
        <v>Male</v>
      </c>
      <c r="D772" s="7" t="str">
        <f aca="false">'Raw Data'!D772</f>
        <v>Never</v>
      </c>
      <c r="E772" s="7" t="str">
        <f aca="false">'Raw Data'!J772</f>
        <v>High</v>
      </c>
      <c r="F772" s="7" t="n">
        <f aca="false">'Raw Data'!K772</f>
        <v>145.5</v>
      </c>
      <c r="G772" s="7" t="str">
        <f aca="false">'Raw Data'!L772</f>
        <v>No</v>
      </c>
      <c r="H772" s="7" t="str">
        <f aca="false">'Raw Data'!M772</f>
        <v>Moderate</v>
      </c>
      <c r="I772" s="7" t="n">
        <f aca="false">(IF(D772="Current",3,IF(D772="Former",1,0)))+(IF(E772="High",3,IF(E772="Normal",1,0)))+(IF(F772&gt;=240,2,IF(F772&gt;=200,1,0)))+(IF(G772="Yes",2,0))+(IF(H772="High",2,IF(H772="Moderate",1,0)))</f>
        <v>4</v>
      </c>
      <c r="J772" s="7" t="str">
        <f aca="false">IF(I772&gt;=8,"High",IF(I772&gt;=4,"Medium","Low"))</f>
        <v>Medium</v>
      </c>
    </row>
    <row r="773" customFormat="false" ht="15" hidden="false" customHeight="true" outlineLevel="0" collapsed="false">
      <c r="A773" s="7" t="n">
        <f aca="false">'Raw Data'!A773</f>
        <v>2292</v>
      </c>
      <c r="B773" s="7" t="n">
        <f aca="false">'Raw Data'!B773</f>
        <v>48</v>
      </c>
      <c r="C773" s="7" t="str">
        <f aca="false">'Raw Data'!C773</f>
        <v>Male</v>
      </c>
      <c r="D773" s="7" t="str">
        <f aca="false">'Raw Data'!D773</f>
        <v>Never</v>
      </c>
      <c r="E773" s="7" t="str">
        <f aca="false">'Raw Data'!J773</f>
        <v>High</v>
      </c>
      <c r="F773" s="7" t="n">
        <f aca="false">'Raw Data'!K773</f>
        <v>153.7</v>
      </c>
      <c r="G773" s="7" t="str">
        <f aca="false">'Raw Data'!L773</f>
        <v>No</v>
      </c>
      <c r="H773" s="7" t="str">
        <f aca="false">'Raw Data'!M773</f>
        <v>Moderate</v>
      </c>
      <c r="I773" s="7" t="n">
        <f aca="false">(IF(D773="Current",3,IF(D773="Former",1,0)))+(IF(E773="High",3,IF(E773="Normal",1,0)))+(IF(F773&gt;=240,2,IF(F773&gt;=200,1,0)))+(IF(G773="Yes",2,0))+(IF(H773="High",2,IF(H773="Moderate",1,0)))</f>
        <v>4</v>
      </c>
      <c r="J773" s="7" t="str">
        <f aca="false">IF(I773&gt;=8,"High",IF(I773&gt;=4,"Medium","Low"))</f>
        <v>Medium</v>
      </c>
    </row>
    <row r="774" customFormat="false" ht="15" hidden="false" customHeight="true" outlineLevel="0" collapsed="false">
      <c r="A774" s="7" t="n">
        <f aca="false">'Raw Data'!A774</f>
        <v>2338</v>
      </c>
      <c r="B774" s="7" t="n">
        <f aca="false">'Raw Data'!B774</f>
        <v>29</v>
      </c>
      <c r="C774" s="7" t="str">
        <f aca="false">'Raw Data'!C774</f>
        <v>Male</v>
      </c>
      <c r="D774" s="7" t="str">
        <f aca="false">'Raw Data'!D774</f>
        <v>Never</v>
      </c>
      <c r="E774" s="7" t="str">
        <f aca="false">'Raw Data'!J774</f>
        <v>High</v>
      </c>
      <c r="F774" s="7" t="n">
        <f aca="false">'Raw Data'!K774</f>
        <v>167.6</v>
      </c>
      <c r="G774" s="7" t="str">
        <f aca="false">'Raw Data'!L774</f>
        <v>No</v>
      </c>
      <c r="H774" s="7" t="str">
        <f aca="false">'Raw Data'!M774</f>
        <v>Moderate</v>
      </c>
      <c r="I774" s="7" t="n">
        <f aca="false">(IF(D774="Current",3,IF(D774="Former",1,0)))+(IF(E774="High",3,IF(E774="Normal",1,0)))+(IF(F774&gt;=240,2,IF(F774&gt;=200,1,0)))+(IF(G774="Yes",2,0))+(IF(H774="High",2,IF(H774="Moderate",1,0)))</f>
        <v>4</v>
      </c>
      <c r="J774" s="7" t="str">
        <f aca="false">IF(I774&gt;=8,"High",IF(I774&gt;=4,"Medium","Low"))</f>
        <v>Medium</v>
      </c>
    </row>
    <row r="775" customFormat="false" ht="15" hidden="false" customHeight="true" outlineLevel="0" collapsed="false">
      <c r="A775" s="7" t="n">
        <f aca="false">'Raw Data'!A775</f>
        <v>2423</v>
      </c>
      <c r="B775" s="7" t="n">
        <f aca="false">'Raw Data'!B775</f>
        <v>67</v>
      </c>
      <c r="C775" s="7" t="str">
        <f aca="false">'Raw Data'!C775</f>
        <v>Male</v>
      </c>
      <c r="D775" s="7" t="str">
        <f aca="false">'Raw Data'!D775</f>
        <v>Never</v>
      </c>
      <c r="E775" s="7" t="str">
        <f aca="false">'Raw Data'!J775</f>
        <v>High</v>
      </c>
      <c r="F775" s="7" t="n">
        <f aca="false">'Raw Data'!K775</f>
        <v>135.4</v>
      </c>
      <c r="G775" s="7" t="str">
        <f aca="false">'Raw Data'!L775</f>
        <v>No</v>
      </c>
      <c r="H775" s="7" t="str">
        <f aca="false">'Raw Data'!M775</f>
        <v>Moderate</v>
      </c>
      <c r="I775" s="7" t="n">
        <f aca="false">(IF(D775="Current",3,IF(D775="Former",1,0)))+(IF(E775="High",3,IF(E775="Normal",1,0)))+(IF(F775&gt;=240,2,IF(F775&gt;=200,1,0)))+(IF(G775="Yes",2,0))+(IF(H775="High",2,IF(H775="Moderate",1,0)))</f>
        <v>4</v>
      </c>
      <c r="J775" s="7" t="str">
        <f aca="false">IF(I775&gt;=8,"High",IF(I775&gt;=4,"Medium","Low"))</f>
        <v>Medium</v>
      </c>
    </row>
    <row r="776" customFormat="false" ht="15" hidden="false" customHeight="true" outlineLevel="0" collapsed="false">
      <c r="A776" s="7" t="n">
        <f aca="false">'Raw Data'!A776</f>
        <v>2444</v>
      </c>
      <c r="B776" s="7" t="n">
        <f aca="false">'Raw Data'!B776</f>
        <v>79</v>
      </c>
      <c r="C776" s="7" t="str">
        <f aca="false">'Raw Data'!C776</f>
        <v>Female</v>
      </c>
      <c r="D776" s="7" t="str">
        <f aca="false">'Raw Data'!D776</f>
        <v>Never</v>
      </c>
      <c r="E776" s="7" t="str">
        <f aca="false">'Raw Data'!J776</f>
        <v>High</v>
      </c>
      <c r="F776" s="7" t="n">
        <f aca="false">'Raw Data'!K776</f>
        <v>136.6</v>
      </c>
      <c r="G776" s="7" t="str">
        <f aca="false">'Raw Data'!L776</f>
        <v>No</v>
      </c>
      <c r="H776" s="7" t="str">
        <f aca="false">'Raw Data'!M776</f>
        <v>Moderate</v>
      </c>
      <c r="I776" s="7" t="n">
        <f aca="false">(IF(D776="Current",3,IF(D776="Former",1,0)))+(IF(E776="High",3,IF(E776="Normal",1,0)))+(IF(F776&gt;=240,2,IF(F776&gt;=200,1,0)))+(IF(G776="Yes",2,0))+(IF(H776="High",2,IF(H776="Moderate",1,0)))</f>
        <v>4</v>
      </c>
      <c r="J776" s="7" t="str">
        <f aca="false">IF(I776&gt;=8,"High",IF(I776&gt;=4,"Medium","Low"))</f>
        <v>Medium</v>
      </c>
    </row>
    <row r="777" customFormat="false" ht="15" hidden="false" customHeight="true" outlineLevel="0" collapsed="false">
      <c r="A777" s="7" t="n">
        <f aca="false">'Raw Data'!A777</f>
        <v>2469</v>
      </c>
      <c r="B777" s="7" t="n">
        <f aca="false">'Raw Data'!B777</f>
        <v>55</v>
      </c>
      <c r="C777" s="7" t="str">
        <f aca="false">'Raw Data'!C777</f>
        <v>Male</v>
      </c>
      <c r="D777" s="7" t="str">
        <f aca="false">'Raw Data'!D777</f>
        <v>Never</v>
      </c>
      <c r="E777" s="7" t="str">
        <f aca="false">'Raw Data'!J777</f>
        <v>High</v>
      </c>
      <c r="F777" s="7" t="n">
        <f aca="false">'Raw Data'!K777</f>
        <v>204.1</v>
      </c>
      <c r="G777" s="7" t="str">
        <f aca="false">'Raw Data'!L777</f>
        <v>No</v>
      </c>
      <c r="H777" s="7" t="str">
        <f aca="false">'Raw Data'!M777</f>
        <v>Moderate</v>
      </c>
      <c r="I777" s="7" t="n">
        <f aca="false">(IF(D777="Current",3,IF(D777="Former",1,0)))+(IF(E777="High",3,IF(E777="Normal",1,0)))+(IF(F777&gt;=240,2,IF(F777&gt;=200,1,0)))+(IF(G777="Yes",2,0))+(IF(H777="High",2,IF(H777="Moderate",1,0)))</f>
        <v>5</v>
      </c>
      <c r="J777" s="7" t="str">
        <f aca="false">IF(I777&gt;=8,"High",IF(I777&gt;=4,"Medium","Low"))</f>
        <v>Medium</v>
      </c>
    </row>
    <row r="778" customFormat="false" ht="15" hidden="false" customHeight="true" outlineLevel="0" collapsed="false">
      <c r="A778" s="7" t="n">
        <f aca="false">'Raw Data'!A778</f>
        <v>11</v>
      </c>
      <c r="B778" s="7" t="n">
        <f aca="false">'Raw Data'!B778</f>
        <v>21</v>
      </c>
      <c r="C778" s="7" t="str">
        <f aca="false">'Raw Data'!C778</f>
        <v>Female</v>
      </c>
      <c r="D778" s="7" t="str">
        <f aca="false">'Raw Data'!D778</f>
        <v>Never</v>
      </c>
      <c r="E778" s="7" t="str">
        <f aca="false">'Raw Data'!J778</f>
        <v>High</v>
      </c>
      <c r="F778" s="7" t="n">
        <f aca="false">'Raw Data'!K778</f>
        <v>161.2</v>
      </c>
      <c r="G778" s="7" t="str">
        <f aca="false">'Raw Data'!L778</f>
        <v>Yes</v>
      </c>
      <c r="H778" s="7" t="str">
        <f aca="false">'Raw Data'!M778</f>
        <v>Low</v>
      </c>
      <c r="I778" s="7" t="n">
        <f aca="false">(IF(D778="Current",3,IF(D778="Former",1,0)))+(IF(E778="High",3,IF(E778="Normal",1,0)))+(IF(F778&gt;=240,2,IF(F778&gt;=200,1,0)))+(IF(G778="Yes",2,0))+(IF(H778="High",2,IF(H778="Moderate",1,0)))</f>
        <v>5</v>
      </c>
      <c r="J778" s="7" t="str">
        <f aca="false">IF(I778&gt;=8,"High",IF(I778&gt;=4,"Medium","Low"))</f>
        <v>Medium</v>
      </c>
    </row>
    <row r="779" customFormat="false" ht="15" hidden="false" customHeight="true" outlineLevel="0" collapsed="false">
      <c r="A779" s="7" t="n">
        <f aca="false">'Raw Data'!A779</f>
        <v>148</v>
      </c>
      <c r="B779" s="7" t="n">
        <f aca="false">'Raw Data'!B779</f>
        <v>81</v>
      </c>
      <c r="C779" s="7" t="str">
        <f aca="false">'Raw Data'!C779</f>
        <v>Female</v>
      </c>
      <c r="D779" s="7" t="str">
        <f aca="false">'Raw Data'!D779</f>
        <v>Never</v>
      </c>
      <c r="E779" s="7" t="str">
        <f aca="false">'Raw Data'!J779</f>
        <v>High</v>
      </c>
      <c r="F779" s="7" t="n">
        <f aca="false">'Raw Data'!K779</f>
        <v>136.3</v>
      </c>
      <c r="G779" s="7" t="str">
        <f aca="false">'Raw Data'!L779</f>
        <v>Yes</v>
      </c>
      <c r="H779" s="7" t="str">
        <f aca="false">'Raw Data'!M779</f>
        <v>Low</v>
      </c>
      <c r="I779" s="7" t="n">
        <f aca="false">(IF(D779="Current",3,IF(D779="Former",1,0)))+(IF(E779="High",3,IF(E779="Normal",1,0)))+(IF(F779&gt;=240,2,IF(F779&gt;=200,1,0)))+(IF(G779="Yes",2,0))+(IF(H779="High",2,IF(H779="Moderate",1,0)))</f>
        <v>5</v>
      </c>
      <c r="J779" s="7" t="str">
        <f aca="false">IF(I779&gt;=8,"High",IF(I779&gt;=4,"Medium","Low"))</f>
        <v>Medium</v>
      </c>
    </row>
    <row r="780" customFormat="false" ht="15" hidden="false" customHeight="true" outlineLevel="0" collapsed="false">
      <c r="A780" s="7" t="n">
        <f aca="false">'Raw Data'!A780</f>
        <v>330</v>
      </c>
      <c r="B780" s="7" t="n">
        <f aca="false">'Raw Data'!B780</f>
        <v>88</v>
      </c>
      <c r="C780" s="7" t="str">
        <f aca="false">'Raw Data'!C780</f>
        <v>Female</v>
      </c>
      <c r="D780" s="7" t="str">
        <f aca="false">'Raw Data'!D780</f>
        <v>Never</v>
      </c>
      <c r="E780" s="7" t="str">
        <f aca="false">'Raw Data'!J780</f>
        <v>High</v>
      </c>
      <c r="F780" s="7" t="n">
        <f aca="false">'Raw Data'!K780</f>
        <v>203.9</v>
      </c>
      <c r="G780" s="7" t="str">
        <f aca="false">'Raw Data'!L780</f>
        <v>Yes</v>
      </c>
      <c r="H780" s="7" t="str">
        <f aca="false">'Raw Data'!M780</f>
        <v>Low</v>
      </c>
      <c r="I780" s="7" t="n">
        <f aca="false">(IF(D780="Current",3,IF(D780="Former",1,0)))+(IF(E780="High",3,IF(E780="Normal",1,0)))+(IF(F780&gt;=240,2,IF(F780&gt;=200,1,0)))+(IF(G780="Yes",2,0))+(IF(H780="High",2,IF(H780="Moderate",1,0)))</f>
        <v>6</v>
      </c>
      <c r="J780" s="7" t="str">
        <f aca="false">IF(I780&gt;=8,"High",IF(I780&gt;=4,"Medium","Low"))</f>
        <v>Medium</v>
      </c>
    </row>
    <row r="781" customFormat="false" ht="15" hidden="false" customHeight="true" outlineLevel="0" collapsed="false">
      <c r="A781" s="7" t="n">
        <f aca="false">'Raw Data'!A781</f>
        <v>372</v>
      </c>
      <c r="B781" s="7" t="n">
        <f aca="false">'Raw Data'!B781</f>
        <v>73</v>
      </c>
      <c r="C781" s="7" t="str">
        <f aca="false">'Raw Data'!C781</f>
        <v>Male</v>
      </c>
      <c r="D781" s="7" t="str">
        <f aca="false">'Raw Data'!D781</f>
        <v>Never</v>
      </c>
      <c r="E781" s="7" t="str">
        <f aca="false">'Raw Data'!J781</f>
        <v>High</v>
      </c>
      <c r="F781" s="7" t="n">
        <f aca="false">'Raw Data'!K781</f>
        <v>288.4</v>
      </c>
      <c r="G781" s="7" t="str">
        <f aca="false">'Raw Data'!L781</f>
        <v>Yes</v>
      </c>
      <c r="H781" s="7" t="str">
        <f aca="false">'Raw Data'!M781</f>
        <v>Low</v>
      </c>
      <c r="I781" s="7" t="n">
        <f aca="false">(IF(D781="Current",3,IF(D781="Former",1,0)))+(IF(E781="High",3,IF(E781="Normal",1,0)))+(IF(F781&gt;=240,2,IF(F781&gt;=200,1,0)))+(IF(G781="Yes",2,0))+(IF(H781="High",2,IF(H781="Moderate",1,0)))</f>
        <v>7</v>
      </c>
      <c r="J781" s="7" t="str">
        <f aca="false">IF(I781&gt;=8,"High",IF(I781&gt;=4,"Medium","Low"))</f>
        <v>Medium</v>
      </c>
    </row>
    <row r="782" customFormat="false" ht="15" hidden="false" customHeight="true" outlineLevel="0" collapsed="false">
      <c r="A782" s="7" t="n">
        <f aca="false">'Raw Data'!A782</f>
        <v>444</v>
      </c>
      <c r="B782" s="7" t="n">
        <f aca="false">'Raw Data'!B782</f>
        <v>72</v>
      </c>
      <c r="C782" s="7" t="str">
        <f aca="false">'Raw Data'!C782</f>
        <v>Male</v>
      </c>
      <c r="D782" s="7" t="str">
        <f aca="false">'Raw Data'!D782</f>
        <v>Never</v>
      </c>
      <c r="E782" s="7" t="str">
        <f aca="false">'Raw Data'!J782</f>
        <v>High</v>
      </c>
      <c r="F782" s="7" t="n">
        <f aca="false">'Raw Data'!K782</f>
        <v>269.5</v>
      </c>
      <c r="G782" s="7" t="str">
        <f aca="false">'Raw Data'!L782</f>
        <v>Yes</v>
      </c>
      <c r="H782" s="7" t="str">
        <f aca="false">'Raw Data'!M782</f>
        <v>Low</v>
      </c>
      <c r="I782" s="7" t="n">
        <f aca="false">(IF(D782="Current",3,IF(D782="Former",1,0)))+(IF(E782="High",3,IF(E782="Normal",1,0)))+(IF(F782&gt;=240,2,IF(F782&gt;=200,1,0)))+(IF(G782="Yes",2,0))+(IF(H782="High",2,IF(H782="Moderate",1,0)))</f>
        <v>7</v>
      </c>
      <c r="J782" s="7" t="str">
        <f aca="false">IF(I782&gt;=8,"High",IF(I782&gt;=4,"Medium","Low"))</f>
        <v>Medium</v>
      </c>
    </row>
    <row r="783" customFormat="false" ht="15" hidden="false" customHeight="true" outlineLevel="0" collapsed="false">
      <c r="A783" s="7" t="n">
        <f aca="false">'Raw Data'!A783</f>
        <v>579</v>
      </c>
      <c r="B783" s="7" t="n">
        <f aca="false">'Raw Data'!B783</f>
        <v>74</v>
      </c>
      <c r="C783" s="7" t="str">
        <f aca="false">'Raw Data'!C783</f>
        <v>Male</v>
      </c>
      <c r="D783" s="7" t="str">
        <f aca="false">'Raw Data'!D783</f>
        <v>Never</v>
      </c>
      <c r="E783" s="7" t="str">
        <f aca="false">'Raw Data'!J783</f>
        <v>High</v>
      </c>
      <c r="F783" s="7" t="n">
        <f aca="false">'Raw Data'!K783</f>
        <v>276.3</v>
      </c>
      <c r="G783" s="7" t="str">
        <f aca="false">'Raw Data'!L783</f>
        <v>Yes</v>
      </c>
      <c r="H783" s="7" t="str">
        <f aca="false">'Raw Data'!M783</f>
        <v>Low</v>
      </c>
      <c r="I783" s="7" t="n">
        <f aca="false">(IF(D783="Current",3,IF(D783="Former",1,0)))+(IF(E783="High",3,IF(E783="Normal",1,0)))+(IF(F783&gt;=240,2,IF(F783&gt;=200,1,0)))+(IF(G783="Yes",2,0))+(IF(H783="High",2,IF(H783="Moderate",1,0)))</f>
        <v>7</v>
      </c>
      <c r="J783" s="7" t="str">
        <f aca="false">IF(I783&gt;=8,"High",IF(I783&gt;=4,"Medium","Low"))</f>
        <v>Medium</v>
      </c>
    </row>
    <row r="784" customFormat="false" ht="15" hidden="false" customHeight="true" outlineLevel="0" collapsed="false">
      <c r="A784" s="7" t="n">
        <f aca="false">'Raw Data'!A784</f>
        <v>665</v>
      </c>
      <c r="B784" s="7" t="n">
        <f aca="false">'Raw Data'!B784</f>
        <v>56</v>
      </c>
      <c r="C784" s="7" t="str">
        <f aca="false">'Raw Data'!C784</f>
        <v>Male</v>
      </c>
      <c r="D784" s="7" t="str">
        <f aca="false">'Raw Data'!D784</f>
        <v>Never</v>
      </c>
      <c r="E784" s="7" t="str">
        <f aca="false">'Raw Data'!J784</f>
        <v>High</v>
      </c>
      <c r="F784" s="7" t="n">
        <f aca="false">'Raw Data'!K784</f>
        <v>290.6</v>
      </c>
      <c r="G784" s="7" t="str">
        <f aca="false">'Raw Data'!L784</f>
        <v>Yes</v>
      </c>
      <c r="H784" s="7" t="str">
        <f aca="false">'Raw Data'!M784</f>
        <v>Low</v>
      </c>
      <c r="I784" s="7" t="n">
        <f aca="false">(IF(D784="Current",3,IF(D784="Former",1,0)))+(IF(E784="High",3,IF(E784="Normal",1,0)))+(IF(F784&gt;=240,2,IF(F784&gt;=200,1,0)))+(IF(G784="Yes",2,0))+(IF(H784="High",2,IF(H784="Moderate",1,0)))</f>
        <v>7</v>
      </c>
      <c r="J784" s="7" t="str">
        <f aca="false">IF(I784&gt;=8,"High",IF(I784&gt;=4,"Medium","Low"))</f>
        <v>Medium</v>
      </c>
    </row>
    <row r="785" customFormat="false" ht="15" hidden="false" customHeight="true" outlineLevel="0" collapsed="false">
      <c r="A785" s="7" t="n">
        <f aca="false">'Raw Data'!A785</f>
        <v>688</v>
      </c>
      <c r="B785" s="7" t="n">
        <f aca="false">'Raw Data'!B785</f>
        <v>78</v>
      </c>
      <c r="C785" s="7" t="str">
        <f aca="false">'Raw Data'!C785</f>
        <v>Female</v>
      </c>
      <c r="D785" s="7" t="str">
        <f aca="false">'Raw Data'!D785</f>
        <v>Never</v>
      </c>
      <c r="E785" s="7" t="str">
        <f aca="false">'Raw Data'!J785</f>
        <v>High</v>
      </c>
      <c r="F785" s="7" t="n">
        <f aca="false">'Raw Data'!K785</f>
        <v>260.6</v>
      </c>
      <c r="G785" s="7" t="str">
        <f aca="false">'Raw Data'!L785</f>
        <v>Yes</v>
      </c>
      <c r="H785" s="7" t="str">
        <f aca="false">'Raw Data'!M785</f>
        <v>Low</v>
      </c>
      <c r="I785" s="7" t="n">
        <f aca="false">(IF(D785="Current",3,IF(D785="Former",1,0)))+(IF(E785="High",3,IF(E785="Normal",1,0)))+(IF(F785&gt;=240,2,IF(F785&gt;=200,1,0)))+(IF(G785="Yes",2,0))+(IF(H785="High",2,IF(H785="Moderate",1,0)))</f>
        <v>7</v>
      </c>
      <c r="J785" s="7" t="str">
        <f aca="false">IF(I785&gt;=8,"High",IF(I785&gt;=4,"Medium","Low"))</f>
        <v>Medium</v>
      </c>
    </row>
    <row r="786" customFormat="false" ht="15" hidden="false" customHeight="true" outlineLevel="0" collapsed="false">
      <c r="A786" s="7" t="n">
        <f aca="false">'Raw Data'!A786</f>
        <v>704</v>
      </c>
      <c r="B786" s="7" t="n">
        <f aca="false">'Raw Data'!B786</f>
        <v>58</v>
      </c>
      <c r="C786" s="7" t="str">
        <f aca="false">'Raw Data'!C786</f>
        <v>Male</v>
      </c>
      <c r="D786" s="7" t="str">
        <f aca="false">'Raw Data'!D786</f>
        <v>Never</v>
      </c>
      <c r="E786" s="7" t="str">
        <f aca="false">'Raw Data'!J786</f>
        <v>High</v>
      </c>
      <c r="F786" s="7" t="n">
        <f aca="false">'Raw Data'!K786</f>
        <v>163.4</v>
      </c>
      <c r="G786" s="7" t="str">
        <f aca="false">'Raw Data'!L786</f>
        <v>Yes</v>
      </c>
      <c r="H786" s="7" t="str">
        <f aca="false">'Raw Data'!M786</f>
        <v>Low</v>
      </c>
      <c r="I786" s="7" t="n">
        <f aca="false">(IF(D786="Current",3,IF(D786="Former",1,0)))+(IF(E786="High",3,IF(E786="Normal",1,0)))+(IF(F786&gt;=240,2,IF(F786&gt;=200,1,0)))+(IF(G786="Yes",2,0))+(IF(H786="High",2,IF(H786="Moderate",1,0)))</f>
        <v>5</v>
      </c>
      <c r="J786" s="7" t="str">
        <f aca="false">IF(I786&gt;=8,"High",IF(I786&gt;=4,"Medium","Low"))</f>
        <v>Medium</v>
      </c>
    </row>
    <row r="787" customFormat="false" ht="15" hidden="false" customHeight="true" outlineLevel="0" collapsed="false">
      <c r="A787" s="7" t="n">
        <f aca="false">'Raw Data'!A787</f>
        <v>725</v>
      </c>
      <c r="B787" s="7" t="n">
        <f aca="false">'Raw Data'!B787</f>
        <v>86</v>
      </c>
      <c r="C787" s="7" t="str">
        <f aca="false">'Raw Data'!C787</f>
        <v>Male</v>
      </c>
      <c r="D787" s="7" t="str">
        <f aca="false">'Raw Data'!D787</f>
        <v>Never</v>
      </c>
      <c r="E787" s="7" t="str">
        <f aca="false">'Raw Data'!J787</f>
        <v>High</v>
      </c>
      <c r="F787" s="7" t="n">
        <f aca="false">'Raw Data'!K787</f>
        <v>164</v>
      </c>
      <c r="G787" s="7" t="str">
        <f aca="false">'Raw Data'!L787</f>
        <v>Yes</v>
      </c>
      <c r="H787" s="7" t="str">
        <f aca="false">'Raw Data'!M787</f>
        <v>Low</v>
      </c>
      <c r="I787" s="7" t="n">
        <f aca="false">(IF(D787="Current",3,IF(D787="Former",1,0)))+(IF(E787="High",3,IF(E787="Normal",1,0)))+(IF(F787&gt;=240,2,IF(F787&gt;=200,1,0)))+(IF(G787="Yes",2,0))+(IF(H787="High",2,IF(H787="Moderate",1,0)))</f>
        <v>5</v>
      </c>
      <c r="J787" s="7" t="str">
        <f aca="false">IF(I787&gt;=8,"High",IF(I787&gt;=4,"Medium","Low"))</f>
        <v>Medium</v>
      </c>
    </row>
    <row r="788" customFormat="false" ht="15" hidden="false" customHeight="true" outlineLevel="0" collapsed="false">
      <c r="A788" s="7" t="n">
        <f aca="false">'Raw Data'!A788</f>
        <v>1018</v>
      </c>
      <c r="B788" s="7" t="n">
        <f aca="false">'Raw Data'!B788</f>
        <v>37</v>
      </c>
      <c r="C788" s="7" t="str">
        <f aca="false">'Raw Data'!C788</f>
        <v>Female</v>
      </c>
      <c r="D788" s="7" t="str">
        <f aca="false">'Raw Data'!D788</f>
        <v>Never</v>
      </c>
      <c r="E788" s="7" t="str">
        <f aca="false">'Raw Data'!J788</f>
        <v>High</v>
      </c>
      <c r="F788" s="7" t="n">
        <f aca="false">'Raw Data'!K788</f>
        <v>206.4</v>
      </c>
      <c r="G788" s="7" t="str">
        <f aca="false">'Raw Data'!L788</f>
        <v>Yes</v>
      </c>
      <c r="H788" s="7" t="str">
        <f aca="false">'Raw Data'!M788</f>
        <v>Low</v>
      </c>
      <c r="I788" s="7" t="n">
        <f aca="false">(IF(D788="Current",3,IF(D788="Former",1,0)))+(IF(E788="High",3,IF(E788="Normal",1,0)))+(IF(F788&gt;=240,2,IF(F788&gt;=200,1,0)))+(IF(G788="Yes",2,0))+(IF(H788="High",2,IF(H788="Moderate",1,0)))</f>
        <v>6</v>
      </c>
      <c r="J788" s="7" t="str">
        <f aca="false">IF(I788&gt;=8,"High",IF(I788&gt;=4,"Medium","Low"))</f>
        <v>Medium</v>
      </c>
    </row>
    <row r="789" customFormat="false" ht="15" hidden="false" customHeight="true" outlineLevel="0" collapsed="false">
      <c r="A789" s="7" t="n">
        <f aca="false">'Raw Data'!A789</f>
        <v>1109</v>
      </c>
      <c r="B789" s="7" t="n">
        <f aca="false">'Raw Data'!B789</f>
        <v>20</v>
      </c>
      <c r="C789" s="7" t="str">
        <f aca="false">'Raw Data'!C789</f>
        <v>Female</v>
      </c>
      <c r="D789" s="7" t="str">
        <f aca="false">'Raw Data'!D789</f>
        <v>Never</v>
      </c>
      <c r="E789" s="7" t="str">
        <f aca="false">'Raw Data'!J789</f>
        <v>High</v>
      </c>
      <c r="F789" s="7" t="n">
        <f aca="false">'Raw Data'!K789</f>
        <v>263</v>
      </c>
      <c r="G789" s="7" t="str">
        <f aca="false">'Raw Data'!L789</f>
        <v>Yes</v>
      </c>
      <c r="H789" s="7" t="str">
        <f aca="false">'Raw Data'!M789</f>
        <v>Low</v>
      </c>
      <c r="I789" s="7" t="n">
        <f aca="false">(IF(D789="Current",3,IF(D789="Former",1,0)))+(IF(E789="High",3,IF(E789="Normal",1,0)))+(IF(F789&gt;=240,2,IF(F789&gt;=200,1,0)))+(IF(G789="Yes",2,0))+(IF(H789="High",2,IF(H789="Moderate",1,0)))</f>
        <v>7</v>
      </c>
      <c r="J789" s="7" t="str">
        <f aca="false">IF(I789&gt;=8,"High",IF(I789&gt;=4,"Medium","Low"))</f>
        <v>Medium</v>
      </c>
    </row>
    <row r="790" customFormat="false" ht="15" hidden="false" customHeight="true" outlineLevel="0" collapsed="false">
      <c r="A790" s="7" t="n">
        <f aca="false">'Raw Data'!A790</f>
        <v>1187</v>
      </c>
      <c r="B790" s="7" t="n">
        <f aca="false">'Raw Data'!B790</f>
        <v>76</v>
      </c>
      <c r="C790" s="7" t="str">
        <f aca="false">'Raw Data'!C790</f>
        <v>Male</v>
      </c>
      <c r="D790" s="7" t="str">
        <f aca="false">'Raw Data'!D790</f>
        <v>Never</v>
      </c>
      <c r="E790" s="7" t="str">
        <f aca="false">'Raw Data'!J790</f>
        <v>High</v>
      </c>
      <c r="F790" s="7" t="n">
        <f aca="false">'Raw Data'!K790</f>
        <v>208.3</v>
      </c>
      <c r="G790" s="7" t="str">
        <f aca="false">'Raw Data'!L790</f>
        <v>Yes</v>
      </c>
      <c r="H790" s="7" t="str">
        <f aca="false">'Raw Data'!M790</f>
        <v>Low</v>
      </c>
      <c r="I790" s="7" t="n">
        <f aca="false">(IF(D790="Current",3,IF(D790="Former",1,0)))+(IF(E790="High",3,IF(E790="Normal",1,0)))+(IF(F790&gt;=240,2,IF(F790&gt;=200,1,0)))+(IF(G790="Yes",2,0))+(IF(H790="High",2,IF(H790="Moderate",1,0)))</f>
        <v>6</v>
      </c>
      <c r="J790" s="7" t="str">
        <f aca="false">IF(I790&gt;=8,"High",IF(I790&gt;=4,"Medium","Low"))</f>
        <v>Medium</v>
      </c>
    </row>
    <row r="791" customFormat="false" ht="15" hidden="false" customHeight="true" outlineLevel="0" collapsed="false">
      <c r="A791" s="7" t="n">
        <f aca="false">'Raw Data'!A791</f>
        <v>1297</v>
      </c>
      <c r="B791" s="7" t="n">
        <f aca="false">'Raw Data'!B791</f>
        <v>18</v>
      </c>
      <c r="C791" s="7" t="str">
        <f aca="false">'Raw Data'!C791</f>
        <v>Male</v>
      </c>
      <c r="D791" s="7" t="str">
        <f aca="false">'Raw Data'!D791</f>
        <v>Never</v>
      </c>
      <c r="E791" s="7" t="str">
        <f aca="false">'Raw Data'!J791</f>
        <v>High</v>
      </c>
      <c r="F791" s="7" t="n">
        <f aca="false">'Raw Data'!K791</f>
        <v>247.6</v>
      </c>
      <c r="G791" s="7" t="str">
        <f aca="false">'Raw Data'!L791</f>
        <v>Yes</v>
      </c>
      <c r="H791" s="7" t="str">
        <f aca="false">'Raw Data'!M791</f>
        <v>Low</v>
      </c>
      <c r="I791" s="7" t="n">
        <f aca="false">(IF(D791="Current",3,IF(D791="Former",1,0)))+(IF(E791="High",3,IF(E791="Normal",1,0)))+(IF(F791&gt;=240,2,IF(F791&gt;=200,1,0)))+(IF(G791="Yes",2,0))+(IF(H791="High",2,IF(H791="Moderate",1,0)))</f>
        <v>7</v>
      </c>
      <c r="J791" s="7" t="str">
        <f aca="false">IF(I791&gt;=8,"High",IF(I791&gt;=4,"Medium","Low"))</f>
        <v>Medium</v>
      </c>
    </row>
    <row r="792" customFormat="false" ht="15" hidden="false" customHeight="true" outlineLevel="0" collapsed="false">
      <c r="A792" s="7" t="n">
        <f aca="false">'Raw Data'!A792</f>
        <v>1311</v>
      </c>
      <c r="B792" s="7" t="n">
        <f aca="false">'Raw Data'!B792</f>
        <v>66</v>
      </c>
      <c r="C792" s="7" t="str">
        <f aca="false">'Raw Data'!C792</f>
        <v>Female</v>
      </c>
      <c r="D792" s="7" t="str">
        <f aca="false">'Raw Data'!D792</f>
        <v>Never</v>
      </c>
      <c r="E792" s="7" t="str">
        <f aca="false">'Raw Data'!J792</f>
        <v>High</v>
      </c>
      <c r="F792" s="7" t="n">
        <f aca="false">'Raw Data'!K792</f>
        <v>294.5</v>
      </c>
      <c r="G792" s="7" t="str">
        <f aca="false">'Raw Data'!L792</f>
        <v>Yes</v>
      </c>
      <c r="H792" s="7" t="str">
        <f aca="false">'Raw Data'!M792</f>
        <v>Low</v>
      </c>
      <c r="I792" s="7" t="n">
        <f aca="false">(IF(D792="Current",3,IF(D792="Former",1,0)))+(IF(E792="High",3,IF(E792="Normal",1,0)))+(IF(F792&gt;=240,2,IF(F792&gt;=200,1,0)))+(IF(G792="Yes",2,0))+(IF(H792="High",2,IF(H792="Moderate",1,0)))</f>
        <v>7</v>
      </c>
      <c r="J792" s="7" t="str">
        <f aca="false">IF(I792&gt;=8,"High",IF(I792&gt;=4,"Medium","Low"))</f>
        <v>Medium</v>
      </c>
    </row>
    <row r="793" customFormat="false" ht="15" hidden="false" customHeight="true" outlineLevel="0" collapsed="false">
      <c r="A793" s="7" t="n">
        <f aca="false">'Raw Data'!A793</f>
        <v>1465</v>
      </c>
      <c r="B793" s="7" t="n">
        <f aca="false">'Raw Data'!B793</f>
        <v>56</v>
      </c>
      <c r="C793" s="7" t="str">
        <f aca="false">'Raw Data'!C793</f>
        <v>Male</v>
      </c>
      <c r="D793" s="7" t="str">
        <f aca="false">'Raw Data'!D793</f>
        <v>Never</v>
      </c>
      <c r="E793" s="7" t="str">
        <f aca="false">'Raw Data'!J793</f>
        <v>High</v>
      </c>
      <c r="F793" s="7" t="n">
        <f aca="false">'Raw Data'!K793</f>
        <v>123.2</v>
      </c>
      <c r="G793" s="7" t="str">
        <f aca="false">'Raw Data'!L793</f>
        <v>Yes</v>
      </c>
      <c r="H793" s="7" t="str">
        <f aca="false">'Raw Data'!M793</f>
        <v>Low</v>
      </c>
      <c r="I793" s="7" t="n">
        <f aca="false">(IF(D793="Current",3,IF(D793="Former",1,0)))+(IF(E793="High",3,IF(E793="Normal",1,0)))+(IF(F793&gt;=240,2,IF(F793&gt;=200,1,0)))+(IF(G793="Yes",2,0))+(IF(H793="High",2,IF(H793="Moderate",1,0)))</f>
        <v>5</v>
      </c>
      <c r="J793" s="7" t="str">
        <f aca="false">IF(I793&gt;=8,"High",IF(I793&gt;=4,"Medium","Low"))</f>
        <v>Medium</v>
      </c>
    </row>
    <row r="794" customFormat="false" ht="15" hidden="false" customHeight="true" outlineLevel="0" collapsed="false">
      <c r="A794" s="7" t="n">
        <f aca="false">'Raw Data'!A794</f>
        <v>1474</v>
      </c>
      <c r="B794" s="7" t="n">
        <f aca="false">'Raw Data'!B794</f>
        <v>69</v>
      </c>
      <c r="C794" s="7" t="str">
        <f aca="false">'Raw Data'!C794</f>
        <v>Female</v>
      </c>
      <c r="D794" s="7" t="str">
        <f aca="false">'Raw Data'!D794</f>
        <v>Never</v>
      </c>
      <c r="E794" s="7" t="str">
        <f aca="false">'Raw Data'!J794</f>
        <v>High</v>
      </c>
      <c r="F794" s="7" t="n">
        <f aca="false">'Raw Data'!K794</f>
        <v>294.5</v>
      </c>
      <c r="G794" s="7" t="str">
        <f aca="false">'Raw Data'!L794</f>
        <v>Yes</v>
      </c>
      <c r="H794" s="7" t="str">
        <f aca="false">'Raw Data'!M794</f>
        <v>Low</v>
      </c>
      <c r="I794" s="7" t="n">
        <f aca="false">(IF(D794="Current",3,IF(D794="Former",1,0)))+(IF(E794="High",3,IF(E794="Normal",1,0)))+(IF(F794&gt;=240,2,IF(F794&gt;=200,1,0)))+(IF(G794="Yes",2,0))+(IF(H794="High",2,IF(H794="Moderate",1,0)))</f>
        <v>7</v>
      </c>
      <c r="J794" s="7" t="str">
        <f aca="false">IF(I794&gt;=8,"High",IF(I794&gt;=4,"Medium","Low"))</f>
        <v>Medium</v>
      </c>
    </row>
    <row r="795" customFormat="false" ht="15" hidden="false" customHeight="true" outlineLevel="0" collapsed="false">
      <c r="A795" s="7" t="n">
        <f aca="false">'Raw Data'!A795</f>
        <v>1481</v>
      </c>
      <c r="B795" s="7" t="n">
        <f aca="false">'Raw Data'!B795</f>
        <v>24</v>
      </c>
      <c r="C795" s="7" t="str">
        <f aca="false">'Raw Data'!C795</f>
        <v>Female</v>
      </c>
      <c r="D795" s="7" t="str">
        <f aca="false">'Raw Data'!D795</f>
        <v>Never</v>
      </c>
      <c r="E795" s="7" t="str">
        <f aca="false">'Raw Data'!J795</f>
        <v>High</v>
      </c>
      <c r="F795" s="7" t="n">
        <f aca="false">'Raw Data'!K795</f>
        <v>289.3</v>
      </c>
      <c r="G795" s="7" t="str">
        <f aca="false">'Raw Data'!L795</f>
        <v>Yes</v>
      </c>
      <c r="H795" s="7" t="str">
        <f aca="false">'Raw Data'!M795</f>
        <v>Low</v>
      </c>
      <c r="I795" s="7" t="n">
        <f aca="false">(IF(D795="Current",3,IF(D795="Former",1,0)))+(IF(E795="High",3,IF(E795="Normal",1,0)))+(IF(F795&gt;=240,2,IF(F795&gt;=200,1,0)))+(IF(G795="Yes",2,0))+(IF(H795="High",2,IF(H795="Moderate",1,0)))</f>
        <v>7</v>
      </c>
      <c r="J795" s="7" t="str">
        <f aca="false">IF(I795&gt;=8,"High",IF(I795&gt;=4,"Medium","Low"))</f>
        <v>Medium</v>
      </c>
    </row>
    <row r="796" customFormat="false" ht="15" hidden="false" customHeight="true" outlineLevel="0" collapsed="false">
      <c r="A796" s="7" t="n">
        <f aca="false">'Raw Data'!A796</f>
        <v>1502</v>
      </c>
      <c r="B796" s="7" t="n">
        <f aca="false">'Raw Data'!B796</f>
        <v>74</v>
      </c>
      <c r="C796" s="7" t="str">
        <f aca="false">'Raw Data'!C796</f>
        <v>Male</v>
      </c>
      <c r="D796" s="7" t="str">
        <f aca="false">'Raw Data'!D796</f>
        <v>Never</v>
      </c>
      <c r="E796" s="7" t="str">
        <f aca="false">'Raw Data'!J796</f>
        <v>High</v>
      </c>
      <c r="F796" s="7" t="n">
        <f aca="false">'Raw Data'!K796</f>
        <v>167.8</v>
      </c>
      <c r="G796" s="7" t="str">
        <f aca="false">'Raw Data'!L796</f>
        <v>Yes</v>
      </c>
      <c r="H796" s="7" t="str">
        <f aca="false">'Raw Data'!M796</f>
        <v>Low</v>
      </c>
      <c r="I796" s="7" t="n">
        <f aca="false">(IF(D796="Current",3,IF(D796="Former",1,0)))+(IF(E796="High",3,IF(E796="Normal",1,0)))+(IF(F796&gt;=240,2,IF(F796&gt;=200,1,0)))+(IF(G796="Yes",2,0))+(IF(H796="High",2,IF(H796="Moderate",1,0)))</f>
        <v>5</v>
      </c>
      <c r="J796" s="7" t="str">
        <f aca="false">IF(I796&gt;=8,"High",IF(I796&gt;=4,"Medium","Low"))</f>
        <v>Medium</v>
      </c>
    </row>
    <row r="797" customFormat="false" ht="15" hidden="false" customHeight="true" outlineLevel="0" collapsed="false">
      <c r="A797" s="7" t="n">
        <f aca="false">'Raw Data'!A797</f>
        <v>1526</v>
      </c>
      <c r="B797" s="7" t="n">
        <f aca="false">'Raw Data'!B797</f>
        <v>70</v>
      </c>
      <c r="C797" s="7" t="str">
        <f aca="false">'Raw Data'!C797</f>
        <v>Female</v>
      </c>
      <c r="D797" s="7" t="str">
        <f aca="false">'Raw Data'!D797</f>
        <v>Never</v>
      </c>
      <c r="E797" s="7" t="str">
        <f aca="false">'Raw Data'!J797</f>
        <v>High</v>
      </c>
      <c r="F797" s="7" t="n">
        <f aca="false">'Raw Data'!K797</f>
        <v>221.8</v>
      </c>
      <c r="G797" s="7" t="str">
        <f aca="false">'Raw Data'!L797</f>
        <v>Yes</v>
      </c>
      <c r="H797" s="7" t="str">
        <f aca="false">'Raw Data'!M797</f>
        <v>Low</v>
      </c>
      <c r="I797" s="7" t="n">
        <f aca="false">(IF(D797="Current",3,IF(D797="Former",1,0)))+(IF(E797="High",3,IF(E797="Normal",1,0)))+(IF(F797&gt;=240,2,IF(F797&gt;=200,1,0)))+(IF(G797="Yes",2,0))+(IF(H797="High",2,IF(H797="Moderate",1,0)))</f>
        <v>6</v>
      </c>
      <c r="J797" s="7" t="str">
        <f aca="false">IF(I797&gt;=8,"High",IF(I797&gt;=4,"Medium","Low"))</f>
        <v>Medium</v>
      </c>
    </row>
    <row r="798" customFormat="false" ht="15" hidden="false" customHeight="true" outlineLevel="0" collapsed="false">
      <c r="A798" s="7" t="n">
        <f aca="false">'Raw Data'!A798</f>
        <v>1561</v>
      </c>
      <c r="B798" s="7" t="n">
        <f aca="false">'Raw Data'!B798</f>
        <v>58</v>
      </c>
      <c r="C798" s="7" t="str">
        <f aca="false">'Raw Data'!C798</f>
        <v>Female</v>
      </c>
      <c r="D798" s="7" t="str">
        <f aca="false">'Raw Data'!D798</f>
        <v>Never</v>
      </c>
      <c r="E798" s="7" t="str">
        <f aca="false">'Raw Data'!J798</f>
        <v>High</v>
      </c>
      <c r="F798" s="7" t="n">
        <f aca="false">'Raw Data'!K798</f>
        <v>254.4</v>
      </c>
      <c r="G798" s="7" t="str">
        <f aca="false">'Raw Data'!L798</f>
        <v>Yes</v>
      </c>
      <c r="H798" s="7" t="str">
        <f aca="false">'Raw Data'!M798</f>
        <v>Low</v>
      </c>
      <c r="I798" s="7" t="n">
        <f aca="false">(IF(D798="Current",3,IF(D798="Former",1,0)))+(IF(E798="High",3,IF(E798="Normal",1,0)))+(IF(F798&gt;=240,2,IF(F798&gt;=200,1,0)))+(IF(G798="Yes",2,0))+(IF(H798="High",2,IF(H798="Moderate",1,0)))</f>
        <v>7</v>
      </c>
      <c r="J798" s="7" t="str">
        <f aca="false">IF(I798&gt;=8,"High",IF(I798&gt;=4,"Medium","Low"))</f>
        <v>Medium</v>
      </c>
    </row>
    <row r="799" customFormat="false" ht="15" hidden="false" customHeight="true" outlineLevel="0" collapsed="false">
      <c r="A799" s="7" t="n">
        <f aca="false">'Raw Data'!A799</f>
        <v>1667</v>
      </c>
      <c r="B799" s="7" t="n">
        <f aca="false">'Raw Data'!B799</f>
        <v>39</v>
      </c>
      <c r="C799" s="7" t="str">
        <f aca="false">'Raw Data'!C799</f>
        <v>Female</v>
      </c>
      <c r="D799" s="7" t="str">
        <f aca="false">'Raw Data'!D799</f>
        <v>Never</v>
      </c>
      <c r="E799" s="7" t="str">
        <f aca="false">'Raw Data'!J799</f>
        <v>High</v>
      </c>
      <c r="F799" s="7" t="n">
        <f aca="false">'Raw Data'!K799</f>
        <v>184.5</v>
      </c>
      <c r="G799" s="7" t="str">
        <f aca="false">'Raw Data'!L799</f>
        <v>Yes</v>
      </c>
      <c r="H799" s="7" t="str">
        <f aca="false">'Raw Data'!M799</f>
        <v>Low</v>
      </c>
      <c r="I799" s="7" t="n">
        <f aca="false">(IF(D799="Current",3,IF(D799="Former",1,0)))+(IF(E799="High",3,IF(E799="Normal",1,0)))+(IF(F799&gt;=240,2,IF(F799&gt;=200,1,0)))+(IF(G799="Yes",2,0))+(IF(H799="High",2,IF(H799="Moderate",1,0)))</f>
        <v>5</v>
      </c>
      <c r="J799" s="7" t="str">
        <f aca="false">IF(I799&gt;=8,"High",IF(I799&gt;=4,"Medium","Low"))</f>
        <v>Medium</v>
      </c>
    </row>
    <row r="800" customFormat="false" ht="15" hidden="false" customHeight="true" outlineLevel="0" collapsed="false">
      <c r="A800" s="7" t="n">
        <f aca="false">'Raw Data'!A800</f>
        <v>1749</v>
      </c>
      <c r="B800" s="7" t="n">
        <f aca="false">'Raw Data'!B800</f>
        <v>57</v>
      </c>
      <c r="C800" s="7" t="str">
        <f aca="false">'Raw Data'!C800</f>
        <v>Male</v>
      </c>
      <c r="D800" s="7" t="str">
        <f aca="false">'Raw Data'!D800</f>
        <v>Never</v>
      </c>
      <c r="E800" s="7" t="str">
        <f aca="false">'Raw Data'!J800</f>
        <v>High</v>
      </c>
      <c r="F800" s="7" t="n">
        <f aca="false">'Raw Data'!K800</f>
        <v>157</v>
      </c>
      <c r="G800" s="7" t="str">
        <f aca="false">'Raw Data'!L800</f>
        <v>Yes</v>
      </c>
      <c r="H800" s="7" t="str">
        <f aca="false">'Raw Data'!M800</f>
        <v>Low</v>
      </c>
      <c r="I800" s="7" t="n">
        <f aca="false">(IF(D800="Current",3,IF(D800="Former",1,0)))+(IF(E800="High",3,IF(E800="Normal",1,0)))+(IF(F800&gt;=240,2,IF(F800&gt;=200,1,0)))+(IF(G800="Yes",2,0))+(IF(H800="High",2,IF(H800="Moderate",1,0)))</f>
        <v>5</v>
      </c>
      <c r="J800" s="7" t="str">
        <f aca="false">IF(I800&gt;=8,"High",IF(I800&gt;=4,"Medium","Low"))</f>
        <v>Medium</v>
      </c>
    </row>
    <row r="801" customFormat="false" ht="15" hidden="false" customHeight="true" outlineLevel="0" collapsed="false">
      <c r="A801" s="7" t="n">
        <f aca="false">'Raw Data'!A801</f>
        <v>1789</v>
      </c>
      <c r="B801" s="7" t="n">
        <f aca="false">'Raw Data'!B801</f>
        <v>81</v>
      </c>
      <c r="C801" s="7" t="str">
        <f aca="false">'Raw Data'!C801</f>
        <v>Female</v>
      </c>
      <c r="D801" s="7" t="str">
        <f aca="false">'Raw Data'!D801</f>
        <v>Never</v>
      </c>
      <c r="E801" s="7" t="str">
        <f aca="false">'Raw Data'!J801</f>
        <v>High</v>
      </c>
      <c r="F801" s="7" t="n">
        <f aca="false">'Raw Data'!K801</f>
        <v>150</v>
      </c>
      <c r="G801" s="7" t="str">
        <f aca="false">'Raw Data'!L801</f>
        <v>Yes</v>
      </c>
      <c r="H801" s="7" t="str">
        <f aca="false">'Raw Data'!M801</f>
        <v>Low</v>
      </c>
      <c r="I801" s="7" t="n">
        <f aca="false">(IF(D801="Current",3,IF(D801="Former",1,0)))+(IF(E801="High",3,IF(E801="Normal",1,0)))+(IF(F801&gt;=240,2,IF(F801&gt;=200,1,0)))+(IF(G801="Yes",2,0))+(IF(H801="High",2,IF(H801="Moderate",1,0)))</f>
        <v>5</v>
      </c>
      <c r="J801" s="7" t="str">
        <f aca="false">IF(I801&gt;=8,"High",IF(I801&gt;=4,"Medium","Low"))</f>
        <v>Medium</v>
      </c>
    </row>
    <row r="802" customFormat="false" ht="15" hidden="false" customHeight="true" outlineLevel="0" collapsed="false">
      <c r="A802" s="7" t="n">
        <f aca="false">'Raw Data'!A802</f>
        <v>1988</v>
      </c>
      <c r="B802" s="7" t="n">
        <f aca="false">'Raw Data'!B802</f>
        <v>33</v>
      </c>
      <c r="C802" s="7" t="str">
        <f aca="false">'Raw Data'!C802</f>
        <v>Female</v>
      </c>
      <c r="D802" s="7" t="str">
        <f aca="false">'Raw Data'!D802</f>
        <v>Never</v>
      </c>
      <c r="E802" s="7" t="str">
        <f aca="false">'Raw Data'!J802</f>
        <v>High</v>
      </c>
      <c r="F802" s="7" t="n">
        <f aca="false">'Raw Data'!K802</f>
        <v>248.5</v>
      </c>
      <c r="G802" s="7" t="str">
        <f aca="false">'Raw Data'!L802</f>
        <v>Yes</v>
      </c>
      <c r="H802" s="7" t="str">
        <f aca="false">'Raw Data'!M802</f>
        <v>Low</v>
      </c>
      <c r="I802" s="7" t="n">
        <f aca="false">(IF(D802="Current",3,IF(D802="Former",1,0)))+(IF(E802="High",3,IF(E802="Normal",1,0)))+(IF(F802&gt;=240,2,IF(F802&gt;=200,1,0)))+(IF(G802="Yes",2,0))+(IF(H802="High",2,IF(H802="Moderate",1,0)))</f>
        <v>7</v>
      </c>
      <c r="J802" s="7" t="str">
        <f aca="false">IF(I802&gt;=8,"High",IF(I802&gt;=4,"Medium","Low"))</f>
        <v>Medium</v>
      </c>
    </row>
    <row r="803" customFormat="false" ht="15" hidden="false" customHeight="true" outlineLevel="0" collapsed="false">
      <c r="A803" s="7" t="n">
        <f aca="false">'Raw Data'!A803</f>
        <v>1994</v>
      </c>
      <c r="B803" s="7" t="n">
        <f aca="false">'Raw Data'!B803</f>
        <v>75</v>
      </c>
      <c r="C803" s="7" t="str">
        <f aca="false">'Raw Data'!C803</f>
        <v>Male</v>
      </c>
      <c r="D803" s="7" t="str">
        <f aca="false">'Raw Data'!D803</f>
        <v>Never</v>
      </c>
      <c r="E803" s="7" t="str">
        <f aca="false">'Raw Data'!J803</f>
        <v>High</v>
      </c>
      <c r="F803" s="7" t="n">
        <f aca="false">'Raw Data'!K803</f>
        <v>180.4</v>
      </c>
      <c r="G803" s="7" t="str">
        <f aca="false">'Raw Data'!L803</f>
        <v>Yes</v>
      </c>
      <c r="H803" s="7" t="str">
        <f aca="false">'Raw Data'!M803</f>
        <v>Low</v>
      </c>
      <c r="I803" s="7" t="n">
        <f aca="false">(IF(D803="Current",3,IF(D803="Former",1,0)))+(IF(E803="High",3,IF(E803="Normal",1,0)))+(IF(F803&gt;=240,2,IF(F803&gt;=200,1,0)))+(IF(G803="Yes",2,0))+(IF(H803="High",2,IF(H803="Moderate",1,0)))</f>
        <v>5</v>
      </c>
      <c r="J803" s="7" t="str">
        <f aca="false">IF(I803&gt;=8,"High",IF(I803&gt;=4,"Medium","Low"))</f>
        <v>Medium</v>
      </c>
    </row>
    <row r="804" customFormat="false" ht="15" hidden="false" customHeight="true" outlineLevel="0" collapsed="false">
      <c r="A804" s="7" t="n">
        <f aca="false">'Raw Data'!A804</f>
        <v>2084</v>
      </c>
      <c r="B804" s="7" t="n">
        <f aca="false">'Raw Data'!B804</f>
        <v>64</v>
      </c>
      <c r="C804" s="7" t="str">
        <f aca="false">'Raw Data'!C804</f>
        <v>Male</v>
      </c>
      <c r="D804" s="7" t="str">
        <f aca="false">'Raw Data'!D804</f>
        <v>Never</v>
      </c>
      <c r="E804" s="7" t="str">
        <f aca="false">'Raw Data'!J804</f>
        <v>High</v>
      </c>
      <c r="F804" s="7" t="n">
        <f aca="false">'Raw Data'!K804</f>
        <v>283.3</v>
      </c>
      <c r="G804" s="7" t="str">
        <f aca="false">'Raw Data'!L804</f>
        <v>Yes</v>
      </c>
      <c r="H804" s="7" t="str">
        <f aca="false">'Raw Data'!M804</f>
        <v>Low</v>
      </c>
      <c r="I804" s="7" t="n">
        <f aca="false">(IF(D804="Current",3,IF(D804="Former",1,0)))+(IF(E804="High",3,IF(E804="Normal",1,0)))+(IF(F804&gt;=240,2,IF(F804&gt;=200,1,0)))+(IF(G804="Yes",2,0))+(IF(H804="High",2,IF(H804="Moderate",1,0)))</f>
        <v>7</v>
      </c>
      <c r="J804" s="7" t="str">
        <f aca="false">IF(I804&gt;=8,"High",IF(I804&gt;=4,"Medium","Low"))</f>
        <v>Medium</v>
      </c>
    </row>
    <row r="805" customFormat="false" ht="15" hidden="false" customHeight="true" outlineLevel="0" collapsed="false">
      <c r="A805" s="7" t="n">
        <f aca="false">'Raw Data'!A805</f>
        <v>2168</v>
      </c>
      <c r="B805" s="7" t="n">
        <f aca="false">'Raw Data'!B805</f>
        <v>38</v>
      </c>
      <c r="C805" s="7" t="str">
        <f aca="false">'Raw Data'!C805</f>
        <v>Male</v>
      </c>
      <c r="D805" s="7" t="str">
        <f aca="false">'Raw Data'!D805</f>
        <v>Never</v>
      </c>
      <c r="E805" s="7" t="str">
        <f aca="false">'Raw Data'!J805</f>
        <v>High</v>
      </c>
      <c r="F805" s="7" t="n">
        <f aca="false">'Raw Data'!K805</f>
        <v>123.3</v>
      </c>
      <c r="G805" s="7" t="str">
        <f aca="false">'Raw Data'!L805</f>
        <v>Yes</v>
      </c>
      <c r="H805" s="7" t="str">
        <f aca="false">'Raw Data'!M805</f>
        <v>Low</v>
      </c>
      <c r="I805" s="7" t="n">
        <f aca="false">(IF(D805="Current",3,IF(D805="Former",1,0)))+(IF(E805="High",3,IF(E805="Normal",1,0)))+(IF(F805&gt;=240,2,IF(F805&gt;=200,1,0)))+(IF(G805="Yes",2,0))+(IF(H805="High",2,IF(H805="Moderate",1,0)))</f>
        <v>5</v>
      </c>
      <c r="J805" s="7" t="str">
        <f aca="false">IF(I805&gt;=8,"High",IF(I805&gt;=4,"Medium","Low"))</f>
        <v>Medium</v>
      </c>
    </row>
    <row r="806" customFormat="false" ht="15" hidden="false" customHeight="true" outlineLevel="0" collapsed="false">
      <c r="A806" s="7" t="n">
        <f aca="false">'Raw Data'!A806</f>
        <v>2222</v>
      </c>
      <c r="B806" s="7" t="n">
        <f aca="false">'Raw Data'!B806</f>
        <v>64</v>
      </c>
      <c r="C806" s="7" t="str">
        <f aca="false">'Raw Data'!C806</f>
        <v>Female</v>
      </c>
      <c r="D806" s="7" t="str">
        <f aca="false">'Raw Data'!D806</f>
        <v>Never</v>
      </c>
      <c r="E806" s="7" t="str">
        <f aca="false">'Raw Data'!J806</f>
        <v>High</v>
      </c>
      <c r="F806" s="7" t="n">
        <f aca="false">'Raw Data'!K806</f>
        <v>149.9</v>
      </c>
      <c r="G806" s="7" t="str">
        <f aca="false">'Raw Data'!L806</f>
        <v>Yes</v>
      </c>
      <c r="H806" s="7" t="str">
        <f aca="false">'Raw Data'!M806</f>
        <v>Low</v>
      </c>
      <c r="I806" s="7" t="n">
        <f aca="false">(IF(D806="Current",3,IF(D806="Former",1,0)))+(IF(E806="High",3,IF(E806="Normal",1,0)))+(IF(F806&gt;=240,2,IF(F806&gt;=200,1,0)))+(IF(G806="Yes",2,0))+(IF(H806="High",2,IF(H806="Moderate",1,0)))</f>
        <v>5</v>
      </c>
      <c r="J806" s="7" t="str">
        <f aca="false">IF(I806&gt;=8,"High",IF(I806&gt;=4,"Medium","Low"))</f>
        <v>Medium</v>
      </c>
    </row>
    <row r="807" customFormat="false" ht="15" hidden="false" customHeight="true" outlineLevel="0" collapsed="false">
      <c r="A807" s="7" t="n">
        <f aca="false">'Raw Data'!A807</f>
        <v>2232</v>
      </c>
      <c r="B807" s="7" t="n">
        <f aca="false">'Raw Data'!B807</f>
        <v>76</v>
      </c>
      <c r="C807" s="7" t="str">
        <f aca="false">'Raw Data'!C807</f>
        <v>Female</v>
      </c>
      <c r="D807" s="7" t="str">
        <f aca="false">'Raw Data'!D807</f>
        <v>Never</v>
      </c>
      <c r="E807" s="7" t="str">
        <f aca="false">'Raw Data'!J807</f>
        <v>High</v>
      </c>
      <c r="F807" s="7" t="n">
        <f aca="false">'Raw Data'!K807</f>
        <v>210.3</v>
      </c>
      <c r="G807" s="7" t="str">
        <f aca="false">'Raw Data'!L807</f>
        <v>Yes</v>
      </c>
      <c r="H807" s="7" t="str">
        <f aca="false">'Raw Data'!M807</f>
        <v>Low</v>
      </c>
      <c r="I807" s="7" t="n">
        <f aca="false">(IF(D807="Current",3,IF(D807="Former",1,0)))+(IF(E807="High",3,IF(E807="Normal",1,0)))+(IF(F807&gt;=240,2,IF(F807&gt;=200,1,0)))+(IF(G807="Yes",2,0))+(IF(H807="High",2,IF(H807="Moderate",1,0)))</f>
        <v>6</v>
      </c>
      <c r="J807" s="7" t="str">
        <f aca="false">IF(I807&gt;=8,"High",IF(I807&gt;=4,"Medium","Low"))</f>
        <v>Medium</v>
      </c>
    </row>
    <row r="808" customFormat="false" ht="15" hidden="false" customHeight="true" outlineLevel="0" collapsed="false">
      <c r="A808" s="7" t="n">
        <f aca="false">'Raw Data'!A808</f>
        <v>2335</v>
      </c>
      <c r="B808" s="7" t="n">
        <f aca="false">'Raw Data'!B808</f>
        <v>23</v>
      </c>
      <c r="C808" s="7" t="str">
        <f aca="false">'Raw Data'!C808</f>
        <v>Female</v>
      </c>
      <c r="D808" s="7" t="str">
        <f aca="false">'Raw Data'!D808</f>
        <v>Never</v>
      </c>
      <c r="E808" s="7" t="str">
        <f aca="false">'Raw Data'!J808</f>
        <v>High</v>
      </c>
      <c r="F808" s="7" t="n">
        <f aca="false">'Raw Data'!K808</f>
        <v>250.9</v>
      </c>
      <c r="G808" s="7" t="str">
        <f aca="false">'Raw Data'!L808</f>
        <v>Yes</v>
      </c>
      <c r="H808" s="7" t="str">
        <f aca="false">'Raw Data'!M808</f>
        <v>Low</v>
      </c>
      <c r="I808" s="7" t="n">
        <f aca="false">(IF(D808="Current",3,IF(D808="Former",1,0)))+(IF(E808="High",3,IF(E808="Normal",1,0)))+(IF(F808&gt;=240,2,IF(F808&gt;=200,1,0)))+(IF(G808="Yes",2,0))+(IF(H808="High",2,IF(H808="Moderate",1,0)))</f>
        <v>7</v>
      </c>
      <c r="J808" s="7" t="str">
        <f aca="false">IF(I808&gt;=8,"High",IF(I808&gt;=4,"Medium","Low"))</f>
        <v>Medium</v>
      </c>
    </row>
    <row r="809" customFormat="false" ht="15" hidden="false" customHeight="true" outlineLevel="0" collapsed="false">
      <c r="A809" s="7" t="n">
        <f aca="false">'Raw Data'!A809</f>
        <v>2375</v>
      </c>
      <c r="B809" s="7" t="n">
        <f aca="false">'Raw Data'!B809</f>
        <v>87</v>
      </c>
      <c r="C809" s="7" t="str">
        <f aca="false">'Raw Data'!C809</f>
        <v>Male</v>
      </c>
      <c r="D809" s="7" t="str">
        <f aca="false">'Raw Data'!D809</f>
        <v>Never</v>
      </c>
      <c r="E809" s="7" t="str">
        <f aca="false">'Raw Data'!J809</f>
        <v>High</v>
      </c>
      <c r="F809" s="7" t="n">
        <f aca="false">'Raw Data'!K809</f>
        <v>181.2</v>
      </c>
      <c r="G809" s="7" t="str">
        <f aca="false">'Raw Data'!L809</f>
        <v>Yes</v>
      </c>
      <c r="H809" s="7" t="str">
        <f aca="false">'Raw Data'!M809</f>
        <v>Low</v>
      </c>
      <c r="I809" s="7" t="n">
        <f aca="false">(IF(D809="Current",3,IF(D809="Former",1,0)))+(IF(E809="High",3,IF(E809="Normal",1,0)))+(IF(F809&gt;=240,2,IF(F809&gt;=200,1,0)))+(IF(G809="Yes",2,0))+(IF(H809="High",2,IF(H809="Moderate",1,0)))</f>
        <v>5</v>
      </c>
      <c r="J809" s="7" t="str">
        <f aca="false">IF(I809&gt;=8,"High",IF(I809&gt;=4,"Medium","Low"))</f>
        <v>Medium</v>
      </c>
    </row>
    <row r="810" customFormat="false" ht="15" hidden="false" customHeight="true" outlineLevel="0" collapsed="false">
      <c r="A810" s="7" t="n">
        <f aca="false">'Raw Data'!A810</f>
        <v>2402</v>
      </c>
      <c r="B810" s="7" t="n">
        <f aca="false">'Raw Data'!B810</f>
        <v>85</v>
      </c>
      <c r="C810" s="7" t="str">
        <f aca="false">'Raw Data'!C810</f>
        <v>Female</v>
      </c>
      <c r="D810" s="7" t="str">
        <f aca="false">'Raw Data'!D810</f>
        <v>Never</v>
      </c>
      <c r="E810" s="7" t="str">
        <f aca="false">'Raw Data'!J810</f>
        <v>High</v>
      </c>
      <c r="F810" s="7" t="n">
        <f aca="false">'Raw Data'!K810</f>
        <v>247</v>
      </c>
      <c r="G810" s="7" t="str">
        <f aca="false">'Raw Data'!L810</f>
        <v>Yes</v>
      </c>
      <c r="H810" s="7" t="str">
        <f aca="false">'Raw Data'!M810</f>
        <v>Low</v>
      </c>
      <c r="I810" s="7" t="n">
        <f aca="false">(IF(D810="Current",3,IF(D810="Former",1,0)))+(IF(E810="High",3,IF(E810="Normal",1,0)))+(IF(F810&gt;=240,2,IF(F810&gt;=200,1,0)))+(IF(G810="Yes",2,0))+(IF(H810="High",2,IF(H810="Moderate",1,0)))</f>
        <v>7</v>
      </c>
      <c r="J810" s="7" t="str">
        <f aca="false">IF(I810&gt;=8,"High",IF(I810&gt;=4,"Medium","Low"))</f>
        <v>Medium</v>
      </c>
    </row>
    <row r="811" customFormat="false" ht="15" hidden="false" customHeight="true" outlineLevel="0" collapsed="false">
      <c r="A811" s="7" t="n">
        <f aca="false">'Raw Data'!A811</f>
        <v>2439</v>
      </c>
      <c r="B811" s="7" t="n">
        <f aca="false">'Raw Data'!B811</f>
        <v>34</v>
      </c>
      <c r="C811" s="7" t="str">
        <f aca="false">'Raw Data'!C811</f>
        <v>Female</v>
      </c>
      <c r="D811" s="7" t="str">
        <f aca="false">'Raw Data'!D811</f>
        <v>Never</v>
      </c>
      <c r="E811" s="7" t="str">
        <f aca="false">'Raw Data'!J811</f>
        <v>High</v>
      </c>
      <c r="F811" s="7" t="n">
        <f aca="false">'Raw Data'!K811</f>
        <v>222.3</v>
      </c>
      <c r="G811" s="7" t="str">
        <f aca="false">'Raw Data'!L811</f>
        <v>Yes</v>
      </c>
      <c r="H811" s="7" t="str">
        <f aca="false">'Raw Data'!M811</f>
        <v>Low</v>
      </c>
      <c r="I811" s="7" t="n">
        <f aca="false">(IF(D811="Current",3,IF(D811="Former",1,0)))+(IF(E811="High",3,IF(E811="Normal",1,0)))+(IF(F811&gt;=240,2,IF(F811&gt;=200,1,0)))+(IF(G811="Yes",2,0))+(IF(H811="High",2,IF(H811="Moderate",1,0)))</f>
        <v>6</v>
      </c>
      <c r="J811" s="7" t="str">
        <f aca="false">IF(I811&gt;=8,"High",IF(I811&gt;=4,"Medium","Low"))</f>
        <v>Medium</v>
      </c>
    </row>
    <row r="812" customFormat="false" ht="15" hidden="false" customHeight="true" outlineLevel="0" collapsed="false">
      <c r="A812" s="7" t="n">
        <f aca="false">'Raw Data'!A812</f>
        <v>2483</v>
      </c>
      <c r="B812" s="7" t="n">
        <f aca="false">'Raw Data'!B812</f>
        <v>69</v>
      </c>
      <c r="C812" s="7" t="str">
        <f aca="false">'Raw Data'!C812</f>
        <v>Male</v>
      </c>
      <c r="D812" s="7" t="str">
        <f aca="false">'Raw Data'!D812</f>
        <v>Never</v>
      </c>
      <c r="E812" s="7" t="str">
        <f aca="false">'Raw Data'!J812</f>
        <v>High</v>
      </c>
      <c r="F812" s="7" t="n">
        <f aca="false">'Raw Data'!K812</f>
        <v>124.9</v>
      </c>
      <c r="G812" s="7" t="str">
        <f aca="false">'Raw Data'!L812</f>
        <v>Yes</v>
      </c>
      <c r="H812" s="7" t="str">
        <f aca="false">'Raw Data'!M812</f>
        <v>Low</v>
      </c>
      <c r="I812" s="7" t="n">
        <f aca="false">(IF(D812="Current",3,IF(D812="Former",1,0)))+(IF(E812="High",3,IF(E812="Normal",1,0)))+(IF(F812&gt;=240,2,IF(F812&gt;=200,1,0)))+(IF(G812="Yes",2,0))+(IF(H812="High",2,IF(H812="Moderate",1,0)))</f>
        <v>5</v>
      </c>
      <c r="J812" s="7" t="str">
        <f aca="false">IF(I812&gt;=8,"High",IF(I812&gt;=4,"Medium","Low"))</f>
        <v>Medium</v>
      </c>
    </row>
    <row r="813" customFormat="false" ht="15" hidden="false" customHeight="true" outlineLevel="0" collapsed="false">
      <c r="A813" s="7" t="n">
        <f aca="false">'Raw Data'!A813</f>
        <v>67</v>
      </c>
      <c r="B813" s="7" t="n">
        <f aca="false">'Raw Data'!B813</f>
        <v>87</v>
      </c>
      <c r="C813" s="7" t="str">
        <f aca="false">'Raw Data'!C813</f>
        <v>Female</v>
      </c>
      <c r="D813" s="7" t="str">
        <f aca="false">'Raw Data'!D813</f>
        <v>Never</v>
      </c>
      <c r="E813" s="7" t="str">
        <f aca="false">'Raw Data'!J813</f>
        <v>High</v>
      </c>
      <c r="F813" s="7" t="n">
        <f aca="false">'Raw Data'!K813</f>
        <v>130</v>
      </c>
      <c r="G813" s="7" t="str">
        <f aca="false">'Raw Data'!L813</f>
        <v>No</v>
      </c>
      <c r="H813" s="7" t="str">
        <f aca="false">'Raw Data'!M813</f>
        <v>Low</v>
      </c>
      <c r="I813" s="7" t="n">
        <f aca="false">(IF(D813="Current",3,IF(D813="Former",1,0)))+(IF(E813="High",3,IF(E813="Normal",1,0)))+(IF(F813&gt;=240,2,IF(F813&gt;=200,1,0)))+(IF(G813="Yes",2,0))+(IF(H813="High",2,IF(H813="Moderate",1,0)))</f>
        <v>3</v>
      </c>
      <c r="J813" s="7" t="str">
        <f aca="false">IF(I813&gt;=8,"High",IF(I813&gt;=4,"Medium","Low"))</f>
        <v>Low</v>
      </c>
    </row>
    <row r="814" customFormat="false" ht="15" hidden="false" customHeight="true" outlineLevel="0" collapsed="false">
      <c r="A814" s="7" t="n">
        <f aca="false">'Raw Data'!A814</f>
        <v>105</v>
      </c>
      <c r="B814" s="7" t="n">
        <f aca="false">'Raw Data'!B814</f>
        <v>59</v>
      </c>
      <c r="C814" s="7" t="str">
        <f aca="false">'Raw Data'!C814</f>
        <v>Female</v>
      </c>
      <c r="D814" s="7" t="str">
        <f aca="false">'Raw Data'!D814</f>
        <v>Never</v>
      </c>
      <c r="E814" s="7" t="str">
        <f aca="false">'Raw Data'!J814</f>
        <v>High</v>
      </c>
      <c r="F814" s="7" t="n">
        <f aca="false">'Raw Data'!K814</f>
        <v>263.8</v>
      </c>
      <c r="G814" s="7" t="str">
        <f aca="false">'Raw Data'!L814</f>
        <v>No</v>
      </c>
      <c r="H814" s="7" t="str">
        <f aca="false">'Raw Data'!M814</f>
        <v>Low</v>
      </c>
      <c r="I814" s="7" t="n">
        <f aca="false">(IF(D814="Current",3,IF(D814="Former",1,0)))+(IF(E814="High",3,IF(E814="Normal",1,0)))+(IF(F814&gt;=240,2,IF(F814&gt;=200,1,0)))+(IF(G814="Yes",2,0))+(IF(H814="High",2,IF(H814="Moderate",1,0)))</f>
        <v>5</v>
      </c>
      <c r="J814" s="7" t="str">
        <f aca="false">IF(I814&gt;=8,"High",IF(I814&gt;=4,"Medium","Low"))</f>
        <v>Medium</v>
      </c>
    </row>
    <row r="815" customFormat="false" ht="15" hidden="false" customHeight="true" outlineLevel="0" collapsed="false">
      <c r="A815" s="7" t="n">
        <f aca="false">'Raw Data'!A815</f>
        <v>143</v>
      </c>
      <c r="B815" s="7" t="n">
        <f aca="false">'Raw Data'!B815</f>
        <v>43</v>
      </c>
      <c r="C815" s="7" t="str">
        <f aca="false">'Raw Data'!C815</f>
        <v>Male</v>
      </c>
      <c r="D815" s="7" t="str">
        <f aca="false">'Raw Data'!D815</f>
        <v>Never</v>
      </c>
      <c r="E815" s="7" t="str">
        <f aca="false">'Raw Data'!J815</f>
        <v>High</v>
      </c>
      <c r="F815" s="7" t="n">
        <f aca="false">'Raw Data'!K815</f>
        <v>176.9</v>
      </c>
      <c r="G815" s="7" t="str">
        <f aca="false">'Raw Data'!L815</f>
        <v>No</v>
      </c>
      <c r="H815" s="7" t="str">
        <f aca="false">'Raw Data'!M815</f>
        <v>Low</v>
      </c>
      <c r="I815" s="7" t="n">
        <f aca="false">(IF(D815="Current",3,IF(D815="Former",1,0)))+(IF(E815="High",3,IF(E815="Normal",1,0)))+(IF(F815&gt;=240,2,IF(F815&gt;=200,1,0)))+(IF(G815="Yes",2,0))+(IF(H815="High",2,IF(H815="Moderate",1,0)))</f>
        <v>3</v>
      </c>
      <c r="J815" s="7" t="str">
        <f aca="false">IF(I815&gt;=8,"High",IF(I815&gt;=4,"Medium","Low"))</f>
        <v>Low</v>
      </c>
    </row>
    <row r="816" customFormat="false" ht="15" hidden="false" customHeight="true" outlineLevel="0" collapsed="false">
      <c r="A816" s="7" t="n">
        <f aca="false">'Raw Data'!A816</f>
        <v>169</v>
      </c>
      <c r="B816" s="7" t="n">
        <f aca="false">'Raw Data'!B816</f>
        <v>19</v>
      </c>
      <c r="C816" s="7" t="str">
        <f aca="false">'Raw Data'!C816</f>
        <v>Male</v>
      </c>
      <c r="D816" s="7" t="str">
        <f aca="false">'Raw Data'!D816</f>
        <v>Never</v>
      </c>
      <c r="E816" s="7" t="str">
        <f aca="false">'Raw Data'!J816</f>
        <v>High</v>
      </c>
      <c r="F816" s="7" t="n">
        <f aca="false">'Raw Data'!K816</f>
        <v>223.5</v>
      </c>
      <c r="G816" s="7" t="str">
        <f aca="false">'Raw Data'!L816</f>
        <v>No</v>
      </c>
      <c r="H816" s="7" t="str">
        <f aca="false">'Raw Data'!M816</f>
        <v>Low</v>
      </c>
      <c r="I816" s="7" t="n">
        <f aca="false">(IF(D816="Current",3,IF(D816="Former",1,0)))+(IF(E816="High",3,IF(E816="Normal",1,0)))+(IF(F816&gt;=240,2,IF(F816&gt;=200,1,0)))+(IF(G816="Yes",2,0))+(IF(H816="High",2,IF(H816="Moderate",1,0)))</f>
        <v>4</v>
      </c>
      <c r="J816" s="7" t="str">
        <f aca="false">IF(I816&gt;=8,"High",IF(I816&gt;=4,"Medium","Low"))</f>
        <v>Medium</v>
      </c>
    </row>
    <row r="817" customFormat="false" ht="15" hidden="false" customHeight="true" outlineLevel="0" collapsed="false">
      <c r="A817" s="7" t="n">
        <f aca="false">'Raw Data'!A817</f>
        <v>179</v>
      </c>
      <c r="B817" s="7" t="n">
        <f aca="false">'Raw Data'!B817</f>
        <v>46</v>
      </c>
      <c r="C817" s="7" t="str">
        <f aca="false">'Raw Data'!C817</f>
        <v>Male</v>
      </c>
      <c r="D817" s="7" t="str">
        <f aca="false">'Raw Data'!D817</f>
        <v>Never</v>
      </c>
      <c r="E817" s="7" t="str">
        <f aca="false">'Raw Data'!J817</f>
        <v>High</v>
      </c>
      <c r="F817" s="7" t="n">
        <f aca="false">'Raw Data'!K817</f>
        <v>268.5</v>
      </c>
      <c r="G817" s="7" t="str">
        <f aca="false">'Raw Data'!L817</f>
        <v>No</v>
      </c>
      <c r="H817" s="7" t="str">
        <f aca="false">'Raw Data'!M817</f>
        <v>Low</v>
      </c>
      <c r="I817" s="7" t="n">
        <f aca="false">(IF(D817="Current",3,IF(D817="Former",1,0)))+(IF(E817="High",3,IF(E817="Normal",1,0)))+(IF(F817&gt;=240,2,IF(F817&gt;=200,1,0)))+(IF(G817="Yes",2,0))+(IF(H817="High",2,IF(H817="Moderate",1,0)))</f>
        <v>5</v>
      </c>
      <c r="J817" s="7" t="str">
        <f aca="false">IF(I817&gt;=8,"High",IF(I817&gt;=4,"Medium","Low"))</f>
        <v>Medium</v>
      </c>
    </row>
    <row r="818" customFormat="false" ht="15" hidden="false" customHeight="true" outlineLevel="0" collapsed="false">
      <c r="A818" s="7" t="n">
        <f aca="false">'Raw Data'!A818</f>
        <v>213</v>
      </c>
      <c r="B818" s="7" t="n">
        <f aca="false">'Raw Data'!B818</f>
        <v>25</v>
      </c>
      <c r="C818" s="7" t="str">
        <f aca="false">'Raw Data'!C818</f>
        <v>Male</v>
      </c>
      <c r="D818" s="7" t="str">
        <f aca="false">'Raw Data'!D818</f>
        <v>Never</v>
      </c>
      <c r="E818" s="7" t="str">
        <f aca="false">'Raw Data'!J818</f>
        <v>High</v>
      </c>
      <c r="F818" s="7" t="n">
        <f aca="false">'Raw Data'!K818</f>
        <v>294.2</v>
      </c>
      <c r="G818" s="7" t="str">
        <f aca="false">'Raw Data'!L818</f>
        <v>No</v>
      </c>
      <c r="H818" s="7" t="str">
        <f aca="false">'Raw Data'!M818</f>
        <v>Low</v>
      </c>
      <c r="I818" s="7" t="n">
        <f aca="false">(IF(D818="Current",3,IF(D818="Former",1,0)))+(IF(E818="High",3,IF(E818="Normal",1,0)))+(IF(F818&gt;=240,2,IF(F818&gt;=200,1,0)))+(IF(G818="Yes",2,0))+(IF(H818="High",2,IF(H818="Moderate",1,0)))</f>
        <v>5</v>
      </c>
      <c r="J818" s="7" t="str">
        <f aca="false">IF(I818&gt;=8,"High",IF(I818&gt;=4,"Medium","Low"))</f>
        <v>Medium</v>
      </c>
    </row>
    <row r="819" customFormat="false" ht="15" hidden="false" customHeight="true" outlineLevel="0" collapsed="false">
      <c r="A819" s="7" t="n">
        <f aca="false">'Raw Data'!A819</f>
        <v>216</v>
      </c>
      <c r="B819" s="7" t="n">
        <f aca="false">'Raw Data'!B819</f>
        <v>67</v>
      </c>
      <c r="C819" s="7" t="str">
        <f aca="false">'Raw Data'!C819</f>
        <v>Female</v>
      </c>
      <c r="D819" s="7" t="str">
        <f aca="false">'Raw Data'!D819</f>
        <v>Never</v>
      </c>
      <c r="E819" s="7" t="str">
        <f aca="false">'Raw Data'!J819</f>
        <v>High</v>
      </c>
      <c r="F819" s="7" t="n">
        <f aca="false">'Raw Data'!K819</f>
        <v>237.3</v>
      </c>
      <c r="G819" s="7" t="str">
        <f aca="false">'Raw Data'!L819</f>
        <v>No</v>
      </c>
      <c r="H819" s="7" t="str">
        <f aca="false">'Raw Data'!M819</f>
        <v>Low</v>
      </c>
      <c r="I819" s="7" t="n">
        <f aca="false">(IF(D819="Current",3,IF(D819="Former",1,0)))+(IF(E819="High",3,IF(E819="Normal",1,0)))+(IF(F819&gt;=240,2,IF(F819&gt;=200,1,0)))+(IF(G819="Yes",2,0))+(IF(H819="High",2,IF(H819="Moderate",1,0)))</f>
        <v>4</v>
      </c>
      <c r="J819" s="7" t="str">
        <f aca="false">IF(I819&gt;=8,"High",IF(I819&gt;=4,"Medium","Low"))</f>
        <v>Medium</v>
      </c>
    </row>
    <row r="820" customFormat="false" ht="15" hidden="false" customHeight="true" outlineLevel="0" collapsed="false">
      <c r="A820" s="7" t="n">
        <f aca="false">'Raw Data'!A820</f>
        <v>245</v>
      </c>
      <c r="B820" s="7" t="n">
        <f aca="false">'Raw Data'!B820</f>
        <v>23</v>
      </c>
      <c r="C820" s="7" t="str">
        <f aca="false">'Raw Data'!C820</f>
        <v>Male</v>
      </c>
      <c r="D820" s="7" t="str">
        <f aca="false">'Raw Data'!D820</f>
        <v>Never</v>
      </c>
      <c r="E820" s="7" t="str">
        <f aca="false">'Raw Data'!J820</f>
        <v>High</v>
      </c>
      <c r="F820" s="7" t="n">
        <f aca="false">'Raw Data'!K820</f>
        <v>140.9</v>
      </c>
      <c r="G820" s="7" t="str">
        <f aca="false">'Raw Data'!L820</f>
        <v>No</v>
      </c>
      <c r="H820" s="7" t="str">
        <f aca="false">'Raw Data'!M820</f>
        <v>Low</v>
      </c>
      <c r="I820" s="7" t="n">
        <f aca="false">(IF(D820="Current",3,IF(D820="Former",1,0)))+(IF(E820="High",3,IF(E820="Normal",1,0)))+(IF(F820&gt;=240,2,IF(F820&gt;=200,1,0)))+(IF(G820="Yes",2,0))+(IF(H820="High",2,IF(H820="Moderate",1,0)))</f>
        <v>3</v>
      </c>
      <c r="J820" s="7" t="str">
        <f aca="false">IF(I820&gt;=8,"High",IF(I820&gt;=4,"Medium","Low"))</f>
        <v>Low</v>
      </c>
    </row>
    <row r="821" customFormat="false" ht="15" hidden="false" customHeight="true" outlineLevel="0" collapsed="false">
      <c r="A821" s="7" t="n">
        <f aca="false">'Raw Data'!A821</f>
        <v>249</v>
      </c>
      <c r="B821" s="7" t="n">
        <f aca="false">'Raw Data'!B821</f>
        <v>34</v>
      </c>
      <c r="C821" s="7" t="str">
        <f aca="false">'Raw Data'!C821</f>
        <v>Male</v>
      </c>
      <c r="D821" s="7" t="str">
        <f aca="false">'Raw Data'!D821</f>
        <v>Never</v>
      </c>
      <c r="E821" s="7" t="str">
        <f aca="false">'Raw Data'!J821</f>
        <v>High</v>
      </c>
      <c r="F821" s="7" t="n">
        <f aca="false">'Raw Data'!K821</f>
        <v>203.1</v>
      </c>
      <c r="G821" s="7" t="str">
        <f aca="false">'Raw Data'!L821</f>
        <v>No</v>
      </c>
      <c r="H821" s="7" t="str">
        <f aca="false">'Raw Data'!M821</f>
        <v>Low</v>
      </c>
      <c r="I821" s="7" t="n">
        <f aca="false">(IF(D821="Current",3,IF(D821="Former",1,0)))+(IF(E821="High",3,IF(E821="Normal",1,0)))+(IF(F821&gt;=240,2,IF(F821&gt;=200,1,0)))+(IF(G821="Yes",2,0))+(IF(H821="High",2,IF(H821="Moderate",1,0)))</f>
        <v>4</v>
      </c>
      <c r="J821" s="7" t="str">
        <f aca="false">IF(I821&gt;=8,"High",IF(I821&gt;=4,"Medium","Low"))</f>
        <v>Medium</v>
      </c>
    </row>
    <row r="822" customFormat="false" ht="15" hidden="false" customHeight="true" outlineLevel="0" collapsed="false">
      <c r="A822" s="7" t="n">
        <f aca="false">'Raw Data'!A822</f>
        <v>277</v>
      </c>
      <c r="B822" s="7" t="n">
        <f aca="false">'Raw Data'!B822</f>
        <v>43</v>
      </c>
      <c r="C822" s="7" t="str">
        <f aca="false">'Raw Data'!C822</f>
        <v>Male</v>
      </c>
      <c r="D822" s="7" t="str">
        <f aca="false">'Raw Data'!D822</f>
        <v>Never</v>
      </c>
      <c r="E822" s="7" t="str">
        <f aca="false">'Raw Data'!J822</f>
        <v>High</v>
      </c>
      <c r="F822" s="7" t="n">
        <f aca="false">'Raw Data'!K822</f>
        <v>214.9</v>
      </c>
      <c r="G822" s="7" t="str">
        <f aca="false">'Raw Data'!L822</f>
        <v>No</v>
      </c>
      <c r="H822" s="7" t="str">
        <f aca="false">'Raw Data'!M822</f>
        <v>Low</v>
      </c>
      <c r="I822" s="7" t="n">
        <f aca="false">(IF(D822="Current",3,IF(D822="Former",1,0)))+(IF(E822="High",3,IF(E822="Normal",1,0)))+(IF(F822&gt;=240,2,IF(F822&gt;=200,1,0)))+(IF(G822="Yes",2,0))+(IF(H822="High",2,IF(H822="Moderate",1,0)))</f>
        <v>4</v>
      </c>
      <c r="J822" s="7" t="str">
        <f aca="false">IF(I822&gt;=8,"High",IF(I822&gt;=4,"Medium","Low"))</f>
        <v>Medium</v>
      </c>
    </row>
    <row r="823" customFormat="false" ht="15" hidden="false" customHeight="true" outlineLevel="0" collapsed="false">
      <c r="A823" s="7" t="n">
        <f aca="false">'Raw Data'!A823</f>
        <v>329</v>
      </c>
      <c r="B823" s="7" t="n">
        <f aca="false">'Raw Data'!B823</f>
        <v>43</v>
      </c>
      <c r="C823" s="7" t="str">
        <f aca="false">'Raw Data'!C823</f>
        <v>Female</v>
      </c>
      <c r="D823" s="7" t="str">
        <f aca="false">'Raw Data'!D823</f>
        <v>Never</v>
      </c>
      <c r="E823" s="7" t="str">
        <f aca="false">'Raw Data'!J823</f>
        <v>High</v>
      </c>
      <c r="F823" s="7" t="n">
        <f aca="false">'Raw Data'!K823</f>
        <v>203.7</v>
      </c>
      <c r="G823" s="7" t="str">
        <f aca="false">'Raw Data'!L823</f>
        <v>No</v>
      </c>
      <c r="H823" s="7" t="str">
        <f aca="false">'Raw Data'!M823</f>
        <v>Low</v>
      </c>
      <c r="I823" s="7" t="n">
        <f aca="false">(IF(D823="Current",3,IF(D823="Former",1,0)))+(IF(E823="High",3,IF(E823="Normal",1,0)))+(IF(F823&gt;=240,2,IF(F823&gt;=200,1,0)))+(IF(G823="Yes",2,0))+(IF(H823="High",2,IF(H823="Moderate",1,0)))</f>
        <v>4</v>
      </c>
      <c r="J823" s="7" t="str">
        <f aca="false">IF(I823&gt;=8,"High",IF(I823&gt;=4,"Medium","Low"))</f>
        <v>Medium</v>
      </c>
    </row>
    <row r="824" customFormat="false" ht="15" hidden="false" customHeight="true" outlineLevel="0" collapsed="false">
      <c r="A824" s="7" t="n">
        <f aca="false">'Raw Data'!A824</f>
        <v>339</v>
      </c>
      <c r="B824" s="7" t="n">
        <f aca="false">'Raw Data'!B824</f>
        <v>70</v>
      </c>
      <c r="C824" s="7" t="str">
        <f aca="false">'Raw Data'!C824</f>
        <v>Male</v>
      </c>
      <c r="D824" s="7" t="str">
        <f aca="false">'Raw Data'!D824</f>
        <v>Never</v>
      </c>
      <c r="E824" s="7" t="str">
        <f aca="false">'Raw Data'!J824</f>
        <v>High</v>
      </c>
      <c r="F824" s="7" t="n">
        <f aca="false">'Raw Data'!K824</f>
        <v>259.3</v>
      </c>
      <c r="G824" s="7" t="str">
        <f aca="false">'Raw Data'!L824</f>
        <v>No</v>
      </c>
      <c r="H824" s="7" t="str">
        <f aca="false">'Raw Data'!M824</f>
        <v>Low</v>
      </c>
      <c r="I824" s="7" t="n">
        <f aca="false">(IF(D824="Current",3,IF(D824="Former",1,0)))+(IF(E824="High",3,IF(E824="Normal",1,0)))+(IF(F824&gt;=240,2,IF(F824&gt;=200,1,0)))+(IF(G824="Yes",2,0))+(IF(H824="High",2,IF(H824="Moderate",1,0)))</f>
        <v>5</v>
      </c>
      <c r="J824" s="7" t="str">
        <f aca="false">IF(I824&gt;=8,"High",IF(I824&gt;=4,"Medium","Low"))</f>
        <v>Medium</v>
      </c>
    </row>
    <row r="825" customFormat="false" ht="15" hidden="false" customHeight="true" outlineLevel="0" collapsed="false">
      <c r="A825" s="7" t="n">
        <f aca="false">'Raw Data'!A825</f>
        <v>352</v>
      </c>
      <c r="B825" s="7" t="n">
        <f aca="false">'Raw Data'!B825</f>
        <v>70</v>
      </c>
      <c r="C825" s="7" t="str">
        <f aca="false">'Raw Data'!C825</f>
        <v>Male</v>
      </c>
      <c r="D825" s="7" t="str">
        <f aca="false">'Raw Data'!D825</f>
        <v>Never</v>
      </c>
      <c r="E825" s="7" t="str">
        <f aca="false">'Raw Data'!J825</f>
        <v>High</v>
      </c>
      <c r="F825" s="7" t="n">
        <f aca="false">'Raw Data'!K825</f>
        <v>135.3</v>
      </c>
      <c r="G825" s="7" t="str">
        <f aca="false">'Raw Data'!L825</f>
        <v>No</v>
      </c>
      <c r="H825" s="7" t="str">
        <f aca="false">'Raw Data'!M825</f>
        <v>Low</v>
      </c>
      <c r="I825" s="7" t="n">
        <f aca="false">(IF(D825="Current",3,IF(D825="Former",1,0)))+(IF(E825="High",3,IF(E825="Normal",1,0)))+(IF(F825&gt;=240,2,IF(F825&gt;=200,1,0)))+(IF(G825="Yes",2,0))+(IF(H825="High",2,IF(H825="Moderate",1,0)))</f>
        <v>3</v>
      </c>
      <c r="J825" s="7" t="str">
        <f aca="false">IF(I825&gt;=8,"High",IF(I825&gt;=4,"Medium","Low"))</f>
        <v>Low</v>
      </c>
    </row>
    <row r="826" customFormat="false" ht="15" hidden="false" customHeight="true" outlineLevel="0" collapsed="false">
      <c r="A826" s="7" t="n">
        <f aca="false">'Raw Data'!A826</f>
        <v>368</v>
      </c>
      <c r="B826" s="7" t="n">
        <f aca="false">'Raw Data'!B826</f>
        <v>74</v>
      </c>
      <c r="C826" s="7" t="str">
        <f aca="false">'Raw Data'!C826</f>
        <v>Female</v>
      </c>
      <c r="D826" s="7" t="str">
        <f aca="false">'Raw Data'!D826</f>
        <v>Never</v>
      </c>
      <c r="E826" s="7" t="str">
        <f aca="false">'Raw Data'!J826</f>
        <v>High</v>
      </c>
      <c r="F826" s="7" t="n">
        <f aca="false">'Raw Data'!K826</f>
        <v>190.6</v>
      </c>
      <c r="G826" s="7" t="str">
        <f aca="false">'Raw Data'!L826</f>
        <v>No</v>
      </c>
      <c r="H826" s="7" t="str">
        <f aca="false">'Raw Data'!M826</f>
        <v>Low</v>
      </c>
      <c r="I826" s="7" t="n">
        <f aca="false">(IF(D826="Current",3,IF(D826="Former",1,0)))+(IF(E826="High",3,IF(E826="Normal",1,0)))+(IF(F826&gt;=240,2,IF(F826&gt;=200,1,0)))+(IF(G826="Yes",2,0))+(IF(H826="High",2,IF(H826="Moderate",1,0)))</f>
        <v>3</v>
      </c>
      <c r="J826" s="7" t="str">
        <f aca="false">IF(I826&gt;=8,"High",IF(I826&gt;=4,"Medium","Low"))</f>
        <v>Low</v>
      </c>
    </row>
    <row r="827" customFormat="false" ht="15" hidden="false" customHeight="true" outlineLevel="0" collapsed="false">
      <c r="A827" s="7" t="n">
        <f aca="false">'Raw Data'!A827</f>
        <v>380</v>
      </c>
      <c r="B827" s="7" t="n">
        <f aca="false">'Raw Data'!B827</f>
        <v>47</v>
      </c>
      <c r="C827" s="7" t="str">
        <f aca="false">'Raw Data'!C827</f>
        <v>Male</v>
      </c>
      <c r="D827" s="7" t="str">
        <f aca="false">'Raw Data'!D827</f>
        <v>Never</v>
      </c>
      <c r="E827" s="7" t="str">
        <f aca="false">'Raw Data'!J827</f>
        <v>High</v>
      </c>
      <c r="F827" s="7" t="n">
        <f aca="false">'Raw Data'!K827</f>
        <v>254.7</v>
      </c>
      <c r="G827" s="7" t="str">
        <f aca="false">'Raw Data'!L827</f>
        <v>No</v>
      </c>
      <c r="H827" s="7" t="str">
        <f aca="false">'Raw Data'!M827</f>
        <v>Low</v>
      </c>
      <c r="I827" s="7" t="n">
        <f aca="false">(IF(D827="Current",3,IF(D827="Former",1,0)))+(IF(E827="High",3,IF(E827="Normal",1,0)))+(IF(F827&gt;=240,2,IF(F827&gt;=200,1,0)))+(IF(G827="Yes",2,0))+(IF(H827="High",2,IF(H827="Moderate",1,0)))</f>
        <v>5</v>
      </c>
      <c r="J827" s="7" t="str">
        <f aca="false">IF(I827&gt;=8,"High",IF(I827&gt;=4,"Medium","Low"))</f>
        <v>Medium</v>
      </c>
    </row>
    <row r="828" customFormat="false" ht="15" hidden="false" customHeight="true" outlineLevel="0" collapsed="false">
      <c r="A828" s="7" t="n">
        <f aca="false">'Raw Data'!A828</f>
        <v>389</v>
      </c>
      <c r="B828" s="7" t="n">
        <f aca="false">'Raw Data'!B828</f>
        <v>25</v>
      </c>
      <c r="C828" s="7" t="str">
        <f aca="false">'Raw Data'!C828</f>
        <v>Female</v>
      </c>
      <c r="D828" s="7" t="str">
        <f aca="false">'Raw Data'!D828</f>
        <v>Never</v>
      </c>
      <c r="E828" s="7" t="str">
        <f aca="false">'Raw Data'!J828</f>
        <v>High</v>
      </c>
      <c r="F828" s="7" t="n">
        <f aca="false">'Raw Data'!K828</f>
        <v>129</v>
      </c>
      <c r="G828" s="7" t="str">
        <f aca="false">'Raw Data'!L828</f>
        <v>No</v>
      </c>
      <c r="H828" s="7" t="str">
        <f aca="false">'Raw Data'!M828</f>
        <v>Low</v>
      </c>
      <c r="I828" s="7" t="n">
        <f aca="false">(IF(D828="Current",3,IF(D828="Former",1,0)))+(IF(E828="High",3,IF(E828="Normal",1,0)))+(IF(F828&gt;=240,2,IF(F828&gt;=200,1,0)))+(IF(G828="Yes",2,0))+(IF(H828="High",2,IF(H828="Moderate",1,0)))</f>
        <v>3</v>
      </c>
      <c r="J828" s="7" t="str">
        <f aca="false">IF(I828&gt;=8,"High",IF(I828&gt;=4,"Medium","Low"))</f>
        <v>Low</v>
      </c>
    </row>
    <row r="829" customFormat="false" ht="15" hidden="false" customHeight="true" outlineLevel="0" collapsed="false">
      <c r="A829" s="7" t="n">
        <f aca="false">'Raw Data'!A829</f>
        <v>391</v>
      </c>
      <c r="B829" s="7" t="n">
        <f aca="false">'Raw Data'!B829</f>
        <v>73</v>
      </c>
      <c r="C829" s="7" t="str">
        <f aca="false">'Raw Data'!C829</f>
        <v>Female</v>
      </c>
      <c r="D829" s="7" t="str">
        <f aca="false">'Raw Data'!D829</f>
        <v>Never</v>
      </c>
      <c r="E829" s="7" t="str">
        <f aca="false">'Raw Data'!J829</f>
        <v>High</v>
      </c>
      <c r="F829" s="7" t="n">
        <f aca="false">'Raw Data'!K829</f>
        <v>165.2</v>
      </c>
      <c r="G829" s="7" t="str">
        <f aca="false">'Raw Data'!L829</f>
        <v>No</v>
      </c>
      <c r="H829" s="7" t="str">
        <f aca="false">'Raw Data'!M829</f>
        <v>Low</v>
      </c>
      <c r="I829" s="7" t="n">
        <f aca="false">(IF(D829="Current",3,IF(D829="Former",1,0)))+(IF(E829="High",3,IF(E829="Normal",1,0)))+(IF(F829&gt;=240,2,IF(F829&gt;=200,1,0)))+(IF(G829="Yes",2,0))+(IF(H829="High",2,IF(H829="Moderate",1,0)))</f>
        <v>3</v>
      </c>
      <c r="J829" s="7" t="str">
        <f aca="false">IF(I829&gt;=8,"High",IF(I829&gt;=4,"Medium","Low"))</f>
        <v>Low</v>
      </c>
    </row>
    <row r="830" customFormat="false" ht="15" hidden="false" customHeight="true" outlineLevel="0" collapsed="false">
      <c r="A830" s="7" t="n">
        <f aca="false">'Raw Data'!A830</f>
        <v>393</v>
      </c>
      <c r="B830" s="7" t="n">
        <f aca="false">'Raw Data'!B830</f>
        <v>49</v>
      </c>
      <c r="C830" s="7" t="str">
        <f aca="false">'Raw Data'!C830</f>
        <v>Female</v>
      </c>
      <c r="D830" s="7" t="str">
        <f aca="false">'Raw Data'!D830</f>
        <v>Never</v>
      </c>
      <c r="E830" s="7" t="str">
        <f aca="false">'Raw Data'!J830</f>
        <v>High</v>
      </c>
      <c r="F830" s="7" t="n">
        <f aca="false">'Raw Data'!K830</f>
        <v>167.9</v>
      </c>
      <c r="G830" s="7" t="str">
        <f aca="false">'Raw Data'!L830</f>
        <v>No</v>
      </c>
      <c r="H830" s="7" t="str">
        <f aca="false">'Raw Data'!M830</f>
        <v>Low</v>
      </c>
      <c r="I830" s="7" t="n">
        <f aca="false">(IF(D830="Current",3,IF(D830="Former",1,0)))+(IF(E830="High",3,IF(E830="Normal",1,0)))+(IF(F830&gt;=240,2,IF(F830&gt;=200,1,0)))+(IF(G830="Yes",2,0))+(IF(H830="High",2,IF(H830="Moderate",1,0)))</f>
        <v>3</v>
      </c>
      <c r="J830" s="7" t="str">
        <f aca="false">IF(I830&gt;=8,"High",IF(I830&gt;=4,"Medium","Low"))</f>
        <v>Low</v>
      </c>
    </row>
    <row r="831" customFormat="false" ht="15" hidden="false" customHeight="true" outlineLevel="0" collapsed="false">
      <c r="A831" s="7" t="n">
        <f aca="false">'Raw Data'!A831</f>
        <v>395</v>
      </c>
      <c r="B831" s="7" t="n">
        <f aca="false">'Raw Data'!B831</f>
        <v>45</v>
      </c>
      <c r="C831" s="7" t="str">
        <f aca="false">'Raw Data'!C831</f>
        <v>Female</v>
      </c>
      <c r="D831" s="7" t="str">
        <f aca="false">'Raw Data'!D831</f>
        <v>Never</v>
      </c>
      <c r="E831" s="7" t="str">
        <f aca="false">'Raw Data'!J831</f>
        <v>High</v>
      </c>
      <c r="F831" s="7" t="n">
        <f aca="false">'Raw Data'!K831</f>
        <v>250.4</v>
      </c>
      <c r="G831" s="7" t="str">
        <f aca="false">'Raw Data'!L831</f>
        <v>No</v>
      </c>
      <c r="H831" s="7" t="str">
        <f aca="false">'Raw Data'!M831</f>
        <v>Low</v>
      </c>
      <c r="I831" s="7" t="n">
        <f aca="false">(IF(D831="Current",3,IF(D831="Former",1,0)))+(IF(E831="High",3,IF(E831="Normal",1,0)))+(IF(F831&gt;=240,2,IF(F831&gt;=200,1,0)))+(IF(G831="Yes",2,0))+(IF(H831="High",2,IF(H831="Moderate",1,0)))</f>
        <v>5</v>
      </c>
      <c r="J831" s="7" t="str">
        <f aca="false">IF(I831&gt;=8,"High",IF(I831&gt;=4,"Medium","Low"))</f>
        <v>Medium</v>
      </c>
    </row>
    <row r="832" customFormat="false" ht="15" hidden="false" customHeight="true" outlineLevel="0" collapsed="false">
      <c r="A832" s="7" t="n">
        <f aca="false">'Raw Data'!A832</f>
        <v>418</v>
      </c>
      <c r="B832" s="7" t="n">
        <f aca="false">'Raw Data'!B832</f>
        <v>56</v>
      </c>
      <c r="C832" s="7" t="str">
        <f aca="false">'Raw Data'!C832</f>
        <v>Male</v>
      </c>
      <c r="D832" s="7" t="str">
        <f aca="false">'Raw Data'!D832</f>
        <v>Never</v>
      </c>
      <c r="E832" s="7" t="str">
        <f aca="false">'Raw Data'!J832</f>
        <v>High</v>
      </c>
      <c r="F832" s="7" t="n">
        <f aca="false">'Raw Data'!K832</f>
        <v>224.9</v>
      </c>
      <c r="G832" s="7" t="str">
        <f aca="false">'Raw Data'!L832</f>
        <v>No</v>
      </c>
      <c r="H832" s="7" t="str">
        <f aca="false">'Raw Data'!M832</f>
        <v>Low</v>
      </c>
      <c r="I832" s="7" t="n">
        <f aca="false">(IF(D832="Current",3,IF(D832="Former",1,0)))+(IF(E832="High",3,IF(E832="Normal",1,0)))+(IF(F832&gt;=240,2,IF(F832&gt;=200,1,0)))+(IF(G832="Yes",2,0))+(IF(H832="High",2,IF(H832="Moderate",1,0)))</f>
        <v>4</v>
      </c>
      <c r="J832" s="7" t="str">
        <f aca="false">IF(I832&gt;=8,"High",IF(I832&gt;=4,"Medium","Low"))</f>
        <v>Medium</v>
      </c>
    </row>
    <row r="833" customFormat="false" ht="15" hidden="false" customHeight="true" outlineLevel="0" collapsed="false">
      <c r="A833" s="7" t="n">
        <f aca="false">'Raw Data'!A833</f>
        <v>467</v>
      </c>
      <c r="B833" s="7" t="n">
        <f aca="false">'Raw Data'!B833</f>
        <v>54</v>
      </c>
      <c r="C833" s="7" t="str">
        <f aca="false">'Raw Data'!C833</f>
        <v>Male</v>
      </c>
      <c r="D833" s="7" t="str">
        <f aca="false">'Raw Data'!D833</f>
        <v>Never</v>
      </c>
      <c r="E833" s="7" t="str">
        <f aca="false">'Raw Data'!J833</f>
        <v>High</v>
      </c>
      <c r="F833" s="7" t="n">
        <f aca="false">'Raw Data'!K833</f>
        <v>269.3</v>
      </c>
      <c r="G833" s="7" t="str">
        <f aca="false">'Raw Data'!L833</f>
        <v>No</v>
      </c>
      <c r="H833" s="7" t="str">
        <f aca="false">'Raw Data'!M833</f>
        <v>Low</v>
      </c>
      <c r="I833" s="7" t="n">
        <f aca="false">(IF(D833="Current",3,IF(D833="Former",1,0)))+(IF(E833="High",3,IF(E833="Normal",1,0)))+(IF(F833&gt;=240,2,IF(F833&gt;=200,1,0)))+(IF(G833="Yes",2,0))+(IF(H833="High",2,IF(H833="Moderate",1,0)))</f>
        <v>5</v>
      </c>
      <c r="J833" s="7" t="str">
        <f aca="false">IF(I833&gt;=8,"High",IF(I833&gt;=4,"Medium","Low"))</f>
        <v>Medium</v>
      </c>
    </row>
    <row r="834" customFormat="false" ht="15" hidden="false" customHeight="true" outlineLevel="0" collapsed="false">
      <c r="A834" s="7" t="n">
        <f aca="false">'Raw Data'!A834</f>
        <v>558</v>
      </c>
      <c r="B834" s="7" t="n">
        <f aca="false">'Raw Data'!B834</f>
        <v>63</v>
      </c>
      <c r="C834" s="7" t="str">
        <f aca="false">'Raw Data'!C834</f>
        <v>Female</v>
      </c>
      <c r="D834" s="7" t="str">
        <f aca="false">'Raw Data'!D834</f>
        <v>Never</v>
      </c>
      <c r="E834" s="7" t="str">
        <f aca="false">'Raw Data'!J834</f>
        <v>High</v>
      </c>
      <c r="F834" s="7" t="n">
        <f aca="false">'Raw Data'!K834</f>
        <v>212.6</v>
      </c>
      <c r="G834" s="7" t="str">
        <f aca="false">'Raw Data'!L834</f>
        <v>No</v>
      </c>
      <c r="H834" s="7" t="str">
        <f aca="false">'Raw Data'!M834</f>
        <v>Low</v>
      </c>
      <c r="I834" s="7" t="n">
        <f aca="false">(IF(D834="Current",3,IF(D834="Former",1,0)))+(IF(E834="High",3,IF(E834="Normal",1,0)))+(IF(F834&gt;=240,2,IF(F834&gt;=200,1,0)))+(IF(G834="Yes",2,0))+(IF(H834="High",2,IF(H834="Moderate",1,0)))</f>
        <v>4</v>
      </c>
      <c r="J834" s="7" t="str">
        <f aca="false">IF(I834&gt;=8,"High",IF(I834&gt;=4,"Medium","Low"))</f>
        <v>Medium</v>
      </c>
    </row>
    <row r="835" customFormat="false" ht="15" hidden="false" customHeight="true" outlineLevel="0" collapsed="false">
      <c r="A835" s="7" t="n">
        <f aca="false">'Raw Data'!A835</f>
        <v>571</v>
      </c>
      <c r="B835" s="7" t="n">
        <f aca="false">'Raw Data'!B835</f>
        <v>58</v>
      </c>
      <c r="C835" s="7" t="str">
        <f aca="false">'Raw Data'!C835</f>
        <v>Female</v>
      </c>
      <c r="D835" s="7" t="str">
        <f aca="false">'Raw Data'!D835</f>
        <v>Never</v>
      </c>
      <c r="E835" s="7" t="str">
        <f aca="false">'Raw Data'!J835</f>
        <v>High</v>
      </c>
      <c r="F835" s="7" t="n">
        <f aca="false">'Raw Data'!K835</f>
        <v>167.8</v>
      </c>
      <c r="G835" s="7" t="str">
        <f aca="false">'Raw Data'!L835</f>
        <v>No</v>
      </c>
      <c r="H835" s="7" t="str">
        <f aca="false">'Raw Data'!M835</f>
        <v>Low</v>
      </c>
      <c r="I835" s="7" t="n">
        <f aca="false">(IF(D835="Current",3,IF(D835="Former",1,0)))+(IF(E835="High",3,IF(E835="Normal",1,0)))+(IF(F835&gt;=240,2,IF(F835&gt;=200,1,0)))+(IF(G835="Yes",2,0))+(IF(H835="High",2,IF(H835="Moderate",1,0)))</f>
        <v>3</v>
      </c>
      <c r="J835" s="7" t="str">
        <f aca="false">IF(I835&gt;=8,"High",IF(I835&gt;=4,"Medium","Low"))</f>
        <v>Low</v>
      </c>
    </row>
    <row r="836" customFormat="false" ht="15" hidden="false" customHeight="true" outlineLevel="0" collapsed="false">
      <c r="A836" s="7" t="n">
        <f aca="false">'Raw Data'!A836</f>
        <v>583</v>
      </c>
      <c r="B836" s="7" t="n">
        <f aca="false">'Raw Data'!B836</f>
        <v>78</v>
      </c>
      <c r="C836" s="7" t="str">
        <f aca="false">'Raw Data'!C836</f>
        <v>Female</v>
      </c>
      <c r="D836" s="7" t="str">
        <f aca="false">'Raw Data'!D836</f>
        <v>Never</v>
      </c>
      <c r="E836" s="7" t="str">
        <f aca="false">'Raw Data'!J836</f>
        <v>High</v>
      </c>
      <c r="F836" s="7" t="n">
        <f aca="false">'Raw Data'!K836</f>
        <v>163.9</v>
      </c>
      <c r="G836" s="7" t="str">
        <f aca="false">'Raw Data'!L836</f>
        <v>No</v>
      </c>
      <c r="H836" s="7" t="str">
        <f aca="false">'Raw Data'!M836</f>
        <v>Low</v>
      </c>
      <c r="I836" s="7" t="n">
        <f aca="false">(IF(D836="Current",3,IF(D836="Former",1,0)))+(IF(E836="High",3,IF(E836="Normal",1,0)))+(IF(F836&gt;=240,2,IF(F836&gt;=200,1,0)))+(IF(G836="Yes",2,0))+(IF(H836="High",2,IF(H836="Moderate",1,0)))</f>
        <v>3</v>
      </c>
      <c r="J836" s="7" t="str">
        <f aca="false">IF(I836&gt;=8,"High",IF(I836&gt;=4,"Medium","Low"))</f>
        <v>Low</v>
      </c>
    </row>
    <row r="837" customFormat="false" ht="15" hidden="false" customHeight="true" outlineLevel="0" collapsed="false">
      <c r="A837" s="7" t="n">
        <f aca="false">'Raw Data'!A837</f>
        <v>594</v>
      </c>
      <c r="B837" s="7" t="n">
        <f aca="false">'Raw Data'!B837</f>
        <v>22</v>
      </c>
      <c r="C837" s="7" t="str">
        <f aca="false">'Raw Data'!C837</f>
        <v>Male</v>
      </c>
      <c r="D837" s="7" t="str">
        <f aca="false">'Raw Data'!D837</f>
        <v>Never</v>
      </c>
      <c r="E837" s="7" t="str">
        <f aca="false">'Raw Data'!J837</f>
        <v>High</v>
      </c>
      <c r="F837" s="7" t="n">
        <f aca="false">'Raw Data'!K837</f>
        <v>120.9</v>
      </c>
      <c r="G837" s="7" t="str">
        <f aca="false">'Raw Data'!L837</f>
        <v>No</v>
      </c>
      <c r="H837" s="7" t="str">
        <f aca="false">'Raw Data'!M837</f>
        <v>Low</v>
      </c>
      <c r="I837" s="7" t="n">
        <f aca="false">(IF(D837="Current",3,IF(D837="Former",1,0)))+(IF(E837="High",3,IF(E837="Normal",1,0)))+(IF(F837&gt;=240,2,IF(F837&gt;=200,1,0)))+(IF(G837="Yes",2,0))+(IF(H837="High",2,IF(H837="Moderate",1,0)))</f>
        <v>3</v>
      </c>
      <c r="J837" s="7" t="str">
        <f aca="false">IF(I837&gt;=8,"High",IF(I837&gt;=4,"Medium","Low"))</f>
        <v>Low</v>
      </c>
    </row>
    <row r="838" customFormat="false" ht="15" hidden="false" customHeight="true" outlineLevel="0" collapsed="false">
      <c r="A838" s="7" t="n">
        <f aca="false">'Raw Data'!A838</f>
        <v>637</v>
      </c>
      <c r="B838" s="7" t="n">
        <f aca="false">'Raw Data'!B838</f>
        <v>69</v>
      </c>
      <c r="C838" s="7" t="str">
        <f aca="false">'Raw Data'!C838</f>
        <v>Male</v>
      </c>
      <c r="D838" s="7" t="str">
        <f aca="false">'Raw Data'!D838</f>
        <v>Never</v>
      </c>
      <c r="E838" s="7" t="str">
        <f aca="false">'Raw Data'!J838</f>
        <v>High</v>
      </c>
      <c r="F838" s="7" t="n">
        <f aca="false">'Raw Data'!K838</f>
        <v>194.5</v>
      </c>
      <c r="G838" s="7" t="str">
        <f aca="false">'Raw Data'!L838</f>
        <v>No</v>
      </c>
      <c r="H838" s="7" t="str">
        <f aca="false">'Raw Data'!M838</f>
        <v>Low</v>
      </c>
      <c r="I838" s="7" t="n">
        <f aca="false">(IF(D838="Current",3,IF(D838="Former",1,0)))+(IF(E838="High",3,IF(E838="Normal",1,0)))+(IF(F838&gt;=240,2,IF(F838&gt;=200,1,0)))+(IF(G838="Yes",2,0))+(IF(H838="High",2,IF(H838="Moderate",1,0)))</f>
        <v>3</v>
      </c>
      <c r="J838" s="7" t="str">
        <f aca="false">IF(I838&gt;=8,"High",IF(I838&gt;=4,"Medium","Low"))</f>
        <v>Low</v>
      </c>
    </row>
    <row r="839" customFormat="false" ht="15" hidden="false" customHeight="true" outlineLevel="0" collapsed="false">
      <c r="A839" s="7" t="n">
        <f aca="false">'Raw Data'!A839</f>
        <v>679</v>
      </c>
      <c r="B839" s="7" t="n">
        <f aca="false">'Raw Data'!B839</f>
        <v>87</v>
      </c>
      <c r="C839" s="7" t="str">
        <f aca="false">'Raw Data'!C839</f>
        <v>Male</v>
      </c>
      <c r="D839" s="7" t="str">
        <f aca="false">'Raw Data'!D839</f>
        <v>Never</v>
      </c>
      <c r="E839" s="7" t="str">
        <f aca="false">'Raw Data'!J839</f>
        <v>High</v>
      </c>
      <c r="F839" s="7" t="n">
        <f aca="false">'Raw Data'!K839</f>
        <v>161.8</v>
      </c>
      <c r="G839" s="7" t="str">
        <f aca="false">'Raw Data'!L839</f>
        <v>No</v>
      </c>
      <c r="H839" s="7" t="str">
        <f aca="false">'Raw Data'!M839</f>
        <v>Low</v>
      </c>
      <c r="I839" s="7" t="n">
        <f aca="false">(IF(D839="Current",3,IF(D839="Former",1,0)))+(IF(E839="High",3,IF(E839="Normal",1,0)))+(IF(F839&gt;=240,2,IF(F839&gt;=200,1,0)))+(IF(G839="Yes",2,0))+(IF(H839="High",2,IF(H839="Moderate",1,0)))</f>
        <v>3</v>
      </c>
      <c r="J839" s="7" t="str">
        <f aca="false">IF(I839&gt;=8,"High",IF(I839&gt;=4,"Medium","Low"))</f>
        <v>Low</v>
      </c>
    </row>
    <row r="840" customFormat="false" ht="15" hidden="false" customHeight="true" outlineLevel="0" collapsed="false">
      <c r="A840" s="7" t="n">
        <f aca="false">'Raw Data'!A840</f>
        <v>686</v>
      </c>
      <c r="B840" s="7" t="n">
        <f aca="false">'Raw Data'!B840</f>
        <v>65</v>
      </c>
      <c r="C840" s="7" t="str">
        <f aca="false">'Raw Data'!C840</f>
        <v>Female</v>
      </c>
      <c r="D840" s="7" t="str">
        <f aca="false">'Raw Data'!D840</f>
        <v>Never</v>
      </c>
      <c r="E840" s="7" t="str">
        <f aca="false">'Raw Data'!J840</f>
        <v>High</v>
      </c>
      <c r="F840" s="7" t="n">
        <f aca="false">'Raw Data'!K840</f>
        <v>185.4</v>
      </c>
      <c r="G840" s="7" t="str">
        <f aca="false">'Raw Data'!L840</f>
        <v>No</v>
      </c>
      <c r="H840" s="7" t="str">
        <f aca="false">'Raw Data'!M840</f>
        <v>Low</v>
      </c>
      <c r="I840" s="7" t="n">
        <f aca="false">(IF(D840="Current",3,IF(D840="Former",1,0)))+(IF(E840="High",3,IF(E840="Normal",1,0)))+(IF(F840&gt;=240,2,IF(F840&gt;=200,1,0)))+(IF(G840="Yes",2,0))+(IF(H840="High",2,IF(H840="Moderate",1,0)))</f>
        <v>3</v>
      </c>
      <c r="J840" s="7" t="str">
        <f aca="false">IF(I840&gt;=8,"High",IF(I840&gt;=4,"Medium","Low"))</f>
        <v>Low</v>
      </c>
    </row>
    <row r="841" customFormat="false" ht="15" hidden="false" customHeight="true" outlineLevel="0" collapsed="false">
      <c r="A841" s="7" t="n">
        <f aca="false">'Raw Data'!A841</f>
        <v>693</v>
      </c>
      <c r="B841" s="7" t="n">
        <f aca="false">'Raw Data'!B841</f>
        <v>80</v>
      </c>
      <c r="C841" s="7" t="str">
        <f aca="false">'Raw Data'!C841</f>
        <v>Male</v>
      </c>
      <c r="D841" s="7" t="str">
        <f aca="false">'Raw Data'!D841</f>
        <v>Never</v>
      </c>
      <c r="E841" s="7" t="str">
        <f aca="false">'Raw Data'!J841</f>
        <v>High</v>
      </c>
      <c r="F841" s="7" t="n">
        <f aca="false">'Raw Data'!K841</f>
        <v>257.7</v>
      </c>
      <c r="G841" s="7" t="str">
        <f aca="false">'Raw Data'!L841</f>
        <v>No</v>
      </c>
      <c r="H841" s="7" t="str">
        <f aca="false">'Raw Data'!M841</f>
        <v>Low</v>
      </c>
      <c r="I841" s="7" t="n">
        <f aca="false">(IF(D841="Current",3,IF(D841="Former",1,0)))+(IF(E841="High",3,IF(E841="Normal",1,0)))+(IF(F841&gt;=240,2,IF(F841&gt;=200,1,0)))+(IF(G841="Yes",2,0))+(IF(H841="High",2,IF(H841="Moderate",1,0)))</f>
        <v>5</v>
      </c>
      <c r="J841" s="7" t="str">
        <f aca="false">IF(I841&gt;=8,"High",IF(I841&gt;=4,"Medium","Low"))</f>
        <v>Medium</v>
      </c>
    </row>
    <row r="842" customFormat="false" ht="15" hidden="false" customHeight="true" outlineLevel="0" collapsed="false">
      <c r="A842" s="7" t="n">
        <f aca="false">'Raw Data'!A842</f>
        <v>706</v>
      </c>
      <c r="B842" s="7" t="n">
        <f aca="false">'Raw Data'!B842</f>
        <v>27</v>
      </c>
      <c r="C842" s="7" t="str">
        <f aca="false">'Raw Data'!C842</f>
        <v>Female</v>
      </c>
      <c r="D842" s="7" t="str">
        <f aca="false">'Raw Data'!D842</f>
        <v>Never</v>
      </c>
      <c r="E842" s="7" t="str">
        <f aca="false">'Raw Data'!J842</f>
        <v>High</v>
      </c>
      <c r="F842" s="7" t="n">
        <f aca="false">'Raw Data'!K842</f>
        <v>285.1</v>
      </c>
      <c r="G842" s="7" t="str">
        <f aca="false">'Raw Data'!L842</f>
        <v>No</v>
      </c>
      <c r="H842" s="7" t="str">
        <f aca="false">'Raw Data'!M842</f>
        <v>Low</v>
      </c>
      <c r="I842" s="7" t="n">
        <f aca="false">(IF(D842="Current",3,IF(D842="Former",1,0)))+(IF(E842="High",3,IF(E842="Normal",1,0)))+(IF(F842&gt;=240,2,IF(F842&gt;=200,1,0)))+(IF(G842="Yes",2,0))+(IF(H842="High",2,IF(H842="Moderate",1,0)))</f>
        <v>5</v>
      </c>
      <c r="J842" s="7" t="str">
        <f aca="false">IF(I842&gt;=8,"High",IF(I842&gt;=4,"Medium","Low"))</f>
        <v>Medium</v>
      </c>
    </row>
    <row r="843" customFormat="false" ht="15" hidden="false" customHeight="true" outlineLevel="0" collapsed="false">
      <c r="A843" s="7" t="n">
        <f aca="false">'Raw Data'!A843</f>
        <v>715</v>
      </c>
      <c r="B843" s="7" t="n">
        <f aca="false">'Raw Data'!B843</f>
        <v>40</v>
      </c>
      <c r="C843" s="7" t="str">
        <f aca="false">'Raw Data'!C843</f>
        <v>Male</v>
      </c>
      <c r="D843" s="7" t="str">
        <f aca="false">'Raw Data'!D843</f>
        <v>Never</v>
      </c>
      <c r="E843" s="7" t="str">
        <f aca="false">'Raw Data'!J843</f>
        <v>High</v>
      </c>
      <c r="F843" s="7" t="n">
        <f aca="false">'Raw Data'!K843</f>
        <v>193.8</v>
      </c>
      <c r="G843" s="7" t="str">
        <f aca="false">'Raw Data'!L843</f>
        <v>No</v>
      </c>
      <c r="H843" s="7" t="str">
        <f aca="false">'Raw Data'!M843</f>
        <v>Low</v>
      </c>
      <c r="I843" s="7" t="n">
        <f aca="false">(IF(D843="Current",3,IF(D843="Former",1,0)))+(IF(E843="High",3,IF(E843="Normal",1,0)))+(IF(F843&gt;=240,2,IF(F843&gt;=200,1,0)))+(IF(G843="Yes",2,0))+(IF(H843="High",2,IF(H843="Moderate",1,0)))</f>
        <v>3</v>
      </c>
      <c r="J843" s="7" t="str">
        <f aca="false">IF(I843&gt;=8,"High",IF(I843&gt;=4,"Medium","Low"))</f>
        <v>Low</v>
      </c>
    </row>
    <row r="844" customFormat="false" ht="15" hidden="false" customHeight="true" outlineLevel="0" collapsed="false">
      <c r="A844" s="7" t="n">
        <f aca="false">'Raw Data'!A844</f>
        <v>723</v>
      </c>
      <c r="B844" s="7" t="n">
        <f aca="false">'Raw Data'!B844</f>
        <v>54</v>
      </c>
      <c r="C844" s="7" t="str">
        <f aca="false">'Raw Data'!C844</f>
        <v>Male</v>
      </c>
      <c r="D844" s="7" t="str">
        <f aca="false">'Raw Data'!D844</f>
        <v>Never</v>
      </c>
      <c r="E844" s="7" t="str">
        <f aca="false">'Raw Data'!J844</f>
        <v>High</v>
      </c>
      <c r="F844" s="7" t="n">
        <f aca="false">'Raw Data'!K844</f>
        <v>134.9</v>
      </c>
      <c r="G844" s="7" t="str">
        <f aca="false">'Raw Data'!L844</f>
        <v>No</v>
      </c>
      <c r="H844" s="7" t="str">
        <f aca="false">'Raw Data'!M844</f>
        <v>Low</v>
      </c>
      <c r="I844" s="7" t="n">
        <f aca="false">(IF(D844="Current",3,IF(D844="Former",1,0)))+(IF(E844="High",3,IF(E844="Normal",1,0)))+(IF(F844&gt;=240,2,IF(F844&gt;=200,1,0)))+(IF(G844="Yes",2,0))+(IF(H844="High",2,IF(H844="Moderate",1,0)))</f>
        <v>3</v>
      </c>
      <c r="J844" s="7" t="str">
        <f aca="false">IF(I844&gt;=8,"High",IF(I844&gt;=4,"Medium","Low"))</f>
        <v>Low</v>
      </c>
    </row>
    <row r="845" customFormat="false" ht="15" hidden="false" customHeight="true" outlineLevel="0" collapsed="false">
      <c r="A845" s="7" t="n">
        <f aca="false">'Raw Data'!A845</f>
        <v>749</v>
      </c>
      <c r="B845" s="7" t="n">
        <f aca="false">'Raw Data'!B845</f>
        <v>43</v>
      </c>
      <c r="C845" s="7" t="str">
        <f aca="false">'Raw Data'!C845</f>
        <v>Male</v>
      </c>
      <c r="D845" s="7" t="str">
        <f aca="false">'Raw Data'!D845</f>
        <v>Never</v>
      </c>
      <c r="E845" s="7" t="str">
        <f aca="false">'Raw Data'!J845</f>
        <v>High</v>
      </c>
      <c r="F845" s="7" t="n">
        <f aca="false">'Raw Data'!K845</f>
        <v>299.8</v>
      </c>
      <c r="G845" s="7" t="str">
        <f aca="false">'Raw Data'!L845</f>
        <v>No</v>
      </c>
      <c r="H845" s="7" t="str">
        <f aca="false">'Raw Data'!M845</f>
        <v>Low</v>
      </c>
      <c r="I845" s="7" t="n">
        <f aca="false">(IF(D845="Current",3,IF(D845="Former",1,0)))+(IF(E845="High",3,IF(E845="Normal",1,0)))+(IF(F845&gt;=240,2,IF(F845&gt;=200,1,0)))+(IF(G845="Yes",2,0))+(IF(H845="High",2,IF(H845="Moderate",1,0)))</f>
        <v>5</v>
      </c>
      <c r="J845" s="7" t="str">
        <f aca="false">IF(I845&gt;=8,"High",IF(I845&gt;=4,"Medium","Low"))</f>
        <v>Medium</v>
      </c>
    </row>
    <row r="846" customFormat="false" ht="15" hidden="false" customHeight="true" outlineLevel="0" collapsed="false">
      <c r="A846" s="7" t="n">
        <f aca="false">'Raw Data'!A846</f>
        <v>755</v>
      </c>
      <c r="B846" s="7" t="n">
        <f aca="false">'Raw Data'!B846</f>
        <v>50</v>
      </c>
      <c r="C846" s="7" t="str">
        <f aca="false">'Raw Data'!C846</f>
        <v>Male</v>
      </c>
      <c r="D846" s="7" t="str">
        <f aca="false">'Raw Data'!D846</f>
        <v>Never</v>
      </c>
      <c r="E846" s="7" t="str">
        <f aca="false">'Raw Data'!J846</f>
        <v>High</v>
      </c>
      <c r="F846" s="7" t="n">
        <f aca="false">'Raw Data'!K846</f>
        <v>258.5</v>
      </c>
      <c r="G846" s="7" t="str">
        <f aca="false">'Raw Data'!L846</f>
        <v>No</v>
      </c>
      <c r="H846" s="7" t="str">
        <f aca="false">'Raw Data'!M846</f>
        <v>Low</v>
      </c>
      <c r="I846" s="7" t="n">
        <f aca="false">(IF(D846="Current",3,IF(D846="Former",1,0)))+(IF(E846="High",3,IF(E846="Normal",1,0)))+(IF(F846&gt;=240,2,IF(F846&gt;=200,1,0)))+(IF(G846="Yes",2,0))+(IF(H846="High",2,IF(H846="Moderate",1,0)))</f>
        <v>5</v>
      </c>
      <c r="J846" s="7" t="str">
        <f aca="false">IF(I846&gt;=8,"High",IF(I846&gt;=4,"Medium","Low"))</f>
        <v>Medium</v>
      </c>
    </row>
    <row r="847" customFormat="false" ht="15" hidden="false" customHeight="true" outlineLevel="0" collapsed="false">
      <c r="A847" s="7" t="n">
        <f aca="false">'Raw Data'!A847</f>
        <v>789</v>
      </c>
      <c r="B847" s="7" t="n">
        <f aca="false">'Raw Data'!B847</f>
        <v>62</v>
      </c>
      <c r="C847" s="7" t="str">
        <f aca="false">'Raw Data'!C847</f>
        <v>Female</v>
      </c>
      <c r="D847" s="7" t="str">
        <f aca="false">'Raw Data'!D847</f>
        <v>Never</v>
      </c>
      <c r="E847" s="7" t="str">
        <f aca="false">'Raw Data'!J847</f>
        <v>High</v>
      </c>
      <c r="F847" s="7" t="n">
        <f aca="false">'Raw Data'!K847</f>
        <v>173.2</v>
      </c>
      <c r="G847" s="7" t="str">
        <f aca="false">'Raw Data'!L847</f>
        <v>No</v>
      </c>
      <c r="H847" s="7" t="str">
        <f aca="false">'Raw Data'!M847</f>
        <v>Low</v>
      </c>
      <c r="I847" s="7" t="n">
        <f aca="false">(IF(D847="Current",3,IF(D847="Former",1,0)))+(IF(E847="High",3,IF(E847="Normal",1,0)))+(IF(F847&gt;=240,2,IF(F847&gt;=200,1,0)))+(IF(G847="Yes",2,0))+(IF(H847="High",2,IF(H847="Moderate",1,0)))</f>
        <v>3</v>
      </c>
      <c r="J847" s="7" t="str">
        <f aca="false">IF(I847&gt;=8,"High",IF(I847&gt;=4,"Medium","Low"))</f>
        <v>Low</v>
      </c>
    </row>
    <row r="848" customFormat="false" ht="15" hidden="false" customHeight="true" outlineLevel="0" collapsed="false">
      <c r="A848" s="7" t="n">
        <f aca="false">'Raw Data'!A848</f>
        <v>810</v>
      </c>
      <c r="B848" s="7" t="n">
        <f aca="false">'Raw Data'!B848</f>
        <v>87</v>
      </c>
      <c r="C848" s="7" t="str">
        <f aca="false">'Raw Data'!C848</f>
        <v>Female</v>
      </c>
      <c r="D848" s="7" t="str">
        <f aca="false">'Raw Data'!D848</f>
        <v>Never</v>
      </c>
      <c r="E848" s="7" t="str">
        <f aca="false">'Raw Data'!J848</f>
        <v>High</v>
      </c>
      <c r="F848" s="7" t="n">
        <f aca="false">'Raw Data'!K848</f>
        <v>142.1</v>
      </c>
      <c r="G848" s="7" t="str">
        <f aca="false">'Raw Data'!L848</f>
        <v>No</v>
      </c>
      <c r="H848" s="7" t="str">
        <f aca="false">'Raw Data'!M848</f>
        <v>Low</v>
      </c>
      <c r="I848" s="7" t="n">
        <f aca="false">(IF(D848="Current",3,IF(D848="Former",1,0)))+(IF(E848="High",3,IF(E848="Normal",1,0)))+(IF(F848&gt;=240,2,IF(F848&gt;=200,1,0)))+(IF(G848="Yes",2,0))+(IF(H848="High",2,IF(H848="Moderate",1,0)))</f>
        <v>3</v>
      </c>
      <c r="J848" s="7" t="str">
        <f aca="false">IF(I848&gt;=8,"High",IF(I848&gt;=4,"Medium","Low"))</f>
        <v>Low</v>
      </c>
    </row>
    <row r="849" customFormat="false" ht="15" hidden="false" customHeight="true" outlineLevel="0" collapsed="false">
      <c r="A849" s="7" t="n">
        <f aca="false">'Raw Data'!A849</f>
        <v>841</v>
      </c>
      <c r="B849" s="7" t="n">
        <f aca="false">'Raw Data'!B849</f>
        <v>23</v>
      </c>
      <c r="C849" s="7" t="str">
        <f aca="false">'Raw Data'!C849</f>
        <v>Male</v>
      </c>
      <c r="D849" s="7" t="str">
        <f aca="false">'Raw Data'!D849</f>
        <v>Never</v>
      </c>
      <c r="E849" s="7" t="str">
        <f aca="false">'Raw Data'!J849</f>
        <v>High</v>
      </c>
      <c r="F849" s="7" t="n">
        <f aca="false">'Raw Data'!K849</f>
        <v>275.3</v>
      </c>
      <c r="G849" s="7" t="str">
        <f aca="false">'Raw Data'!L849</f>
        <v>No</v>
      </c>
      <c r="H849" s="7" t="str">
        <f aca="false">'Raw Data'!M849</f>
        <v>Low</v>
      </c>
      <c r="I849" s="7" t="n">
        <f aca="false">(IF(D849="Current",3,IF(D849="Former",1,0)))+(IF(E849="High",3,IF(E849="Normal",1,0)))+(IF(F849&gt;=240,2,IF(F849&gt;=200,1,0)))+(IF(G849="Yes",2,0))+(IF(H849="High",2,IF(H849="Moderate",1,0)))</f>
        <v>5</v>
      </c>
      <c r="J849" s="7" t="str">
        <f aca="false">IF(I849&gt;=8,"High",IF(I849&gt;=4,"Medium","Low"))</f>
        <v>Medium</v>
      </c>
    </row>
    <row r="850" customFormat="false" ht="15" hidden="false" customHeight="true" outlineLevel="0" collapsed="false">
      <c r="A850" s="7" t="n">
        <f aca="false">'Raw Data'!A850</f>
        <v>849</v>
      </c>
      <c r="B850" s="7" t="n">
        <f aca="false">'Raw Data'!B850</f>
        <v>24</v>
      </c>
      <c r="C850" s="7" t="str">
        <f aca="false">'Raw Data'!C850</f>
        <v>Male</v>
      </c>
      <c r="D850" s="7" t="str">
        <f aca="false">'Raw Data'!D850</f>
        <v>Never</v>
      </c>
      <c r="E850" s="7" t="str">
        <f aca="false">'Raw Data'!J850</f>
        <v>High</v>
      </c>
      <c r="F850" s="7" t="n">
        <f aca="false">'Raw Data'!K850</f>
        <v>145.5</v>
      </c>
      <c r="G850" s="7" t="str">
        <f aca="false">'Raw Data'!L850</f>
        <v>No</v>
      </c>
      <c r="H850" s="7" t="str">
        <f aca="false">'Raw Data'!M850</f>
        <v>Low</v>
      </c>
      <c r="I850" s="7" t="n">
        <f aca="false">(IF(D850="Current",3,IF(D850="Former",1,0)))+(IF(E850="High",3,IF(E850="Normal",1,0)))+(IF(F850&gt;=240,2,IF(F850&gt;=200,1,0)))+(IF(G850="Yes",2,0))+(IF(H850="High",2,IF(H850="Moderate",1,0)))</f>
        <v>3</v>
      </c>
      <c r="J850" s="7" t="str">
        <f aca="false">IF(I850&gt;=8,"High",IF(I850&gt;=4,"Medium","Low"))</f>
        <v>Low</v>
      </c>
    </row>
    <row r="851" customFormat="false" ht="15" hidden="false" customHeight="true" outlineLevel="0" collapsed="false">
      <c r="A851" s="7" t="n">
        <f aca="false">'Raw Data'!A851</f>
        <v>852</v>
      </c>
      <c r="B851" s="7" t="n">
        <f aca="false">'Raw Data'!B851</f>
        <v>46</v>
      </c>
      <c r="C851" s="7" t="str">
        <f aca="false">'Raw Data'!C851</f>
        <v>Female</v>
      </c>
      <c r="D851" s="7" t="str">
        <f aca="false">'Raw Data'!D851</f>
        <v>Never</v>
      </c>
      <c r="E851" s="7" t="str">
        <f aca="false">'Raw Data'!J851</f>
        <v>High</v>
      </c>
      <c r="F851" s="7" t="n">
        <f aca="false">'Raw Data'!K851</f>
        <v>249.7</v>
      </c>
      <c r="G851" s="7" t="str">
        <f aca="false">'Raw Data'!L851</f>
        <v>No</v>
      </c>
      <c r="H851" s="7" t="str">
        <f aca="false">'Raw Data'!M851</f>
        <v>Low</v>
      </c>
      <c r="I851" s="7" t="n">
        <f aca="false">(IF(D851="Current",3,IF(D851="Former",1,0)))+(IF(E851="High",3,IF(E851="Normal",1,0)))+(IF(F851&gt;=240,2,IF(F851&gt;=200,1,0)))+(IF(G851="Yes",2,0))+(IF(H851="High",2,IF(H851="Moderate",1,0)))</f>
        <v>5</v>
      </c>
      <c r="J851" s="7" t="str">
        <f aca="false">IF(I851&gt;=8,"High",IF(I851&gt;=4,"Medium","Low"))</f>
        <v>Medium</v>
      </c>
    </row>
    <row r="852" customFormat="false" ht="15" hidden="false" customHeight="true" outlineLevel="0" collapsed="false">
      <c r="A852" s="7" t="n">
        <f aca="false">'Raw Data'!A852</f>
        <v>868</v>
      </c>
      <c r="B852" s="7" t="n">
        <f aca="false">'Raw Data'!B852</f>
        <v>88</v>
      </c>
      <c r="C852" s="7" t="str">
        <f aca="false">'Raw Data'!C852</f>
        <v>Male</v>
      </c>
      <c r="D852" s="7" t="str">
        <f aca="false">'Raw Data'!D852</f>
        <v>Never</v>
      </c>
      <c r="E852" s="7" t="str">
        <f aca="false">'Raw Data'!J852</f>
        <v>High</v>
      </c>
      <c r="F852" s="7" t="n">
        <f aca="false">'Raw Data'!K852</f>
        <v>292.9</v>
      </c>
      <c r="G852" s="7" t="str">
        <f aca="false">'Raw Data'!L852</f>
        <v>No</v>
      </c>
      <c r="H852" s="7" t="str">
        <f aca="false">'Raw Data'!M852</f>
        <v>Low</v>
      </c>
      <c r="I852" s="7" t="n">
        <f aca="false">(IF(D852="Current",3,IF(D852="Former",1,0)))+(IF(E852="High",3,IF(E852="Normal",1,0)))+(IF(F852&gt;=240,2,IF(F852&gt;=200,1,0)))+(IF(G852="Yes",2,0))+(IF(H852="High",2,IF(H852="Moderate",1,0)))</f>
        <v>5</v>
      </c>
      <c r="J852" s="7" t="str">
        <f aca="false">IF(I852&gt;=8,"High",IF(I852&gt;=4,"Medium","Low"))</f>
        <v>Medium</v>
      </c>
    </row>
    <row r="853" customFormat="false" ht="15" hidden="false" customHeight="true" outlineLevel="0" collapsed="false">
      <c r="A853" s="7" t="n">
        <f aca="false">'Raw Data'!A853</f>
        <v>869</v>
      </c>
      <c r="B853" s="7" t="n">
        <f aca="false">'Raw Data'!B853</f>
        <v>21</v>
      </c>
      <c r="C853" s="7" t="str">
        <f aca="false">'Raw Data'!C853</f>
        <v>Female</v>
      </c>
      <c r="D853" s="7" t="str">
        <f aca="false">'Raw Data'!D853</f>
        <v>Never</v>
      </c>
      <c r="E853" s="7" t="str">
        <f aca="false">'Raw Data'!J853</f>
        <v>High</v>
      </c>
      <c r="F853" s="7" t="n">
        <f aca="false">'Raw Data'!K853</f>
        <v>198.1</v>
      </c>
      <c r="G853" s="7" t="str">
        <f aca="false">'Raw Data'!L853</f>
        <v>No</v>
      </c>
      <c r="H853" s="7" t="str">
        <f aca="false">'Raw Data'!M853</f>
        <v>Low</v>
      </c>
      <c r="I853" s="7" t="n">
        <f aca="false">(IF(D853="Current",3,IF(D853="Former",1,0)))+(IF(E853="High",3,IF(E853="Normal",1,0)))+(IF(F853&gt;=240,2,IF(F853&gt;=200,1,0)))+(IF(G853="Yes",2,0))+(IF(H853="High",2,IF(H853="Moderate",1,0)))</f>
        <v>3</v>
      </c>
      <c r="J853" s="7" t="str">
        <f aca="false">IF(I853&gt;=8,"High",IF(I853&gt;=4,"Medium","Low"))</f>
        <v>Low</v>
      </c>
    </row>
    <row r="854" customFormat="false" ht="15" hidden="false" customHeight="true" outlineLevel="0" collapsed="false">
      <c r="A854" s="7" t="n">
        <f aca="false">'Raw Data'!A854</f>
        <v>873</v>
      </c>
      <c r="B854" s="7" t="n">
        <f aca="false">'Raw Data'!B854</f>
        <v>45</v>
      </c>
      <c r="C854" s="7" t="str">
        <f aca="false">'Raw Data'!C854</f>
        <v>Female</v>
      </c>
      <c r="D854" s="7" t="str">
        <f aca="false">'Raw Data'!D854</f>
        <v>Never</v>
      </c>
      <c r="E854" s="7" t="str">
        <f aca="false">'Raw Data'!J854</f>
        <v>High</v>
      </c>
      <c r="F854" s="7" t="n">
        <f aca="false">'Raw Data'!K854</f>
        <v>194.8</v>
      </c>
      <c r="G854" s="7" t="str">
        <f aca="false">'Raw Data'!L854</f>
        <v>No</v>
      </c>
      <c r="H854" s="7" t="str">
        <f aca="false">'Raw Data'!M854</f>
        <v>Low</v>
      </c>
      <c r="I854" s="7" t="n">
        <f aca="false">(IF(D854="Current",3,IF(D854="Former",1,0)))+(IF(E854="High",3,IF(E854="Normal",1,0)))+(IF(F854&gt;=240,2,IF(F854&gt;=200,1,0)))+(IF(G854="Yes",2,0))+(IF(H854="High",2,IF(H854="Moderate",1,0)))</f>
        <v>3</v>
      </c>
      <c r="J854" s="7" t="str">
        <f aca="false">IF(I854&gt;=8,"High",IF(I854&gt;=4,"Medium","Low"))</f>
        <v>Low</v>
      </c>
    </row>
    <row r="855" customFormat="false" ht="15" hidden="false" customHeight="true" outlineLevel="0" collapsed="false">
      <c r="A855" s="7" t="n">
        <f aca="false">'Raw Data'!A855</f>
        <v>978</v>
      </c>
      <c r="B855" s="7" t="n">
        <f aca="false">'Raw Data'!B855</f>
        <v>74</v>
      </c>
      <c r="C855" s="7" t="str">
        <f aca="false">'Raw Data'!C855</f>
        <v>Female</v>
      </c>
      <c r="D855" s="7" t="str">
        <f aca="false">'Raw Data'!D855</f>
        <v>Never</v>
      </c>
      <c r="E855" s="7" t="str">
        <f aca="false">'Raw Data'!J855</f>
        <v>High</v>
      </c>
      <c r="F855" s="7" t="n">
        <f aca="false">'Raw Data'!K855</f>
        <v>176.4</v>
      </c>
      <c r="G855" s="7" t="str">
        <f aca="false">'Raw Data'!L855</f>
        <v>No</v>
      </c>
      <c r="H855" s="7" t="str">
        <f aca="false">'Raw Data'!M855</f>
        <v>Low</v>
      </c>
      <c r="I855" s="7" t="n">
        <f aca="false">(IF(D855="Current",3,IF(D855="Former",1,0)))+(IF(E855="High",3,IF(E855="Normal",1,0)))+(IF(F855&gt;=240,2,IF(F855&gt;=200,1,0)))+(IF(G855="Yes",2,0))+(IF(H855="High",2,IF(H855="Moderate",1,0)))</f>
        <v>3</v>
      </c>
      <c r="J855" s="7" t="str">
        <f aca="false">IF(I855&gt;=8,"High",IF(I855&gt;=4,"Medium","Low"))</f>
        <v>Low</v>
      </c>
    </row>
    <row r="856" customFormat="false" ht="15" hidden="false" customHeight="true" outlineLevel="0" collapsed="false">
      <c r="A856" s="7" t="n">
        <f aca="false">'Raw Data'!A856</f>
        <v>981</v>
      </c>
      <c r="B856" s="7" t="n">
        <f aca="false">'Raw Data'!B856</f>
        <v>26</v>
      </c>
      <c r="C856" s="7" t="str">
        <f aca="false">'Raw Data'!C856</f>
        <v>Male</v>
      </c>
      <c r="D856" s="7" t="str">
        <f aca="false">'Raw Data'!D856</f>
        <v>Never</v>
      </c>
      <c r="E856" s="7" t="str">
        <f aca="false">'Raw Data'!J856</f>
        <v>High</v>
      </c>
      <c r="F856" s="7" t="n">
        <f aca="false">'Raw Data'!K856</f>
        <v>290.5</v>
      </c>
      <c r="G856" s="7" t="str">
        <f aca="false">'Raw Data'!L856</f>
        <v>No</v>
      </c>
      <c r="H856" s="7" t="str">
        <f aca="false">'Raw Data'!M856</f>
        <v>Low</v>
      </c>
      <c r="I856" s="7" t="n">
        <f aca="false">(IF(D856="Current",3,IF(D856="Former",1,0)))+(IF(E856="High",3,IF(E856="Normal",1,0)))+(IF(F856&gt;=240,2,IF(F856&gt;=200,1,0)))+(IF(G856="Yes",2,0))+(IF(H856="High",2,IF(H856="Moderate",1,0)))</f>
        <v>5</v>
      </c>
      <c r="J856" s="7" t="str">
        <f aca="false">IF(I856&gt;=8,"High",IF(I856&gt;=4,"Medium","Low"))</f>
        <v>Medium</v>
      </c>
    </row>
    <row r="857" customFormat="false" ht="15" hidden="false" customHeight="true" outlineLevel="0" collapsed="false">
      <c r="A857" s="7" t="n">
        <f aca="false">'Raw Data'!A857</f>
        <v>993</v>
      </c>
      <c r="B857" s="7" t="n">
        <f aca="false">'Raw Data'!B857</f>
        <v>75</v>
      </c>
      <c r="C857" s="7" t="str">
        <f aca="false">'Raw Data'!C857</f>
        <v>Male</v>
      </c>
      <c r="D857" s="7" t="str">
        <f aca="false">'Raw Data'!D857</f>
        <v>Never</v>
      </c>
      <c r="E857" s="7" t="str">
        <f aca="false">'Raw Data'!J857</f>
        <v>High</v>
      </c>
      <c r="F857" s="7" t="n">
        <f aca="false">'Raw Data'!K857</f>
        <v>221.3</v>
      </c>
      <c r="G857" s="7" t="str">
        <f aca="false">'Raw Data'!L857</f>
        <v>No</v>
      </c>
      <c r="H857" s="7" t="str">
        <f aca="false">'Raw Data'!M857</f>
        <v>Low</v>
      </c>
      <c r="I857" s="7" t="n">
        <f aca="false">(IF(D857="Current",3,IF(D857="Former",1,0)))+(IF(E857="High",3,IF(E857="Normal",1,0)))+(IF(F857&gt;=240,2,IF(F857&gt;=200,1,0)))+(IF(G857="Yes",2,0))+(IF(H857="High",2,IF(H857="Moderate",1,0)))</f>
        <v>4</v>
      </c>
      <c r="J857" s="7" t="str">
        <f aca="false">IF(I857&gt;=8,"High",IF(I857&gt;=4,"Medium","Low"))</f>
        <v>Medium</v>
      </c>
    </row>
    <row r="858" customFormat="false" ht="15" hidden="false" customHeight="true" outlineLevel="0" collapsed="false">
      <c r="A858" s="7" t="n">
        <f aca="false">'Raw Data'!A858</f>
        <v>998</v>
      </c>
      <c r="B858" s="7" t="n">
        <f aca="false">'Raw Data'!B858</f>
        <v>40</v>
      </c>
      <c r="C858" s="7" t="str">
        <f aca="false">'Raw Data'!C858</f>
        <v>Female</v>
      </c>
      <c r="D858" s="7" t="str">
        <f aca="false">'Raw Data'!D858</f>
        <v>Never</v>
      </c>
      <c r="E858" s="7" t="str">
        <f aca="false">'Raw Data'!J858</f>
        <v>High</v>
      </c>
      <c r="F858" s="7" t="n">
        <f aca="false">'Raw Data'!K858</f>
        <v>254.9</v>
      </c>
      <c r="G858" s="7" t="str">
        <f aca="false">'Raw Data'!L858</f>
        <v>No</v>
      </c>
      <c r="H858" s="7" t="str">
        <f aca="false">'Raw Data'!M858</f>
        <v>Low</v>
      </c>
      <c r="I858" s="7" t="n">
        <f aca="false">(IF(D858="Current",3,IF(D858="Former",1,0)))+(IF(E858="High",3,IF(E858="Normal",1,0)))+(IF(F858&gt;=240,2,IF(F858&gt;=200,1,0)))+(IF(G858="Yes",2,0))+(IF(H858="High",2,IF(H858="Moderate",1,0)))</f>
        <v>5</v>
      </c>
      <c r="J858" s="7" t="str">
        <f aca="false">IF(I858&gt;=8,"High",IF(I858&gt;=4,"Medium","Low"))</f>
        <v>Medium</v>
      </c>
    </row>
    <row r="859" customFormat="false" ht="15" hidden="false" customHeight="true" outlineLevel="0" collapsed="false">
      <c r="A859" s="7" t="n">
        <f aca="false">'Raw Data'!A859</f>
        <v>1061</v>
      </c>
      <c r="B859" s="7" t="n">
        <f aca="false">'Raw Data'!B859</f>
        <v>60</v>
      </c>
      <c r="C859" s="7" t="str">
        <f aca="false">'Raw Data'!C859</f>
        <v>Male</v>
      </c>
      <c r="D859" s="7" t="str">
        <f aca="false">'Raw Data'!D859</f>
        <v>Never</v>
      </c>
      <c r="E859" s="7" t="str">
        <f aca="false">'Raw Data'!J859</f>
        <v>High</v>
      </c>
      <c r="F859" s="7" t="n">
        <f aca="false">'Raw Data'!K859</f>
        <v>226.9</v>
      </c>
      <c r="G859" s="7" t="str">
        <f aca="false">'Raw Data'!L859</f>
        <v>No</v>
      </c>
      <c r="H859" s="7" t="str">
        <f aca="false">'Raw Data'!M859</f>
        <v>Low</v>
      </c>
      <c r="I859" s="7" t="n">
        <f aca="false">(IF(D859="Current",3,IF(D859="Former",1,0)))+(IF(E859="High",3,IF(E859="Normal",1,0)))+(IF(F859&gt;=240,2,IF(F859&gt;=200,1,0)))+(IF(G859="Yes",2,0))+(IF(H859="High",2,IF(H859="Moderate",1,0)))</f>
        <v>4</v>
      </c>
      <c r="J859" s="7" t="str">
        <f aca="false">IF(I859&gt;=8,"High",IF(I859&gt;=4,"Medium","Low"))</f>
        <v>Medium</v>
      </c>
    </row>
    <row r="860" customFormat="false" ht="15" hidden="false" customHeight="true" outlineLevel="0" collapsed="false">
      <c r="A860" s="7" t="n">
        <f aca="false">'Raw Data'!A860</f>
        <v>1073</v>
      </c>
      <c r="B860" s="7" t="n">
        <f aca="false">'Raw Data'!B860</f>
        <v>57</v>
      </c>
      <c r="C860" s="7" t="str">
        <f aca="false">'Raw Data'!C860</f>
        <v>Male</v>
      </c>
      <c r="D860" s="7" t="str">
        <f aca="false">'Raw Data'!D860</f>
        <v>Never</v>
      </c>
      <c r="E860" s="7" t="str">
        <f aca="false">'Raw Data'!J860</f>
        <v>High</v>
      </c>
      <c r="F860" s="7" t="n">
        <f aca="false">'Raw Data'!K860</f>
        <v>256.2</v>
      </c>
      <c r="G860" s="7" t="str">
        <f aca="false">'Raw Data'!L860</f>
        <v>No</v>
      </c>
      <c r="H860" s="7" t="str">
        <f aca="false">'Raw Data'!M860</f>
        <v>Low</v>
      </c>
      <c r="I860" s="7" t="n">
        <f aca="false">(IF(D860="Current",3,IF(D860="Former",1,0)))+(IF(E860="High",3,IF(E860="Normal",1,0)))+(IF(F860&gt;=240,2,IF(F860&gt;=200,1,0)))+(IF(G860="Yes",2,0))+(IF(H860="High",2,IF(H860="Moderate",1,0)))</f>
        <v>5</v>
      </c>
      <c r="J860" s="7" t="str">
        <f aca="false">IF(I860&gt;=8,"High",IF(I860&gt;=4,"Medium","Low"))</f>
        <v>Medium</v>
      </c>
    </row>
    <row r="861" customFormat="false" ht="15" hidden="false" customHeight="true" outlineLevel="0" collapsed="false">
      <c r="A861" s="7" t="n">
        <f aca="false">'Raw Data'!A861</f>
        <v>1086</v>
      </c>
      <c r="B861" s="7" t="n">
        <f aca="false">'Raw Data'!B861</f>
        <v>46</v>
      </c>
      <c r="C861" s="7" t="str">
        <f aca="false">'Raw Data'!C861</f>
        <v>Male</v>
      </c>
      <c r="D861" s="7" t="str">
        <f aca="false">'Raw Data'!D861</f>
        <v>Never</v>
      </c>
      <c r="E861" s="7" t="str">
        <f aca="false">'Raw Data'!J861</f>
        <v>High</v>
      </c>
      <c r="F861" s="7" t="n">
        <f aca="false">'Raw Data'!K861</f>
        <v>229.1</v>
      </c>
      <c r="G861" s="7" t="str">
        <f aca="false">'Raw Data'!L861</f>
        <v>No</v>
      </c>
      <c r="H861" s="7" t="str">
        <f aca="false">'Raw Data'!M861</f>
        <v>Low</v>
      </c>
      <c r="I861" s="7" t="n">
        <f aca="false">(IF(D861="Current",3,IF(D861="Former",1,0)))+(IF(E861="High",3,IF(E861="Normal",1,0)))+(IF(F861&gt;=240,2,IF(F861&gt;=200,1,0)))+(IF(G861="Yes",2,0))+(IF(H861="High",2,IF(H861="Moderate",1,0)))</f>
        <v>4</v>
      </c>
      <c r="J861" s="7" t="str">
        <f aca="false">IF(I861&gt;=8,"High",IF(I861&gt;=4,"Medium","Low"))</f>
        <v>Medium</v>
      </c>
    </row>
    <row r="862" customFormat="false" ht="15" hidden="false" customHeight="true" outlineLevel="0" collapsed="false">
      <c r="A862" s="7" t="n">
        <f aca="false">'Raw Data'!A862</f>
        <v>1112</v>
      </c>
      <c r="B862" s="7" t="n">
        <f aca="false">'Raw Data'!B862</f>
        <v>61</v>
      </c>
      <c r="C862" s="7" t="str">
        <f aca="false">'Raw Data'!C862</f>
        <v>Male</v>
      </c>
      <c r="D862" s="7" t="str">
        <f aca="false">'Raw Data'!D862</f>
        <v>Never</v>
      </c>
      <c r="E862" s="7" t="str">
        <f aca="false">'Raw Data'!J862</f>
        <v>High</v>
      </c>
      <c r="F862" s="7" t="n">
        <f aca="false">'Raw Data'!K862</f>
        <v>140.7</v>
      </c>
      <c r="G862" s="7" t="str">
        <f aca="false">'Raw Data'!L862</f>
        <v>No</v>
      </c>
      <c r="H862" s="7" t="str">
        <f aca="false">'Raw Data'!M862</f>
        <v>Low</v>
      </c>
      <c r="I862" s="7" t="n">
        <f aca="false">(IF(D862="Current",3,IF(D862="Former",1,0)))+(IF(E862="High",3,IF(E862="Normal",1,0)))+(IF(F862&gt;=240,2,IF(F862&gt;=200,1,0)))+(IF(G862="Yes",2,0))+(IF(H862="High",2,IF(H862="Moderate",1,0)))</f>
        <v>3</v>
      </c>
      <c r="J862" s="7" t="str">
        <f aca="false">IF(I862&gt;=8,"High",IF(I862&gt;=4,"Medium","Low"))</f>
        <v>Low</v>
      </c>
    </row>
    <row r="863" customFormat="false" ht="15" hidden="false" customHeight="true" outlineLevel="0" collapsed="false">
      <c r="A863" s="7" t="n">
        <f aca="false">'Raw Data'!A863</f>
        <v>1115</v>
      </c>
      <c r="B863" s="7" t="n">
        <f aca="false">'Raw Data'!B863</f>
        <v>66</v>
      </c>
      <c r="C863" s="7" t="str">
        <f aca="false">'Raw Data'!C863</f>
        <v>Female</v>
      </c>
      <c r="D863" s="7" t="str">
        <f aca="false">'Raw Data'!D863</f>
        <v>Never</v>
      </c>
      <c r="E863" s="7" t="str">
        <f aca="false">'Raw Data'!J863</f>
        <v>High</v>
      </c>
      <c r="F863" s="7" t="n">
        <f aca="false">'Raw Data'!K863</f>
        <v>124</v>
      </c>
      <c r="G863" s="7" t="str">
        <f aca="false">'Raw Data'!L863</f>
        <v>No</v>
      </c>
      <c r="H863" s="7" t="str">
        <f aca="false">'Raw Data'!M863</f>
        <v>Low</v>
      </c>
      <c r="I863" s="7" t="n">
        <f aca="false">(IF(D863="Current",3,IF(D863="Former",1,0)))+(IF(E863="High",3,IF(E863="Normal",1,0)))+(IF(F863&gt;=240,2,IF(F863&gt;=200,1,0)))+(IF(G863="Yes",2,0))+(IF(H863="High",2,IF(H863="Moderate",1,0)))</f>
        <v>3</v>
      </c>
      <c r="J863" s="7" t="str">
        <f aca="false">IF(I863&gt;=8,"High",IF(I863&gt;=4,"Medium","Low"))</f>
        <v>Low</v>
      </c>
    </row>
    <row r="864" customFormat="false" ht="15" hidden="false" customHeight="true" outlineLevel="0" collapsed="false">
      <c r="A864" s="7" t="n">
        <f aca="false">'Raw Data'!A864</f>
        <v>1161</v>
      </c>
      <c r="B864" s="7" t="n">
        <f aca="false">'Raw Data'!B864</f>
        <v>48</v>
      </c>
      <c r="C864" s="7" t="str">
        <f aca="false">'Raw Data'!C864</f>
        <v>Male</v>
      </c>
      <c r="D864" s="7" t="str">
        <f aca="false">'Raw Data'!D864</f>
        <v>Never</v>
      </c>
      <c r="E864" s="7" t="str">
        <f aca="false">'Raw Data'!J864</f>
        <v>High</v>
      </c>
      <c r="F864" s="7" t="n">
        <f aca="false">'Raw Data'!K864</f>
        <v>263.8</v>
      </c>
      <c r="G864" s="7" t="str">
        <f aca="false">'Raw Data'!L864</f>
        <v>No</v>
      </c>
      <c r="H864" s="7" t="str">
        <f aca="false">'Raw Data'!M864</f>
        <v>Low</v>
      </c>
      <c r="I864" s="7" t="n">
        <f aca="false">(IF(D864="Current",3,IF(D864="Former",1,0)))+(IF(E864="High",3,IF(E864="Normal",1,0)))+(IF(F864&gt;=240,2,IF(F864&gt;=200,1,0)))+(IF(G864="Yes",2,0))+(IF(H864="High",2,IF(H864="Moderate",1,0)))</f>
        <v>5</v>
      </c>
      <c r="J864" s="7" t="str">
        <f aca="false">IF(I864&gt;=8,"High",IF(I864&gt;=4,"Medium","Low"))</f>
        <v>Medium</v>
      </c>
    </row>
    <row r="865" customFormat="false" ht="15" hidden="false" customHeight="true" outlineLevel="0" collapsed="false">
      <c r="A865" s="7" t="n">
        <f aca="false">'Raw Data'!A865</f>
        <v>1168</v>
      </c>
      <c r="B865" s="7" t="n">
        <f aca="false">'Raw Data'!B865</f>
        <v>51</v>
      </c>
      <c r="C865" s="7" t="str">
        <f aca="false">'Raw Data'!C865</f>
        <v>Female</v>
      </c>
      <c r="D865" s="7" t="str">
        <f aca="false">'Raw Data'!D865</f>
        <v>Never</v>
      </c>
      <c r="E865" s="7" t="str">
        <f aca="false">'Raw Data'!J865</f>
        <v>High</v>
      </c>
      <c r="F865" s="7" t="n">
        <f aca="false">'Raw Data'!K865</f>
        <v>141.3</v>
      </c>
      <c r="G865" s="7" t="str">
        <f aca="false">'Raw Data'!L865</f>
        <v>No</v>
      </c>
      <c r="H865" s="7" t="str">
        <f aca="false">'Raw Data'!M865</f>
        <v>Low</v>
      </c>
      <c r="I865" s="7" t="n">
        <f aca="false">(IF(D865="Current",3,IF(D865="Former",1,0)))+(IF(E865="High",3,IF(E865="Normal",1,0)))+(IF(F865&gt;=240,2,IF(F865&gt;=200,1,0)))+(IF(G865="Yes",2,0))+(IF(H865="High",2,IF(H865="Moderate",1,0)))</f>
        <v>3</v>
      </c>
      <c r="J865" s="7" t="str">
        <f aca="false">IF(I865&gt;=8,"High",IF(I865&gt;=4,"Medium","Low"))</f>
        <v>Low</v>
      </c>
    </row>
    <row r="866" customFormat="false" ht="15" hidden="false" customHeight="true" outlineLevel="0" collapsed="false">
      <c r="A866" s="7" t="n">
        <f aca="false">'Raw Data'!A866</f>
        <v>1169</v>
      </c>
      <c r="B866" s="7" t="n">
        <f aca="false">'Raw Data'!B866</f>
        <v>43</v>
      </c>
      <c r="C866" s="7" t="str">
        <f aca="false">'Raw Data'!C866</f>
        <v>Male</v>
      </c>
      <c r="D866" s="7" t="str">
        <f aca="false">'Raw Data'!D866</f>
        <v>Never</v>
      </c>
      <c r="E866" s="7" t="str">
        <f aca="false">'Raw Data'!J866</f>
        <v>High</v>
      </c>
      <c r="F866" s="7" t="n">
        <f aca="false">'Raw Data'!K866</f>
        <v>167</v>
      </c>
      <c r="G866" s="7" t="str">
        <f aca="false">'Raw Data'!L866</f>
        <v>No</v>
      </c>
      <c r="H866" s="7" t="str">
        <f aca="false">'Raw Data'!M866</f>
        <v>Low</v>
      </c>
      <c r="I866" s="7" t="n">
        <f aca="false">(IF(D866="Current",3,IF(D866="Former",1,0)))+(IF(E866="High",3,IF(E866="Normal",1,0)))+(IF(F866&gt;=240,2,IF(F866&gt;=200,1,0)))+(IF(G866="Yes",2,0))+(IF(H866="High",2,IF(H866="Moderate",1,0)))</f>
        <v>3</v>
      </c>
      <c r="J866" s="7" t="str">
        <f aca="false">IF(I866&gt;=8,"High",IF(I866&gt;=4,"Medium","Low"))</f>
        <v>Low</v>
      </c>
    </row>
    <row r="867" customFormat="false" ht="15" hidden="false" customHeight="true" outlineLevel="0" collapsed="false">
      <c r="A867" s="7" t="n">
        <f aca="false">'Raw Data'!A867</f>
        <v>1179</v>
      </c>
      <c r="B867" s="7" t="n">
        <f aca="false">'Raw Data'!B867</f>
        <v>34</v>
      </c>
      <c r="C867" s="7" t="str">
        <f aca="false">'Raw Data'!C867</f>
        <v>Female</v>
      </c>
      <c r="D867" s="7" t="str">
        <f aca="false">'Raw Data'!D867</f>
        <v>Never</v>
      </c>
      <c r="E867" s="7" t="str">
        <f aca="false">'Raw Data'!J867</f>
        <v>High</v>
      </c>
      <c r="F867" s="7" t="n">
        <f aca="false">'Raw Data'!K867</f>
        <v>160.5</v>
      </c>
      <c r="G867" s="7" t="str">
        <f aca="false">'Raw Data'!L867</f>
        <v>No</v>
      </c>
      <c r="H867" s="7" t="str">
        <f aca="false">'Raw Data'!M867</f>
        <v>Low</v>
      </c>
      <c r="I867" s="7" t="n">
        <f aca="false">(IF(D867="Current",3,IF(D867="Former",1,0)))+(IF(E867="High",3,IF(E867="Normal",1,0)))+(IF(F867&gt;=240,2,IF(F867&gt;=200,1,0)))+(IF(G867="Yes",2,0))+(IF(H867="High",2,IF(H867="Moderate",1,0)))</f>
        <v>3</v>
      </c>
      <c r="J867" s="7" t="str">
        <f aca="false">IF(I867&gt;=8,"High",IF(I867&gt;=4,"Medium","Low"))</f>
        <v>Low</v>
      </c>
    </row>
    <row r="868" customFormat="false" ht="15" hidden="false" customHeight="true" outlineLevel="0" collapsed="false">
      <c r="A868" s="7" t="n">
        <f aca="false">'Raw Data'!A868</f>
        <v>1210</v>
      </c>
      <c r="B868" s="7" t="n">
        <f aca="false">'Raw Data'!B868</f>
        <v>18</v>
      </c>
      <c r="C868" s="7" t="str">
        <f aca="false">'Raw Data'!C868</f>
        <v>Female</v>
      </c>
      <c r="D868" s="7" t="str">
        <f aca="false">'Raw Data'!D868</f>
        <v>Never</v>
      </c>
      <c r="E868" s="7" t="str">
        <f aca="false">'Raw Data'!J868</f>
        <v>High</v>
      </c>
      <c r="F868" s="7" t="n">
        <f aca="false">'Raw Data'!K868</f>
        <v>173.5</v>
      </c>
      <c r="G868" s="7" t="str">
        <f aca="false">'Raw Data'!L868</f>
        <v>No</v>
      </c>
      <c r="H868" s="7" t="str">
        <f aca="false">'Raw Data'!M868</f>
        <v>Low</v>
      </c>
      <c r="I868" s="7" t="n">
        <f aca="false">(IF(D868="Current",3,IF(D868="Former",1,0)))+(IF(E868="High",3,IF(E868="Normal",1,0)))+(IF(F868&gt;=240,2,IF(F868&gt;=200,1,0)))+(IF(G868="Yes",2,0))+(IF(H868="High",2,IF(H868="Moderate",1,0)))</f>
        <v>3</v>
      </c>
      <c r="J868" s="7" t="str">
        <f aca="false">IF(I868&gt;=8,"High",IF(I868&gt;=4,"Medium","Low"))</f>
        <v>Low</v>
      </c>
    </row>
    <row r="869" customFormat="false" ht="15" hidden="false" customHeight="true" outlineLevel="0" collapsed="false">
      <c r="A869" s="7" t="n">
        <f aca="false">'Raw Data'!A869</f>
        <v>1220</v>
      </c>
      <c r="B869" s="7" t="n">
        <f aca="false">'Raw Data'!B869</f>
        <v>22</v>
      </c>
      <c r="C869" s="7" t="str">
        <f aca="false">'Raw Data'!C869</f>
        <v>Female</v>
      </c>
      <c r="D869" s="7" t="str">
        <f aca="false">'Raw Data'!D869</f>
        <v>Never</v>
      </c>
      <c r="E869" s="7" t="str">
        <f aca="false">'Raw Data'!J869</f>
        <v>High</v>
      </c>
      <c r="F869" s="7" t="n">
        <f aca="false">'Raw Data'!K869</f>
        <v>224.6</v>
      </c>
      <c r="G869" s="7" t="str">
        <f aca="false">'Raw Data'!L869</f>
        <v>No</v>
      </c>
      <c r="H869" s="7" t="str">
        <f aca="false">'Raw Data'!M869</f>
        <v>Low</v>
      </c>
      <c r="I869" s="7" t="n">
        <f aca="false">(IF(D869="Current",3,IF(D869="Former",1,0)))+(IF(E869="High",3,IF(E869="Normal",1,0)))+(IF(F869&gt;=240,2,IF(F869&gt;=200,1,0)))+(IF(G869="Yes",2,0))+(IF(H869="High",2,IF(H869="Moderate",1,0)))</f>
        <v>4</v>
      </c>
      <c r="J869" s="7" t="str">
        <f aca="false">IF(I869&gt;=8,"High",IF(I869&gt;=4,"Medium","Low"))</f>
        <v>Medium</v>
      </c>
    </row>
    <row r="870" customFormat="false" ht="15" hidden="false" customHeight="true" outlineLevel="0" collapsed="false">
      <c r="A870" s="7" t="n">
        <f aca="false">'Raw Data'!A870</f>
        <v>1226</v>
      </c>
      <c r="B870" s="7" t="n">
        <f aca="false">'Raw Data'!B870</f>
        <v>69</v>
      </c>
      <c r="C870" s="7" t="str">
        <f aca="false">'Raw Data'!C870</f>
        <v>Male</v>
      </c>
      <c r="D870" s="7" t="str">
        <f aca="false">'Raw Data'!D870</f>
        <v>Never</v>
      </c>
      <c r="E870" s="7" t="str">
        <f aca="false">'Raw Data'!J870</f>
        <v>High</v>
      </c>
      <c r="F870" s="7" t="n">
        <f aca="false">'Raw Data'!K870</f>
        <v>236.7</v>
      </c>
      <c r="G870" s="7" t="str">
        <f aca="false">'Raw Data'!L870</f>
        <v>No</v>
      </c>
      <c r="H870" s="7" t="str">
        <f aca="false">'Raw Data'!M870</f>
        <v>Low</v>
      </c>
      <c r="I870" s="7" t="n">
        <f aca="false">(IF(D870="Current",3,IF(D870="Former",1,0)))+(IF(E870="High",3,IF(E870="Normal",1,0)))+(IF(F870&gt;=240,2,IF(F870&gt;=200,1,0)))+(IF(G870="Yes",2,0))+(IF(H870="High",2,IF(H870="Moderate",1,0)))</f>
        <v>4</v>
      </c>
      <c r="J870" s="7" t="str">
        <f aca="false">IF(I870&gt;=8,"High",IF(I870&gt;=4,"Medium","Low"))</f>
        <v>Medium</v>
      </c>
    </row>
    <row r="871" customFormat="false" ht="15" hidden="false" customHeight="true" outlineLevel="0" collapsed="false">
      <c r="A871" s="7" t="n">
        <f aca="false">'Raw Data'!A871</f>
        <v>1243</v>
      </c>
      <c r="B871" s="7" t="n">
        <f aca="false">'Raw Data'!B871</f>
        <v>38</v>
      </c>
      <c r="C871" s="7" t="str">
        <f aca="false">'Raw Data'!C871</f>
        <v>Female</v>
      </c>
      <c r="D871" s="7" t="str">
        <f aca="false">'Raw Data'!D871</f>
        <v>Never</v>
      </c>
      <c r="E871" s="7" t="str">
        <f aca="false">'Raw Data'!J871</f>
        <v>High</v>
      </c>
      <c r="F871" s="7" t="n">
        <f aca="false">'Raw Data'!K871</f>
        <v>207</v>
      </c>
      <c r="G871" s="7" t="str">
        <f aca="false">'Raw Data'!L871</f>
        <v>No</v>
      </c>
      <c r="H871" s="7" t="str">
        <f aca="false">'Raw Data'!M871</f>
        <v>Low</v>
      </c>
      <c r="I871" s="7" t="n">
        <f aca="false">(IF(D871="Current",3,IF(D871="Former",1,0)))+(IF(E871="High",3,IF(E871="Normal",1,0)))+(IF(F871&gt;=240,2,IF(F871&gt;=200,1,0)))+(IF(G871="Yes",2,0))+(IF(H871="High",2,IF(H871="Moderate",1,0)))</f>
        <v>4</v>
      </c>
      <c r="J871" s="7" t="str">
        <f aca="false">IF(I871&gt;=8,"High",IF(I871&gt;=4,"Medium","Low"))</f>
        <v>Medium</v>
      </c>
    </row>
    <row r="872" customFormat="false" ht="15" hidden="false" customHeight="true" outlineLevel="0" collapsed="false">
      <c r="A872" s="7" t="n">
        <f aca="false">'Raw Data'!A872</f>
        <v>1284</v>
      </c>
      <c r="B872" s="7" t="n">
        <f aca="false">'Raw Data'!B872</f>
        <v>61</v>
      </c>
      <c r="C872" s="7" t="str">
        <f aca="false">'Raw Data'!C872</f>
        <v>Female</v>
      </c>
      <c r="D872" s="7" t="str">
        <f aca="false">'Raw Data'!D872</f>
        <v>Never</v>
      </c>
      <c r="E872" s="7" t="str">
        <f aca="false">'Raw Data'!J872</f>
        <v>High</v>
      </c>
      <c r="F872" s="7" t="n">
        <f aca="false">'Raw Data'!K872</f>
        <v>202.5</v>
      </c>
      <c r="G872" s="7" t="str">
        <f aca="false">'Raw Data'!L872</f>
        <v>No</v>
      </c>
      <c r="H872" s="7" t="str">
        <f aca="false">'Raw Data'!M872</f>
        <v>Low</v>
      </c>
      <c r="I872" s="7" t="n">
        <f aca="false">(IF(D872="Current",3,IF(D872="Former",1,0)))+(IF(E872="High",3,IF(E872="Normal",1,0)))+(IF(F872&gt;=240,2,IF(F872&gt;=200,1,0)))+(IF(G872="Yes",2,0))+(IF(H872="High",2,IF(H872="Moderate",1,0)))</f>
        <v>4</v>
      </c>
      <c r="J872" s="7" t="str">
        <f aca="false">IF(I872&gt;=8,"High",IF(I872&gt;=4,"Medium","Low"))</f>
        <v>Medium</v>
      </c>
    </row>
    <row r="873" customFormat="false" ht="15" hidden="false" customHeight="true" outlineLevel="0" collapsed="false">
      <c r="A873" s="7" t="n">
        <f aca="false">'Raw Data'!A873</f>
        <v>1302</v>
      </c>
      <c r="B873" s="7" t="n">
        <f aca="false">'Raw Data'!B873</f>
        <v>37</v>
      </c>
      <c r="C873" s="7" t="str">
        <f aca="false">'Raw Data'!C873</f>
        <v>Female</v>
      </c>
      <c r="D873" s="7" t="str">
        <f aca="false">'Raw Data'!D873</f>
        <v>Never</v>
      </c>
      <c r="E873" s="7" t="str">
        <f aca="false">'Raw Data'!J873</f>
        <v>High</v>
      </c>
      <c r="F873" s="7" t="n">
        <f aca="false">'Raw Data'!K873</f>
        <v>241.6</v>
      </c>
      <c r="G873" s="7" t="str">
        <f aca="false">'Raw Data'!L873</f>
        <v>No</v>
      </c>
      <c r="H873" s="7" t="str">
        <f aca="false">'Raw Data'!M873</f>
        <v>Low</v>
      </c>
      <c r="I873" s="7" t="n">
        <f aca="false">(IF(D873="Current",3,IF(D873="Former",1,0)))+(IF(E873="High",3,IF(E873="Normal",1,0)))+(IF(F873&gt;=240,2,IF(F873&gt;=200,1,0)))+(IF(G873="Yes",2,0))+(IF(H873="High",2,IF(H873="Moderate",1,0)))</f>
        <v>5</v>
      </c>
      <c r="J873" s="7" t="str">
        <f aca="false">IF(I873&gt;=8,"High",IF(I873&gt;=4,"Medium","Low"))</f>
        <v>Medium</v>
      </c>
    </row>
    <row r="874" customFormat="false" ht="15" hidden="false" customHeight="true" outlineLevel="0" collapsed="false">
      <c r="A874" s="7" t="n">
        <f aca="false">'Raw Data'!A874</f>
        <v>1334</v>
      </c>
      <c r="B874" s="7" t="n">
        <f aca="false">'Raw Data'!B874</f>
        <v>34</v>
      </c>
      <c r="C874" s="7" t="str">
        <f aca="false">'Raw Data'!C874</f>
        <v>Male</v>
      </c>
      <c r="D874" s="7" t="str">
        <f aca="false">'Raw Data'!D874</f>
        <v>Never</v>
      </c>
      <c r="E874" s="7" t="str">
        <f aca="false">'Raw Data'!J874</f>
        <v>High</v>
      </c>
      <c r="F874" s="7" t="n">
        <f aca="false">'Raw Data'!K874</f>
        <v>285.8</v>
      </c>
      <c r="G874" s="7" t="str">
        <f aca="false">'Raw Data'!L874</f>
        <v>No</v>
      </c>
      <c r="H874" s="7" t="str">
        <f aca="false">'Raw Data'!M874</f>
        <v>Low</v>
      </c>
      <c r="I874" s="7" t="n">
        <f aca="false">(IF(D874="Current",3,IF(D874="Former",1,0)))+(IF(E874="High",3,IF(E874="Normal",1,0)))+(IF(F874&gt;=240,2,IF(F874&gt;=200,1,0)))+(IF(G874="Yes",2,0))+(IF(H874="High",2,IF(H874="Moderate",1,0)))</f>
        <v>5</v>
      </c>
      <c r="J874" s="7" t="str">
        <f aca="false">IF(I874&gt;=8,"High",IF(I874&gt;=4,"Medium","Low"))</f>
        <v>Medium</v>
      </c>
    </row>
    <row r="875" customFormat="false" ht="15" hidden="false" customHeight="true" outlineLevel="0" collapsed="false">
      <c r="A875" s="7" t="n">
        <f aca="false">'Raw Data'!A875</f>
        <v>1372</v>
      </c>
      <c r="B875" s="7" t="n">
        <f aca="false">'Raw Data'!B875</f>
        <v>28</v>
      </c>
      <c r="C875" s="7" t="str">
        <f aca="false">'Raw Data'!C875</f>
        <v>Male</v>
      </c>
      <c r="D875" s="7" t="str">
        <f aca="false">'Raw Data'!D875</f>
        <v>Never</v>
      </c>
      <c r="E875" s="7" t="str">
        <f aca="false">'Raw Data'!J875</f>
        <v>High</v>
      </c>
      <c r="F875" s="7" t="n">
        <f aca="false">'Raw Data'!K875</f>
        <v>263.4</v>
      </c>
      <c r="G875" s="7" t="str">
        <f aca="false">'Raw Data'!L875</f>
        <v>No</v>
      </c>
      <c r="H875" s="7" t="str">
        <f aca="false">'Raw Data'!M875</f>
        <v>Low</v>
      </c>
      <c r="I875" s="7" t="n">
        <f aca="false">(IF(D875="Current",3,IF(D875="Former",1,0)))+(IF(E875="High",3,IF(E875="Normal",1,0)))+(IF(F875&gt;=240,2,IF(F875&gt;=200,1,0)))+(IF(G875="Yes",2,0))+(IF(H875="High",2,IF(H875="Moderate",1,0)))</f>
        <v>5</v>
      </c>
      <c r="J875" s="7" t="str">
        <f aca="false">IF(I875&gt;=8,"High",IF(I875&gt;=4,"Medium","Low"))</f>
        <v>Medium</v>
      </c>
    </row>
    <row r="876" customFormat="false" ht="15" hidden="false" customHeight="true" outlineLevel="0" collapsed="false">
      <c r="A876" s="7" t="n">
        <f aca="false">'Raw Data'!A876</f>
        <v>1379</v>
      </c>
      <c r="B876" s="7" t="n">
        <f aca="false">'Raw Data'!B876</f>
        <v>34</v>
      </c>
      <c r="C876" s="7" t="str">
        <f aca="false">'Raw Data'!C876</f>
        <v>Female</v>
      </c>
      <c r="D876" s="7" t="str">
        <f aca="false">'Raw Data'!D876</f>
        <v>Never</v>
      </c>
      <c r="E876" s="7" t="str">
        <f aca="false">'Raw Data'!J876</f>
        <v>High</v>
      </c>
      <c r="F876" s="7" t="n">
        <f aca="false">'Raw Data'!K876</f>
        <v>122.5</v>
      </c>
      <c r="G876" s="7" t="str">
        <f aca="false">'Raw Data'!L876</f>
        <v>No</v>
      </c>
      <c r="H876" s="7" t="str">
        <f aca="false">'Raw Data'!M876</f>
        <v>Low</v>
      </c>
      <c r="I876" s="7" t="n">
        <f aca="false">(IF(D876="Current",3,IF(D876="Former",1,0)))+(IF(E876="High",3,IF(E876="Normal",1,0)))+(IF(F876&gt;=240,2,IF(F876&gt;=200,1,0)))+(IF(G876="Yes",2,0))+(IF(H876="High",2,IF(H876="Moderate",1,0)))</f>
        <v>3</v>
      </c>
      <c r="J876" s="7" t="str">
        <f aca="false">IF(I876&gt;=8,"High",IF(I876&gt;=4,"Medium","Low"))</f>
        <v>Low</v>
      </c>
    </row>
    <row r="877" customFormat="false" ht="15" hidden="false" customHeight="true" outlineLevel="0" collapsed="false">
      <c r="A877" s="7" t="n">
        <f aca="false">'Raw Data'!A877</f>
        <v>1395</v>
      </c>
      <c r="B877" s="7" t="n">
        <f aca="false">'Raw Data'!B877</f>
        <v>57</v>
      </c>
      <c r="C877" s="7" t="str">
        <f aca="false">'Raw Data'!C877</f>
        <v>Male</v>
      </c>
      <c r="D877" s="7" t="str">
        <f aca="false">'Raw Data'!D877</f>
        <v>Never</v>
      </c>
      <c r="E877" s="7" t="str">
        <f aca="false">'Raw Data'!J877</f>
        <v>High</v>
      </c>
      <c r="F877" s="7" t="n">
        <f aca="false">'Raw Data'!K877</f>
        <v>163.8</v>
      </c>
      <c r="G877" s="7" t="str">
        <f aca="false">'Raw Data'!L877</f>
        <v>No</v>
      </c>
      <c r="H877" s="7" t="str">
        <f aca="false">'Raw Data'!M877</f>
        <v>Low</v>
      </c>
      <c r="I877" s="7" t="n">
        <f aca="false">(IF(D877="Current",3,IF(D877="Former",1,0)))+(IF(E877="High",3,IF(E877="Normal",1,0)))+(IF(F877&gt;=240,2,IF(F877&gt;=200,1,0)))+(IF(G877="Yes",2,0))+(IF(H877="High",2,IF(H877="Moderate",1,0)))</f>
        <v>3</v>
      </c>
      <c r="J877" s="7" t="str">
        <f aca="false">IF(I877&gt;=8,"High",IF(I877&gt;=4,"Medium","Low"))</f>
        <v>Low</v>
      </c>
    </row>
    <row r="878" customFormat="false" ht="15" hidden="false" customHeight="true" outlineLevel="0" collapsed="false">
      <c r="A878" s="7" t="n">
        <f aca="false">'Raw Data'!A878</f>
        <v>1411</v>
      </c>
      <c r="B878" s="7" t="n">
        <f aca="false">'Raw Data'!B878</f>
        <v>57</v>
      </c>
      <c r="C878" s="7" t="str">
        <f aca="false">'Raw Data'!C878</f>
        <v>Female</v>
      </c>
      <c r="D878" s="7" t="str">
        <f aca="false">'Raw Data'!D878</f>
        <v>Never</v>
      </c>
      <c r="E878" s="7" t="str">
        <f aca="false">'Raw Data'!J878</f>
        <v>High</v>
      </c>
      <c r="F878" s="7" t="n">
        <f aca="false">'Raw Data'!K878</f>
        <v>198.3</v>
      </c>
      <c r="G878" s="7" t="str">
        <f aca="false">'Raw Data'!L878</f>
        <v>No</v>
      </c>
      <c r="H878" s="7" t="str">
        <f aca="false">'Raw Data'!M878</f>
        <v>Low</v>
      </c>
      <c r="I878" s="7" t="n">
        <f aca="false">(IF(D878="Current",3,IF(D878="Former",1,0)))+(IF(E878="High",3,IF(E878="Normal",1,0)))+(IF(F878&gt;=240,2,IF(F878&gt;=200,1,0)))+(IF(G878="Yes",2,0))+(IF(H878="High",2,IF(H878="Moderate",1,0)))</f>
        <v>3</v>
      </c>
      <c r="J878" s="7" t="str">
        <f aca="false">IF(I878&gt;=8,"High",IF(I878&gt;=4,"Medium","Low"))</f>
        <v>Low</v>
      </c>
    </row>
    <row r="879" customFormat="false" ht="15" hidden="false" customHeight="true" outlineLevel="0" collapsed="false">
      <c r="A879" s="7" t="n">
        <f aca="false">'Raw Data'!A879</f>
        <v>1418</v>
      </c>
      <c r="B879" s="7" t="n">
        <f aca="false">'Raw Data'!B879</f>
        <v>27</v>
      </c>
      <c r="C879" s="7" t="str">
        <f aca="false">'Raw Data'!C879</f>
        <v>Male</v>
      </c>
      <c r="D879" s="7" t="str">
        <f aca="false">'Raw Data'!D879</f>
        <v>Never</v>
      </c>
      <c r="E879" s="7" t="str">
        <f aca="false">'Raw Data'!J879</f>
        <v>High</v>
      </c>
      <c r="F879" s="7" t="n">
        <f aca="false">'Raw Data'!K879</f>
        <v>260</v>
      </c>
      <c r="G879" s="7" t="str">
        <f aca="false">'Raw Data'!L879</f>
        <v>No</v>
      </c>
      <c r="H879" s="7" t="str">
        <f aca="false">'Raw Data'!M879</f>
        <v>Low</v>
      </c>
      <c r="I879" s="7" t="n">
        <f aca="false">(IF(D879="Current",3,IF(D879="Former",1,0)))+(IF(E879="High",3,IF(E879="Normal",1,0)))+(IF(F879&gt;=240,2,IF(F879&gt;=200,1,0)))+(IF(G879="Yes",2,0))+(IF(H879="High",2,IF(H879="Moderate",1,0)))</f>
        <v>5</v>
      </c>
      <c r="J879" s="7" t="str">
        <f aca="false">IF(I879&gt;=8,"High",IF(I879&gt;=4,"Medium","Low"))</f>
        <v>Medium</v>
      </c>
    </row>
    <row r="880" customFormat="false" ht="15" hidden="false" customHeight="true" outlineLevel="0" collapsed="false">
      <c r="A880" s="7" t="n">
        <f aca="false">'Raw Data'!A880</f>
        <v>1452</v>
      </c>
      <c r="B880" s="7" t="n">
        <f aca="false">'Raw Data'!B880</f>
        <v>18</v>
      </c>
      <c r="C880" s="7" t="str">
        <f aca="false">'Raw Data'!C880</f>
        <v>Male</v>
      </c>
      <c r="D880" s="7" t="str">
        <f aca="false">'Raw Data'!D880</f>
        <v>Never</v>
      </c>
      <c r="E880" s="7" t="str">
        <f aca="false">'Raw Data'!J880</f>
        <v>High</v>
      </c>
      <c r="F880" s="7" t="n">
        <f aca="false">'Raw Data'!K880</f>
        <v>124.7</v>
      </c>
      <c r="G880" s="7" t="str">
        <f aca="false">'Raw Data'!L880</f>
        <v>No</v>
      </c>
      <c r="H880" s="7" t="str">
        <f aca="false">'Raw Data'!M880</f>
        <v>Low</v>
      </c>
      <c r="I880" s="7" t="n">
        <f aca="false">(IF(D880="Current",3,IF(D880="Former",1,0)))+(IF(E880="High",3,IF(E880="Normal",1,0)))+(IF(F880&gt;=240,2,IF(F880&gt;=200,1,0)))+(IF(G880="Yes",2,0))+(IF(H880="High",2,IF(H880="Moderate",1,0)))</f>
        <v>3</v>
      </c>
      <c r="J880" s="7" t="str">
        <f aca="false">IF(I880&gt;=8,"High",IF(I880&gt;=4,"Medium","Low"))</f>
        <v>Low</v>
      </c>
    </row>
    <row r="881" customFormat="false" ht="15" hidden="false" customHeight="true" outlineLevel="0" collapsed="false">
      <c r="A881" s="7" t="n">
        <f aca="false">'Raw Data'!A881</f>
        <v>1484</v>
      </c>
      <c r="B881" s="7" t="n">
        <f aca="false">'Raw Data'!B881</f>
        <v>43</v>
      </c>
      <c r="C881" s="7" t="str">
        <f aca="false">'Raw Data'!C881</f>
        <v>Female</v>
      </c>
      <c r="D881" s="7" t="str">
        <f aca="false">'Raw Data'!D881</f>
        <v>Never</v>
      </c>
      <c r="E881" s="7" t="str">
        <f aca="false">'Raw Data'!J881</f>
        <v>High</v>
      </c>
      <c r="F881" s="7" t="n">
        <f aca="false">'Raw Data'!K881</f>
        <v>201.1</v>
      </c>
      <c r="G881" s="7" t="str">
        <f aca="false">'Raw Data'!L881</f>
        <v>No</v>
      </c>
      <c r="H881" s="7" t="str">
        <f aca="false">'Raw Data'!M881</f>
        <v>Low</v>
      </c>
      <c r="I881" s="7" t="n">
        <f aca="false">(IF(D881="Current",3,IF(D881="Former",1,0)))+(IF(E881="High",3,IF(E881="Normal",1,0)))+(IF(F881&gt;=240,2,IF(F881&gt;=200,1,0)))+(IF(G881="Yes",2,0))+(IF(H881="High",2,IF(H881="Moderate",1,0)))</f>
        <v>4</v>
      </c>
      <c r="J881" s="7" t="str">
        <f aca="false">IF(I881&gt;=8,"High",IF(I881&gt;=4,"Medium","Low"))</f>
        <v>Medium</v>
      </c>
    </row>
    <row r="882" customFormat="false" ht="15" hidden="false" customHeight="true" outlineLevel="0" collapsed="false">
      <c r="A882" s="7" t="n">
        <f aca="false">'Raw Data'!A882</f>
        <v>1523</v>
      </c>
      <c r="B882" s="7" t="n">
        <f aca="false">'Raw Data'!B882</f>
        <v>43</v>
      </c>
      <c r="C882" s="7" t="str">
        <f aca="false">'Raw Data'!C882</f>
        <v>Female</v>
      </c>
      <c r="D882" s="7" t="str">
        <f aca="false">'Raw Data'!D882</f>
        <v>Never</v>
      </c>
      <c r="E882" s="7" t="str">
        <f aca="false">'Raw Data'!J882</f>
        <v>High</v>
      </c>
      <c r="F882" s="7" t="n">
        <f aca="false">'Raw Data'!K882</f>
        <v>203.7</v>
      </c>
      <c r="G882" s="7" t="str">
        <f aca="false">'Raw Data'!L882</f>
        <v>No</v>
      </c>
      <c r="H882" s="7" t="str">
        <f aca="false">'Raw Data'!M882</f>
        <v>Low</v>
      </c>
      <c r="I882" s="7" t="n">
        <f aca="false">(IF(D882="Current",3,IF(D882="Former",1,0)))+(IF(E882="High",3,IF(E882="Normal",1,0)))+(IF(F882&gt;=240,2,IF(F882&gt;=200,1,0)))+(IF(G882="Yes",2,0))+(IF(H882="High",2,IF(H882="Moderate",1,0)))</f>
        <v>4</v>
      </c>
      <c r="J882" s="7" t="str">
        <f aca="false">IF(I882&gt;=8,"High",IF(I882&gt;=4,"Medium","Low"))</f>
        <v>Medium</v>
      </c>
    </row>
    <row r="883" customFormat="false" ht="15" hidden="false" customHeight="true" outlineLevel="0" collapsed="false">
      <c r="A883" s="7" t="n">
        <f aca="false">'Raw Data'!A883</f>
        <v>1530</v>
      </c>
      <c r="B883" s="7" t="n">
        <f aca="false">'Raw Data'!B883</f>
        <v>82</v>
      </c>
      <c r="C883" s="7" t="str">
        <f aca="false">'Raw Data'!C883</f>
        <v>Male</v>
      </c>
      <c r="D883" s="7" t="str">
        <f aca="false">'Raw Data'!D883</f>
        <v>Never</v>
      </c>
      <c r="E883" s="7" t="str">
        <f aca="false">'Raw Data'!J883</f>
        <v>High</v>
      </c>
      <c r="F883" s="7" t="n">
        <f aca="false">'Raw Data'!K883</f>
        <v>159.3</v>
      </c>
      <c r="G883" s="7" t="str">
        <f aca="false">'Raw Data'!L883</f>
        <v>No</v>
      </c>
      <c r="H883" s="7" t="str">
        <f aca="false">'Raw Data'!M883</f>
        <v>Low</v>
      </c>
      <c r="I883" s="7" t="n">
        <f aca="false">(IF(D883="Current",3,IF(D883="Former",1,0)))+(IF(E883="High",3,IF(E883="Normal",1,0)))+(IF(F883&gt;=240,2,IF(F883&gt;=200,1,0)))+(IF(G883="Yes",2,0))+(IF(H883="High",2,IF(H883="Moderate",1,0)))</f>
        <v>3</v>
      </c>
      <c r="J883" s="7" t="str">
        <f aca="false">IF(I883&gt;=8,"High",IF(I883&gt;=4,"Medium","Low"))</f>
        <v>Low</v>
      </c>
    </row>
    <row r="884" customFormat="false" ht="15" hidden="false" customHeight="true" outlineLevel="0" collapsed="false">
      <c r="A884" s="7" t="n">
        <f aca="false">'Raw Data'!A884</f>
        <v>1534</v>
      </c>
      <c r="B884" s="7" t="n">
        <f aca="false">'Raw Data'!B884</f>
        <v>70</v>
      </c>
      <c r="C884" s="7" t="str">
        <f aca="false">'Raw Data'!C884</f>
        <v>Male</v>
      </c>
      <c r="D884" s="7" t="str">
        <f aca="false">'Raw Data'!D884</f>
        <v>Never</v>
      </c>
      <c r="E884" s="7" t="str">
        <f aca="false">'Raw Data'!J884</f>
        <v>High</v>
      </c>
      <c r="F884" s="7" t="n">
        <f aca="false">'Raw Data'!K884</f>
        <v>122.9</v>
      </c>
      <c r="G884" s="7" t="str">
        <f aca="false">'Raw Data'!L884</f>
        <v>No</v>
      </c>
      <c r="H884" s="7" t="str">
        <f aca="false">'Raw Data'!M884</f>
        <v>Low</v>
      </c>
      <c r="I884" s="7" t="n">
        <f aca="false">(IF(D884="Current",3,IF(D884="Former",1,0)))+(IF(E884="High",3,IF(E884="Normal",1,0)))+(IF(F884&gt;=240,2,IF(F884&gt;=200,1,0)))+(IF(G884="Yes",2,0))+(IF(H884="High",2,IF(H884="Moderate",1,0)))</f>
        <v>3</v>
      </c>
      <c r="J884" s="7" t="str">
        <f aca="false">IF(I884&gt;=8,"High",IF(I884&gt;=4,"Medium","Low"))</f>
        <v>Low</v>
      </c>
    </row>
    <row r="885" customFormat="false" ht="15" hidden="false" customHeight="true" outlineLevel="0" collapsed="false">
      <c r="A885" s="7" t="n">
        <f aca="false">'Raw Data'!A885</f>
        <v>1550</v>
      </c>
      <c r="B885" s="7" t="n">
        <f aca="false">'Raw Data'!B885</f>
        <v>25</v>
      </c>
      <c r="C885" s="7" t="str">
        <f aca="false">'Raw Data'!C885</f>
        <v>Female</v>
      </c>
      <c r="D885" s="7" t="str">
        <f aca="false">'Raw Data'!D885</f>
        <v>Never</v>
      </c>
      <c r="E885" s="7" t="str">
        <f aca="false">'Raw Data'!J885</f>
        <v>High</v>
      </c>
      <c r="F885" s="7" t="n">
        <f aca="false">'Raw Data'!K885</f>
        <v>217.3</v>
      </c>
      <c r="G885" s="7" t="str">
        <f aca="false">'Raw Data'!L885</f>
        <v>No</v>
      </c>
      <c r="H885" s="7" t="str">
        <f aca="false">'Raw Data'!M885</f>
        <v>Low</v>
      </c>
      <c r="I885" s="7" t="n">
        <f aca="false">(IF(D885="Current",3,IF(D885="Former",1,0)))+(IF(E885="High",3,IF(E885="Normal",1,0)))+(IF(F885&gt;=240,2,IF(F885&gt;=200,1,0)))+(IF(G885="Yes",2,0))+(IF(H885="High",2,IF(H885="Moderate",1,0)))</f>
        <v>4</v>
      </c>
      <c r="J885" s="7" t="str">
        <f aca="false">IF(I885&gt;=8,"High",IF(I885&gt;=4,"Medium","Low"))</f>
        <v>Medium</v>
      </c>
    </row>
    <row r="886" customFormat="false" ht="15" hidden="false" customHeight="true" outlineLevel="0" collapsed="false">
      <c r="A886" s="7" t="n">
        <f aca="false">'Raw Data'!A886</f>
        <v>1553</v>
      </c>
      <c r="B886" s="7" t="n">
        <f aca="false">'Raw Data'!B886</f>
        <v>25</v>
      </c>
      <c r="C886" s="7" t="str">
        <f aca="false">'Raw Data'!C886</f>
        <v>Female</v>
      </c>
      <c r="D886" s="7" t="str">
        <f aca="false">'Raw Data'!D886</f>
        <v>Never</v>
      </c>
      <c r="E886" s="7" t="str">
        <f aca="false">'Raw Data'!J886</f>
        <v>High</v>
      </c>
      <c r="F886" s="7" t="n">
        <f aca="false">'Raw Data'!K886</f>
        <v>266.9</v>
      </c>
      <c r="G886" s="7" t="str">
        <f aca="false">'Raw Data'!L886</f>
        <v>No</v>
      </c>
      <c r="H886" s="7" t="str">
        <f aca="false">'Raw Data'!M886</f>
        <v>Low</v>
      </c>
      <c r="I886" s="7" t="n">
        <f aca="false">(IF(D886="Current",3,IF(D886="Former",1,0)))+(IF(E886="High",3,IF(E886="Normal",1,0)))+(IF(F886&gt;=240,2,IF(F886&gt;=200,1,0)))+(IF(G886="Yes",2,0))+(IF(H886="High",2,IF(H886="Moderate",1,0)))</f>
        <v>5</v>
      </c>
      <c r="J886" s="7" t="str">
        <f aca="false">IF(I886&gt;=8,"High",IF(I886&gt;=4,"Medium","Low"))</f>
        <v>Medium</v>
      </c>
    </row>
    <row r="887" customFormat="false" ht="15" hidden="false" customHeight="true" outlineLevel="0" collapsed="false">
      <c r="A887" s="7" t="n">
        <f aca="false">'Raw Data'!A887</f>
        <v>1580</v>
      </c>
      <c r="B887" s="7" t="n">
        <f aca="false">'Raw Data'!B887</f>
        <v>45</v>
      </c>
      <c r="C887" s="7" t="str">
        <f aca="false">'Raw Data'!C887</f>
        <v>Male</v>
      </c>
      <c r="D887" s="7" t="str">
        <f aca="false">'Raw Data'!D887</f>
        <v>Never</v>
      </c>
      <c r="E887" s="7" t="str">
        <f aca="false">'Raw Data'!J887</f>
        <v>High</v>
      </c>
      <c r="F887" s="7" t="n">
        <f aca="false">'Raw Data'!K887</f>
        <v>263.8</v>
      </c>
      <c r="G887" s="7" t="str">
        <f aca="false">'Raw Data'!L887</f>
        <v>No</v>
      </c>
      <c r="H887" s="7" t="str">
        <f aca="false">'Raw Data'!M887</f>
        <v>Low</v>
      </c>
      <c r="I887" s="7" t="n">
        <f aca="false">(IF(D887="Current",3,IF(D887="Former",1,0)))+(IF(E887="High",3,IF(E887="Normal",1,0)))+(IF(F887&gt;=240,2,IF(F887&gt;=200,1,0)))+(IF(G887="Yes",2,0))+(IF(H887="High",2,IF(H887="Moderate",1,0)))</f>
        <v>5</v>
      </c>
      <c r="J887" s="7" t="str">
        <f aca="false">IF(I887&gt;=8,"High",IF(I887&gt;=4,"Medium","Low"))</f>
        <v>Medium</v>
      </c>
    </row>
    <row r="888" customFormat="false" ht="15" hidden="false" customHeight="true" outlineLevel="0" collapsed="false">
      <c r="A888" s="7" t="n">
        <f aca="false">'Raw Data'!A888</f>
        <v>1603</v>
      </c>
      <c r="B888" s="7" t="n">
        <f aca="false">'Raw Data'!B888</f>
        <v>42</v>
      </c>
      <c r="C888" s="7" t="str">
        <f aca="false">'Raw Data'!C888</f>
        <v>Male</v>
      </c>
      <c r="D888" s="7" t="str">
        <f aca="false">'Raw Data'!D888</f>
        <v>Never</v>
      </c>
      <c r="E888" s="7" t="str">
        <f aca="false">'Raw Data'!J888</f>
        <v>High</v>
      </c>
      <c r="F888" s="7" t="n">
        <f aca="false">'Raw Data'!K888</f>
        <v>208.1</v>
      </c>
      <c r="G888" s="7" t="str">
        <f aca="false">'Raw Data'!L888</f>
        <v>No</v>
      </c>
      <c r="H888" s="7" t="str">
        <f aca="false">'Raw Data'!M888</f>
        <v>Low</v>
      </c>
      <c r="I888" s="7" t="n">
        <f aca="false">(IF(D888="Current",3,IF(D888="Former",1,0)))+(IF(E888="High",3,IF(E888="Normal",1,0)))+(IF(F888&gt;=240,2,IF(F888&gt;=200,1,0)))+(IF(G888="Yes",2,0))+(IF(H888="High",2,IF(H888="Moderate",1,0)))</f>
        <v>4</v>
      </c>
      <c r="J888" s="7" t="str">
        <f aca="false">IF(I888&gt;=8,"High",IF(I888&gt;=4,"Medium","Low"))</f>
        <v>Medium</v>
      </c>
    </row>
    <row r="889" customFormat="false" ht="15" hidden="false" customHeight="true" outlineLevel="0" collapsed="false">
      <c r="A889" s="7" t="n">
        <f aca="false">'Raw Data'!A889</f>
        <v>1622</v>
      </c>
      <c r="B889" s="7" t="n">
        <f aca="false">'Raw Data'!B889</f>
        <v>89</v>
      </c>
      <c r="C889" s="7" t="str">
        <f aca="false">'Raw Data'!C889</f>
        <v>Female</v>
      </c>
      <c r="D889" s="7" t="str">
        <f aca="false">'Raw Data'!D889</f>
        <v>Never</v>
      </c>
      <c r="E889" s="7" t="str">
        <f aca="false">'Raw Data'!J889</f>
        <v>High</v>
      </c>
      <c r="F889" s="7" t="n">
        <f aca="false">'Raw Data'!K889</f>
        <v>172.1</v>
      </c>
      <c r="G889" s="7" t="str">
        <f aca="false">'Raw Data'!L889</f>
        <v>No</v>
      </c>
      <c r="H889" s="7" t="str">
        <f aca="false">'Raw Data'!M889</f>
        <v>Low</v>
      </c>
      <c r="I889" s="7" t="n">
        <f aca="false">(IF(D889="Current",3,IF(D889="Former",1,0)))+(IF(E889="High",3,IF(E889="Normal",1,0)))+(IF(F889&gt;=240,2,IF(F889&gt;=200,1,0)))+(IF(G889="Yes",2,0))+(IF(H889="High",2,IF(H889="Moderate",1,0)))</f>
        <v>3</v>
      </c>
      <c r="J889" s="7" t="str">
        <f aca="false">IF(I889&gt;=8,"High",IF(I889&gt;=4,"Medium","Low"))</f>
        <v>Low</v>
      </c>
    </row>
    <row r="890" customFormat="false" ht="15" hidden="false" customHeight="true" outlineLevel="0" collapsed="false">
      <c r="A890" s="7" t="n">
        <f aca="false">'Raw Data'!A890</f>
        <v>1624</v>
      </c>
      <c r="B890" s="7" t="n">
        <f aca="false">'Raw Data'!B890</f>
        <v>41</v>
      </c>
      <c r="C890" s="7" t="str">
        <f aca="false">'Raw Data'!C890</f>
        <v>Female</v>
      </c>
      <c r="D890" s="7" t="str">
        <f aca="false">'Raw Data'!D890</f>
        <v>Never</v>
      </c>
      <c r="E890" s="7" t="str">
        <f aca="false">'Raw Data'!J890</f>
        <v>High</v>
      </c>
      <c r="F890" s="7" t="n">
        <f aca="false">'Raw Data'!K890</f>
        <v>135</v>
      </c>
      <c r="G890" s="7" t="str">
        <f aca="false">'Raw Data'!L890</f>
        <v>No</v>
      </c>
      <c r="H890" s="7" t="str">
        <f aca="false">'Raw Data'!M890</f>
        <v>Low</v>
      </c>
      <c r="I890" s="7" t="n">
        <f aca="false">(IF(D890="Current",3,IF(D890="Former",1,0)))+(IF(E890="High",3,IF(E890="Normal",1,0)))+(IF(F890&gt;=240,2,IF(F890&gt;=200,1,0)))+(IF(G890="Yes",2,0))+(IF(H890="High",2,IF(H890="Moderate",1,0)))</f>
        <v>3</v>
      </c>
      <c r="J890" s="7" t="str">
        <f aca="false">IF(I890&gt;=8,"High",IF(I890&gt;=4,"Medium","Low"))</f>
        <v>Low</v>
      </c>
    </row>
    <row r="891" customFormat="false" ht="15" hidden="false" customHeight="true" outlineLevel="0" collapsed="false">
      <c r="A891" s="7" t="n">
        <f aca="false">'Raw Data'!A891</f>
        <v>1697</v>
      </c>
      <c r="B891" s="7" t="n">
        <f aca="false">'Raw Data'!B891</f>
        <v>78</v>
      </c>
      <c r="C891" s="7" t="str">
        <f aca="false">'Raw Data'!C891</f>
        <v>Male</v>
      </c>
      <c r="D891" s="7" t="str">
        <f aca="false">'Raw Data'!D891</f>
        <v>Never</v>
      </c>
      <c r="E891" s="7" t="str">
        <f aca="false">'Raw Data'!J891</f>
        <v>High</v>
      </c>
      <c r="F891" s="7" t="n">
        <f aca="false">'Raw Data'!K891</f>
        <v>296.1</v>
      </c>
      <c r="G891" s="7" t="str">
        <f aca="false">'Raw Data'!L891</f>
        <v>No</v>
      </c>
      <c r="H891" s="7" t="str">
        <f aca="false">'Raw Data'!M891</f>
        <v>Low</v>
      </c>
      <c r="I891" s="7" t="n">
        <f aca="false">(IF(D891="Current",3,IF(D891="Former",1,0)))+(IF(E891="High",3,IF(E891="Normal",1,0)))+(IF(F891&gt;=240,2,IF(F891&gt;=200,1,0)))+(IF(G891="Yes",2,0))+(IF(H891="High",2,IF(H891="Moderate",1,0)))</f>
        <v>5</v>
      </c>
      <c r="J891" s="7" t="str">
        <f aca="false">IF(I891&gt;=8,"High",IF(I891&gt;=4,"Medium","Low"))</f>
        <v>Medium</v>
      </c>
    </row>
    <row r="892" customFormat="false" ht="15" hidden="false" customHeight="true" outlineLevel="0" collapsed="false">
      <c r="A892" s="7" t="n">
        <f aca="false">'Raw Data'!A892</f>
        <v>1733</v>
      </c>
      <c r="B892" s="7" t="n">
        <f aca="false">'Raw Data'!B892</f>
        <v>61</v>
      </c>
      <c r="C892" s="7" t="str">
        <f aca="false">'Raw Data'!C892</f>
        <v>Female</v>
      </c>
      <c r="D892" s="7" t="str">
        <f aca="false">'Raw Data'!D892</f>
        <v>Never</v>
      </c>
      <c r="E892" s="7" t="str">
        <f aca="false">'Raw Data'!J892</f>
        <v>High</v>
      </c>
      <c r="F892" s="7" t="n">
        <f aca="false">'Raw Data'!K892</f>
        <v>183.5</v>
      </c>
      <c r="G892" s="7" t="str">
        <f aca="false">'Raw Data'!L892</f>
        <v>No</v>
      </c>
      <c r="H892" s="7" t="str">
        <f aca="false">'Raw Data'!M892</f>
        <v>Low</v>
      </c>
      <c r="I892" s="7" t="n">
        <f aca="false">(IF(D892="Current",3,IF(D892="Former",1,0)))+(IF(E892="High",3,IF(E892="Normal",1,0)))+(IF(F892&gt;=240,2,IF(F892&gt;=200,1,0)))+(IF(G892="Yes",2,0))+(IF(H892="High",2,IF(H892="Moderate",1,0)))</f>
        <v>3</v>
      </c>
      <c r="J892" s="7" t="str">
        <f aca="false">IF(I892&gt;=8,"High",IF(I892&gt;=4,"Medium","Low"))</f>
        <v>Low</v>
      </c>
    </row>
    <row r="893" customFormat="false" ht="15" hidden="false" customHeight="true" outlineLevel="0" collapsed="false">
      <c r="A893" s="7" t="n">
        <f aca="false">'Raw Data'!A893</f>
        <v>1772</v>
      </c>
      <c r="B893" s="7" t="n">
        <f aca="false">'Raw Data'!B893</f>
        <v>46</v>
      </c>
      <c r="C893" s="7" t="str">
        <f aca="false">'Raw Data'!C893</f>
        <v>Female</v>
      </c>
      <c r="D893" s="7" t="str">
        <f aca="false">'Raw Data'!D893</f>
        <v>Never</v>
      </c>
      <c r="E893" s="7" t="str">
        <f aca="false">'Raw Data'!J893</f>
        <v>High</v>
      </c>
      <c r="F893" s="7" t="n">
        <f aca="false">'Raw Data'!K893</f>
        <v>237.9</v>
      </c>
      <c r="G893" s="7" t="str">
        <f aca="false">'Raw Data'!L893</f>
        <v>No</v>
      </c>
      <c r="H893" s="7" t="str">
        <f aca="false">'Raw Data'!M893</f>
        <v>Low</v>
      </c>
      <c r="I893" s="7" t="n">
        <f aca="false">(IF(D893="Current",3,IF(D893="Former",1,0)))+(IF(E893="High",3,IF(E893="Normal",1,0)))+(IF(F893&gt;=240,2,IF(F893&gt;=200,1,0)))+(IF(G893="Yes",2,0))+(IF(H893="High",2,IF(H893="Moderate",1,0)))</f>
        <v>4</v>
      </c>
      <c r="J893" s="7" t="str">
        <f aca="false">IF(I893&gt;=8,"High",IF(I893&gt;=4,"Medium","Low"))</f>
        <v>Medium</v>
      </c>
    </row>
    <row r="894" customFormat="false" ht="15" hidden="false" customHeight="true" outlineLevel="0" collapsed="false">
      <c r="A894" s="7" t="n">
        <f aca="false">'Raw Data'!A894</f>
        <v>1779</v>
      </c>
      <c r="B894" s="7" t="n">
        <f aca="false">'Raw Data'!B894</f>
        <v>62</v>
      </c>
      <c r="C894" s="7" t="str">
        <f aca="false">'Raw Data'!C894</f>
        <v>Male</v>
      </c>
      <c r="D894" s="7" t="str">
        <f aca="false">'Raw Data'!D894</f>
        <v>Never</v>
      </c>
      <c r="E894" s="7" t="str">
        <f aca="false">'Raw Data'!J894</f>
        <v>High</v>
      </c>
      <c r="F894" s="7" t="n">
        <f aca="false">'Raw Data'!K894</f>
        <v>182.9</v>
      </c>
      <c r="G894" s="7" t="str">
        <f aca="false">'Raw Data'!L894</f>
        <v>No</v>
      </c>
      <c r="H894" s="7" t="str">
        <f aca="false">'Raw Data'!M894</f>
        <v>Low</v>
      </c>
      <c r="I894" s="7" t="n">
        <f aca="false">(IF(D894="Current",3,IF(D894="Former",1,0)))+(IF(E894="High",3,IF(E894="Normal",1,0)))+(IF(F894&gt;=240,2,IF(F894&gt;=200,1,0)))+(IF(G894="Yes",2,0))+(IF(H894="High",2,IF(H894="Moderate",1,0)))</f>
        <v>3</v>
      </c>
      <c r="J894" s="7" t="str">
        <f aca="false">IF(I894&gt;=8,"High",IF(I894&gt;=4,"Medium","Low"))</f>
        <v>Low</v>
      </c>
    </row>
    <row r="895" customFormat="false" ht="15" hidden="false" customHeight="true" outlineLevel="0" collapsed="false">
      <c r="A895" s="7" t="n">
        <f aca="false">'Raw Data'!A895</f>
        <v>1782</v>
      </c>
      <c r="B895" s="7" t="n">
        <f aca="false">'Raw Data'!B895</f>
        <v>64</v>
      </c>
      <c r="C895" s="7" t="str">
        <f aca="false">'Raw Data'!C895</f>
        <v>Male</v>
      </c>
      <c r="D895" s="7" t="str">
        <f aca="false">'Raw Data'!D895</f>
        <v>Never</v>
      </c>
      <c r="E895" s="7" t="str">
        <f aca="false">'Raw Data'!J895</f>
        <v>High</v>
      </c>
      <c r="F895" s="7" t="n">
        <f aca="false">'Raw Data'!K895</f>
        <v>155.6</v>
      </c>
      <c r="G895" s="7" t="str">
        <f aca="false">'Raw Data'!L895</f>
        <v>No</v>
      </c>
      <c r="H895" s="7" t="str">
        <f aca="false">'Raw Data'!M895</f>
        <v>Low</v>
      </c>
      <c r="I895" s="7" t="n">
        <f aca="false">(IF(D895="Current",3,IF(D895="Former",1,0)))+(IF(E895="High",3,IF(E895="Normal",1,0)))+(IF(F895&gt;=240,2,IF(F895&gt;=200,1,0)))+(IF(G895="Yes",2,0))+(IF(H895="High",2,IF(H895="Moderate",1,0)))</f>
        <v>3</v>
      </c>
      <c r="J895" s="7" t="str">
        <f aca="false">IF(I895&gt;=8,"High",IF(I895&gt;=4,"Medium","Low"))</f>
        <v>Low</v>
      </c>
    </row>
    <row r="896" customFormat="false" ht="15" hidden="false" customHeight="true" outlineLevel="0" collapsed="false">
      <c r="A896" s="7" t="n">
        <f aca="false">'Raw Data'!A896</f>
        <v>1783</v>
      </c>
      <c r="B896" s="7" t="n">
        <f aca="false">'Raw Data'!B896</f>
        <v>84</v>
      </c>
      <c r="C896" s="7" t="str">
        <f aca="false">'Raw Data'!C896</f>
        <v>Female</v>
      </c>
      <c r="D896" s="7" t="str">
        <f aca="false">'Raw Data'!D896</f>
        <v>Never</v>
      </c>
      <c r="E896" s="7" t="str">
        <f aca="false">'Raw Data'!J896</f>
        <v>High</v>
      </c>
      <c r="F896" s="7" t="n">
        <f aca="false">'Raw Data'!K896</f>
        <v>294.9</v>
      </c>
      <c r="G896" s="7" t="str">
        <f aca="false">'Raw Data'!L896</f>
        <v>No</v>
      </c>
      <c r="H896" s="7" t="str">
        <f aca="false">'Raw Data'!M896</f>
        <v>Low</v>
      </c>
      <c r="I896" s="7" t="n">
        <f aca="false">(IF(D896="Current",3,IF(D896="Former",1,0)))+(IF(E896="High",3,IF(E896="Normal",1,0)))+(IF(F896&gt;=240,2,IF(F896&gt;=200,1,0)))+(IF(G896="Yes",2,0))+(IF(H896="High",2,IF(H896="Moderate",1,0)))</f>
        <v>5</v>
      </c>
      <c r="J896" s="7" t="str">
        <f aca="false">IF(I896&gt;=8,"High",IF(I896&gt;=4,"Medium","Low"))</f>
        <v>Medium</v>
      </c>
    </row>
    <row r="897" customFormat="false" ht="15" hidden="false" customHeight="true" outlineLevel="0" collapsed="false">
      <c r="A897" s="7" t="n">
        <f aca="false">'Raw Data'!A897</f>
        <v>1791</v>
      </c>
      <c r="B897" s="7" t="n">
        <f aca="false">'Raw Data'!B897</f>
        <v>37</v>
      </c>
      <c r="C897" s="7" t="str">
        <f aca="false">'Raw Data'!C897</f>
        <v>Male</v>
      </c>
      <c r="D897" s="7" t="str">
        <f aca="false">'Raw Data'!D897</f>
        <v>Never</v>
      </c>
      <c r="E897" s="7" t="str">
        <f aca="false">'Raw Data'!J897</f>
        <v>High</v>
      </c>
      <c r="F897" s="7" t="n">
        <f aca="false">'Raw Data'!K897</f>
        <v>206.7</v>
      </c>
      <c r="G897" s="7" t="str">
        <f aca="false">'Raw Data'!L897</f>
        <v>No</v>
      </c>
      <c r="H897" s="7" t="str">
        <f aca="false">'Raw Data'!M897</f>
        <v>Low</v>
      </c>
      <c r="I897" s="7" t="n">
        <f aca="false">(IF(D897="Current",3,IF(D897="Former",1,0)))+(IF(E897="High",3,IF(E897="Normal",1,0)))+(IF(F897&gt;=240,2,IF(F897&gt;=200,1,0)))+(IF(G897="Yes",2,0))+(IF(H897="High",2,IF(H897="Moderate",1,0)))</f>
        <v>4</v>
      </c>
      <c r="J897" s="7" t="str">
        <f aca="false">IF(I897&gt;=8,"High",IF(I897&gt;=4,"Medium","Low"))</f>
        <v>Medium</v>
      </c>
    </row>
    <row r="898" customFormat="false" ht="15" hidden="false" customHeight="true" outlineLevel="0" collapsed="false">
      <c r="A898" s="7" t="n">
        <f aca="false">'Raw Data'!A898</f>
        <v>1869</v>
      </c>
      <c r="B898" s="7" t="n">
        <f aca="false">'Raw Data'!B898</f>
        <v>42</v>
      </c>
      <c r="C898" s="7" t="str">
        <f aca="false">'Raw Data'!C898</f>
        <v>Male</v>
      </c>
      <c r="D898" s="7" t="str">
        <f aca="false">'Raw Data'!D898</f>
        <v>Never</v>
      </c>
      <c r="E898" s="7" t="str">
        <f aca="false">'Raw Data'!J898</f>
        <v>High</v>
      </c>
      <c r="F898" s="7" t="n">
        <f aca="false">'Raw Data'!K898</f>
        <v>295.5</v>
      </c>
      <c r="G898" s="7" t="str">
        <f aca="false">'Raw Data'!L898</f>
        <v>No</v>
      </c>
      <c r="H898" s="7" t="str">
        <f aca="false">'Raw Data'!M898</f>
        <v>Low</v>
      </c>
      <c r="I898" s="7" t="n">
        <f aca="false">(IF(D898="Current",3,IF(D898="Former",1,0)))+(IF(E898="High",3,IF(E898="Normal",1,0)))+(IF(F898&gt;=240,2,IF(F898&gt;=200,1,0)))+(IF(G898="Yes",2,0))+(IF(H898="High",2,IF(H898="Moderate",1,0)))</f>
        <v>5</v>
      </c>
      <c r="J898" s="7" t="str">
        <f aca="false">IF(I898&gt;=8,"High",IF(I898&gt;=4,"Medium","Low"))</f>
        <v>Medium</v>
      </c>
    </row>
    <row r="899" customFormat="false" ht="15" hidden="false" customHeight="true" outlineLevel="0" collapsed="false">
      <c r="A899" s="7" t="n">
        <f aca="false">'Raw Data'!A899</f>
        <v>1939</v>
      </c>
      <c r="B899" s="7" t="n">
        <f aca="false">'Raw Data'!B899</f>
        <v>55</v>
      </c>
      <c r="C899" s="7" t="str">
        <f aca="false">'Raw Data'!C899</f>
        <v>Female</v>
      </c>
      <c r="D899" s="7" t="str">
        <f aca="false">'Raw Data'!D899</f>
        <v>Never</v>
      </c>
      <c r="E899" s="7" t="str">
        <f aca="false">'Raw Data'!J899</f>
        <v>High</v>
      </c>
      <c r="F899" s="7" t="n">
        <f aca="false">'Raw Data'!K899</f>
        <v>246.5</v>
      </c>
      <c r="G899" s="7" t="str">
        <f aca="false">'Raw Data'!L899</f>
        <v>No</v>
      </c>
      <c r="H899" s="7" t="str">
        <f aca="false">'Raw Data'!M899</f>
        <v>Low</v>
      </c>
      <c r="I899" s="7" t="n">
        <f aca="false">(IF(D899="Current",3,IF(D899="Former",1,0)))+(IF(E899="High",3,IF(E899="Normal",1,0)))+(IF(F899&gt;=240,2,IF(F899&gt;=200,1,0)))+(IF(G899="Yes",2,0))+(IF(H899="High",2,IF(H899="Moderate",1,0)))</f>
        <v>5</v>
      </c>
      <c r="J899" s="7" t="str">
        <f aca="false">IF(I899&gt;=8,"High",IF(I899&gt;=4,"Medium","Low"))</f>
        <v>Medium</v>
      </c>
    </row>
    <row r="900" customFormat="false" ht="15" hidden="false" customHeight="true" outlineLevel="0" collapsed="false">
      <c r="A900" s="7" t="n">
        <f aca="false">'Raw Data'!A900</f>
        <v>1956</v>
      </c>
      <c r="B900" s="7" t="n">
        <f aca="false">'Raw Data'!B900</f>
        <v>56</v>
      </c>
      <c r="C900" s="7" t="str">
        <f aca="false">'Raw Data'!C900</f>
        <v>Female</v>
      </c>
      <c r="D900" s="7" t="str">
        <f aca="false">'Raw Data'!D900</f>
        <v>Never</v>
      </c>
      <c r="E900" s="7" t="str">
        <f aca="false">'Raw Data'!J900</f>
        <v>High</v>
      </c>
      <c r="F900" s="7" t="n">
        <f aca="false">'Raw Data'!K900</f>
        <v>200</v>
      </c>
      <c r="G900" s="7" t="str">
        <f aca="false">'Raw Data'!L900</f>
        <v>No</v>
      </c>
      <c r="H900" s="7" t="str">
        <f aca="false">'Raw Data'!M900</f>
        <v>Low</v>
      </c>
      <c r="I900" s="7" t="n">
        <f aca="false">(IF(D900="Current",3,IF(D900="Former",1,0)))+(IF(E900="High",3,IF(E900="Normal",1,0)))+(IF(F900&gt;=240,2,IF(F900&gt;=200,1,0)))+(IF(G900="Yes",2,0))+(IF(H900="High",2,IF(H900="Moderate",1,0)))</f>
        <v>4</v>
      </c>
      <c r="J900" s="7" t="str">
        <f aca="false">IF(I900&gt;=8,"High",IF(I900&gt;=4,"Medium","Low"))</f>
        <v>Medium</v>
      </c>
    </row>
    <row r="901" customFormat="false" ht="15" hidden="false" customHeight="true" outlineLevel="0" collapsed="false">
      <c r="A901" s="7" t="n">
        <f aca="false">'Raw Data'!A901</f>
        <v>1995</v>
      </c>
      <c r="B901" s="7" t="n">
        <f aca="false">'Raw Data'!B901</f>
        <v>85</v>
      </c>
      <c r="C901" s="7" t="str">
        <f aca="false">'Raw Data'!C901</f>
        <v>Female</v>
      </c>
      <c r="D901" s="7" t="str">
        <f aca="false">'Raw Data'!D901</f>
        <v>Never</v>
      </c>
      <c r="E901" s="7" t="str">
        <f aca="false">'Raw Data'!J901</f>
        <v>High</v>
      </c>
      <c r="F901" s="7" t="n">
        <f aca="false">'Raw Data'!K901</f>
        <v>228.7</v>
      </c>
      <c r="G901" s="7" t="str">
        <f aca="false">'Raw Data'!L901</f>
        <v>No</v>
      </c>
      <c r="H901" s="7" t="str">
        <f aca="false">'Raw Data'!M901</f>
        <v>Low</v>
      </c>
      <c r="I901" s="7" t="n">
        <f aca="false">(IF(D901="Current",3,IF(D901="Former",1,0)))+(IF(E901="High",3,IF(E901="Normal",1,0)))+(IF(F901&gt;=240,2,IF(F901&gt;=200,1,0)))+(IF(G901="Yes",2,0))+(IF(H901="High",2,IF(H901="Moderate",1,0)))</f>
        <v>4</v>
      </c>
      <c r="J901" s="7" t="str">
        <f aca="false">IF(I901&gt;=8,"High",IF(I901&gt;=4,"Medium","Low"))</f>
        <v>Medium</v>
      </c>
    </row>
    <row r="902" customFormat="false" ht="15" hidden="false" customHeight="true" outlineLevel="0" collapsed="false">
      <c r="A902" s="7" t="n">
        <f aca="false">'Raw Data'!A902</f>
        <v>2021</v>
      </c>
      <c r="B902" s="7" t="n">
        <f aca="false">'Raw Data'!B902</f>
        <v>20</v>
      </c>
      <c r="C902" s="7" t="str">
        <f aca="false">'Raw Data'!C902</f>
        <v>Male</v>
      </c>
      <c r="D902" s="7" t="str">
        <f aca="false">'Raw Data'!D902</f>
        <v>Never</v>
      </c>
      <c r="E902" s="7" t="str">
        <f aca="false">'Raw Data'!J902</f>
        <v>High</v>
      </c>
      <c r="F902" s="7" t="n">
        <f aca="false">'Raw Data'!K902</f>
        <v>215.7</v>
      </c>
      <c r="G902" s="7" t="str">
        <f aca="false">'Raw Data'!L902</f>
        <v>No</v>
      </c>
      <c r="H902" s="7" t="str">
        <f aca="false">'Raw Data'!M902</f>
        <v>Low</v>
      </c>
      <c r="I902" s="7" t="n">
        <f aca="false">(IF(D902="Current",3,IF(D902="Former",1,0)))+(IF(E902="High",3,IF(E902="Normal",1,0)))+(IF(F902&gt;=240,2,IF(F902&gt;=200,1,0)))+(IF(G902="Yes",2,0))+(IF(H902="High",2,IF(H902="Moderate",1,0)))</f>
        <v>4</v>
      </c>
      <c r="J902" s="7" t="str">
        <f aca="false">IF(I902&gt;=8,"High",IF(I902&gt;=4,"Medium","Low"))</f>
        <v>Medium</v>
      </c>
    </row>
    <row r="903" customFormat="false" ht="15" hidden="false" customHeight="true" outlineLevel="0" collapsed="false">
      <c r="A903" s="7" t="n">
        <f aca="false">'Raw Data'!A903</f>
        <v>2024</v>
      </c>
      <c r="B903" s="7" t="n">
        <f aca="false">'Raw Data'!B903</f>
        <v>40</v>
      </c>
      <c r="C903" s="7" t="str">
        <f aca="false">'Raw Data'!C903</f>
        <v>Female</v>
      </c>
      <c r="D903" s="7" t="str">
        <f aca="false">'Raw Data'!D903</f>
        <v>Never</v>
      </c>
      <c r="E903" s="7" t="str">
        <f aca="false">'Raw Data'!J903</f>
        <v>High</v>
      </c>
      <c r="F903" s="7" t="n">
        <f aca="false">'Raw Data'!K903</f>
        <v>232.3</v>
      </c>
      <c r="G903" s="7" t="str">
        <f aca="false">'Raw Data'!L903</f>
        <v>No</v>
      </c>
      <c r="H903" s="7" t="str">
        <f aca="false">'Raw Data'!M903</f>
        <v>Low</v>
      </c>
      <c r="I903" s="7" t="n">
        <f aca="false">(IF(D903="Current",3,IF(D903="Former",1,0)))+(IF(E903="High",3,IF(E903="Normal",1,0)))+(IF(F903&gt;=240,2,IF(F903&gt;=200,1,0)))+(IF(G903="Yes",2,0))+(IF(H903="High",2,IF(H903="Moderate",1,0)))</f>
        <v>4</v>
      </c>
      <c r="J903" s="7" t="str">
        <f aca="false">IF(I903&gt;=8,"High",IF(I903&gt;=4,"Medium","Low"))</f>
        <v>Medium</v>
      </c>
    </row>
    <row r="904" customFormat="false" ht="15" hidden="false" customHeight="true" outlineLevel="0" collapsed="false">
      <c r="A904" s="7" t="n">
        <f aca="false">'Raw Data'!A904</f>
        <v>2029</v>
      </c>
      <c r="B904" s="7" t="n">
        <f aca="false">'Raw Data'!B904</f>
        <v>31</v>
      </c>
      <c r="C904" s="7" t="str">
        <f aca="false">'Raw Data'!C904</f>
        <v>Male</v>
      </c>
      <c r="D904" s="7" t="str">
        <f aca="false">'Raw Data'!D904</f>
        <v>Never</v>
      </c>
      <c r="E904" s="7" t="str">
        <f aca="false">'Raw Data'!J904</f>
        <v>High</v>
      </c>
      <c r="F904" s="7" t="n">
        <f aca="false">'Raw Data'!K904</f>
        <v>253</v>
      </c>
      <c r="G904" s="7" t="str">
        <f aca="false">'Raw Data'!L904</f>
        <v>No</v>
      </c>
      <c r="H904" s="7" t="str">
        <f aca="false">'Raw Data'!M904</f>
        <v>Low</v>
      </c>
      <c r="I904" s="7" t="n">
        <f aca="false">(IF(D904="Current",3,IF(D904="Former",1,0)))+(IF(E904="High",3,IF(E904="Normal",1,0)))+(IF(F904&gt;=240,2,IF(F904&gt;=200,1,0)))+(IF(G904="Yes",2,0))+(IF(H904="High",2,IF(H904="Moderate",1,0)))</f>
        <v>5</v>
      </c>
      <c r="J904" s="7" t="str">
        <f aca="false">IF(I904&gt;=8,"High",IF(I904&gt;=4,"Medium","Low"))</f>
        <v>Medium</v>
      </c>
    </row>
    <row r="905" customFormat="false" ht="15" hidden="false" customHeight="true" outlineLevel="0" collapsed="false">
      <c r="A905" s="7" t="n">
        <f aca="false">'Raw Data'!A905</f>
        <v>2042</v>
      </c>
      <c r="B905" s="7" t="n">
        <f aca="false">'Raw Data'!B905</f>
        <v>85</v>
      </c>
      <c r="C905" s="7" t="str">
        <f aca="false">'Raw Data'!C905</f>
        <v>Female</v>
      </c>
      <c r="D905" s="7" t="str">
        <f aca="false">'Raw Data'!D905</f>
        <v>Never</v>
      </c>
      <c r="E905" s="7" t="str">
        <f aca="false">'Raw Data'!J905</f>
        <v>High</v>
      </c>
      <c r="F905" s="7" t="n">
        <f aca="false">'Raw Data'!K905</f>
        <v>280.4</v>
      </c>
      <c r="G905" s="7" t="str">
        <f aca="false">'Raw Data'!L905</f>
        <v>No</v>
      </c>
      <c r="H905" s="7" t="str">
        <f aca="false">'Raw Data'!M905</f>
        <v>Low</v>
      </c>
      <c r="I905" s="7" t="n">
        <f aca="false">(IF(D905="Current",3,IF(D905="Former",1,0)))+(IF(E905="High",3,IF(E905="Normal",1,0)))+(IF(F905&gt;=240,2,IF(F905&gt;=200,1,0)))+(IF(G905="Yes",2,0))+(IF(H905="High",2,IF(H905="Moderate",1,0)))</f>
        <v>5</v>
      </c>
      <c r="J905" s="7" t="str">
        <f aca="false">IF(I905&gt;=8,"High",IF(I905&gt;=4,"Medium","Low"))</f>
        <v>Medium</v>
      </c>
    </row>
    <row r="906" customFormat="false" ht="15" hidden="false" customHeight="true" outlineLevel="0" collapsed="false">
      <c r="A906" s="7" t="n">
        <f aca="false">'Raw Data'!A906</f>
        <v>2063</v>
      </c>
      <c r="B906" s="7" t="n">
        <f aca="false">'Raw Data'!B906</f>
        <v>43</v>
      </c>
      <c r="C906" s="7" t="str">
        <f aca="false">'Raw Data'!C906</f>
        <v>Male</v>
      </c>
      <c r="D906" s="7" t="str">
        <f aca="false">'Raw Data'!D906</f>
        <v>Never</v>
      </c>
      <c r="E906" s="7" t="str">
        <f aca="false">'Raw Data'!J906</f>
        <v>High</v>
      </c>
      <c r="F906" s="7" t="n">
        <f aca="false">'Raw Data'!K906</f>
        <v>182</v>
      </c>
      <c r="G906" s="7" t="str">
        <f aca="false">'Raw Data'!L906</f>
        <v>No</v>
      </c>
      <c r="H906" s="7" t="str">
        <f aca="false">'Raw Data'!M906</f>
        <v>Low</v>
      </c>
      <c r="I906" s="7" t="n">
        <f aca="false">(IF(D906="Current",3,IF(D906="Former",1,0)))+(IF(E906="High",3,IF(E906="Normal",1,0)))+(IF(F906&gt;=240,2,IF(F906&gt;=200,1,0)))+(IF(G906="Yes",2,0))+(IF(H906="High",2,IF(H906="Moderate",1,0)))</f>
        <v>3</v>
      </c>
      <c r="J906" s="7" t="str">
        <f aca="false">IF(I906&gt;=8,"High",IF(I906&gt;=4,"Medium","Low"))</f>
        <v>Low</v>
      </c>
    </row>
    <row r="907" customFormat="false" ht="15" hidden="false" customHeight="true" outlineLevel="0" collapsed="false">
      <c r="A907" s="7" t="n">
        <f aca="false">'Raw Data'!A907</f>
        <v>2088</v>
      </c>
      <c r="B907" s="7" t="n">
        <f aca="false">'Raw Data'!B907</f>
        <v>58</v>
      </c>
      <c r="C907" s="7" t="str">
        <f aca="false">'Raw Data'!C907</f>
        <v>Female</v>
      </c>
      <c r="D907" s="7" t="str">
        <f aca="false">'Raw Data'!D907</f>
        <v>Never</v>
      </c>
      <c r="E907" s="7" t="str">
        <f aca="false">'Raw Data'!J907</f>
        <v>High</v>
      </c>
      <c r="F907" s="7" t="n">
        <f aca="false">'Raw Data'!K907</f>
        <v>155.3</v>
      </c>
      <c r="G907" s="7" t="str">
        <f aca="false">'Raw Data'!L907</f>
        <v>No</v>
      </c>
      <c r="H907" s="7" t="str">
        <f aca="false">'Raw Data'!M907</f>
        <v>Low</v>
      </c>
      <c r="I907" s="7" t="n">
        <f aca="false">(IF(D907="Current",3,IF(D907="Former",1,0)))+(IF(E907="High",3,IF(E907="Normal",1,0)))+(IF(F907&gt;=240,2,IF(F907&gt;=200,1,0)))+(IF(G907="Yes",2,0))+(IF(H907="High",2,IF(H907="Moderate",1,0)))</f>
        <v>3</v>
      </c>
      <c r="J907" s="7" t="str">
        <f aca="false">IF(I907&gt;=8,"High",IF(I907&gt;=4,"Medium","Low"))</f>
        <v>Low</v>
      </c>
    </row>
    <row r="908" customFormat="false" ht="15" hidden="false" customHeight="true" outlineLevel="0" collapsed="false">
      <c r="A908" s="7" t="n">
        <f aca="false">'Raw Data'!A908</f>
        <v>2098</v>
      </c>
      <c r="B908" s="7" t="n">
        <f aca="false">'Raw Data'!B908</f>
        <v>58</v>
      </c>
      <c r="C908" s="7" t="str">
        <f aca="false">'Raw Data'!C908</f>
        <v>Male</v>
      </c>
      <c r="D908" s="7" t="str">
        <f aca="false">'Raw Data'!D908</f>
        <v>Never</v>
      </c>
      <c r="E908" s="7" t="str">
        <f aca="false">'Raw Data'!J908</f>
        <v>High</v>
      </c>
      <c r="F908" s="7" t="n">
        <f aca="false">'Raw Data'!K908</f>
        <v>218.5</v>
      </c>
      <c r="G908" s="7" t="str">
        <f aca="false">'Raw Data'!L908</f>
        <v>No</v>
      </c>
      <c r="H908" s="7" t="str">
        <f aca="false">'Raw Data'!M908</f>
        <v>Low</v>
      </c>
      <c r="I908" s="7" t="n">
        <f aca="false">(IF(D908="Current",3,IF(D908="Former",1,0)))+(IF(E908="High",3,IF(E908="Normal",1,0)))+(IF(F908&gt;=240,2,IF(F908&gt;=200,1,0)))+(IF(G908="Yes",2,0))+(IF(H908="High",2,IF(H908="Moderate",1,0)))</f>
        <v>4</v>
      </c>
      <c r="J908" s="7" t="str">
        <f aca="false">IF(I908&gt;=8,"High",IF(I908&gt;=4,"Medium","Low"))</f>
        <v>Medium</v>
      </c>
    </row>
    <row r="909" customFormat="false" ht="15" hidden="false" customHeight="true" outlineLevel="0" collapsed="false">
      <c r="A909" s="7" t="n">
        <f aca="false">'Raw Data'!A909</f>
        <v>2125</v>
      </c>
      <c r="B909" s="7" t="n">
        <f aca="false">'Raw Data'!B909</f>
        <v>72</v>
      </c>
      <c r="C909" s="7" t="str">
        <f aca="false">'Raw Data'!C909</f>
        <v>Male</v>
      </c>
      <c r="D909" s="7" t="str">
        <f aca="false">'Raw Data'!D909</f>
        <v>Never</v>
      </c>
      <c r="E909" s="7" t="str">
        <f aca="false">'Raw Data'!J909</f>
        <v>High</v>
      </c>
      <c r="F909" s="7" t="n">
        <f aca="false">'Raw Data'!K909</f>
        <v>146.1</v>
      </c>
      <c r="G909" s="7" t="str">
        <f aca="false">'Raw Data'!L909</f>
        <v>No</v>
      </c>
      <c r="H909" s="7" t="str">
        <f aca="false">'Raw Data'!M909</f>
        <v>Low</v>
      </c>
      <c r="I909" s="7" t="n">
        <f aca="false">(IF(D909="Current",3,IF(D909="Former",1,0)))+(IF(E909="High",3,IF(E909="Normal",1,0)))+(IF(F909&gt;=240,2,IF(F909&gt;=200,1,0)))+(IF(G909="Yes",2,0))+(IF(H909="High",2,IF(H909="Moderate",1,0)))</f>
        <v>3</v>
      </c>
      <c r="J909" s="7" t="str">
        <f aca="false">IF(I909&gt;=8,"High",IF(I909&gt;=4,"Medium","Low"))</f>
        <v>Low</v>
      </c>
    </row>
    <row r="910" customFormat="false" ht="15" hidden="false" customHeight="true" outlineLevel="0" collapsed="false">
      <c r="A910" s="7" t="n">
        <f aca="false">'Raw Data'!A910</f>
        <v>2163</v>
      </c>
      <c r="B910" s="7" t="n">
        <f aca="false">'Raw Data'!B910</f>
        <v>23</v>
      </c>
      <c r="C910" s="7" t="str">
        <f aca="false">'Raw Data'!C910</f>
        <v>Female</v>
      </c>
      <c r="D910" s="7" t="str">
        <f aca="false">'Raw Data'!D910</f>
        <v>Never</v>
      </c>
      <c r="E910" s="7" t="str">
        <f aca="false">'Raw Data'!J910</f>
        <v>High</v>
      </c>
      <c r="F910" s="7" t="n">
        <f aca="false">'Raw Data'!K910</f>
        <v>177.5</v>
      </c>
      <c r="G910" s="7" t="str">
        <f aca="false">'Raw Data'!L910</f>
        <v>No</v>
      </c>
      <c r="H910" s="7" t="str">
        <f aca="false">'Raw Data'!M910</f>
        <v>Low</v>
      </c>
      <c r="I910" s="7" t="n">
        <f aca="false">(IF(D910="Current",3,IF(D910="Former",1,0)))+(IF(E910="High",3,IF(E910="Normal",1,0)))+(IF(F910&gt;=240,2,IF(F910&gt;=200,1,0)))+(IF(G910="Yes",2,0))+(IF(H910="High",2,IF(H910="Moderate",1,0)))</f>
        <v>3</v>
      </c>
      <c r="J910" s="7" t="str">
        <f aca="false">IF(I910&gt;=8,"High",IF(I910&gt;=4,"Medium","Low"))</f>
        <v>Low</v>
      </c>
    </row>
    <row r="911" customFormat="false" ht="15" hidden="false" customHeight="true" outlineLevel="0" collapsed="false">
      <c r="A911" s="7" t="n">
        <f aca="false">'Raw Data'!A911</f>
        <v>2198</v>
      </c>
      <c r="B911" s="7" t="n">
        <f aca="false">'Raw Data'!B911</f>
        <v>45</v>
      </c>
      <c r="C911" s="7" t="str">
        <f aca="false">'Raw Data'!C911</f>
        <v>Male</v>
      </c>
      <c r="D911" s="7" t="str">
        <f aca="false">'Raw Data'!D911</f>
        <v>Never</v>
      </c>
      <c r="E911" s="7" t="str">
        <f aca="false">'Raw Data'!J911</f>
        <v>High</v>
      </c>
      <c r="F911" s="7" t="n">
        <f aca="false">'Raw Data'!K911</f>
        <v>187.5</v>
      </c>
      <c r="G911" s="7" t="str">
        <f aca="false">'Raw Data'!L911</f>
        <v>No</v>
      </c>
      <c r="H911" s="7" t="str">
        <f aca="false">'Raw Data'!M911</f>
        <v>Low</v>
      </c>
      <c r="I911" s="7" t="n">
        <f aca="false">(IF(D911="Current",3,IF(D911="Former",1,0)))+(IF(E911="High",3,IF(E911="Normal",1,0)))+(IF(F911&gt;=240,2,IF(F911&gt;=200,1,0)))+(IF(G911="Yes",2,0))+(IF(H911="High",2,IF(H911="Moderate",1,0)))</f>
        <v>3</v>
      </c>
      <c r="J911" s="7" t="str">
        <f aca="false">IF(I911&gt;=8,"High",IF(I911&gt;=4,"Medium","Low"))</f>
        <v>Low</v>
      </c>
    </row>
    <row r="912" customFormat="false" ht="15" hidden="false" customHeight="true" outlineLevel="0" collapsed="false">
      <c r="A912" s="7" t="n">
        <f aca="false">'Raw Data'!A912</f>
        <v>2234</v>
      </c>
      <c r="B912" s="7" t="n">
        <f aca="false">'Raw Data'!B912</f>
        <v>39</v>
      </c>
      <c r="C912" s="7" t="str">
        <f aca="false">'Raw Data'!C912</f>
        <v>Female</v>
      </c>
      <c r="D912" s="7" t="str">
        <f aca="false">'Raw Data'!D912</f>
        <v>Never</v>
      </c>
      <c r="E912" s="7" t="str">
        <f aca="false">'Raw Data'!J912</f>
        <v>High</v>
      </c>
      <c r="F912" s="7" t="n">
        <f aca="false">'Raw Data'!K912</f>
        <v>283.6</v>
      </c>
      <c r="G912" s="7" t="str">
        <f aca="false">'Raw Data'!L912</f>
        <v>No</v>
      </c>
      <c r="H912" s="7" t="str">
        <f aca="false">'Raw Data'!M912</f>
        <v>Low</v>
      </c>
      <c r="I912" s="7" t="n">
        <f aca="false">(IF(D912="Current",3,IF(D912="Former",1,0)))+(IF(E912="High",3,IF(E912="Normal",1,0)))+(IF(F912&gt;=240,2,IF(F912&gt;=200,1,0)))+(IF(G912="Yes",2,0))+(IF(H912="High",2,IF(H912="Moderate",1,0)))</f>
        <v>5</v>
      </c>
      <c r="J912" s="7" t="str">
        <f aca="false">IF(I912&gt;=8,"High",IF(I912&gt;=4,"Medium","Low"))</f>
        <v>Medium</v>
      </c>
    </row>
    <row r="913" customFormat="false" ht="15" hidden="false" customHeight="true" outlineLevel="0" collapsed="false">
      <c r="A913" s="7" t="n">
        <f aca="false">'Raw Data'!A913</f>
        <v>2250</v>
      </c>
      <c r="B913" s="7" t="n">
        <f aca="false">'Raw Data'!B913</f>
        <v>62</v>
      </c>
      <c r="C913" s="7" t="str">
        <f aca="false">'Raw Data'!C913</f>
        <v>Female</v>
      </c>
      <c r="D913" s="7" t="str">
        <f aca="false">'Raw Data'!D913</f>
        <v>Never</v>
      </c>
      <c r="E913" s="7" t="str">
        <f aca="false">'Raw Data'!J913</f>
        <v>High</v>
      </c>
      <c r="F913" s="7" t="n">
        <f aca="false">'Raw Data'!K913</f>
        <v>152.9</v>
      </c>
      <c r="G913" s="7" t="str">
        <f aca="false">'Raw Data'!L913</f>
        <v>No</v>
      </c>
      <c r="H913" s="7" t="str">
        <f aca="false">'Raw Data'!M913</f>
        <v>Low</v>
      </c>
      <c r="I913" s="7" t="n">
        <f aca="false">(IF(D913="Current",3,IF(D913="Former",1,0)))+(IF(E913="High",3,IF(E913="Normal",1,0)))+(IF(F913&gt;=240,2,IF(F913&gt;=200,1,0)))+(IF(G913="Yes",2,0))+(IF(H913="High",2,IF(H913="Moderate",1,0)))</f>
        <v>3</v>
      </c>
      <c r="J913" s="7" t="str">
        <f aca="false">IF(I913&gt;=8,"High",IF(I913&gt;=4,"Medium","Low"))</f>
        <v>Low</v>
      </c>
    </row>
    <row r="914" customFormat="false" ht="15" hidden="false" customHeight="true" outlineLevel="0" collapsed="false">
      <c r="A914" s="7" t="n">
        <f aca="false">'Raw Data'!A914</f>
        <v>2251</v>
      </c>
      <c r="B914" s="7" t="n">
        <f aca="false">'Raw Data'!B914</f>
        <v>68</v>
      </c>
      <c r="C914" s="7" t="str">
        <f aca="false">'Raw Data'!C914</f>
        <v>Female</v>
      </c>
      <c r="D914" s="7" t="str">
        <f aca="false">'Raw Data'!D914</f>
        <v>Never</v>
      </c>
      <c r="E914" s="7" t="str">
        <f aca="false">'Raw Data'!J914</f>
        <v>High</v>
      </c>
      <c r="F914" s="7" t="n">
        <f aca="false">'Raw Data'!K914</f>
        <v>160.3</v>
      </c>
      <c r="G914" s="7" t="str">
        <f aca="false">'Raw Data'!L914</f>
        <v>No</v>
      </c>
      <c r="H914" s="7" t="str">
        <f aca="false">'Raw Data'!M914</f>
        <v>Low</v>
      </c>
      <c r="I914" s="7" t="n">
        <f aca="false">(IF(D914="Current",3,IF(D914="Former",1,0)))+(IF(E914="High",3,IF(E914="Normal",1,0)))+(IF(F914&gt;=240,2,IF(F914&gt;=200,1,0)))+(IF(G914="Yes",2,0))+(IF(H914="High",2,IF(H914="Moderate",1,0)))</f>
        <v>3</v>
      </c>
      <c r="J914" s="7" t="str">
        <f aca="false">IF(I914&gt;=8,"High",IF(I914&gt;=4,"Medium","Low"))</f>
        <v>Low</v>
      </c>
    </row>
    <row r="915" customFormat="false" ht="15" hidden="false" customHeight="true" outlineLevel="0" collapsed="false">
      <c r="A915" s="7" t="n">
        <f aca="false">'Raw Data'!A915</f>
        <v>2264</v>
      </c>
      <c r="B915" s="7" t="n">
        <f aca="false">'Raw Data'!B915</f>
        <v>59</v>
      </c>
      <c r="C915" s="7" t="str">
        <f aca="false">'Raw Data'!C915</f>
        <v>Male</v>
      </c>
      <c r="D915" s="7" t="str">
        <f aca="false">'Raw Data'!D915</f>
        <v>Never</v>
      </c>
      <c r="E915" s="7" t="str">
        <f aca="false">'Raw Data'!J915</f>
        <v>High</v>
      </c>
      <c r="F915" s="7" t="n">
        <f aca="false">'Raw Data'!K915</f>
        <v>165.9</v>
      </c>
      <c r="G915" s="7" t="str">
        <f aca="false">'Raw Data'!L915</f>
        <v>No</v>
      </c>
      <c r="H915" s="7" t="str">
        <f aca="false">'Raw Data'!M915</f>
        <v>Low</v>
      </c>
      <c r="I915" s="7" t="n">
        <f aca="false">(IF(D915="Current",3,IF(D915="Former",1,0)))+(IF(E915="High",3,IF(E915="Normal",1,0)))+(IF(F915&gt;=240,2,IF(F915&gt;=200,1,0)))+(IF(G915="Yes",2,0))+(IF(H915="High",2,IF(H915="Moderate",1,0)))</f>
        <v>3</v>
      </c>
      <c r="J915" s="7" t="str">
        <f aca="false">IF(I915&gt;=8,"High",IF(I915&gt;=4,"Medium","Low"))</f>
        <v>Low</v>
      </c>
    </row>
    <row r="916" customFormat="false" ht="15" hidden="false" customHeight="true" outlineLevel="0" collapsed="false">
      <c r="A916" s="7" t="n">
        <f aca="false">'Raw Data'!A916</f>
        <v>2269</v>
      </c>
      <c r="B916" s="7" t="n">
        <f aca="false">'Raw Data'!B916</f>
        <v>81</v>
      </c>
      <c r="C916" s="7" t="str">
        <f aca="false">'Raw Data'!C916</f>
        <v>Male</v>
      </c>
      <c r="D916" s="7" t="str">
        <f aca="false">'Raw Data'!D916</f>
        <v>Never</v>
      </c>
      <c r="E916" s="7" t="str">
        <f aca="false">'Raw Data'!J916</f>
        <v>High</v>
      </c>
      <c r="F916" s="7" t="n">
        <f aca="false">'Raw Data'!K916</f>
        <v>188.9</v>
      </c>
      <c r="G916" s="7" t="str">
        <f aca="false">'Raw Data'!L916</f>
        <v>No</v>
      </c>
      <c r="H916" s="7" t="str">
        <f aca="false">'Raw Data'!M916</f>
        <v>Low</v>
      </c>
      <c r="I916" s="7" t="n">
        <f aca="false">(IF(D916="Current",3,IF(D916="Former",1,0)))+(IF(E916="High",3,IF(E916="Normal",1,0)))+(IF(F916&gt;=240,2,IF(F916&gt;=200,1,0)))+(IF(G916="Yes",2,0))+(IF(H916="High",2,IF(H916="Moderate",1,0)))</f>
        <v>3</v>
      </c>
      <c r="J916" s="7" t="str">
        <f aca="false">IF(I916&gt;=8,"High",IF(I916&gt;=4,"Medium","Low"))</f>
        <v>Low</v>
      </c>
    </row>
    <row r="917" customFormat="false" ht="15" hidden="false" customHeight="true" outlineLevel="0" collapsed="false">
      <c r="A917" s="7" t="n">
        <f aca="false">'Raw Data'!A917</f>
        <v>2357</v>
      </c>
      <c r="B917" s="7" t="n">
        <f aca="false">'Raw Data'!B917</f>
        <v>57</v>
      </c>
      <c r="C917" s="7" t="str">
        <f aca="false">'Raw Data'!C917</f>
        <v>Male</v>
      </c>
      <c r="D917" s="7" t="str">
        <f aca="false">'Raw Data'!D917</f>
        <v>Never</v>
      </c>
      <c r="E917" s="7" t="str">
        <f aca="false">'Raw Data'!J917</f>
        <v>High</v>
      </c>
      <c r="F917" s="7" t="n">
        <f aca="false">'Raw Data'!K917</f>
        <v>122.3</v>
      </c>
      <c r="G917" s="7" t="str">
        <f aca="false">'Raw Data'!L917</f>
        <v>No</v>
      </c>
      <c r="H917" s="7" t="str">
        <f aca="false">'Raw Data'!M917</f>
        <v>Low</v>
      </c>
      <c r="I917" s="7" t="n">
        <f aca="false">(IF(D917="Current",3,IF(D917="Former",1,0)))+(IF(E917="High",3,IF(E917="Normal",1,0)))+(IF(F917&gt;=240,2,IF(F917&gt;=200,1,0)))+(IF(G917="Yes",2,0))+(IF(H917="High",2,IF(H917="Moderate",1,0)))</f>
        <v>3</v>
      </c>
      <c r="J917" s="7" t="str">
        <f aca="false">IF(I917&gt;=8,"High",IF(I917&gt;=4,"Medium","Low"))</f>
        <v>Low</v>
      </c>
    </row>
    <row r="918" customFormat="false" ht="15" hidden="false" customHeight="true" outlineLevel="0" collapsed="false">
      <c r="A918" s="7" t="n">
        <f aca="false">'Raw Data'!A918</f>
        <v>2365</v>
      </c>
      <c r="B918" s="7" t="n">
        <f aca="false">'Raw Data'!B918</f>
        <v>66</v>
      </c>
      <c r="C918" s="7" t="str">
        <f aca="false">'Raw Data'!C918</f>
        <v>Female</v>
      </c>
      <c r="D918" s="7" t="str">
        <f aca="false">'Raw Data'!D918</f>
        <v>Never</v>
      </c>
      <c r="E918" s="7" t="str">
        <f aca="false">'Raw Data'!J918</f>
        <v>High</v>
      </c>
      <c r="F918" s="7" t="n">
        <f aca="false">'Raw Data'!K918</f>
        <v>195.2</v>
      </c>
      <c r="G918" s="7" t="str">
        <f aca="false">'Raw Data'!L918</f>
        <v>No</v>
      </c>
      <c r="H918" s="7" t="str">
        <f aca="false">'Raw Data'!M918</f>
        <v>Low</v>
      </c>
      <c r="I918" s="7" t="n">
        <f aca="false">(IF(D918="Current",3,IF(D918="Former",1,0)))+(IF(E918="High",3,IF(E918="Normal",1,0)))+(IF(F918&gt;=240,2,IF(F918&gt;=200,1,0)))+(IF(G918="Yes",2,0))+(IF(H918="High",2,IF(H918="Moderate",1,0)))</f>
        <v>3</v>
      </c>
      <c r="J918" s="7" t="str">
        <f aca="false">IF(I918&gt;=8,"High",IF(I918&gt;=4,"Medium","Low"))</f>
        <v>Low</v>
      </c>
    </row>
    <row r="919" customFormat="false" ht="15" hidden="false" customHeight="true" outlineLevel="0" collapsed="false">
      <c r="A919" s="7" t="n">
        <f aca="false">'Raw Data'!A919</f>
        <v>2378</v>
      </c>
      <c r="B919" s="7" t="n">
        <f aca="false">'Raw Data'!B919</f>
        <v>70</v>
      </c>
      <c r="C919" s="7" t="str">
        <f aca="false">'Raw Data'!C919</f>
        <v>Female</v>
      </c>
      <c r="D919" s="7" t="str">
        <f aca="false">'Raw Data'!D919</f>
        <v>Never</v>
      </c>
      <c r="E919" s="7" t="str">
        <f aca="false">'Raw Data'!J919</f>
        <v>High</v>
      </c>
      <c r="F919" s="7" t="n">
        <f aca="false">'Raw Data'!K919</f>
        <v>232.6</v>
      </c>
      <c r="G919" s="7" t="str">
        <f aca="false">'Raw Data'!L919</f>
        <v>No</v>
      </c>
      <c r="H919" s="7" t="str">
        <f aca="false">'Raw Data'!M919</f>
        <v>Low</v>
      </c>
      <c r="I919" s="7" t="n">
        <f aca="false">(IF(D919="Current",3,IF(D919="Former",1,0)))+(IF(E919="High",3,IF(E919="Normal",1,0)))+(IF(F919&gt;=240,2,IF(F919&gt;=200,1,0)))+(IF(G919="Yes",2,0))+(IF(H919="High",2,IF(H919="Moderate",1,0)))</f>
        <v>4</v>
      </c>
      <c r="J919" s="7" t="str">
        <f aca="false">IF(I919&gt;=8,"High",IF(I919&gt;=4,"Medium","Low"))</f>
        <v>Medium</v>
      </c>
    </row>
    <row r="920" customFormat="false" ht="15" hidden="false" customHeight="true" outlineLevel="0" collapsed="false">
      <c r="A920" s="7" t="n">
        <f aca="false">'Raw Data'!A920</f>
        <v>2421</v>
      </c>
      <c r="B920" s="7" t="n">
        <f aca="false">'Raw Data'!B920</f>
        <v>48</v>
      </c>
      <c r="C920" s="7" t="str">
        <f aca="false">'Raw Data'!C920</f>
        <v>Male</v>
      </c>
      <c r="D920" s="7" t="str">
        <f aca="false">'Raw Data'!D920</f>
        <v>Never</v>
      </c>
      <c r="E920" s="7" t="str">
        <f aca="false">'Raw Data'!J920</f>
        <v>High</v>
      </c>
      <c r="F920" s="7" t="n">
        <f aca="false">'Raw Data'!K920</f>
        <v>259.5</v>
      </c>
      <c r="G920" s="7" t="str">
        <f aca="false">'Raw Data'!L920</f>
        <v>No</v>
      </c>
      <c r="H920" s="7" t="str">
        <f aca="false">'Raw Data'!M920</f>
        <v>Low</v>
      </c>
      <c r="I920" s="7" t="n">
        <f aca="false">(IF(D920="Current",3,IF(D920="Former",1,0)))+(IF(E920="High",3,IF(E920="Normal",1,0)))+(IF(F920&gt;=240,2,IF(F920&gt;=200,1,0)))+(IF(G920="Yes",2,0))+(IF(H920="High",2,IF(H920="Moderate",1,0)))</f>
        <v>5</v>
      </c>
      <c r="J920" s="7" t="str">
        <f aca="false">IF(I920&gt;=8,"High",IF(I920&gt;=4,"Medium","Low"))</f>
        <v>Medium</v>
      </c>
    </row>
    <row r="921" customFormat="false" ht="15" hidden="false" customHeight="true" outlineLevel="0" collapsed="false">
      <c r="A921" s="7" t="n">
        <f aca="false">'Raw Data'!A921</f>
        <v>2429</v>
      </c>
      <c r="B921" s="7" t="n">
        <f aca="false">'Raw Data'!B921</f>
        <v>81</v>
      </c>
      <c r="C921" s="7" t="str">
        <f aca="false">'Raw Data'!C921</f>
        <v>Female</v>
      </c>
      <c r="D921" s="7" t="str">
        <f aca="false">'Raw Data'!D921</f>
        <v>Never</v>
      </c>
      <c r="E921" s="7" t="str">
        <f aca="false">'Raw Data'!J921</f>
        <v>High</v>
      </c>
      <c r="F921" s="7" t="n">
        <f aca="false">'Raw Data'!K921</f>
        <v>130.7</v>
      </c>
      <c r="G921" s="7" t="str">
        <f aca="false">'Raw Data'!L921</f>
        <v>No</v>
      </c>
      <c r="H921" s="7" t="str">
        <f aca="false">'Raw Data'!M921</f>
        <v>Low</v>
      </c>
      <c r="I921" s="7" t="n">
        <f aca="false">(IF(D921="Current",3,IF(D921="Former",1,0)))+(IF(E921="High",3,IF(E921="Normal",1,0)))+(IF(F921&gt;=240,2,IF(F921&gt;=200,1,0)))+(IF(G921="Yes",2,0))+(IF(H921="High",2,IF(H921="Moderate",1,0)))</f>
        <v>3</v>
      </c>
      <c r="J921" s="7" t="str">
        <f aca="false">IF(I921&gt;=8,"High",IF(I921&gt;=4,"Medium","Low"))</f>
        <v>Low</v>
      </c>
    </row>
    <row r="922" customFormat="false" ht="15" hidden="false" customHeight="true" outlineLevel="0" collapsed="false">
      <c r="A922" s="7" t="n">
        <f aca="false">'Raw Data'!A922</f>
        <v>2434</v>
      </c>
      <c r="B922" s="7" t="n">
        <f aca="false">'Raw Data'!B922</f>
        <v>86</v>
      </c>
      <c r="C922" s="7" t="str">
        <f aca="false">'Raw Data'!C922</f>
        <v>Male</v>
      </c>
      <c r="D922" s="7" t="str">
        <f aca="false">'Raw Data'!D922</f>
        <v>Never</v>
      </c>
      <c r="E922" s="7" t="str">
        <f aca="false">'Raw Data'!J922</f>
        <v>High</v>
      </c>
      <c r="F922" s="7" t="n">
        <f aca="false">'Raw Data'!K922</f>
        <v>199.2</v>
      </c>
      <c r="G922" s="7" t="str">
        <f aca="false">'Raw Data'!L922</f>
        <v>No</v>
      </c>
      <c r="H922" s="7" t="str">
        <f aca="false">'Raw Data'!M922</f>
        <v>Low</v>
      </c>
      <c r="I922" s="7" t="n">
        <f aca="false">(IF(D922="Current",3,IF(D922="Former",1,0)))+(IF(E922="High",3,IF(E922="Normal",1,0)))+(IF(F922&gt;=240,2,IF(F922&gt;=200,1,0)))+(IF(G922="Yes",2,0))+(IF(H922="High",2,IF(H922="Moderate",1,0)))</f>
        <v>3</v>
      </c>
      <c r="J922" s="7" t="str">
        <f aca="false">IF(I922&gt;=8,"High",IF(I922&gt;=4,"Medium","Low"))</f>
        <v>Low</v>
      </c>
    </row>
    <row r="923" customFormat="false" ht="15" hidden="false" customHeight="true" outlineLevel="0" collapsed="false">
      <c r="A923" s="7" t="n">
        <f aca="false">'Raw Data'!A923</f>
        <v>2461</v>
      </c>
      <c r="B923" s="7" t="n">
        <f aca="false">'Raw Data'!B923</f>
        <v>76</v>
      </c>
      <c r="C923" s="7" t="str">
        <f aca="false">'Raw Data'!C923</f>
        <v>Female</v>
      </c>
      <c r="D923" s="7" t="str">
        <f aca="false">'Raw Data'!D923</f>
        <v>Never</v>
      </c>
      <c r="E923" s="7" t="str">
        <f aca="false">'Raw Data'!J923</f>
        <v>High</v>
      </c>
      <c r="F923" s="7" t="n">
        <f aca="false">'Raw Data'!K923</f>
        <v>181.9</v>
      </c>
      <c r="G923" s="7" t="str">
        <f aca="false">'Raw Data'!L923</f>
        <v>No</v>
      </c>
      <c r="H923" s="7" t="str">
        <f aca="false">'Raw Data'!M923</f>
        <v>Low</v>
      </c>
      <c r="I923" s="7" t="n">
        <f aca="false">(IF(D923="Current",3,IF(D923="Former",1,0)))+(IF(E923="High",3,IF(E923="Normal",1,0)))+(IF(F923&gt;=240,2,IF(F923&gt;=200,1,0)))+(IF(G923="Yes",2,0))+(IF(H923="High",2,IF(H923="Moderate",1,0)))</f>
        <v>3</v>
      </c>
      <c r="J923" s="7" t="str">
        <f aca="false">IF(I923&gt;=8,"High",IF(I923&gt;=4,"Medium","Low"))</f>
        <v>Low</v>
      </c>
    </row>
    <row r="924" customFormat="false" ht="15" hidden="false" customHeight="true" outlineLevel="0" collapsed="false">
      <c r="A924" s="7" t="n">
        <f aca="false">'Raw Data'!A924</f>
        <v>2473</v>
      </c>
      <c r="B924" s="7" t="n">
        <f aca="false">'Raw Data'!B924</f>
        <v>81</v>
      </c>
      <c r="C924" s="7" t="str">
        <f aca="false">'Raw Data'!C924</f>
        <v>Female</v>
      </c>
      <c r="D924" s="7" t="str">
        <f aca="false">'Raw Data'!D924</f>
        <v>Never</v>
      </c>
      <c r="E924" s="7" t="str">
        <f aca="false">'Raw Data'!J924</f>
        <v>High</v>
      </c>
      <c r="F924" s="7" t="n">
        <f aca="false">'Raw Data'!K924</f>
        <v>202.9</v>
      </c>
      <c r="G924" s="7" t="str">
        <f aca="false">'Raw Data'!L924</f>
        <v>No</v>
      </c>
      <c r="H924" s="7" t="str">
        <f aca="false">'Raw Data'!M924</f>
        <v>Low</v>
      </c>
      <c r="I924" s="7" t="n">
        <f aca="false">(IF(D924="Current",3,IF(D924="Former",1,0)))+(IF(E924="High",3,IF(E924="Normal",1,0)))+(IF(F924&gt;=240,2,IF(F924&gt;=200,1,0)))+(IF(G924="Yes",2,0))+(IF(H924="High",2,IF(H924="Moderate",1,0)))</f>
        <v>4</v>
      </c>
      <c r="J924" s="7" t="str">
        <f aca="false">IF(I924&gt;=8,"High",IF(I924&gt;=4,"Medium","Low"))</f>
        <v>Medium</v>
      </c>
    </row>
    <row r="925" customFormat="false" ht="15" hidden="false" customHeight="true" outlineLevel="0" collapsed="false">
      <c r="A925" s="7" t="n">
        <f aca="false">'Raw Data'!A925</f>
        <v>2493</v>
      </c>
      <c r="B925" s="7" t="n">
        <f aca="false">'Raw Data'!B925</f>
        <v>51</v>
      </c>
      <c r="C925" s="7" t="str">
        <f aca="false">'Raw Data'!C925</f>
        <v>Male</v>
      </c>
      <c r="D925" s="7" t="str">
        <f aca="false">'Raw Data'!D925</f>
        <v>Never</v>
      </c>
      <c r="E925" s="7" t="str">
        <f aca="false">'Raw Data'!J925</f>
        <v>High</v>
      </c>
      <c r="F925" s="7" t="n">
        <f aca="false">'Raw Data'!K925</f>
        <v>184.3</v>
      </c>
      <c r="G925" s="7" t="str">
        <f aca="false">'Raw Data'!L925</f>
        <v>No</v>
      </c>
      <c r="H925" s="7" t="str">
        <f aca="false">'Raw Data'!M925</f>
        <v>Low</v>
      </c>
      <c r="I925" s="7" t="n">
        <f aca="false">(IF(D925="Current",3,IF(D925="Former",1,0)))+(IF(E925="High",3,IF(E925="Normal",1,0)))+(IF(F925&gt;=240,2,IF(F925&gt;=200,1,0)))+(IF(G925="Yes",2,0))+(IF(H925="High",2,IF(H925="Moderate",1,0)))</f>
        <v>3</v>
      </c>
      <c r="J925" s="7" t="str">
        <f aca="false">IF(I925&gt;=8,"High",IF(I925&gt;=4,"Medium","Low"))</f>
        <v>Low</v>
      </c>
    </row>
    <row r="926" customFormat="false" ht="15" hidden="false" customHeight="true" outlineLevel="0" collapsed="false">
      <c r="A926" s="7" t="n">
        <f aca="false">'Raw Data'!A926</f>
        <v>1</v>
      </c>
      <c r="B926" s="7" t="n">
        <f aca="false">'Raw Data'!B926</f>
        <v>32</v>
      </c>
      <c r="C926" s="7" t="str">
        <f aca="false">'Raw Data'!C926</f>
        <v>Male</v>
      </c>
      <c r="D926" s="7" t="str">
        <f aca="false">'Raw Data'!D926</f>
        <v>Never</v>
      </c>
      <c r="E926" s="7" t="str">
        <f aca="false">'Raw Data'!J926</f>
        <v>Low</v>
      </c>
      <c r="F926" s="7" t="n">
        <f aca="false">'Raw Data'!K926</f>
        <v>202.7</v>
      </c>
      <c r="G926" s="7" t="str">
        <f aca="false">'Raw Data'!L926</f>
        <v>No</v>
      </c>
      <c r="H926" s="7" t="str">
        <f aca="false">'Raw Data'!M926</f>
        <v>Low</v>
      </c>
      <c r="I926" s="7" t="n">
        <f aca="false">(IF(D926="Current",3,IF(D926="Former",1,0)))+(IF(E926="High",3,IF(E926="Normal",1,0)))+(IF(F926&gt;=240,2,IF(F926&gt;=200,1,0)))+(IF(G926="Yes",2,0))+(IF(H926="High",2,IF(H926="Moderate",1,0)))</f>
        <v>1</v>
      </c>
      <c r="J926" s="7" t="str">
        <f aca="false">IF(I926&gt;=8,"High",IF(I926&gt;=4,"Medium","Low"))</f>
        <v>Low</v>
      </c>
    </row>
    <row r="927" customFormat="false" ht="15" hidden="false" customHeight="true" outlineLevel="0" collapsed="false">
      <c r="A927" s="7" t="n">
        <f aca="false">'Raw Data'!A927</f>
        <v>14</v>
      </c>
      <c r="B927" s="7" t="n">
        <f aca="false">'Raw Data'!B927</f>
        <v>54</v>
      </c>
      <c r="C927" s="7" t="str">
        <f aca="false">'Raw Data'!C927</f>
        <v>Male</v>
      </c>
      <c r="D927" s="7" t="str">
        <f aca="false">'Raw Data'!D927</f>
        <v>Never</v>
      </c>
      <c r="E927" s="7" t="str">
        <f aca="false">'Raw Data'!J927</f>
        <v>Low</v>
      </c>
      <c r="F927" s="7" t="n">
        <f aca="false">'Raw Data'!K927</f>
        <v>159.4</v>
      </c>
      <c r="G927" s="7" t="str">
        <f aca="false">'Raw Data'!L927</f>
        <v>No</v>
      </c>
      <c r="H927" s="7" t="str">
        <f aca="false">'Raw Data'!M927</f>
        <v>Low</v>
      </c>
      <c r="I927" s="7" t="n">
        <f aca="false">(IF(D927="Current",3,IF(D927="Former",1,0)))+(IF(E927="High",3,IF(E927="Normal",1,0)))+(IF(F927&gt;=240,2,IF(F927&gt;=200,1,0)))+(IF(G927="Yes",2,0))+(IF(H927="High",2,IF(H927="Moderate",1,0)))</f>
        <v>0</v>
      </c>
      <c r="J927" s="7" t="str">
        <f aca="false">IF(I927&gt;=8,"High",IF(I927&gt;=4,"Medium","Low"))</f>
        <v>Low</v>
      </c>
    </row>
    <row r="928" customFormat="false" ht="15" hidden="false" customHeight="true" outlineLevel="0" collapsed="false">
      <c r="A928" s="7" t="n">
        <f aca="false">'Raw Data'!A928</f>
        <v>56</v>
      </c>
      <c r="B928" s="7" t="n">
        <f aca="false">'Raw Data'!B928</f>
        <v>31</v>
      </c>
      <c r="C928" s="7" t="str">
        <f aca="false">'Raw Data'!C928</f>
        <v>Female</v>
      </c>
      <c r="D928" s="7" t="str">
        <f aca="false">'Raw Data'!D928</f>
        <v>Never</v>
      </c>
      <c r="E928" s="7" t="str">
        <f aca="false">'Raw Data'!J928</f>
        <v>Low</v>
      </c>
      <c r="F928" s="7" t="n">
        <f aca="false">'Raw Data'!K928</f>
        <v>183.1</v>
      </c>
      <c r="G928" s="7" t="str">
        <f aca="false">'Raw Data'!L928</f>
        <v>No</v>
      </c>
      <c r="H928" s="7" t="str">
        <f aca="false">'Raw Data'!M928</f>
        <v>Low</v>
      </c>
      <c r="I928" s="7" t="n">
        <f aca="false">(IF(D928="Current",3,IF(D928="Former",1,0)))+(IF(E928="High",3,IF(E928="Normal",1,0)))+(IF(F928&gt;=240,2,IF(F928&gt;=200,1,0)))+(IF(G928="Yes",2,0))+(IF(H928="High",2,IF(H928="Moderate",1,0)))</f>
        <v>0</v>
      </c>
      <c r="J928" s="7" t="str">
        <f aca="false">IF(I928&gt;=8,"High",IF(I928&gt;=4,"Medium","Low"))</f>
        <v>Low</v>
      </c>
    </row>
    <row r="929" customFormat="false" ht="15" hidden="false" customHeight="true" outlineLevel="0" collapsed="false">
      <c r="A929" s="7" t="n">
        <f aca="false">'Raw Data'!A929</f>
        <v>59</v>
      </c>
      <c r="B929" s="7" t="n">
        <f aca="false">'Raw Data'!B929</f>
        <v>40</v>
      </c>
      <c r="C929" s="7" t="str">
        <f aca="false">'Raw Data'!C929</f>
        <v>Male</v>
      </c>
      <c r="D929" s="7" t="str">
        <f aca="false">'Raw Data'!D929</f>
        <v>Never</v>
      </c>
      <c r="E929" s="7" t="str">
        <f aca="false">'Raw Data'!J929</f>
        <v>Low</v>
      </c>
      <c r="F929" s="7" t="n">
        <f aca="false">'Raw Data'!K929</f>
        <v>182.2</v>
      </c>
      <c r="G929" s="7" t="str">
        <f aca="false">'Raw Data'!L929</f>
        <v>No</v>
      </c>
      <c r="H929" s="7" t="str">
        <f aca="false">'Raw Data'!M929</f>
        <v>Low</v>
      </c>
      <c r="I929" s="7" t="n">
        <f aca="false">(IF(D929="Current",3,IF(D929="Former",1,0)))+(IF(E929="High",3,IF(E929="Normal",1,0)))+(IF(F929&gt;=240,2,IF(F929&gt;=200,1,0)))+(IF(G929="Yes",2,0))+(IF(H929="High",2,IF(H929="Moderate",1,0)))</f>
        <v>0</v>
      </c>
      <c r="J929" s="7" t="str">
        <f aca="false">IF(I929&gt;=8,"High",IF(I929&gt;=4,"Medium","Low"))</f>
        <v>Low</v>
      </c>
    </row>
    <row r="930" customFormat="false" ht="15" hidden="false" customHeight="true" outlineLevel="0" collapsed="false">
      <c r="A930" s="7" t="n">
        <f aca="false">'Raw Data'!A930</f>
        <v>107</v>
      </c>
      <c r="B930" s="7" t="n">
        <f aca="false">'Raw Data'!B930</f>
        <v>31</v>
      </c>
      <c r="C930" s="7" t="str">
        <f aca="false">'Raw Data'!C930</f>
        <v>Female</v>
      </c>
      <c r="D930" s="7" t="str">
        <f aca="false">'Raw Data'!D930</f>
        <v>Never</v>
      </c>
      <c r="E930" s="7" t="str">
        <f aca="false">'Raw Data'!J930</f>
        <v>Low</v>
      </c>
      <c r="F930" s="7" t="n">
        <f aca="false">'Raw Data'!K930</f>
        <v>123.2</v>
      </c>
      <c r="G930" s="7" t="str">
        <f aca="false">'Raw Data'!L930</f>
        <v>No</v>
      </c>
      <c r="H930" s="7" t="str">
        <f aca="false">'Raw Data'!M930</f>
        <v>Low</v>
      </c>
      <c r="I930" s="7" t="n">
        <f aca="false">(IF(D930="Current",3,IF(D930="Former",1,0)))+(IF(E930="High",3,IF(E930="Normal",1,0)))+(IF(F930&gt;=240,2,IF(F930&gt;=200,1,0)))+(IF(G930="Yes",2,0))+(IF(H930="High",2,IF(H930="Moderate",1,0)))</f>
        <v>0</v>
      </c>
      <c r="J930" s="7" t="str">
        <f aca="false">IF(I930&gt;=8,"High",IF(I930&gt;=4,"Medium","Low"))</f>
        <v>Low</v>
      </c>
    </row>
    <row r="931" customFormat="false" ht="15" hidden="false" customHeight="true" outlineLevel="0" collapsed="false">
      <c r="A931" s="7" t="n">
        <f aca="false">'Raw Data'!A931</f>
        <v>201</v>
      </c>
      <c r="B931" s="7" t="n">
        <f aca="false">'Raw Data'!B931</f>
        <v>41</v>
      </c>
      <c r="C931" s="7" t="str">
        <f aca="false">'Raw Data'!C931</f>
        <v>Male</v>
      </c>
      <c r="D931" s="7" t="str">
        <f aca="false">'Raw Data'!D931</f>
        <v>Never</v>
      </c>
      <c r="E931" s="7" t="str">
        <f aca="false">'Raw Data'!J931</f>
        <v>Low</v>
      </c>
      <c r="F931" s="7" t="n">
        <f aca="false">'Raw Data'!K931</f>
        <v>126.5</v>
      </c>
      <c r="G931" s="7" t="str">
        <f aca="false">'Raw Data'!L931</f>
        <v>Yes</v>
      </c>
      <c r="H931" s="7" t="str">
        <f aca="false">'Raw Data'!M931</f>
        <v>Low</v>
      </c>
      <c r="I931" s="7" t="n">
        <f aca="false">(IF(D931="Current",3,IF(D931="Former",1,0)))+(IF(E931="High",3,IF(E931="Normal",1,0)))+(IF(F931&gt;=240,2,IF(F931&gt;=200,1,0)))+(IF(G931="Yes",2,0))+(IF(H931="High",2,IF(H931="Moderate",1,0)))</f>
        <v>2</v>
      </c>
      <c r="J931" s="7" t="str">
        <f aca="false">IF(I931&gt;=8,"High",IF(I931&gt;=4,"Medium","Low"))</f>
        <v>Low</v>
      </c>
    </row>
    <row r="932" customFormat="false" ht="15" hidden="false" customHeight="true" outlineLevel="0" collapsed="false">
      <c r="A932" s="7" t="n">
        <f aca="false">'Raw Data'!A932</f>
        <v>228</v>
      </c>
      <c r="B932" s="7" t="n">
        <f aca="false">'Raw Data'!B932</f>
        <v>64</v>
      </c>
      <c r="C932" s="7" t="str">
        <f aca="false">'Raw Data'!C932</f>
        <v>Female</v>
      </c>
      <c r="D932" s="7" t="str">
        <f aca="false">'Raw Data'!D932</f>
        <v>Never</v>
      </c>
      <c r="E932" s="7" t="str">
        <f aca="false">'Raw Data'!J932</f>
        <v>Low</v>
      </c>
      <c r="F932" s="7" t="n">
        <f aca="false">'Raw Data'!K932</f>
        <v>181.3</v>
      </c>
      <c r="G932" s="7" t="str">
        <f aca="false">'Raw Data'!L932</f>
        <v>Yes</v>
      </c>
      <c r="H932" s="7" t="str">
        <f aca="false">'Raw Data'!M932</f>
        <v>Low</v>
      </c>
      <c r="I932" s="7" t="n">
        <f aca="false">(IF(D932="Current",3,IF(D932="Former",1,0)))+(IF(E932="High",3,IF(E932="Normal",1,0)))+(IF(F932&gt;=240,2,IF(F932&gt;=200,1,0)))+(IF(G932="Yes",2,0))+(IF(H932="High",2,IF(H932="Moderate",1,0)))</f>
        <v>2</v>
      </c>
      <c r="J932" s="7" t="str">
        <f aca="false">IF(I932&gt;=8,"High",IF(I932&gt;=4,"Medium","Low"))</f>
        <v>Low</v>
      </c>
    </row>
    <row r="933" customFormat="false" ht="15" hidden="false" customHeight="true" outlineLevel="0" collapsed="false">
      <c r="A933" s="7" t="n">
        <f aca="false">'Raw Data'!A933</f>
        <v>248</v>
      </c>
      <c r="B933" s="7" t="n">
        <f aca="false">'Raw Data'!B933</f>
        <v>28</v>
      </c>
      <c r="C933" s="7" t="str">
        <f aca="false">'Raw Data'!C933</f>
        <v>Male</v>
      </c>
      <c r="D933" s="7" t="str">
        <f aca="false">'Raw Data'!D933</f>
        <v>Never</v>
      </c>
      <c r="E933" s="7" t="str">
        <f aca="false">'Raw Data'!J933</f>
        <v>Low</v>
      </c>
      <c r="F933" s="7" t="n">
        <f aca="false">'Raw Data'!K933</f>
        <v>199.9</v>
      </c>
      <c r="G933" s="7" t="str">
        <f aca="false">'Raw Data'!L933</f>
        <v>No</v>
      </c>
      <c r="H933" s="7" t="str">
        <f aca="false">'Raw Data'!M933</f>
        <v>Low</v>
      </c>
      <c r="I933" s="7" t="n">
        <f aca="false">(IF(D933="Current",3,IF(D933="Former",1,0)))+(IF(E933="High",3,IF(E933="Normal",1,0)))+(IF(F933&gt;=240,2,IF(F933&gt;=200,1,0)))+(IF(G933="Yes",2,0))+(IF(H933="High",2,IF(H933="Moderate",1,0)))</f>
        <v>0</v>
      </c>
      <c r="J933" s="7" t="str">
        <f aca="false">IF(I933&gt;=8,"High",IF(I933&gt;=4,"Medium","Low"))</f>
        <v>Low</v>
      </c>
    </row>
    <row r="934" customFormat="false" ht="15" hidden="false" customHeight="true" outlineLevel="0" collapsed="false">
      <c r="A934" s="7" t="n">
        <f aca="false">'Raw Data'!A934</f>
        <v>333</v>
      </c>
      <c r="B934" s="7" t="n">
        <f aca="false">'Raw Data'!B934</f>
        <v>77</v>
      </c>
      <c r="C934" s="7" t="str">
        <f aca="false">'Raw Data'!C934</f>
        <v>Female</v>
      </c>
      <c r="D934" s="7" t="str">
        <f aca="false">'Raw Data'!D934</f>
        <v>Never</v>
      </c>
      <c r="E934" s="7" t="str">
        <f aca="false">'Raw Data'!J934</f>
        <v>Low</v>
      </c>
      <c r="F934" s="7" t="n">
        <f aca="false">'Raw Data'!K934</f>
        <v>159.2</v>
      </c>
      <c r="G934" s="7" t="str">
        <f aca="false">'Raw Data'!L934</f>
        <v>No</v>
      </c>
      <c r="H934" s="7" t="str">
        <f aca="false">'Raw Data'!M934</f>
        <v>Low</v>
      </c>
      <c r="I934" s="7" t="n">
        <f aca="false">(IF(D934="Current",3,IF(D934="Former",1,0)))+(IF(E934="High",3,IF(E934="Normal",1,0)))+(IF(F934&gt;=240,2,IF(F934&gt;=200,1,0)))+(IF(G934="Yes",2,0))+(IF(H934="High",2,IF(H934="Moderate",1,0)))</f>
        <v>0</v>
      </c>
      <c r="J934" s="7" t="str">
        <f aca="false">IF(I934&gt;=8,"High",IF(I934&gt;=4,"Medium","Low"))</f>
        <v>Low</v>
      </c>
    </row>
    <row r="935" customFormat="false" ht="15" hidden="false" customHeight="true" outlineLevel="0" collapsed="false">
      <c r="A935" s="7" t="n">
        <f aca="false">'Raw Data'!A935</f>
        <v>355</v>
      </c>
      <c r="B935" s="7" t="n">
        <f aca="false">'Raw Data'!B935</f>
        <v>66</v>
      </c>
      <c r="C935" s="7" t="str">
        <f aca="false">'Raw Data'!C935</f>
        <v>Female</v>
      </c>
      <c r="D935" s="7" t="str">
        <f aca="false">'Raw Data'!D935</f>
        <v>Never</v>
      </c>
      <c r="E935" s="7" t="str">
        <f aca="false">'Raw Data'!J935</f>
        <v>Low</v>
      </c>
      <c r="F935" s="7" t="n">
        <f aca="false">'Raw Data'!K935</f>
        <v>281.7</v>
      </c>
      <c r="G935" s="7" t="str">
        <f aca="false">'Raw Data'!L935</f>
        <v>No</v>
      </c>
      <c r="H935" s="7" t="str">
        <f aca="false">'Raw Data'!M935</f>
        <v>Low</v>
      </c>
      <c r="I935" s="7" t="n">
        <f aca="false">(IF(D935="Current",3,IF(D935="Former",1,0)))+(IF(E935="High",3,IF(E935="Normal",1,0)))+(IF(F935&gt;=240,2,IF(F935&gt;=200,1,0)))+(IF(G935="Yes",2,0))+(IF(H935="High",2,IF(H935="Moderate",1,0)))</f>
        <v>2</v>
      </c>
      <c r="J935" s="7" t="str">
        <f aca="false">IF(I935&gt;=8,"High",IF(I935&gt;=4,"Medium","Low"))</f>
        <v>Low</v>
      </c>
    </row>
    <row r="936" customFormat="false" ht="15" hidden="false" customHeight="true" outlineLevel="0" collapsed="false">
      <c r="A936" s="7" t="n">
        <f aca="false">'Raw Data'!A936</f>
        <v>374</v>
      </c>
      <c r="B936" s="7" t="n">
        <f aca="false">'Raw Data'!B936</f>
        <v>43</v>
      </c>
      <c r="C936" s="7" t="str">
        <f aca="false">'Raw Data'!C936</f>
        <v>Female</v>
      </c>
      <c r="D936" s="7" t="str">
        <f aca="false">'Raw Data'!D936</f>
        <v>Never</v>
      </c>
      <c r="E936" s="7" t="str">
        <f aca="false">'Raw Data'!J936</f>
        <v>Low</v>
      </c>
      <c r="F936" s="7" t="n">
        <f aca="false">'Raw Data'!K936</f>
        <v>289.5</v>
      </c>
      <c r="G936" s="7" t="str">
        <f aca="false">'Raw Data'!L936</f>
        <v>No</v>
      </c>
      <c r="H936" s="7" t="str">
        <f aca="false">'Raw Data'!M936</f>
        <v>Low</v>
      </c>
      <c r="I936" s="7" t="n">
        <f aca="false">(IF(D936="Current",3,IF(D936="Former",1,0)))+(IF(E936="High",3,IF(E936="Normal",1,0)))+(IF(F936&gt;=240,2,IF(F936&gt;=200,1,0)))+(IF(G936="Yes",2,0))+(IF(H936="High",2,IF(H936="Moderate",1,0)))</f>
        <v>2</v>
      </c>
      <c r="J936" s="7" t="str">
        <f aca="false">IF(I936&gt;=8,"High",IF(I936&gt;=4,"Medium","Low"))</f>
        <v>Low</v>
      </c>
    </row>
    <row r="937" customFormat="false" ht="15" hidden="false" customHeight="true" outlineLevel="0" collapsed="false">
      <c r="A937" s="7" t="n">
        <f aca="false">'Raw Data'!A937</f>
        <v>459</v>
      </c>
      <c r="B937" s="7" t="n">
        <f aca="false">'Raw Data'!B937</f>
        <v>86</v>
      </c>
      <c r="C937" s="7" t="str">
        <f aca="false">'Raw Data'!C937</f>
        <v>Male</v>
      </c>
      <c r="D937" s="7" t="str">
        <f aca="false">'Raw Data'!D937</f>
        <v>Never</v>
      </c>
      <c r="E937" s="7" t="str">
        <f aca="false">'Raw Data'!J937</f>
        <v>Low</v>
      </c>
      <c r="F937" s="7" t="n">
        <f aca="false">'Raw Data'!K937</f>
        <v>152.8</v>
      </c>
      <c r="G937" s="7" t="str">
        <f aca="false">'Raw Data'!L937</f>
        <v>No</v>
      </c>
      <c r="H937" s="7" t="str">
        <f aca="false">'Raw Data'!M937</f>
        <v>Low</v>
      </c>
      <c r="I937" s="7" t="n">
        <f aca="false">(IF(D937="Current",3,IF(D937="Former",1,0)))+(IF(E937="High",3,IF(E937="Normal",1,0)))+(IF(F937&gt;=240,2,IF(F937&gt;=200,1,0)))+(IF(G937="Yes",2,0))+(IF(H937="High",2,IF(H937="Moderate",1,0)))</f>
        <v>0</v>
      </c>
      <c r="J937" s="7" t="str">
        <f aca="false">IF(I937&gt;=8,"High",IF(I937&gt;=4,"Medium","Low"))</f>
        <v>Low</v>
      </c>
    </row>
    <row r="938" customFormat="false" ht="15" hidden="false" customHeight="true" outlineLevel="0" collapsed="false">
      <c r="A938" s="7" t="n">
        <f aca="false">'Raw Data'!A938</f>
        <v>474</v>
      </c>
      <c r="B938" s="7" t="n">
        <f aca="false">'Raw Data'!B938</f>
        <v>60</v>
      </c>
      <c r="C938" s="7" t="str">
        <f aca="false">'Raw Data'!C938</f>
        <v>Male</v>
      </c>
      <c r="D938" s="7" t="str">
        <f aca="false">'Raw Data'!D938</f>
        <v>Never</v>
      </c>
      <c r="E938" s="7" t="str">
        <f aca="false">'Raw Data'!J938</f>
        <v>Low</v>
      </c>
      <c r="F938" s="7" t="n">
        <f aca="false">'Raw Data'!K938</f>
        <v>299</v>
      </c>
      <c r="G938" s="7" t="str">
        <f aca="false">'Raw Data'!L938</f>
        <v>Yes</v>
      </c>
      <c r="H938" s="7" t="str">
        <f aca="false">'Raw Data'!M938</f>
        <v>Low</v>
      </c>
      <c r="I938" s="7" t="n">
        <f aca="false">(IF(D938="Current",3,IF(D938="Former",1,0)))+(IF(E938="High",3,IF(E938="Normal",1,0)))+(IF(F938&gt;=240,2,IF(F938&gt;=200,1,0)))+(IF(G938="Yes",2,0))+(IF(H938="High",2,IF(H938="Moderate",1,0)))</f>
        <v>4</v>
      </c>
      <c r="J938" s="7" t="str">
        <f aca="false">IF(I938&gt;=8,"High",IF(I938&gt;=4,"Medium","Low"))</f>
        <v>Medium</v>
      </c>
    </row>
    <row r="939" customFormat="false" ht="15" hidden="false" customHeight="true" outlineLevel="0" collapsed="false">
      <c r="A939" s="7" t="n">
        <f aca="false">'Raw Data'!A939</f>
        <v>494</v>
      </c>
      <c r="B939" s="7" t="n">
        <f aca="false">'Raw Data'!B939</f>
        <v>43</v>
      </c>
      <c r="C939" s="7" t="str">
        <f aca="false">'Raw Data'!C939</f>
        <v>Female</v>
      </c>
      <c r="D939" s="7" t="str">
        <f aca="false">'Raw Data'!D939</f>
        <v>Never</v>
      </c>
      <c r="E939" s="7" t="str">
        <f aca="false">'Raw Data'!J939</f>
        <v>Low</v>
      </c>
      <c r="F939" s="7" t="n">
        <f aca="false">'Raw Data'!K939</f>
        <v>285.1</v>
      </c>
      <c r="G939" s="7" t="str">
        <f aca="false">'Raw Data'!L939</f>
        <v>No</v>
      </c>
      <c r="H939" s="7" t="str">
        <f aca="false">'Raw Data'!M939</f>
        <v>Low</v>
      </c>
      <c r="I939" s="7" t="n">
        <f aca="false">(IF(D939="Current",3,IF(D939="Former",1,0)))+(IF(E939="High",3,IF(E939="Normal",1,0)))+(IF(F939&gt;=240,2,IF(F939&gt;=200,1,0)))+(IF(G939="Yes",2,0))+(IF(H939="High",2,IF(H939="Moderate",1,0)))</f>
        <v>2</v>
      </c>
      <c r="J939" s="7" t="str">
        <f aca="false">IF(I939&gt;=8,"High",IF(I939&gt;=4,"Medium","Low"))</f>
        <v>Low</v>
      </c>
    </row>
    <row r="940" customFormat="false" ht="15" hidden="false" customHeight="true" outlineLevel="0" collapsed="false">
      <c r="A940" s="7" t="n">
        <f aca="false">'Raw Data'!A940</f>
        <v>517</v>
      </c>
      <c r="B940" s="7" t="n">
        <f aca="false">'Raw Data'!B940</f>
        <v>32</v>
      </c>
      <c r="C940" s="7" t="str">
        <f aca="false">'Raw Data'!C940</f>
        <v>Female</v>
      </c>
      <c r="D940" s="7" t="str">
        <f aca="false">'Raw Data'!D940</f>
        <v>Never</v>
      </c>
      <c r="E940" s="7" t="str">
        <f aca="false">'Raw Data'!J940</f>
        <v>Low</v>
      </c>
      <c r="F940" s="7" t="n">
        <f aca="false">'Raw Data'!K940</f>
        <v>256.2</v>
      </c>
      <c r="G940" s="7" t="str">
        <f aca="false">'Raw Data'!L940</f>
        <v>No</v>
      </c>
      <c r="H940" s="7" t="str">
        <f aca="false">'Raw Data'!M940</f>
        <v>Low</v>
      </c>
      <c r="I940" s="7" t="n">
        <f aca="false">(IF(D940="Current",3,IF(D940="Former",1,0)))+(IF(E940="High",3,IF(E940="Normal",1,0)))+(IF(F940&gt;=240,2,IF(F940&gt;=200,1,0)))+(IF(G940="Yes",2,0))+(IF(H940="High",2,IF(H940="Moderate",1,0)))</f>
        <v>2</v>
      </c>
      <c r="J940" s="7" t="str">
        <f aca="false">IF(I940&gt;=8,"High",IF(I940&gt;=4,"Medium","Low"))</f>
        <v>Low</v>
      </c>
    </row>
    <row r="941" customFormat="false" ht="15" hidden="false" customHeight="true" outlineLevel="0" collapsed="false">
      <c r="A941" s="7" t="n">
        <f aca="false">'Raw Data'!A941</f>
        <v>528</v>
      </c>
      <c r="B941" s="7" t="n">
        <f aca="false">'Raw Data'!B941</f>
        <v>54</v>
      </c>
      <c r="C941" s="7" t="str">
        <f aca="false">'Raw Data'!C941</f>
        <v>Male</v>
      </c>
      <c r="D941" s="7" t="str">
        <f aca="false">'Raw Data'!D941</f>
        <v>Never</v>
      </c>
      <c r="E941" s="7" t="str">
        <f aca="false">'Raw Data'!J941</f>
        <v>Low</v>
      </c>
      <c r="F941" s="7" t="n">
        <f aca="false">'Raw Data'!K941</f>
        <v>173.6</v>
      </c>
      <c r="G941" s="7" t="str">
        <f aca="false">'Raw Data'!L941</f>
        <v>No</v>
      </c>
      <c r="H941" s="7" t="str">
        <f aca="false">'Raw Data'!M941</f>
        <v>Low</v>
      </c>
      <c r="I941" s="7" t="n">
        <f aca="false">(IF(D941="Current",3,IF(D941="Former",1,0)))+(IF(E941="High",3,IF(E941="Normal",1,0)))+(IF(F941&gt;=240,2,IF(F941&gt;=200,1,0)))+(IF(G941="Yes",2,0))+(IF(H941="High",2,IF(H941="Moderate",1,0)))</f>
        <v>0</v>
      </c>
      <c r="J941" s="7" t="str">
        <f aca="false">IF(I941&gt;=8,"High",IF(I941&gt;=4,"Medium","Low"))</f>
        <v>Low</v>
      </c>
    </row>
    <row r="942" customFormat="false" ht="15" hidden="false" customHeight="true" outlineLevel="0" collapsed="false">
      <c r="A942" s="7" t="n">
        <f aca="false">'Raw Data'!A942</f>
        <v>529</v>
      </c>
      <c r="B942" s="7" t="n">
        <f aca="false">'Raw Data'!B942</f>
        <v>61</v>
      </c>
      <c r="C942" s="7" t="str">
        <f aca="false">'Raw Data'!C942</f>
        <v>Male</v>
      </c>
      <c r="D942" s="7" t="str">
        <f aca="false">'Raw Data'!D942</f>
        <v>Never</v>
      </c>
      <c r="E942" s="7" t="str">
        <f aca="false">'Raw Data'!J942</f>
        <v>Low</v>
      </c>
      <c r="F942" s="7" t="n">
        <f aca="false">'Raw Data'!K942</f>
        <v>202.2</v>
      </c>
      <c r="G942" s="7" t="str">
        <f aca="false">'Raw Data'!L942</f>
        <v>No</v>
      </c>
      <c r="H942" s="7" t="str">
        <f aca="false">'Raw Data'!M942</f>
        <v>Low</v>
      </c>
      <c r="I942" s="7" t="n">
        <f aca="false">(IF(D942="Current",3,IF(D942="Former",1,0)))+(IF(E942="High",3,IF(E942="Normal",1,0)))+(IF(F942&gt;=240,2,IF(F942&gt;=200,1,0)))+(IF(G942="Yes",2,0))+(IF(H942="High",2,IF(H942="Moderate",1,0)))</f>
        <v>1</v>
      </c>
      <c r="J942" s="7" t="str">
        <f aca="false">IF(I942&gt;=8,"High",IF(I942&gt;=4,"Medium","Low"))</f>
        <v>Low</v>
      </c>
    </row>
    <row r="943" customFormat="false" ht="15" hidden="false" customHeight="true" outlineLevel="0" collapsed="false">
      <c r="A943" s="7" t="n">
        <f aca="false">'Raw Data'!A943</f>
        <v>575</v>
      </c>
      <c r="B943" s="7" t="n">
        <f aca="false">'Raw Data'!B943</f>
        <v>71</v>
      </c>
      <c r="C943" s="7" t="str">
        <f aca="false">'Raw Data'!C943</f>
        <v>Female</v>
      </c>
      <c r="D943" s="7" t="str">
        <f aca="false">'Raw Data'!D943</f>
        <v>Never</v>
      </c>
      <c r="E943" s="7" t="str">
        <f aca="false">'Raw Data'!J943</f>
        <v>Low</v>
      </c>
      <c r="F943" s="7" t="n">
        <f aca="false">'Raw Data'!K943</f>
        <v>196.5</v>
      </c>
      <c r="G943" s="7" t="str">
        <f aca="false">'Raw Data'!L943</f>
        <v>No</v>
      </c>
      <c r="H943" s="7" t="str">
        <f aca="false">'Raw Data'!M943</f>
        <v>Low</v>
      </c>
      <c r="I943" s="7" t="n">
        <f aca="false">(IF(D943="Current",3,IF(D943="Former",1,0)))+(IF(E943="High",3,IF(E943="Normal",1,0)))+(IF(F943&gt;=240,2,IF(F943&gt;=200,1,0)))+(IF(G943="Yes",2,0))+(IF(H943="High",2,IF(H943="Moderate",1,0)))</f>
        <v>0</v>
      </c>
      <c r="J943" s="7" t="str">
        <f aca="false">IF(I943&gt;=8,"High",IF(I943&gt;=4,"Medium","Low"))</f>
        <v>Low</v>
      </c>
    </row>
    <row r="944" customFormat="false" ht="15" hidden="false" customHeight="true" outlineLevel="0" collapsed="false">
      <c r="A944" s="7" t="n">
        <f aca="false">'Raw Data'!A944</f>
        <v>584</v>
      </c>
      <c r="B944" s="7" t="n">
        <f aca="false">'Raw Data'!B944</f>
        <v>73</v>
      </c>
      <c r="C944" s="7" t="str">
        <f aca="false">'Raw Data'!C944</f>
        <v>Male</v>
      </c>
      <c r="D944" s="7" t="str">
        <f aca="false">'Raw Data'!D944</f>
        <v>Never</v>
      </c>
      <c r="E944" s="7" t="str">
        <f aca="false">'Raw Data'!J944</f>
        <v>Low</v>
      </c>
      <c r="F944" s="7" t="n">
        <f aca="false">'Raw Data'!K944</f>
        <v>224.8</v>
      </c>
      <c r="G944" s="7" t="str">
        <f aca="false">'Raw Data'!L944</f>
        <v>Yes</v>
      </c>
      <c r="H944" s="7" t="str">
        <f aca="false">'Raw Data'!M944</f>
        <v>Low</v>
      </c>
      <c r="I944" s="7" t="n">
        <f aca="false">(IF(D944="Current",3,IF(D944="Former",1,0)))+(IF(E944="High",3,IF(E944="Normal",1,0)))+(IF(F944&gt;=240,2,IF(F944&gt;=200,1,0)))+(IF(G944="Yes",2,0))+(IF(H944="High",2,IF(H944="Moderate",1,0)))</f>
        <v>3</v>
      </c>
      <c r="J944" s="7" t="str">
        <f aca="false">IF(I944&gt;=8,"High",IF(I944&gt;=4,"Medium","Low"))</f>
        <v>Low</v>
      </c>
    </row>
    <row r="945" customFormat="false" ht="15" hidden="false" customHeight="true" outlineLevel="0" collapsed="false">
      <c r="A945" s="7" t="n">
        <f aca="false">'Raw Data'!A945</f>
        <v>597</v>
      </c>
      <c r="B945" s="7" t="n">
        <f aca="false">'Raw Data'!B945</f>
        <v>46</v>
      </c>
      <c r="C945" s="7" t="str">
        <f aca="false">'Raw Data'!C945</f>
        <v>Male</v>
      </c>
      <c r="D945" s="7" t="str">
        <f aca="false">'Raw Data'!D945</f>
        <v>Never</v>
      </c>
      <c r="E945" s="7" t="str">
        <f aca="false">'Raw Data'!J945</f>
        <v>Low</v>
      </c>
      <c r="F945" s="7" t="n">
        <f aca="false">'Raw Data'!K945</f>
        <v>232.1</v>
      </c>
      <c r="G945" s="7" t="str">
        <f aca="false">'Raw Data'!L945</f>
        <v>No</v>
      </c>
      <c r="H945" s="7" t="str">
        <f aca="false">'Raw Data'!M945</f>
        <v>Low</v>
      </c>
      <c r="I945" s="7" t="n">
        <f aca="false">(IF(D945="Current",3,IF(D945="Former",1,0)))+(IF(E945="High",3,IF(E945="Normal",1,0)))+(IF(F945&gt;=240,2,IF(F945&gt;=200,1,0)))+(IF(G945="Yes",2,0))+(IF(H945="High",2,IF(H945="Moderate",1,0)))</f>
        <v>1</v>
      </c>
      <c r="J945" s="7" t="str">
        <f aca="false">IF(I945&gt;=8,"High",IF(I945&gt;=4,"Medium","Low"))</f>
        <v>Low</v>
      </c>
    </row>
    <row r="946" customFormat="false" ht="15" hidden="false" customHeight="true" outlineLevel="0" collapsed="false">
      <c r="A946" s="7" t="n">
        <f aca="false">'Raw Data'!A946</f>
        <v>623</v>
      </c>
      <c r="B946" s="7" t="n">
        <f aca="false">'Raw Data'!B946</f>
        <v>59</v>
      </c>
      <c r="C946" s="7" t="str">
        <f aca="false">'Raw Data'!C946</f>
        <v>Female</v>
      </c>
      <c r="D946" s="7" t="str">
        <f aca="false">'Raw Data'!D946</f>
        <v>Never</v>
      </c>
      <c r="E946" s="7" t="str">
        <f aca="false">'Raw Data'!J946</f>
        <v>Low</v>
      </c>
      <c r="F946" s="7" t="n">
        <f aca="false">'Raw Data'!K946</f>
        <v>209.4</v>
      </c>
      <c r="G946" s="7" t="str">
        <f aca="false">'Raw Data'!L946</f>
        <v>Yes</v>
      </c>
      <c r="H946" s="7" t="str">
        <f aca="false">'Raw Data'!M946</f>
        <v>Low</v>
      </c>
      <c r="I946" s="7" t="n">
        <f aca="false">(IF(D946="Current",3,IF(D946="Former",1,0)))+(IF(E946="High",3,IF(E946="Normal",1,0)))+(IF(F946&gt;=240,2,IF(F946&gt;=200,1,0)))+(IF(G946="Yes",2,0))+(IF(H946="High",2,IF(H946="Moderate",1,0)))</f>
        <v>3</v>
      </c>
      <c r="J946" s="7" t="str">
        <f aca="false">IF(I946&gt;=8,"High",IF(I946&gt;=4,"Medium","Low"))</f>
        <v>Low</v>
      </c>
    </row>
    <row r="947" customFormat="false" ht="15" hidden="false" customHeight="true" outlineLevel="0" collapsed="false">
      <c r="A947" s="7" t="n">
        <f aca="false">'Raw Data'!A947</f>
        <v>636</v>
      </c>
      <c r="B947" s="7" t="n">
        <f aca="false">'Raw Data'!B947</f>
        <v>53</v>
      </c>
      <c r="C947" s="7" t="str">
        <f aca="false">'Raw Data'!C947</f>
        <v>Male</v>
      </c>
      <c r="D947" s="7" t="str">
        <f aca="false">'Raw Data'!D947</f>
        <v>Never</v>
      </c>
      <c r="E947" s="7" t="str">
        <f aca="false">'Raw Data'!J947</f>
        <v>Low</v>
      </c>
      <c r="F947" s="7" t="n">
        <f aca="false">'Raw Data'!K947</f>
        <v>154.2</v>
      </c>
      <c r="G947" s="7" t="str">
        <f aca="false">'Raw Data'!L947</f>
        <v>No</v>
      </c>
      <c r="H947" s="7" t="str">
        <f aca="false">'Raw Data'!M947</f>
        <v>Low</v>
      </c>
      <c r="I947" s="7" t="n">
        <f aca="false">(IF(D947="Current",3,IF(D947="Former",1,0)))+(IF(E947="High",3,IF(E947="Normal",1,0)))+(IF(F947&gt;=240,2,IF(F947&gt;=200,1,0)))+(IF(G947="Yes",2,0))+(IF(H947="High",2,IF(H947="Moderate",1,0)))</f>
        <v>0</v>
      </c>
      <c r="J947" s="7" t="str">
        <f aca="false">IF(I947&gt;=8,"High",IF(I947&gt;=4,"Medium","Low"))</f>
        <v>Low</v>
      </c>
    </row>
    <row r="948" customFormat="false" ht="15" hidden="false" customHeight="true" outlineLevel="0" collapsed="false">
      <c r="A948" s="7" t="n">
        <f aca="false">'Raw Data'!A948</f>
        <v>669</v>
      </c>
      <c r="B948" s="7" t="n">
        <f aca="false">'Raw Data'!B948</f>
        <v>85</v>
      </c>
      <c r="C948" s="7" t="str">
        <f aca="false">'Raw Data'!C948</f>
        <v>Male</v>
      </c>
      <c r="D948" s="7" t="str">
        <f aca="false">'Raw Data'!D948</f>
        <v>Never</v>
      </c>
      <c r="E948" s="7" t="str">
        <f aca="false">'Raw Data'!J948</f>
        <v>Low</v>
      </c>
      <c r="F948" s="7" t="n">
        <f aca="false">'Raw Data'!K948</f>
        <v>182.2</v>
      </c>
      <c r="G948" s="7" t="str">
        <f aca="false">'Raw Data'!L948</f>
        <v>No</v>
      </c>
      <c r="H948" s="7" t="str">
        <f aca="false">'Raw Data'!M948</f>
        <v>Low</v>
      </c>
      <c r="I948" s="7" t="n">
        <f aca="false">(IF(D948="Current",3,IF(D948="Former",1,0)))+(IF(E948="High",3,IF(E948="Normal",1,0)))+(IF(F948&gt;=240,2,IF(F948&gt;=200,1,0)))+(IF(G948="Yes",2,0))+(IF(H948="High",2,IF(H948="Moderate",1,0)))</f>
        <v>0</v>
      </c>
      <c r="J948" s="7" t="str">
        <f aca="false">IF(I948&gt;=8,"High",IF(I948&gt;=4,"Medium","Low"))</f>
        <v>Low</v>
      </c>
    </row>
    <row r="949" customFormat="false" ht="15" hidden="false" customHeight="true" outlineLevel="0" collapsed="false">
      <c r="A949" s="7" t="n">
        <f aca="false">'Raw Data'!A949</f>
        <v>674</v>
      </c>
      <c r="B949" s="7" t="n">
        <f aca="false">'Raw Data'!B949</f>
        <v>35</v>
      </c>
      <c r="C949" s="7" t="str">
        <f aca="false">'Raw Data'!C949</f>
        <v>Female</v>
      </c>
      <c r="D949" s="7" t="str">
        <f aca="false">'Raw Data'!D949</f>
        <v>Never</v>
      </c>
      <c r="E949" s="7" t="str">
        <f aca="false">'Raw Data'!J949</f>
        <v>Low</v>
      </c>
      <c r="F949" s="7" t="n">
        <f aca="false">'Raw Data'!K949</f>
        <v>198.8</v>
      </c>
      <c r="G949" s="7" t="str">
        <f aca="false">'Raw Data'!L949</f>
        <v>Yes</v>
      </c>
      <c r="H949" s="7" t="str">
        <f aca="false">'Raw Data'!M949</f>
        <v>Low</v>
      </c>
      <c r="I949" s="7" t="n">
        <f aca="false">(IF(D949="Current",3,IF(D949="Former",1,0)))+(IF(E949="High",3,IF(E949="Normal",1,0)))+(IF(F949&gt;=240,2,IF(F949&gt;=200,1,0)))+(IF(G949="Yes",2,0))+(IF(H949="High",2,IF(H949="Moderate",1,0)))</f>
        <v>2</v>
      </c>
      <c r="J949" s="7" t="str">
        <f aca="false">IF(I949&gt;=8,"High",IF(I949&gt;=4,"Medium","Low"))</f>
        <v>Low</v>
      </c>
    </row>
    <row r="950" customFormat="false" ht="15" hidden="false" customHeight="true" outlineLevel="0" collapsed="false">
      <c r="A950" s="7" t="n">
        <f aca="false">'Raw Data'!A950</f>
        <v>676</v>
      </c>
      <c r="B950" s="7" t="n">
        <f aca="false">'Raw Data'!B950</f>
        <v>41</v>
      </c>
      <c r="C950" s="7" t="str">
        <f aca="false">'Raw Data'!C950</f>
        <v>Female</v>
      </c>
      <c r="D950" s="7" t="str">
        <f aca="false">'Raw Data'!D950</f>
        <v>Never</v>
      </c>
      <c r="E950" s="7" t="str">
        <f aca="false">'Raw Data'!J950</f>
        <v>Low</v>
      </c>
      <c r="F950" s="7" t="n">
        <f aca="false">'Raw Data'!K950</f>
        <v>279.9</v>
      </c>
      <c r="G950" s="7" t="str">
        <f aca="false">'Raw Data'!L950</f>
        <v>No</v>
      </c>
      <c r="H950" s="7" t="str">
        <f aca="false">'Raw Data'!M950</f>
        <v>Low</v>
      </c>
      <c r="I950" s="7" t="n">
        <f aca="false">(IF(D950="Current",3,IF(D950="Former",1,0)))+(IF(E950="High",3,IF(E950="Normal",1,0)))+(IF(F950&gt;=240,2,IF(F950&gt;=200,1,0)))+(IF(G950="Yes",2,0))+(IF(H950="High",2,IF(H950="Moderate",1,0)))</f>
        <v>2</v>
      </c>
      <c r="J950" s="7" t="str">
        <f aca="false">IF(I950&gt;=8,"High",IF(I950&gt;=4,"Medium","Low"))</f>
        <v>Low</v>
      </c>
    </row>
    <row r="951" customFormat="false" ht="15" hidden="false" customHeight="true" outlineLevel="0" collapsed="false">
      <c r="A951" s="7" t="n">
        <f aca="false">'Raw Data'!A951</f>
        <v>697</v>
      </c>
      <c r="B951" s="7" t="n">
        <f aca="false">'Raw Data'!B951</f>
        <v>75</v>
      </c>
      <c r="C951" s="7" t="str">
        <f aca="false">'Raw Data'!C951</f>
        <v>Male</v>
      </c>
      <c r="D951" s="7" t="str">
        <f aca="false">'Raw Data'!D951</f>
        <v>Never</v>
      </c>
      <c r="E951" s="7" t="str">
        <f aca="false">'Raw Data'!J951</f>
        <v>Low</v>
      </c>
      <c r="F951" s="7" t="n">
        <f aca="false">'Raw Data'!K951</f>
        <v>172.3</v>
      </c>
      <c r="G951" s="7" t="str">
        <f aca="false">'Raw Data'!L951</f>
        <v>No</v>
      </c>
      <c r="H951" s="7" t="str">
        <f aca="false">'Raw Data'!M951</f>
        <v>Low</v>
      </c>
      <c r="I951" s="7" t="n">
        <f aca="false">(IF(D951="Current",3,IF(D951="Former",1,0)))+(IF(E951="High",3,IF(E951="Normal",1,0)))+(IF(F951&gt;=240,2,IF(F951&gt;=200,1,0)))+(IF(G951="Yes",2,0))+(IF(H951="High",2,IF(H951="Moderate",1,0)))</f>
        <v>0</v>
      </c>
      <c r="J951" s="7" t="str">
        <f aca="false">IF(I951&gt;=8,"High",IF(I951&gt;=4,"Medium","Low"))</f>
        <v>Low</v>
      </c>
    </row>
    <row r="952" customFormat="false" ht="15" hidden="false" customHeight="true" outlineLevel="0" collapsed="false">
      <c r="A952" s="7" t="n">
        <f aca="false">'Raw Data'!A952</f>
        <v>736</v>
      </c>
      <c r="B952" s="7" t="n">
        <f aca="false">'Raw Data'!B952</f>
        <v>44</v>
      </c>
      <c r="C952" s="7" t="str">
        <f aca="false">'Raw Data'!C952</f>
        <v>Female</v>
      </c>
      <c r="D952" s="7" t="str">
        <f aca="false">'Raw Data'!D952</f>
        <v>Never</v>
      </c>
      <c r="E952" s="7" t="str">
        <f aca="false">'Raw Data'!J952</f>
        <v>Low</v>
      </c>
      <c r="F952" s="7" t="n">
        <f aca="false">'Raw Data'!K952</f>
        <v>223.7</v>
      </c>
      <c r="G952" s="7" t="str">
        <f aca="false">'Raw Data'!L952</f>
        <v>No</v>
      </c>
      <c r="H952" s="7" t="str">
        <f aca="false">'Raw Data'!M952</f>
        <v>Low</v>
      </c>
      <c r="I952" s="7" t="n">
        <f aca="false">(IF(D952="Current",3,IF(D952="Former",1,0)))+(IF(E952="High",3,IF(E952="Normal",1,0)))+(IF(F952&gt;=240,2,IF(F952&gt;=200,1,0)))+(IF(G952="Yes",2,0))+(IF(H952="High",2,IF(H952="Moderate",1,0)))</f>
        <v>1</v>
      </c>
      <c r="J952" s="7" t="str">
        <f aca="false">IF(I952&gt;=8,"High",IF(I952&gt;=4,"Medium","Low"))</f>
        <v>Low</v>
      </c>
    </row>
    <row r="953" customFormat="false" ht="15" hidden="false" customHeight="true" outlineLevel="0" collapsed="false">
      <c r="A953" s="7" t="n">
        <f aca="false">'Raw Data'!A953</f>
        <v>763</v>
      </c>
      <c r="B953" s="7" t="n">
        <f aca="false">'Raw Data'!B953</f>
        <v>23</v>
      </c>
      <c r="C953" s="7" t="str">
        <f aca="false">'Raw Data'!C953</f>
        <v>Male</v>
      </c>
      <c r="D953" s="7" t="str">
        <f aca="false">'Raw Data'!D953</f>
        <v>Never</v>
      </c>
      <c r="E953" s="7" t="str">
        <f aca="false">'Raw Data'!J953</f>
        <v>Low</v>
      </c>
      <c r="F953" s="7" t="n">
        <f aca="false">'Raw Data'!K953</f>
        <v>298.2</v>
      </c>
      <c r="G953" s="7" t="str">
        <f aca="false">'Raw Data'!L953</f>
        <v>Yes</v>
      </c>
      <c r="H953" s="7" t="str">
        <f aca="false">'Raw Data'!M953</f>
        <v>Low</v>
      </c>
      <c r="I953" s="7" t="n">
        <f aca="false">(IF(D953="Current",3,IF(D953="Former",1,0)))+(IF(E953="High",3,IF(E953="Normal",1,0)))+(IF(F953&gt;=240,2,IF(F953&gt;=200,1,0)))+(IF(G953="Yes",2,0))+(IF(H953="High",2,IF(H953="Moderate",1,0)))</f>
        <v>4</v>
      </c>
      <c r="J953" s="7" t="str">
        <f aca="false">IF(I953&gt;=8,"High",IF(I953&gt;=4,"Medium","Low"))</f>
        <v>Medium</v>
      </c>
    </row>
    <row r="954" customFormat="false" ht="15" hidden="false" customHeight="true" outlineLevel="0" collapsed="false">
      <c r="A954" s="7" t="n">
        <f aca="false">'Raw Data'!A954</f>
        <v>790</v>
      </c>
      <c r="B954" s="7" t="n">
        <f aca="false">'Raw Data'!B954</f>
        <v>73</v>
      </c>
      <c r="C954" s="7" t="str">
        <f aca="false">'Raw Data'!C954</f>
        <v>Female</v>
      </c>
      <c r="D954" s="7" t="str">
        <f aca="false">'Raw Data'!D954</f>
        <v>Never</v>
      </c>
      <c r="E954" s="7" t="str">
        <f aca="false">'Raw Data'!J954</f>
        <v>Low</v>
      </c>
      <c r="F954" s="7" t="n">
        <f aca="false">'Raw Data'!K954</f>
        <v>182.2</v>
      </c>
      <c r="G954" s="7" t="str">
        <f aca="false">'Raw Data'!L954</f>
        <v>No</v>
      </c>
      <c r="H954" s="7" t="str">
        <f aca="false">'Raw Data'!M954</f>
        <v>Low</v>
      </c>
      <c r="I954" s="7" t="n">
        <f aca="false">(IF(D954="Current",3,IF(D954="Former",1,0)))+(IF(E954="High",3,IF(E954="Normal",1,0)))+(IF(F954&gt;=240,2,IF(F954&gt;=200,1,0)))+(IF(G954="Yes",2,0))+(IF(H954="High",2,IF(H954="Moderate",1,0)))</f>
        <v>0</v>
      </c>
      <c r="J954" s="7" t="str">
        <f aca="false">IF(I954&gt;=8,"High",IF(I954&gt;=4,"Medium","Low"))</f>
        <v>Low</v>
      </c>
    </row>
    <row r="955" customFormat="false" ht="15" hidden="false" customHeight="true" outlineLevel="0" collapsed="false">
      <c r="A955" s="7" t="n">
        <f aca="false">'Raw Data'!A955</f>
        <v>813</v>
      </c>
      <c r="B955" s="7" t="n">
        <f aca="false">'Raw Data'!B955</f>
        <v>53</v>
      </c>
      <c r="C955" s="7" t="str">
        <f aca="false">'Raw Data'!C955</f>
        <v>Female</v>
      </c>
      <c r="D955" s="7" t="str">
        <f aca="false">'Raw Data'!D955</f>
        <v>Never</v>
      </c>
      <c r="E955" s="7" t="str">
        <f aca="false">'Raw Data'!J955</f>
        <v>Low</v>
      </c>
      <c r="F955" s="7" t="n">
        <f aca="false">'Raw Data'!K955</f>
        <v>279.2</v>
      </c>
      <c r="G955" s="7" t="str">
        <f aca="false">'Raw Data'!L955</f>
        <v>No</v>
      </c>
      <c r="H955" s="7" t="str">
        <f aca="false">'Raw Data'!M955</f>
        <v>Low</v>
      </c>
      <c r="I955" s="7" t="n">
        <f aca="false">(IF(D955="Current",3,IF(D955="Former",1,0)))+(IF(E955="High",3,IF(E955="Normal",1,0)))+(IF(F955&gt;=240,2,IF(F955&gt;=200,1,0)))+(IF(G955="Yes",2,0))+(IF(H955="High",2,IF(H955="Moderate",1,0)))</f>
        <v>2</v>
      </c>
      <c r="J955" s="7" t="str">
        <f aca="false">IF(I955&gt;=8,"High",IF(I955&gt;=4,"Medium","Low"))</f>
        <v>Low</v>
      </c>
    </row>
    <row r="956" customFormat="false" ht="15" hidden="false" customHeight="true" outlineLevel="0" collapsed="false">
      <c r="A956" s="7" t="n">
        <f aca="false">'Raw Data'!A956</f>
        <v>878</v>
      </c>
      <c r="B956" s="7" t="n">
        <f aca="false">'Raw Data'!B956</f>
        <v>32</v>
      </c>
      <c r="C956" s="7" t="str">
        <f aca="false">'Raw Data'!C956</f>
        <v>Female</v>
      </c>
      <c r="D956" s="7" t="str">
        <f aca="false">'Raw Data'!D956</f>
        <v>Never</v>
      </c>
      <c r="E956" s="7" t="str">
        <f aca="false">'Raw Data'!J956</f>
        <v>Low</v>
      </c>
      <c r="F956" s="7" t="n">
        <f aca="false">'Raw Data'!K956</f>
        <v>138.7</v>
      </c>
      <c r="G956" s="7" t="str">
        <f aca="false">'Raw Data'!L956</f>
        <v>Yes</v>
      </c>
      <c r="H956" s="7" t="str">
        <f aca="false">'Raw Data'!M956</f>
        <v>Low</v>
      </c>
      <c r="I956" s="7" t="n">
        <f aca="false">(IF(D956="Current",3,IF(D956="Former",1,0)))+(IF(E956="High",3,IF(E956="Normal",1,0)))+(IF(F956&gt;=240,2,IF(F956&gt;=200,1,0)))+(IF(G956="Yes",2,0))+(IF(H956="High",2,IF(H956="Moderate",1,0)))</f>
        <v>2</v>
      </c>
      <c r="J956" s="7" t="str">
        <f aca="false">IF(I956&gt;=8,"High",IF(I956&gt;=4,"Medium","Low"))</f>
        <v>Low</v>
      </c>
    </row>
    <row r="957" customFormat="false" ht="15" hidden="false" customHeight="true" outlineLevel="0" collapsed="false">
      <c r="A957" s="7" t="n">
        <f aca="false">'Raw Data'!A957</f>
        <v>894</v>
      </c>
      <c r="B957" s="7" t="n">
        <f aca="false">'Raw Data'!B957</f>
        <v>67</v>
      </c>
      <c r="C957" s="7" t="str">
        <f aca="false">'Raw Data'!C957</f>
        <v>Male</v>
      </c>
      <c r="D957" s="7" t="str">
        <f aca="false">'Raw Data'!D957</f>
        <v>Never</v>
      </c>
      <c r="E957" s="7" t="str">
        <f aca="false">'Raw Data'!J957</f>
        <v>Low</v>
      </c>
      <c r="F957" s="7" t="n">
        <f aca="false">'Raw Data'!K957</f>
        <v>146.6</v>
      </c>
      <c r="G957" s="7" t="str">
        <f aca="false">'Raw Data'!L957</f>
        <v>No</v>
      </c>
      <c r="H957" s="7" t="str">
        <f aca="false">'Raw Data'!M957</f>
        <v>Low</v>
      </c>
      <c r="I957" s="7" t="n">
        <f aca="false">(IF(D957="Current",3,IF(D957="Former",1,0)))+(IF(E957="High",3,IF(E957="Normal",1,0)))+(IF(F957&gt;=240,2,IF(F957&gt;=200,1,0)))+(IF(G957="Yes",2,0))+(IF(H957="High",2,IF(H957="Moderate",1,0)))</f>
        <v>0</v>
      </c>
      <c r="J957" s="7" t="str">
        <f aca="false">IF(I957&gt;=8,"High",IF(I957&gt;=4,"Medium","Low"))</f>
        <v>Low</v>
      </c>
    </row>
    <row r="958" customFormat="false" ht="15" hidden="false" customHeight="true" outlineLevel="0" collapsed="false">
      <c r="A958" s="7" t="n">
        <f aca="false">'Raw Data'!A958</f>
        <v>912</v>
      </c>
      <c r="B958" s="7" t="n">
        <f aca="false">'Raw Data'!B958</f>
        <v>62</v>
      </c>
      <c r="C958" s="7" t="str">
        <f aca="false">'Raw Data'!C958</f>
        <v>Female</v>
      </c>
      <c r="D958" s="7" t="str">
        <f aca="false">'Raw Data'!D958</f>
        <v>Never</v>
      </c>
      <c r="E958" s="7" t="str">
        <f aca="false">'Raw Data'!J958</f>
        <v>Low</v>
      </c>
      <c r="F958" s="7" t="n">
        <f aca="false">'Raw Data'!K958</f>
        <v>191.8</v>
      </c>
      <c r="G958" s="7" t="str">
        <f aca="false">'Raw Data'!L958</f>
        <v>No</v>
      </c>
      <c r="H958" s="7" t="str">
        <f aca="false">'Raw Data'!M958</f>
        <v>Low</v>
      </c>
      <c r="I958" s="7" t="n">
        <f aca="false">(IF(D958="Current",3,IF(D958="Former",1,0)))+(IF(E958="High",3,IF(E958="Normal",1,0)))+(IF(F958&gt;=240,2,IF(F958&gt;=200,1,0)))+(IF(G958="Yes",2,0))+(IF(H958="High",2,IF(H958="Moderate",1,0)))</f>
        <v>0</v>
      </c>
      <c r="J958" s="7" t="str">
        <f aca="false">IF(I958&gt;=8,"High",IF(I958&gt;=4,"Medium","Low"))</f>
        <v>Low</v>
      </c>
    </row>
    <row r="959" customFormat="false" ht="15" hidden="false" customHeight="true" outlineLevel="0" collapsed="false">
      <c r="A959" s="7" t="n">
        <f aca="false">'Raw Data'!A959</f>
        <v>927</v>
      </c>
      <c r="B959" s="7" t="n">
        <f aca="false">'Raw Data'!B959</f>
        <v>87</v>
      </c>
      <c r="C959" s="7" t="str">
        <f aca="false">'Raw Data'!C959</f>
        <v>Female</v>
      </c>
      <c r="D959" s="7" t="str">
        <f aca="false">'Raw Data'!D959</f>
        <v>Never</v>
      </c>
      <c r="E959" s="7" t="str">
        <f aca="false">'Raw Data'!J959</f>
        <v>Low</v>
      </c>
      <c r="F959" s="7" t="n">
        <f aca="false">'Raw Data'!K959</f>
        <v>256.3</v>
      </c>
      <c r="G959" s="7" t="str">
        <f aca="false">'Raw Data'!L959</f>
        <v>Yes</v>
      </c>
      <c r="H959" s="7" t="str">
        <f aca="false">'Raw Data'!M959</f>
        <v>Low</v>
      </c>
      <c r="I959" s="7" t="n">
        <f aca="false">(IF(D959="Current",3,IF(D959="Former",1,0)))+(IF(E959="High",3,IF(E959="Normal",1,0)))+(IF(F959&gt;=240,2,IF(F959&gt;=200,1,0)))+(IF(G959="Yes",2,0))+(IF(H959="High",2,IF(H959="Moderate",1,0)))</f>
        <v>4</v>
      </c>
      <c r="J959" s="7" t="str">
        <f aca="false">IF(I959&gt;=8,"High",IF(I959&gt;=4,"Medium","Low"))</f>
        <v>Medium</v>
      </c>
    </row>
    <row r="960" customFormat="false" ht="15" hidden="false" customHeight="true" outlineLevel="0" collapsed="false">
      <c r="A960" s="7" t="n">
        <f aca="false">'Raw Data'!A960</f>
        <v>946</v>
      </c>
      <c r="B960" s="7" t="n">
        <f aca="false">'Raw Data'!B960</f>
        <v>46</v>
      </c>
      <c r="C960" s="7" t="str">
        <f aca="false">'Raw Data'!C960</f>
        <v>Female</v>
      </c>
      <c r="D960" s="7" t="str">
        <f aca="false">'Raw Data'!D960</f>
        <v>Never</v>
      </c>
      <c r="E960" s="7" t="str">
        <f aca="false">'Raw Data'!J960</f>
        <v>Low</v>
      </c>
      <c r="F960" s="7" t="n">
        <f aca="false">'Raw Data'!K960</f>
        <v>270.1</v>
      </c>
      <c r="G960" s="7" t="str">
        <f aca="false">'Raw Data'!L960</f>
        <v>Yes</v>
      </c>
      <c r="H960" s="7" t="str">
        <f aca="false">'Raw Data'!M960</f>
        <v>Low</v>
      </c>
      <c r="I960" s="7" t="n">
        <f aca="false">(IF(D960="Current",3,IF(D960="Former",1,0)))+(IF(E960="High",3,IF(E960="Normal",1,0)))+(IF(F960&gt;=240,2,IF(F960&gt;=200,1,0)))+(IF(G960="Yes",2,0))+(IF(H960="High",2,IF(H960="Moderate",1,0)))</f>
        <v>4</v>
      </c>
      <c r="J960" s="7" t="str">
        <f aca="false">IF(I960&gt;=8,"High",IF(I960&gt;=4,"Medium","Low"))</f>
        <v>Medium</v>
      </c>
    </row>
    <row r="961" customFormat="false" ht="15" hidden="false" customHeight="true" outlineLevel="0" collapsed="false">
      <c r="A961" s="7" t="n">
        <f aca="false">'Raw Data'!A961</f>
        <v>959</v>
      </c>
      <c r="B961" s="7" t="n">
        <f aca="false">'Raw Data'!B961</f>
        <v>88</v>
      </c>
      <c r="C961" s="7" t="str">
        <f aca="false">'Raw Data'!C961</f>
        <v>Male</v>
      </c>
      <c r="D961" s="7" t="str">
        <f aca="false">'Raw Data'!D961</f>
        <v>Never</v>
      </c>
      <c r="E961" s="7" t="str">
        <f aca="false">'Raw Data'!J961</f>
        <v>Low</v>
      </c>
      <c r="F961" s="7" t="n">
        <f aca="false">'Raw Data'!K961</f>
        <v>146.2</v>
      </c>
      <c r="G961" s="7" t="str">
        <f aca="false">'Raw Data'!L961</f>
        <v>Yes</v>
      </c>
      <c r="H961" s="7" t="str">
        <f aca="false">'Raw Data'!M961</f>
        <v>Low</v>
      </c>
      <c r="I961" s="7" t="n">
        <f aca="false">(IF(D961="Current",3,IF(D961="Former",1,0)))+(IF(E961="High",3,IF(E961="Normal",1,0)))+(IF(F961&gt;=240,2,IF(F961&gt;=200,1,0)))+(IF(G961="Yes",2,0))+(IF(H961="High",2,IF(H961="Moderate",1,0)))</f>
        <v>2</v>
      </c>
      <c r="J961" s="7" t="str">
        <f aca="false">IF(I961&gt;=8,"High",IF(I961&gt;=4,"Medium","Low"))</f>
        <v>Low</v>
      </c>
    </row>
    <row r="962" customFormat="false" ht="15" hidden="false" customHeight="true" outlineLevel="0" collapsed="false">
      <c r="A962" s="7" t="n">
        <f aca="false">'Raw Data'!A962</f>
        <v>977</v>
      </c>
      <c r="B962" s="7" t="n">
        <f aca="false">'Raw Data'!B962</f>
        <v>68</v>
      </c>
      <c r="C962" s="7" t="str">
        <f aca="false">'Raw Data'!C962</f>
        <v>Female</v>
      </c>
      <c r="D962" s="7" t="str">
        <f aca="false">'Raw Data'!D962</f>
        <v>Never</v>
      </c>
      <c r="E962" s="7" t="str">
        <f aca="false">'Raw Data'!J962</f>
        <v>Low</v>
      </c>
      <c r="F962" s="7" t="n">
        <f aca="false">'Raw Data'!K962</f>
        <v>213.4</v>
      </c>
      <c r="G962" s="7" t="str">
        <f aca="false">'Raw Data'!L962</f>
        <v>No</v>
      </c>
      <c r="H962" s="7" t="str">
        <f aca="false">'Raw Data'!M962</f>
        <v>Low</v>
      </c>
      <c r="I962" s="7" t="n">
        <f aca="false">(IF(D962="Current",3,IF(D962="Former",1,0)))+(IF(E962="High",3,IF(E962="Normal",1,0)))+(IF(F962&gt;=240,2,IF(F962&gt;=200,1,0)))+(IF(G962="Yes",2,0))+(IF(H962="High",2,IF(H962="Moderate",1,0)))</f>
        <v>1</v>
      </c>
      <c r="J962" s="7" t="str">
        <f aca="false">IF(I962&gt;=8,"High",IF(I962&gt;=4,"Medium","Low"))</f>
        <v>Low</v>
      </c>
    </row>
    <row r="963" customFormat="false" ht="15" hidden="false" customHeight="true" outlineLevel="0" collapsed="false">
      <c r="A963" s="7" t="n">
        <f aca="false">'Raw Data'!A963</f>
        <v>1043</v>
      </c>
      <c r="B963" s="7" t="n">
        <f aca="false">'Raw Data'!B963</f>
        <v>85</v>
      </c>
      <c r="C963" s="7" t="str">
        <f aca="false">'Raw Data'!C963</f>
        <v>Female</v>
      </c>
      <c r="D963" s="7" t="str">
        <f aca="false">'Raw Data'!D963</f>
        <v>Never</v>
      </c>
      <c r="E963" s="7" t="str">
        <f aca="false">'Raw Data'!J963</f>
        <v>Low</v>
      </c>
      <c r="F963" s="7" t="n">
        <f aca="false">'Raw Data'!K963</f>
        <v>195.3</v>
      </c>
      <c r="G963" s="7" t="str">
        <f aca="false">'Raw Data'!L963</f>
        <v>No</v>
      </c>
      <c r="H963" s="7" t="str">
        <f aca="false">'Raw Data'!M963</f>
        <v>Low</v>
      </c>
      <c r="I963" s="7" t="n">
        <f aca="false">(IF(D963="Current",3,IF(D963="Former",1,0)))+(IF(E963="High",3,IF(E963="Normal",1,0)))+(IF(F963&gt;=240,2,IF(F963&gt;=200,1,0)))+(IF(G963="Yes",2,0))+(IF(H963="High",2,IF(H963="Moderate",1,0)))</f>
        <v>0</v>
      </c>
      <c r="J963" s="7" t="str">
        <f aca="false">IF(I963&gt;=8,"High",IF(I963&gt;=4,"Medium","Low"))</f>
        <v>Low</v>
      </c>
    </row>
    <row r="964" customFormat="false" ht="15" hidden="false" customHeight="true" outlineLevel="0" collapsed="false">
      <c r="A964" s="7" t="n">
        <f aca="false">'Raw Data'!A964</f>
        <v>1044</v>
      </c>
      <c r="B964" s="7" t="n">
        <f aca="false">'Raw Data'!B964</f>
        <v>70</v>
      </c>
      <c r="C964" s="7" t="str">
        <f aca="false">'Raw Data'!C964</f>
        <v>Male</v>
      </c>
      <c r="D964" s="7" t="str">
        <f aca="false">'Raw Data'!D964</f>
        <v>Never</v>
      </c>
      <c r="E964" s="7" t="str">
        <f aca="false">'Raw Data'!J964</f>
        <v>Low</v>
      </c>
      <c r="F964" s="7" t="n">
        <f aca="false">'Raw Data'!K964</f>
        <v>270.8</v>
      </c>
      <c r="G964" s="7" t="str">
        <f aca="false">'Raw Data'!L964</f>
        <v>Yes</v>
      </c>
      <c r="H964" s="7" t="str">
        <f aca="false">'Raw Data'!M964</f>
        <v>Low</v>
      </c>
      <c r="I964" s="7" t="n">
        <f aca="false">(IF(D964="Current",3,IF(D964="Former",1,0)))+(IF(E964="High",3,IF(E964="Normal",1,0)))+(IF(F964&gt;=240,2,IF(F964&gt;=200,1,0)))+(IF(G964="Yes",2,0))+(IF(H964="High",2,IF(H964="Moderate",1,0)))</f>
        <v>4</v>
      </c>
      <c r="J964" s="7" t="str">
        <f aca="false">IF(I964&gt;=8,"High",IF(I964&gt;=4,"Medium","Low"))</f>
        <v>Medium</v>
      </c>
    </row>
    <row r="965" customFormat="false" ht="15" hidden="false" customHeight="true" outlineLevel="0" collapsed="false">
      <c r="A965" s="7" t="n">
        <f aca="false">'Raw Data'!A965</f>
        <v>1062</v>
      </c>
      <c r="B965" s="7" t="n">
        <f aca="false">'Raw Data'!B965</f>
        <v>81</v>
      </c>
      <c r="C965" s="7" t="str">
        <f aca="false">'Raw Data'!C965</f>
        <v>Female</v>
      </c>
      <c r="D965" s="7" t="str">
        <f aca="false">'Raw Data'!D965</f>
        <v>Never</v>
      </c>
      <c r="E965" s="7" t="str">
        <f aca="false">'Raw Data'!J965</f>
        <v>Low</v>
      </c>
      <c r="F965" s="7" t="n">
        <f aca="false">'Raw Data'!K965</f>
        <v>223.1</v>
      </c>
      <c r="G965" s="7" t="str">
        <f aca="false">'Raw Data'!L965</f>
        <v>Yes</v>
      </c>
      <c r="H965" s="7" t="str">
        <f aca="false">'Raw Data'!M965</f>
        <v>Low</v>
      </c>
      <c r="I965" s="7" t="n">
        <f aca="false">(IF(D965="Current",3,IF(D965="Former",1,0)))+(IF(E965="High",3,IF(E965="Normal",1,0)))+(IF(F965&gt;=240,2,IF(F965&gt;=200,1,0)))+(IF(G965="Yes",2,0))+(IF(H965="High",2,IF(H965="Moderate",1,0)))</f>
        <v>3</v>
      </c>
      <c r="J965" s="7" t="str">
        <f aca="false">IF(I965&gt;=8,"High",IF(I965&gt;=4,"Medium","Low"))</f>
        <v>Low</v>
      </c>
    </row>
    <row r="966" customFormat="false" ht="15" hidden="false" customHeight="true" outlineLevel="0" collapsed="false">
      <c r="A966" s="7" t="n">
        <f aca="false">'Raw Data'!A966</f>
        <v>1134</v>
      </c>
      <c r="B966" s="7" t="n">
        <f aca="false">'Raw Data'!B966</f>
        <v>35</v>
      </c>
      <c r="C966" s="7" t="str">
        <f aca="false">'Raw Data'!C966</f>
        <v>Male</v>
      </c>
      <c r="D966" s="7" t="str">
        <f aca="false">'Raw Data'!D966</f>
        <v>Never</v>
      </c>
      <c r="E966" s="7" t="str">
        <f aca="false">'Raw Data'!J966</f>
        <v>Low</v>
      </c>
      <c r="F966" s="7" t="n">
        <f aca="false">'Raw Data'!K966</f>
        <v>189</v>
      </c>
      <c r="G966" s="7" t="str">
        <f aca="false">'Raw Data'!L966</f>
        <v>No</v>
      </c>
      <c r="H966" s="7" t="str">
        <f aca="false">'Raw Data'!M966</f>
        <v>Low</v>
      </c>
      <c r="I966" s="7" t="n">
        <f aca="false">(IF(D966="Current",3,IF(D966="Former",1,0)))+(IF(E966="High",3,IF(E966="Normal",1,0)))+(IF(F966&gt;=240,2,IF(F966&gt;=200,1,0)))+(IF(G966="Yes",2,0))+(IF(H966="High",2,IF(H966="Moderate",1,0)))</f>
        <v>0</v>
      </c>
      <c r="J966" s="7" t="str">
        <f aca="false">IF(I966&gt;=8,"High",IF(I966&gt;=4,"Medium","Low"))</f>
        <v>Low</v>
      </c>
    </row>
    <row r="967" customFormat="false" ht="15" hidden="false" customHeight="true" outlineLevel="0" collapsed="false">
      <c r="A967" s="7" t="n">
        <f aca="false">'Raw Data'!A967</f>
        <v>1176</v>
      </c>
      <c r="B967" s="7" t="n">
        <f aca="false">'Raw Data'!B967</f>
        <v>60</v>
      </c>
      <c r="C967" s="7" t="str">
        <f aca="false">'Raw Data'!C967</f>
        <v>Male</v>
      </c>
      <c r="D967" s="7" t="str">
        <f aca="false">'Raw Data'!D967</f>
        <v>Never</v>
      </c>
      <c r="E967" s="7" t="str">
        <f aca="false">'Raw Data'!J967</f>
        <v>Low</v>
      </c>
      <c r="F967" s="7" t="n">
        <f aca="false">'Raw Data'!K967</f>
        <v>121.8</v>
      </c>
      <c r="G967" s="7" t="str">
        <f aca="false">'Raw Data'!L967</f>
        <v>Yes</v>
      </c>
      <c r="H967" s="7" t="str">
        <f aca="false">'Raw Data'!M967</f>
        <v>Low</v>
      </c>
      <c r="I967" s="7" t="n">
        <f aca="false">(IF(D967="Current",3,IF(D967="Former",1,0)))+(IF(E967="High",3,IF(E967="Normal",1,0)))+(IF(F967&gt;=240,2,IF(F967&gt;=200,1,0)))+(IF(G967="Yes",2,0))+(IF(H967="High",2,IF(H967="Moderate",1,0)))</f>
        <v>2</v>
      </c>
      <c r="J967" s="7" t="str">
        <f aca="false">IF(I967&gt;=8,"High",IF(I967&gt;=4,"Medium","Low"))</f>
        <v>Low</v>
      </c>
    </row>
    <row r="968" customFormat="false" ht="15" hidden="false" customHeight="true" outlineLevel="0" collapsed="false">
      <c r="A968" s="7" t="n">
        <f aca="false">'Raw Data'!A968</f>
        <v>1217</v>
      </c>
      <c r="B968" s="7" t="n">
        <f aca="false">'Raw Data'!B968</f>
        <v>73</v>
      </c>
      <c r="C968" s="7" t="str">
        <f aca="false">'Raw Data'!C968</f>
        <v>Male</v>
      </c>
      <c r="D968" s="7" t="str">
        <f aca="false">'Raw Data'!D968</f>
        <v>Never</v>
      </c>
      <c r="E968" s="7" t="str">
        <f aca="false">'Raw Data'!J968</f>
        <v>Low</v>
      </c>
      <c r="F968" s="7" t="n">
        <f aca="false">'Raw Data'!K968</f>
        <v>229</v>
      </c>
      <c r="G968" s="7" t="str">
        <f aca="false">'Raw Data'!L968</f>
        <v>No</v>
      </c>
      <c r="H968" s="7" t="str">
        <f aca="false">'Raw Data'!M968</f>
        <v>Low</v>
      </c>
      <c r="I968" s="7" t="n">
        <f aca="false">(IF(D968="Current",3,IF(D968="Former",1,0)))+(IF(E968="High",3,IF(E968="Normal",1,0)))+(IF(F968&gt;=240,2,IF(F968&gt;=200,1,0)))+(IF(G968="Yes",2,0))+(IF(H968="High",2,IF(H968="Moderate",1,0)))</f>
        <v>1</v>
      </c>
      <c r="J968" s="7" t="str">
        <f aca="false">IF(I968&gt;=8,"High",IF(I968&gt;=4,"Medium","Low"))</f>
        <v>Low</v>
      </c>
    </row>
    <row r="969" customFormat="false" ht="15" hidden="false" customHeight="true" outlineLevel="0" collapsed="false">
      <c r="A969" s="7" t="n">
        <f aca="false">'Raw Data'!A969</f>
        <v>1233</v>
      </c>
      <c r="B969" s="7" t="n">
        <f aca="false">'Raw Data'!B969</f>
        <v>71</v>
      </c>
      <c r="C969" s="7" t="str">
        <f aca="false">'Raw Data'!C969</f>
        <v>Female</v>
      </c>
      <c r="D969" s="7" t="str">
        <f aca="false">'Raw Data'!D969</f>
        <v>Never</v>
      </c>
      <c r="E969" s="7" t="str">
        <f aca="false">'Raw Data'!J969</f>
        <v>Low</v>
      </c>
      <c r="F969" s="7" t="n">
        <f aca="false">'Raw Data'!K969</f>
        <v>210.1</v>
      </c>
      <c r="G969" s="7" t="str">
        <f aca="false">'Raw Data'!L969</f>
        <v>No</v>
      </c>
      <c r="H969" s="7" t="str">
        <f aca="false">'Raw Data'!M969</f>
        <v>Low</v>
      </c>
      <c r="I969" s="7" t="n">
        <f aca="false">(IF(D969="Current",3,IF(D969="Former",1,0)))+(IF(E969="High",3,IF(E969="Normal",1,0)))+(IF(F969&gt;=240,2,IF(F969&gt;=200,1,0)))+(IF(G969="Yes",2,0))+(IF(H969="High",2,IF(H969="Moderate",1,0)))</f>
        <v>1</v>
      </c>
      <c r="J969" s="7" t="str">
        <f aca="false">IF(I969&gt;=8,"High",IF(I969&gt;=4,"Medium","Low"))</f>
        <v>Low</v>
      </c>
    </row>
    <row r="970" customFormat="false" ht="15" hidden="false" customHeight="true" outlineLevel="0" collapsed="false">
      <c r="A970" s="7" t="n">
        <f aca="false">'Raw Data'!A970</f>
        <v>1245</v>
      </c>
      <c r="B970" s="7" t="n">
        <f aca="false">'Raw Data'!B970</f>
        <v>73</v>
      </c>
      <c r="C970" s="7" t="str">
        <f aca="false">'Raw Data'!C970</f>
        <v>Female</v>
      </c>
      <c r="D970" s="7" t="str">
        <f aca="false">'Raw Data'!D970</f>
        <v>Never</v>
      </c>
      <c r="E970" s="7" t="str">
        <f aca="false">'Raw Data'!J970</f>
        <v>Low</v>
      </c>
      <c r="F970" s="7" t="n">
        <f aca="false">'Raw Data'!K970</f>
        <v>267</v>
      </c>
      <c r="G970" s="7" t="str">
        <f aca="false">'Raw Data'!L970</f>
        <v>No</v>
      </c>
      <c r="H970" s="7" t="str">
        <f aca="false">'Raw Data'!M970</f>
        <v>Low</v>
      </c>
      <c r="I970" s="7" t="n">
        <f aca="false">(IF(D970="Current",3,IF(D970="Former",1,0)))+(IF(E970="High",3,IF(E970="Normal",1,0)))+(IF(F970&gt;=240,2,IF(F970&gt;=200,1,0)))+(IF(G970="Yes",2,0))+(IF(H970="High",2,IF(H970="Moderate",1,0)))</f>
        <v>2</v>
      </c>
      <c r="J970" s="7" t="str">
        <f aca="false">IF(I970&gt;=8,"High",IF(I970&gt;=4,"Medium","Low"))</f>
        <v>Low</v>
      </c>
    </row>
    <row r="971" customFormat="false" ht="15" hidden="false" customHeight="true" outlineLevel="0" collapsed="false">
      <c r="A971" s="7" t="n">
        <f aca="false">'Raw Data'!A971</f>
        <v>1248</v>
      </c>
      <c r="B971" s="7" t="n">
        <f aca="false">'Raw Data'!B971</f>
        <v>36</v>
      </c>
      <c r="C971" s="7" t="str">
        <f aca="false">'Raw Data'!C971</f>
        <v>Female</v>
      </c>
      <c r="D971" s="7" t="str">
        <f aca="false">'Raw Data'!D971</f>
        <v>Never</v>
      </c>
      <c r="E971" s="7" t="str">
        <f aca="false">'Raw Data'!J971</f>
        <v>Low</v>
      </c>
      <c r="F971" s="7" t="n">
        <f aca="false">'Raw Data'!K971</f>
        <v>201.9</v>
      </c>
      <c r="G971" s="7" t="str">
        <f aca="false">'Raw Data'!L971</f>
        <v>No</v>
      </c>
      <c r="H971" s="7" t="str">
        <f aca="false">'Raw Data'!M971</f>
        <v>Low</v>
      </c>
      <c r="I971" s="7" t="n">
        <f aca="false">(IF(D971="Current",3,IF(D971="Former",1,0)))+(IF(E971="High",3,IF(E971="Normal",1,0)))+(IF(F971&gt;=240,2,IF(F971&gt;=200,1,0)))+(IF(G971="Yes",2,0))+(IF(H971="High",2,IF(H971="Moderate",1,0)))</f>
        <v>1</v>
      </c>
      <c r="J971" s="7" t="str">
        <f aca="false">IF(I971&gt;=8,"High",IF(I971&gt;=4,"Medium","Low"))</f>
        <v>Low</v>
      </c>
    </row>
    <row r="972" customFormat="false" ht="15" hidden="false" customHeight="true" outlineLevel="0" collapsed="false">
      <c r="A972" s="7" t="n">
        <f aca="false">'Raw Data'!A972</f>
        <v>1268</v>
      </c>
      <c r="B972" s="7" t="n">
        <f aca="false">'Raw Data'!B972</f>
        <v>29</v>
      </c>
      <c r="C972" s="7" t="str">
        <f aca="false">'Raw Data'!C972</f>
        <v>Male</v>
      </c>
      <c r="D972" s="7" t="str">
        <f aca="false">'Raw Data'!D972</f>
        <v>Never</v>
      </c>
      <c r="E972" s="7" t="str">
        <f aca="false">'Raw Data'!J972</f>
        <v>Low</v>
      </c>
      <c r="F972" s="7" t="n">
        <f aca="false">'Raw Data'!K972</f>
        <v>199.3</v>
      </c>
      <c r="G972" s="7" t="str">
        <f aca="false">'Raw Data'!L972</f>
        <v>No</v>
      </c>
      <c r="H972" s="7" t="str">
        <f aca="false">'Raw Data'!M972</f>
        <v>Low</v>
      </c>
      <c r="I972" s="7" t="n">
        <f aca="false">(IF(D972="Current",3,IF(D972="Former",1,0)))+(IF(E972="High",3,IF(E972="Normal",1,0)))+(IF(F972&gt;=240,2,IF(F972&gt;=200,1,0)))+(IF(G972="Yes",2,0))+(IF(H972="High",2,IF(H972="Moderate",1,0)))</f>
        <v>0</v>
      </c>
      <c r="J972" s="7" t="str">
        <f aca="false">IF(I972&gt;=8,"High",IF(I972&gt;=4,"Medium","Low"))</f>
        <v>Low</v>
      </c>
    </row>
    <row r="973" customFormat="false" ht="15" hidden="false" customHeight="true" outlineLevel="0" collapsed="false">
      <c r="A973" s="7" t="n">
        <f aca="false">'Raw Data'!A973</f>
        <v>1316</v>
      </c>
      <c r="B973" s="7" t="n">
        <f aca="false">'Raw Data'!B973</f>
        <v>85</v>
      </c>
      <c r="C973" s="7" t="str">
        <f aca="false">'Raw Data'!C973</f>
        <v>Female</v>
      </c>
      <c r="D973" s="7" t="str">
        <f aca="false">'Raw Data'!D973</f>
        <v>Never</v>
      </c>
      <c r="E973" s="7" t="str">
        <f aca="false">'Raw Data'!J973</f>
        <v>Low</v>
      </c>
      <c r="F973" s="7" t="n">
        <f aca="false">'Raw Data'!K973</f>
        <v>204.6</v>
      </c>
      <c r="G973" s="7" t="str">
        <f aca="false">'Raw Data'!L973</f>
        <v>No</v>
      </c>
      <c r="H973" s="7" t="str">
        <f aca="false">'Raw Data'!M973</f>
        <v>Low</v>
      </c>
      <c r="I973" s="7" t="n">
        <f aca="false">(IF(D973="Current",3,IF(D973="Former",1,0)))+(IF(E973="High",3,IF(E973="Normal",1,0)))+(IF(F973&gt;=240,2,IF(F973&gt;=200,1,0)))+(IF(G973="Yes",2,0))+(IF(H973="High",2,IF(H973="Moderate",1,0)))</f>
        <v>1</v>
      </c>
      <c r="J973" s="7" t="str">
        <f aca="false">IF(I973&gt;=8,"High",IF(I973&gt;=4,"Medium","Low"))</f>
        <v>Low</v>
      </c>
    </row>
    <row r="974" customFormat="false" ht="15" hidden="false" customHeight="true" outlineLevel="0" collapsed="false">
      <c r="A974" s="7" t="n">
        <f aca="false">'Raw Data'!A974</f>
        <v>1324</v>
      </c>
      <c r="B974" s="7" t="n">
        <f aca="false">'Raw Data'!B974</f>
        <v>40</v>
      </c>
      <c r="C974" s="7" t="str">
        <f aca="false">'Raw Data'!C974</f>
        <v>Female</v>
      </c>
      <c r="D974" s="7" t="str">
        <f aca="false">'Raw Data'!D974</f>
        <v>Never</v>
      </c>
      <c r="E974" s="7" t="str">
        <f aca="false">'Raw Data'!J974</f>
        <v>Low</v>
      </c>
      <c r="F974" s="7" t="n">
        <f aca="false">'Raw Data'!K974</f>
        <v>241.6</v>
      </c>
      <c r="G974" s="7" t="str">
        <f aca="false">'Raw Data'!L974</f>
        <v>No</v>
      </c>
      <c r="H974" s="7" t="str">
        <f aca="false">'Raw Data'!M974</f>
        <v>Low</v>
      </c>
      <c r="I974" s="7" t="n">
        <f aca="false">(IF(D974="Current",3,IF(D974="Former",1,0)))+(IF(E974="High",3,IF(E974="Normal",1,0)))+(IF(F974&gt;=240,2,IF(F974&gt;=200,1,0)))+(IF(G974="Yes",2,0))+(IF(H974="High",2,IF(H974="Moderate",1,0)))</f>
        <v>2</v>
      </c>
      <c r="J974" s="7" t="str">
        <f aca="false">IF(I974&gt;=8,"High",IF(I974&gt;=4,"Medium","Low"))</f>
        <v>Low</v>
      </c>
    </row>
    <row r="975" customFormat="false" ht="15" hidden="false" customHeight="true" outlineLevel="0" collapsed="false">
      <c r="A975" s="7" t="n">
        <f aca="false">'Raw Data'!A975</f>
        <v>1376</v>
      </c>
      <c r="B975" s="7" t="n">
        <f aca="false">'Raw Data'!B975</f>
        <v>61</v>
      </c>
      <c r="C975" s="7" t="str">
        <f aca="false">'Raw Data'!C975</f>
        <v>Female</v>
      </c>
      <c r="D975" s="7" t="str">
        <f aca="false">'Raw Data'!D975</f>
        <v>Never</v>
      </c>
      <c r="E975" s="7" t="str">
        <f aca="false">'Raw Data'!J975</f>
        <v>Low</v>
      </c>
      <c r="F975" s="7" t="n">
        <f aca="false">'Raw Data'!K975</f>
        <v>169.8</v>
      </c>
      <c r="G975" s="7" t="str">
        <f aca="false">'Raw Data'!L975</f>
        <v>Yes</v>
      </c>
      <c r="H975" s="7" t="str">
        <f aca="false">'Raw Data'!M975</f>
        <v>Low</v>
      </c>
      <c r="I975" s="7" t="n">
        <f aca="false">(IF(D975="Current",3,IF(D975="Former",1,0)))+(IF(E975="High",3,IF(E975="Normal",1,0)))+(IF(F975&gt;=240,2,IF(F975&gt;=200,1,0)))+(IF(G975="Yes",2,0))+(IF(H975="High",2,IF(H975="Moderate",1,0)))</f>
        <v>2</v>
      </c>
      <c r="J975" s="7" t="str">
        <f aca="false">IF(I975&gt;=8,"High",IF(I975&gt;=4,"Medium","Low"))</f>
        <v>Low</v>
      </c>
    </row>
    <row r="976" customFormat="false" ht="15" hidden="false" customHeight="true" outlineLevel="0" collapsed="false">
      <c r="A976" s="7" t="n">
        <f aca="false">'Raw Data'!A976</f>
        <v>1441</v>
      </c>
      <c r="B976" s="7" t="n">
        <f aca="false">'Raw Data'!B976</f>
        <v>37</v>
      </c>
      <c r="C976" s="7" t="str">
        <f aca="false">'Raw Data'!C976</f>
        <v>Male</v>
      </c>
      <c r="D976" s="7" t="str">
        <f aca="false">'Raw Data'!D976</f>
        <v>Never</v>
      </c>
      <c r="E976" s="7" t="str">
        <f aca="false">'Raw Data'!J976</f>
        <v>Low</v>
      </c>
      <c r="F976" s="7" t="n">
        <f aca="false">'Raw Data'!K976</f>
        <v>259.2</v>
      </c>
      <c r="G976" s="7" t="str">
        <f aca="false">'Raw Data'!L976</f>
        <v>Yes</v>
      </c>
      <c r="H976" s="7" t="str">
        <f aca="false">'Raw Data'!M976</f>
        <v>Low</v>
      </c>
      <c r="I976" s="7" t="n">
        <f aca="false">(IF(D976="Current",3,IF(D976="Former",1,0)))+(IF(E976="High",3,IF(E976="Normal",1,0)))+(IF(F976&gt;=240,2,IF(F976&gt;=200,1,0)))+(IF(G976="Yes",2,0))+(IF(H976="High",2,IF(H976="Moderate",1,0)))</f>
        <v>4</v>
      </c>
      <c r="J976" s="7" t="str">
        <f aca="false">IF(I976&gt;=8,"High",IF(I976&gt;=4,"Medium","Low"))</f>
        <v>Medium</v>
      </c>
    </row>
    <row r="977" customFormat="false" ht="15" hidden="false" customHeight="true" outlineLevel="0" collapsed="false">
      <c r="A977" s="7" t="n">
        <f aca="false">'Raw Data'!A977</f>
        <v>1442</v>
      </c>
      <c r="B977" s="7" t="n">
        <f aca="false">'Raw Data'!B977</f>
        <v>19</v>
      </c>
      <c r="C977" s="7" t="str">
        <f aca="false">'Raw Data'!C977</f>
        <v>Female</v>
      </c>
      <c r="D977" s="7" t="str">
        <f aca="false">'Raw Data'!D977</f>
        <v>Never</v>
      </c>
      <c r="E977" s="7" t="str">
        <f aca="false">'Raw Data'!J977</f>
        <v>Low</v>
      </c>
      <c r="F977" s="7" t="n">
        <f aca="false">'Raw Data'!K977</f>
        <v>230.3</v>
      </c>
      <c r="G977" s="7" t="str">
        <f aca="false">'Raw Data'!L977</f>
        <v>No</v>
      </c>
      <c r="H977" s="7" t="str">
        <f aca="false">'Raw Data'!M977</f>
        <v>Low</v>
      </c>
      <c r="I977" s="7" t="n">
        <f aca="false">(IF(D977="Current",3,IF(D977="Former",1,0)))+(IF(E977="High",3,IF(E977="Normal",1,0)))+(IF(F977&gt;=240,2,IF(F977&gt;=200,1,0)))+(IF(G977="Yes",2,0))+(IF(H977="High",2,IF(H977="Moderate",1,0)))</f>
        <v>1</v>
      </c>
      <c r="J977" s="7" t="str">
        <f aca="false">IF(I977&gt;=8,"High",IF(I977&gt;=4,"Medium","Low"))</f>
        <v>Low</v>
      </c>
    </row>
    <row r="978" customFormat="false" ht="15" hidden="false" customHeight="true" outlineLevel="0" collapsed="false">
      <c r="A978" s="7" t="n">
        <f aca="false">'Raw Data'!A978</f>
        <v>1445</v>
      </c>
      <c r="B978" s="7" t="n">
        <f aca="false">'Raw Data'!B978</f>
        <v>56</v>
      </c>
      <c r="C978" s="7" t="str">
        <f aca="false">'Raw Data'!C978</f>
        <v>Female</v>
      </c>
      <c r="D978" s="7" t="str">
        <f aca="false">'Raw Data'!D978</f>
        <v>Never</v>
      </c>
      <c r="E978" s="7" t="str">
        <f aca="false">'Raw Data'!J978</f>
        <v>Low</v>
      </c>
      <c r="F978" s="7" t="n">
        <f aca="false">'Raw Data'!K978</f>
        <v>197.9</v>
      </c>
      <c r="G978" s="7" t="str">
        <f aca="false">'Raw Data'!L978</f>
        <v>No</v>
      </c>
      <c r="H978" s="7" t="str">
        <f aca="false">'Raw Data'!M978</f>
        <v>Low</v>
      </c>
      <c r="I978" s="7" t="n">
        <f aca="false">(IF(D978="Current",3,IF(D978="Former",1,0)))+(IF(E978="High",3,IF(E978="Normal",1,0)))+(IF(F978&gt;=240,2,IF(F978&gt;=200,1,0)))+(IF(G978="Yes",2,0))+(IF(H978="High",2,IF(H978="Moderate",1,0)))</f>
        <v>0</v>
      </c>
      <c r="J978" s="7" t="str">
        <f aca="false">IF(I978&gt;=8,"High",IF(I978&gt;=4,"Medium","Low"))</f>
        <v>Low</v>
      </c>
    </row>
    <row r="979" customFormat="false" ht="15" hidden="false" customHeight="true" outlineLevel="0" collapsed="false">
      <c r="A979" s="7" t="n">
        <f aca="false">'Raw Data'!A979</f>
        <v>1490</v>
      </c>
      <c r="B979" s="7" t="n">
        <f aca="false">'Raw Data'!B979</f>
        <v>21</v>
      </c>
      <c r="C979" s="7" t="str">
        <f aca="false">'Raw Data'!C979</f>
        <v>Female</v>
      </c>
      <c r="D979" s="7" t="str">
        <f aca="false">'Raw Data'!D979</f>
        <v>Never</v>
      </c>
      <c r="E979" s="7" t="str">
        <f aca="false">'Raw Data'!J979</f>
        <v>Low</v>
      </c>
      <c r="F979" s="7" t="n">
        <f aca="false">'Raw Data'!K979</f>
        <v>276.4</v>
      </c>
      <c r="G979" s="7" t="str">
        <f aca="false">'Raw Data'!L979</f>
        <v>Yes</v>
      </c>
      <c r="H979" s="7" t="str">
        <f aca="false">'Raw Data'!M979</f>
        <v>Low</v>
      </c>
      <c r="I979" s="7" t="n">
        <f aca="false">(IF(D979="Current",3,IF(D979="Former",1,0)))+(IF(E979="High",3,IF(E979="Normal",1,0)))+(IF(F979&gt;=240,2,IF(F979&gt;=200,1,0)))+(IF(G979="Yes",2,0))+(IF(H979="High",2,IF(H979="Moderate",1,0)))</f>
        <v>4</v>
      </c>
      <c r="J979" s="7" t="str">
        <f aca="false">IF(I979&gt;=8,"High",IF(I979&gt;=4,"Medium","Low"))</f>
        <v>Medium</v>
      </c>
    </row>
    <row r="980" customFormat="false" ht="15" hidden="false" customHeight="true" outlineLevel="0" collapsed="false">
      <c r="A980" s="7" t="n">
        <f aca="false">'Raw Data'!A980</f>
        <v>1497</v>
      </c>
      <c r="B980" s="7" t="n">
        <f aca="false">'Raw Data'!B980</f>
        <v>38</v>
      </c>
      <c r="C980" s="7" t="str">
        <f aca="false">'Raw Data'!C980</f>
        <v>Male</v>
      </c>
      <c r="D980" s="7" t="str">
        <f aca="false">'Raw Data'!D980</f>
        <v>Never</v>
      </c>
      <c r="E980" s="7" t="str">
        <f aca="false">'Raw Data'!J980</f>
        <v>Low</v>
      </c>
      <c r="F980" s="7" t="n">
        <f aca="false">'Raw Data'!K980</f>
        <v>266.1</v>
      </c>
      <c r="G980" s="7" t="str">
        <f aca="false">'Raw Data'!L980</f>
        <v>No</v>
      </c>
      <c r="H980" s="7" t="str">
        <f aca="false">'Raw Data'!M980</f>
        <v>Low</v>
      </c>
      <c r="I980" s="7" t="n">
        <f aca="false">(IF(D980="Current",3,IF(D980="Former",1,0)))+(IF(E980="High",3,IF(E980="Normal",1,0)))+(IF(F980&gt;=240,2,IF(F980&gt;=200,1,0)))+(IF(G980="Yes",2,0))+(IF(H980="High",2,IF(H980="Moderate",1,0)))</f>
        <v>2</v>
      </c>
      <c r="J980" s="7" t="str">
        <f aca="false">IF(I980&gt;=8,"High",IF(I980&gt;=4,"Medium","Low"))</f>
        <v>Low</v>
      </c>
    </row>
    <row r="981" customFormat="false" ht="15" hidden="false" customHeight="true" outlineLevel="0" collapsed="false">
      <c r="A981" s="7" t="n">
        <f aca="false">'Raw Data'!A981</f>
        <v>1538</v>
      </c>
      <c r="B981" s="7" t="n">
        <f aca="false">'Raw Data'!B981</f>
        <v>51</v>
      </c>
      <c r="C981" s="7" t="str">
        <f aca="false">'Raw Data'!C981</f>
        <v>Male</v>
      </c>
      <c r="D981" s="7" t="str">
        <f aca="false">'Raw Data'!D981</f>
        <v>Never</v>
      </c>
      <c r="E981" s="7" t="str">
        <f aca="false">'Raw Data'!J981</f>
        <v>Low</v>
      </c>
      <c r="F981" s="7" t="n">
        <f aca="false">'Raw Data'!K981</f>
        <v>232.4</v>
      </c>
      <c r="G981" s="7" t="str">
        <f aca="false">'Raw Data'!L981</f>
        <v>No</v>
      </c>
      <c r="H981" s="7" t="str">
        <f aca="false">'Raw Data'!M981</f>
        <v>Low</v>
      </c>
      <c r="I981" s="7" t="n">
        <f aca="false">(IF(D981="Current",3,IF(D981="Former",1,0)))+(IF(E981="High",3,IF(E981="Normal",1,0)))+(IF(F981&gt;=240,2,IF(F981&gt;=200,1,0)))+(IF(G981="Yes",2,0))+(IF(H981="High",2,IF(H981="Moderate",1,0)))</f>
        <v>1</v>
      </c>
      <c r="J981" s="7" t="str">
        <f aca="false">IF(I981&gt;=8,"High",IF(I981&gt;=4,"Medium","Low"))</f>
        <v>Low</v>
      </c>
    </row>
    <row r="982" customFormat="false" ht="15" hidden="false" customHeight="true" outlineLevel="0" collapsed="false">
      <c r="A982" s="7" t="n">
        <f aca="false">'Raw Data'!A982</f>
        <v>1560</v>
      </c>
      <c r="B982" s="7" t="n">
        <f aca="false">'Raw Data'!B982</f>
        <v>71</v>
      </c>
      <c r="C982" s="7" t="str">
        <f aca="false">'Raw Data'!C982</f>
        <v>Male</v>
      </c>
      <c r="D982" s="7" t="str">
        <f aca="false">'Raw Data'!D982</f>
        <v>Never</v>
      </c>
      <c r="E982" s="7" t="str">
        <f aca="false">'Raw Data'!J982</f>
        <v>Low</v>
      </c>
      <c r="F982" s="7" t="n">
        <f aca="false">'Raw Data'!K982</f>
        <v>122.3</v>
      </c>
      <c r="G982" s="7" t="str">
        <f aca="false">'Raw Data'!L982</f>
        <v>No</v>
      </c>
      <c r="H982" s="7" t="str">
        <f aca="false">'Raw Data'!M982</f>
        <v>Low</v>
      </c>
      <c r="I982" s="7" t="n">
        <f aca="false">(IF(D982="Current",3,IF(D982="Former",1,0)))+(IF(E982="High",3,IF(E982="Normal",1,0)))+(IF(F982&gt;=240,2,IF(F982&gt;=200,1,0)))+(IF(G982="Yes",2,0))+(IF(H982="High",2,IF(H982="Moderate",1,0)))</f>
        <v>0</v>
      </c>
      <c r="J982" s="7" t="str">
        <f aca="false">IF(I982&gt;=8,"High",IF(I982&gt;=4,"Medium","Low"))</f>
        <v>Low</v>
      </c>
    </row>
    <row r="983" customFormat="false" ht="15" hidden="false" customHeight="true" outlineLevel="0" collapsed="false">
      <c r="A983" s="7" t="n">
        <f aca="false">'Raw Data'!A983</f>
        <v>1594</v>
      </c>
      <c r="B983" s="7" t="n">
        <f aca="false">'Raw Data'!B983</f>
        <v>42</v>
      </c>
      <c r="C983" s="7" t="str">
        <f aca="false">'Raw Data'!C983</f>
        <v>Female</v>
      </c>
      <c r="D983" s="7" t="str">
        <f aca="false">'Raw Data'!D983</f>
        <v>Never</v>
      </c>
      <c r="E983" s="7" t="str">
        <f aca="false">'Raw Data'!J983</f>
        <v>Low</v>
      </c>
      <c r="F983" s="7" t="n">
        <f aca="false">'Raw Data'!K983</f>
        <v>178.8</v>
      </c>
      <c r="G983" s="7" t="str">
        <f aca="false">'Raw Data'!L983</f>
        <v>No</v>
      </c>
      <c r="H983" s="7" t="str">
        <f aca="false">'Raw Data'!M983</f>
        <v>Low</v>
      </c>
      <c r="I983" s="7" t="n">
        <f aca="false">(IF(D983="Current",3,IF(D983="Former",1,0)))+(IF(E983="High",3,IF(E983="Normal",1,0)))+(IF(F983&gt;=240,2,IF(F983&gt;=200,1,0)))+(IF(G983="Yes",2,0))+(IF(H983="High",2,IF(H983="Moderate",1,0)))</f>
        <v>0</v>
      </c>
      <c r="J983" s="7" t="str">
        <f aca="false">IF(I983&gt;=8,"High",IF(I983&gt;=4,"Medium","Low"))</f>
        <v>Low</v>
      </c>
    </row>
    <row r="984" customFormat="false" ht="15" hidden="false" customHeight="true" outlineLevel="0" collapsed="false">
      <c r="A984" s="7" t="n">
        <f aca="false">'Raw Data'!A984</f>
        <v>1696</v>
      </c>
      <c r="B984" s="7" t="n">
        <f aca="false">'Raw Data'!B984</f>
        <v>19</v>
      </c>
      <c r="C984" s="7" t="str">
        <f aca="false">'Raw Data'!C984</f>
        <v>Male</v>
      </c>
      <c r="D984" s="7" t="str">
        <f aca="false">'Raw Data'!D984</f>
        <v>Never</v>
      </c>
      <c r="E984" s="7" t="str">
        <f aca="false">'Raw Data'!J984</f>
        <v>Low</v>
      </c>
      <c r="F984" s="7" t="n">
        <f aca="false">'Raw Data'!K984</f>
        <v>185.7</v>
      </c>
      <c r="G984" s="7" t="str">
        <f aca="false">'Raw Data'!L984</f>
        <v>No</v>
      </c>
      <c r="H984" s="7" t="str">
        <f aca="false">'Raw Data'!M984</f>
        <v>Low</v>
      </c>
      <c r="I984" s="7" t="n">
        <f aca="false">(IF(D984="Current",3,IF(D984="Former",1,0)))+(IF(E984="High",3,IF(E984="Normal",1,0)))+(IF(F984&gt;=240,2,IF(F984&gt;=200,1,0)))+(IF(G984="Yes",2,0))+(IF(H984="High",2,IF(H984="Moderate",1,0)))</f>
        <v>0</v>
      </c>
      <c r="J984" s="7" t="str">
        <f aca="false">IF(I984&gt;=8,"High",IF(I984&gt;=4,"Medium","Low"))</f>
        <v>Low</v>
      </c>
    </row>
    <row r="985" customFormat="false" ht="15" hidden="false" customHeight="true" outlineLevel="0" collapsed="false">
      <c r="A985" s="7" t="n">
        <f aca="false">'Raw Data'!A985</f>
        <v>1708</v>
      </c>
      <c r="B985" s="7" t="n">
        <f aca="false">'Raw Data'!B985</f>
        <v>61</v>
      </c>
      <c r="C985" s="7" t="str">
        <f aca="false">'Raw Data'!C985</f>
        <v>Male</v>
      </c>
      <c r="D985" s="7" t="str">
        <f aca="false">'Raw Data'!D985</f>
        <v>Never</v>
      </c>
      <c r="E985" s="7" t="str">
        <f aca="false">'Raw Data'!J985</f>
        <v>Low</v>
      </c>
      <c r="F985" s="7" t="n">
        <f aca="false">'Raw Data'!K985</f>
        <v>224</v>
      </c>
      <c r="G985" s="7" t="str">
        <f aca="false">'Raw Data'!L985</f>
        <v>No</v>
      </c>
      <c r="H985" s="7" t="str">
        <f aca="false">'Raw Data'!M985</f>
        <v>Low</v>
      </c>
      <c r="I985" s="7" t="n">
        <f aca="false">(IF(D985="Current",3,IF(D985="Former",1,0)))+(IF(E985="High",3,IF(E985="Normal",1,0)))+(IF(F985&gt;=240,2,IF(F985&gt;=200,1,0)))+(IF(G985="Yes",2,0))+(IF(H985="High",2,IF(H985="Moderate",1,0)))</f>
        <v>1</v>
      </c>
      <c r="J985" s="7" t="str">
        <f aca="false">IF(I985&gt;=8,"High",IF(I985&gt;=4,"Medium","Low"))</f>
        <v>Low</v>
      </c>
    </row>
    <row r="986" customFormat="false" ht="15" hidden="false" customHeight="true" outlineLevel="0" collapsed="false">
      <c r="A986" s="7" t="n">
        <f aca="false">'Raw Data'!A986</f>
        <v>1739</v>
      </c>
      <c r="B986" s="7" t="n">
        <f aca="false">'Raw Data'!B986</f>
        <v>44</v>
      </c>
      <c r="C986" s="7" t="str">
        <f aca="false">'Raw Data'!C986</f>
        <v>Male</v>
      </c>
      <c r="D986" s="7" t="str">
        <f aca="false">'Raw Data'!D986</f>
        <v>Never</v>
      </c>
      <c r="E986" s="7" t="str">
        <f aca="false">'Raw Data'!J986</f>
        <v>Low</v>
      </c>
      <c r="F986" s="7" t="n">
        <f aca="false">'Raw Data'!K986</f>
        <v>251.9</v>
      </c>
      <c r="G986" s="7" t="str">
        <f aca="false">'Raw Data'!L986</f>
        <v>Yes</v>
      </c>
      <c r="H986" s="7" t="str">
        <f aca="false">'Raw Data'!M986</f>
        <v>Low</v>
      </c>
      <c r="I986" s="7" t="n">
        <f aca="false">(IF(D986="Current",3,IF(D986="Former",1,0)))+(IF(E986="High",3,IF(E986="Normal",1,0)))+(IF(F986&gt;=240,2,IF(F986&gt;=200,1,0)))+(IF(G986="Yes",2,0))+(IF(H986="High",2,IF(H986="Moderate",1,0)))</f>
        <v>4</v>
      </c>
      <c r="J986" s="7" t="str">
        <f aca="false">IF(I986&gt;=8,"High",IF(I986&gt;=4,"Medium","Low"))</f>
        <v>Medium</v>
      </c>
    </row>
    <row r="987" customFormat="false" ht="15" hidden="false" customHeight="true" outlineLevel="0" collapsed="false">
      <c r="A987" s="7" t="n">
        <f aca="false">'Raw Data'!A987</f>
        <v>1768</v>
      </c>
      <c r="B987" s="7" t="n">
        <f aca="false">'Raw Data'!B987</f>
        <v>35</v>
      </c>
      <c r="C987" s="7" t="str">
        <f aca="false">'Raw Data'!C987</f>
        <v>Male</v>
      </c>
      <c r="D987" s="7" t="str">
        <f aca="false">'Raw Data'!D987</f>
        <v>Never</v>
      </c>
      <c r="E987" s="7" t="str">
        <f aca="false">'Raw Data'!J987</f>
        <v>Low</v>
      </c>
      <c r="F987" s="7" t="n">
        <f aca="false">'Raw Data'!K987</f>
        <v>192.1</v>
      </c>
      <c r="G987" s="7" t="str">
        <f aca="false">'Raw Data'!L987</f>
        <v>Yes</v>
      </c>
      <c r="H987" s="7" t="str">
        <f aca="false">'Raw Data'!M987</f>
        <v>Low</v>
      </c>
      <c r="I987" s="7" t="n">
        <f aca="false">(IF(D987="Current",3,IF(D987="Former",1,0)))+(IF(E987="High",3,IF(E987="Normal",1,0)))+(IF(F987&gt;=240,2,IF(F987&gt;=200,1,0)))+(IF(G987="Yes",2,0))+(IF(H987="High",2,IF(H987="Moderate",1,0)))</f>
        <v>2</v>
      </c>
      <c r="J987" s="7" t="str">
        <f aca="false">IF(I987&gt;=8,"High",IF(I987&gt;=4,"Medium","Low"))</f>
        <v>Low</v>
      </c>
    </row>
    <row r="988" customFormat="false" ht="15" hidden="false" customHeight="true" outlineLevel="0" collapsed="false">
      <c r="A988" s="7" t="n">
        <f aca="false">'Raw Data'!A988</f>
        <v>1843</v>
      </c>
      <c r="B988" s="7" t="n">
        <f aca="false">'Raw Data'!B988</f>
        <v>18</v>
      </c>
      <c r="C988" s="7" t="str">
        <f aca="false">'Raw Data'!C988</f>
        <v>Male</v>
      </c>
      <c r="D988" s="7" t="str">
        <f aca="false">'Raw Data'!D988</f>
        <v>Never</v>
      </c>
      <c r="E988" s="7" t="str">
        <f aca="false">'Raw Data'!J988</f>
        <v>Low</v>
      </c>
      <c r="F988" s="7" t="n">
        <f aca="false">'Raw Data'!K988</f>
        <v>228.6</v>
      </c>
      <c r="G988" s="7" t="str">
        <f aca="false">'Raw Data'!L988</f>
        <v>No</v>
      </c>
      <c r="H988" s="7" t="str">
        <f aca="false">'Raw Data'!M988</f>
        <v>Low</v>
      </c>
      <c r="I988" s="7" t="n">
        <f aca="false">(IF(D988="Current",3,IF(D988="Former",1,0)))+(IF(E988="High",3,IF(E988="Normal",1,0)))+(IF(F988&gt;=240,2,IF(F988&gt;=200,1,0)))+(IF(G988="Yes",2,0))+(IF(H988="High",2,IF(H988="Moderate",1,0)))</f>
        <v>1</v>
      </c>
      <c r="J988" s="7" t="str">
        <f aca="false">IF(I988&gt;=8,"High",IF(I988&gt;=4,"Medium","Low"))</f>
        <v>Low</v>
      </c>
    </row>
    <row r="989" customFormat="false" ht="15" hidden="false" customHeight="true" outlineLevel="0" collapsed="false">
      <c r="A989" s="7" t="n">
        <f aca="false">'Raw Data'!A989</f>
        <v>1888</v>
      </c>
      <c r="B989" s="7" t="n">
        <f aca="false">'Raw Data'!B989</f>
        <v>70</v>
      </c>
      <c r="C989" s="7" t="str">
        <f aca="false">'Raw Data'!C989</f>
        <v>Female</v>
      </c>
      <c r="D989" s="7" t="str">
        <f aca="false">'Raw Data'!D989</f>
        <v>Never</v>
      </c>
      <c r="E989" s="7" t="str">
        <f aca="false">'Raw Data'!J989</f>
        <v>Low</v>
      </c>
      <c r="F989" s="7" t="n">
        <f aca="false">'Raw Data'!K989</f>
        <v>162.4</v>
      </c>
      <c r="G989" s="7" t="str">
        <f aca="false">'Raw Data'!L989</f>
        <v>No</v>
      </c>
      <c r="H989" s="7" t="str">
        <f aca="false">'Raw Data'!M989</f>
        <v>Low</v>
      </c>
      <c r="I989" s="7" t="n">
        <f aca="false">(IF(D989="Current",3,IF(D989="Former",1,0)))+(IF(E989="High",3,IF(E989="Normal",1,0)))+(IF(F989&gt;=240,2,IF(F989&gt;=200,1,0)))+(IF(G989="Yes",2,0))+(IF(H989="High",2,IF(H989="Moderate",1,0)))</f>
        <v>0</v>
      </c>
      <c r="J989" s="7" t="str">
        <f aca="false">IF(I989&gt;=8,"High",IF(I989&gt;=4,"Medium","Low"))</f>
        <v>Low</v>
      </c>
    </row>
    <row r="990" customFormat="false" ht="15" hidden="false" customHeight="true" outlineLevel="0" collapsed="false">
      <c r="A990" s="7" t="n">
        <f aca="false">'Raw Data'!A990</f>
        <v>1896</v>
      </c>
      <c r="B990" s="7" t="n">
        <f aca="false">'Raw Data'!B990</f>
        <v>71</v>
      </c>
      <c r="C990" s="7" t="str">
        <f aca="false">'Raw Data'!C990</f>
        <v>Male</v>
      </c>
      <c r="D990" s="7" t="str">
        <f aca="false">'Raw Data'!D990</f>
        <v>Never</v>
      </c>
      <c r="E990" s="7" t="str">
        <f aca="false">'Raw Data'!J990</f>
        <v>Low</v>
      </c>
      <c r="F990" s="7" t="n">
        <f aca="false">'Raw Data'!K990</f>
        <v>235.2</v>
      </c>
      <c r="G990" s="7" t="str">
        <f aca="false">'Raw Data'!L990</f>
        <v>No</v>
      </c>
      <c r="H990" s="7" t="str">
        <f aca="false">'Raw Data'!M990</f>
        <v>Low</v>
      </c>
      <c r="I990" s="7" t="n">
        <f aca="false">(IF(D990="Current",3,IF(D990="Former",1,0)))+(IF(E990="High",3,IF(E990="Normal",1,0)))+(IF(F990&gt;=240,2,IF(F990&gt;=200,1,0)))+(IF(G990="Yes",2,0))+(IF(H990="High",2,IF(H990="Moderate",1,0)))</f>
        <v>1</v>
      </c>
      <c r="J990" s="7" t="str">
        <f aca="false">IF(I990&gt;=8,"High",IF(I990&gt;=4,"Medium","Low"))</f>
        <v>Low</v>
      </c>
    </row>
    <row r="991" customFormat="false" ht="15" hidden="false" customHeight="true" outlineLevel="0" collapsed="false">
      <c r="A991" s="7" t="n">
        <f aca="false">'Raw Data'!A991</f>
        <v>1911</v>
      </c>
      <c r="B991" s="7" t="n">
        <f aca="false">'Raw Data'!B991</f>
        <v>30</v>
      </c>
      <c r="C991" s="7" t="str">
        <f aca="false">'Raw Data'!C991</f>
        <v>Female</v>
      </c>
      <c r="D991" s="7" t="str">
        <f aca="false">'Raw Data'!D991</f>
        <v>Never</v>
      </c>
      <c r="E991" s="7" t="str">
        <f aca="false">'Raw Data'!J991</f>
        <v>Low</v>
      </c>
      <c r="F991" s="7" t="n">
        <f aca="false">'Raw Data'!K991</f>
        <v>238.1</v>
      </c>
      <c r="G991" s="7" t="str">
        <f aca="false">'Raw Data'!L991</f>
        <v>No</v>
      </c>
      <c r="H991" s="7" t="str">
        <f aca="false">'Raw Data'!M991</f>
        <v>Low</v>
      </c>
      <c r="I991" s="7" t="n">
        <f aca="false">(IF(D991="Current",3,IF(D991="Former",1,0)))+(IF(E991="High",3,IF(E991="Normal",1,0)))+(IF(F991&gt;=240,2,IF(F991&gt;=200,1,0)))+(IF(G991="Yes",2,0))+(IF(H991="High",2,IF(H991="Moderate",1,0)))</f>
        <v>1</v>
      </c>
      <c r="J991" s="7" t="str">
        <f aca="false">IF(I991&gt;=8,"High",IF(I991&gt;=4,"Medium","Low"))</f>
        <v>Low</v>
      </c>
    </row>
    <row r="992" customFormat="false" ht="15" hidden="false" customHeight="true" outlineLevel="0" collapsed="false">
      <c r="A992" s="7" t="n">
        <f aca="false">'Raw Data'!A992</f>
        <v>1960</v>
      </c>
      <c r="B992" s="7" t="n">
        <f aca="false">'Raw Data'!B992</f>
        <v>32</v>
      </c>
      <c r="C992" s="7" t="str">
        <f aca="false">'Raw Data'!C992</f>
        <v>Female</v>
      </c>
      <c r="D992" s="7" t="str">
        <f aca="false">'Raw Data'!D992</f>
        <v>Never</v>
      </c>
      <c r="E992" s="7" t="str">
        <f aca="false">'Raw Data'!J992</f>
        <v>Low</v>
      </c>
      <c r="F992" s="7" t="n">
        <f aca="false">'Raw Data'!K992</f>
        <v>132.8</v>
      </c>
      <c r="G992" s="7" t="str">
        <f aca="false">'Raw Data'!L992</f>
        <v>No</v>
      </c>
      <c r="H992" s="7" t="str">
        <f aca="false">'Raw Data'!M992</f>
        <v>Low</v>
      </c>
      <c r="I992" s="7" t="n">
        <f aca="false">(IF(D992="Current",3,IF(D992="Former",1,0)))+(IF(E992="High",3,IF(E992="Normal",1,0)))+(IF(F992&gt;=240,2,IF(F992&gt;=200,1,0)))+(IF(G992="Yes",2,0))+(IF(H992="High",2,IF(H992="Moderate",1,0)))</f>
        <v>0</v>
      </c>
      <c r="J992" s="7" t="str">
        <f aca="false">IF(I992&gt;=8,"High",IF(I992&gt;=4,"Medium","Low"))</f>
        <v>Low</v>
      </c>
    </row>
    <row r="993" customFormat="false" ht="15" hidden="false" customHeight="true" outlineLevel="0" collapsed="false">
      <c r="A993" s="7" t="n">
        <f aca="false">'Raw Data'!A993</f>
        <v>1972</v>
      </c>
      <c r="B993" s="7" t="n">
        <f aca="false">'Raw Data'!B993</f>
        <v>35</v>
      </c>
      <c r="C993" s="7" t="str">
        <f aca="false">'Raw Data'!C993</f>
        <v>Female</v>
      </c>
      <c r="D993" s="7" t="str">
        <f aca="false">'Raw Data'!D993</f>
        <v>Never</v>
      </c>
      <c r="E993" s="7" t="str">
        <f aca="false">'Raw Data'!J993</f>
        <v>Low</v>
      </c>
      <c r="F993" s="7" t="n">
        <f aca="false">'Raw Data'!K993</f>
        <v>268.4</v>
      </c>
      <c r="G993" s="7" t="str">
        <f aca="false">'Raw Data'!L993</f>
        <v>No</v>
      </c>
      <c r="H993" s="7" t="str">
        <f aca="false">'Raw Data'!M993</f>
        <v>Low</v>
      </c>
      <c r="I993" s="7" t="n">
        <f aca="false">(IF(D993="Current",3,IF(D993="Former",1,0)))+(IF(E993="High",3,IF(E993="Normal",1,0)))+(IF(F993&gt;=240,2,IF(F993&gt;=200,1,0)))+(IF(G993="Yes",2,0))+(IF(H993="High",2,IF(H993="Moderate",1,0)))</f>
        <v>2</v>
      </c>
      <c r="J993" s="7" t="str">
        <f aca="false">IF(I993&gt;=8,"High",IF(I993&gt;=4,"Medium","Low"))</f>
        <v>Low</v>
      </c>
    </row>
    <row r="994" customFormat="false" ht="15" hidden="false" customHeight="true" outlineLevel="0" collapsed="false">
      <c r="A994" s="7" t="n">
        <f aca="false">'Raw Data'!A994</f>
        <v>1992</v>
      </c>
      <c r="B994" s="7" t="n">
        <f aca="false">'Raw Data'!B994</f>
        <v>19</v>
      </c>
      <c r="C994" s="7" t="str">
        <f aca="false">'Raw Data'!C994</f>
        <v>Female</v>
      </c>
      <c r="D994" s="7" t="str">
        <f aca="false">'Raw Data'!D994</f>
        <v>Never</v>
      </c>
      <c r="E994" s="7" t="str">
        <f aca="false">'Raw Data'!J994</f>
        <v>Low</v>
      </c>
      <c r="F994" s="7" t="n">
        <f aca="false">'Raw Data'!K994</f>
        <v>232.7</v>
      </c>
      <c r="G994" s="7" t="str">
        <f aca="false">'Raw Data'!L994</f>
        <v>No</v>
      </c>
      <c r="H994" s="7" t="str">
        <f aca="false">'Raw Data'!M994</f>
        <v>Low</v>
      </c>
      <c r="I994" s="7" t="n">
        <f aca="false">(IF(D994="Current",3,IF(D994="Former",1,0)))+(IF(E994="High",3,IF(E994="Normal",1,0)))+(IF(F994&gt;=240,2,IF(F994&gt;=200,1,0)))+(IF(G994="Yes",2,0))+(IF(H994="High",2,IF(H994="Moderate",1,0)))</f>
        <v>1</v>
      </c>
      <c r="J994" s="7" t="str">
        <f aca="false">IF(I994&gt;=8,"High",IF(I994&gt;=4,"Medium","Low"))</f>
        <v>Low</v>
      </c>
    </row>
    <row r="995" customFormat="false" ht="15" hidden="false" customHeight="true" outlineLevel="0" collapsed="false">
      <c r="A995" s="7" t="n">
        <f aca="false">'Raw Data'!A995</f>
        <v>1998</v>
      </c>
      <c r="B995" s="7" t="n">
        <f aca="false">'Raw Data'!B995</f>
        <v>66</v>
      </c>
      <c r="C995" s="7" t="str">
        <f aca="false">'Raw Data'!C995</f>
        <v>Male</v>
      </c>
      <c r="D995" s="7" t="str">
        <f aca="false">'Raw Data'!D995</f>
        <v>Never</v>
      </c>
      <c r="E995" s="7" t="str">
        <f aca="false">'Raw Data'!J995</f>
        <v>Low</v>
      </c>
      <c r="F995" s="7" t="n">
        <f aca="false">'Raw Data'!K995</f>
        <v>199.6</v>
      </c>
      <c r="G995" s="7" t="str">
        <f aca="false">'Raw Data'!L995</f>
        <v>No</v>
      </c>
      <c r="H995" s="7" t="str">
        <f aca="false">'Raw Data'!M995</f>
        <v>Low</v>
      </c>
      <c r="I995" s="7" t="n">
        <f aca="false">(IF(D995="Current",3,IF(D995="Former",1,0)))+(IF(E995="High",3,IF(E995="Normal",1,0)))+(IF(F995&gt;=240,2,IF(F995&gt;=200,1,0)))+(IF(G995="Yes",2,0))+(IF(H995="High",2,IF(H995="Moderate",1,0)))</f>
        <v>0</v>
      </c>
      <c r="J995" s="7" t="str">
        <f aca="false">IF(I995&gt;=8,"High",IF(I995&gt;=4,"Medium","Low"))</f>
        <v>Low</v>
      </c>
    </row>
    <row r="996" customFormat="false" ht="15" hidden="false" customHeight="true" outlineLevel="0" collapsed="false">
      <c r="A996" s="7" t="n">
        <f aca="false">'Raw Data'!A996</f>
        <v>2022</v>
      </c>
      <c r="B996" s="7" t="n">
        <f aca="false">'Raw Data'!B996</f>
        <v>24</v>
      </c>
      <c r="C996" s="7" t="str">
        <f aca="false">'Raw Data'!C996</f>
        <v>Female</v>
      </c>
      <c r="D996" s="7" t="str">
        <f aca="false">'Raw Data'!D996</f>
        <v>Never</v>
      </c>
      <c r="E996" s="7" t="str">
        <f aca="false">'Raw Data'!J996</f>
        <v>Low</v>
      </c>
      <c r="F996" s="7" t="n">
        <f aca="false">'Raw Data'!K996</f>
        <v>224.9</v>
      </c>
      <c r="G996" s="7" t="str">
        <f aca="false">'Raw Data'!L996</f>
        <v>No</v>
      </c>
      <c r="H996" s="7" t="str">
        <f aca="false">'Raw Data'!M996</f>
        <v>Low</v>
      </c>
      <c r="I996" s="7" t="n">
        <f aca="false">(IF(D996="Current",3,IF(D996="Former",1,0)))+(IF(E996="High",3,IF(E996="Normal",1,0)))+(IF(F996&gt;=240,2,IF(F996&gt;=200,1,0)))+(IF(G996="Yes",2,0))+(IF(H996="High",2,IF(H996="Moderate",1,0)))</f>
        <v>1</v>
      </c>
      <c r="J996" s="7" t="str">
        <f aca="false">IF(I996&gt;=8,"High",IF(I996&gt;=4,"Medium","Low"))</f>
        <v>Low</v>
      </c>
    </row>
    <row r="997" customFormat="false" ht="15" hidden="false" customHeight="true" outlineLevel="0" collapsed="false">
      <c r="A997" s="7" t="n">
        <f aca="false">'Raw Data'!A997</f>
        <v>2072</v>
      </c>
      <c r="B997" s="7" t="n">
        <f aca="false">'Raw Data'!B997</f>
        <v>88</v>
      </c>
      <c r="C997" s="7" t="str">
        <f aca="false">'Raw Data'!C997</f>
        <v>Male</v>
      </c>
      <c r="D997" s="7" t="str">
        <f aca="false">'Raw Data'!D997</f>
        <v>Never</v>
      </c>
      <c r="E997" s="7" t="str">
        <f aca="false">'Raw Data'!J997</f>
        <v>Low</v>
      </c>
      <c r="F997" s="7" t="n">
        <f aca="false">'Raw Data'!K997</f>
        <v>192.9</v>
      </c>
      <c r="G997" s="7" t="str">
        <f aca="false">'Raw Data'!L997</f>
        <v>No</v>
      </c>
      <c r="H997" s="7" t="str">
        <f aca="false">'Raw Data'!M997</f>
        <v>Low</v>
      </c>
      <c r="I997" s="7" t="n">
        <f aca="false">(IF(D997="Current",3,IF(D997="Former",1,0)))+(IF(E997="High",3,IF(E997="Normal",1,0)))+(IF(F997&gt;=240,2,IF(F997&gt;=200,1,0)))+(IF(G997="Yes",2,0))+(IF(H997="High",2,IF(H997="Moderate",1,0)))</f>
        <v>0</v>
      </c>
      <c r="J997" s="7" t="str">
        <f aca="false">IF(I997&gt;=8,"High",IF(I997&gt;=4,"Medium","Low"))</f>
        <v>Low</v>
      </c>
    </row>
    <row r="998" customFormat="false" ht="15" hidden="false" customHeight="true" outlineLevel="0" collapsed="false">
      <c r="A998" s="7" t="n">
        <f aca="false">'Raw Data'!A998</f>
        <v>2079</v>
      </c>
      <c r="B998" s="7" t="n">
        <f aca="false">'Raw Data'!B998</f>
        <v>78</v>
      </c>
      <c r="C998" s="7" t="str">
        <f aca="false">'Raw Data'!C998</f>
        <v>Male</v>
      </c>
      <c r="D998" s="7" t="str">
        <f aca="false">'Raw Data'!D998</f>
        <v>Never</v>
      </c>
      <c r="E998" s="7" t="str">
        <f aca="false">'Raw Data'!J998</f>
        <v>Low</v>
      </c>
      <c r="F998" s="7" t="n">
        <f aca="false">'Raw Data'!K998</f>
        <v>282.5</v>
      </c>
      <c r="G998" s="7" t="str">
        <f aca="false">'Raw Data'!L998</f>
        <v>Yes</v>
      </c>
      <c r="H998" s="7" t="str">
        <f aca="false">'Raw Data'!M998</f>
        <v>Low</v>
      </c>
      <c r="I998" s="7" t="n">
        <f aca="false">(IF(D998="Current",3,IF(D998="Former",1,0)))+(IF(E998="High",3,IF(E998="Normal",1,0)))+(IF(F998&gt;=240,2,IF(F998&gt;=200,1,0)))+(IF(G998="Yes",2,0))+(IF(H998="High",2,IF(H998="Moderate",1,0)))</f>
        <v>4</v>
      </c>
      <c r="J998" s="7" t="str">
        <f aca="false">IF(I998&gt;=8,"High",IF(I998&gt;=4,"Medium","Low"))</f>
        <v>Medium</v>
      </c>
    </row>
    <row r="999" customFormat="false" ht="15" hidden="false" customHeight="true" outlineLevel="0" collapsed="false">
      <c r="A999" s="7" t="n">
        <f aca="false">'Raw Data'!A999</f>
        <v>2141</v>
      </c>
      <c r="B999" s="7" t="n">
        <f aca="false">'Raw Data'!B999</f>
        <v>71</v>
      </c>
      <c r="C999" s="7" t="str">
        <f aca="false">'Raw Data'!C999</f>
        <v>Male</v>
      </c>
      <c r="D999" s="7" t="str">
        <f aca="false">'Raw Data'!D999</f>
        <v>Never</v>
      </c>
      <c r="E999" s="7" t="str">
        <f aca="false">'Raw Data'!J999</f>
        <v>Low</v>
      </c>
      <c r="F999" s="7" t="n">
        <f aca="false">'Raw Data'!K999</f>
        <v>260.1</v>
      </c>
      <c r="G999" s="7" t="str">
        <f aca="false">'Raw Data'!L999</f>
        <v>Yes</v>
      </c>
      <c r="H999" s="7" t="str">
        <f aca="false">'Raw Data'!M999</f>
        <v>Low</v>
      </c>
      <c r="I999" s="7" t="n">
        <f aca="false">(IF(D999="Current",3,IF(D999="Former",1,0)))+(IF(E999="High",3,IF(E999="Normal",1,0)))+(IF(F999&gt;=240,2,IF(F999&gt;=200,1,0)))+(IF(G999="Yes",2,0))+(IF(H999="High",2,IF(H999="Moderate",1,0)))</f>
        <v>4</v>
      </c>
      <c r="J999" s="7" t="str">
        <f aca="false">IF(I999&gt;=8,"High",IF(I999&gt;=4,"Medium","Low"))</f>
        <v>Medium</v>
      </c>
    </row>
    <row r="1000" customFormat="false" ht="15" hidden="false" customHeight="true" outlineLevel="0" collapsed="false">
      <c r="A1000" s="7" t="n">
        <f aca="false">'Raw Data'!A1000</f>
        <v>2154</v>
      </c>
      <c r="B1000" s="7" t="n">
        <f aca="false">'Raw Data'!B1000</f>
        <v>64</v>
      </c>
      <c r="C1000" s="7" t="str">
        <f aca="false">'Raw Data'!C1000</f>
        <v>Female</v>
      </c>
      <c r="D1000" s="7" t="str">
        <f aca="false">'Raw Data'!D1000</f>
        <v>Never</v>
      </c>
      <c r="E1000" s="7" t="str">
        <f aca="false">'Raw Data'!J1000</f>
        <v>Low</v>
      </c>
      <c r="F1000" s="7" t="n">
        <f aca="false">'Raw Data'!K1000</f>
        <v>247.8</v>
      </c>
      <c r="G1000" s="7" t="str">
        <f aca="false">'Raw Data'!L1000</f>
        <v>Yes</v>
      </c>
      <c r="H1000" s="7" t="str">
        <f aca="false">'Raw Data'!M1000</f>
        <v>Low</v>
      </c>
      <c r="I1000" s="7" t="n">
        <f aca="false">(IF(D1000="Current",3,IF(D1000="Former",1,0)))+(IF(E1000="High",3,IF(E1000="Normal",1,0)))+(IF(F1000&gt;=240,2,IF(F1000&gt;=200,1,0)))+(IF(G1000="Yes",2,0))+(IF(H1000="High",2,IF(H1000="Moderate",1,0)))</f>
        <v>4</v>
      </c>
      <c r="J1000" s="7" t="str">
        <f aca="false">IF(I1000&gt;=8,"High",IF(I1000&gt;=4,"Medium","Low"))</f>
        <v>Medium</v>
      </c>
    </row>
    <row r="1001" customFormat="false" ht="15" hidden="false" customHeight="true" outlineLevel="0" collapsed="false">
      <c r="A1001" s="7" t="n">
        <f aca="false">'Raw Data'!A1001</f>
        <v>2173</v>
      </c>
      <c r="B1001" s="7" t="n">
        <f aca="false">'Raw Data'!B1001</f>
        <v>79</v>
      </c>
      <c r="C1001" s="7" t="str">
        <f aca="false">'Raw Data'!C1001</f>
        <v>Female</v>
      </c>
      <c r="D1001" s="7" t="str">
        <f aca="false">'Raw Data'!D1001</f>
        <v>Never</v>
      </c>
      <c r="E1001" s="7" t="str">
        <f aca="false">'Raw Data'!J1001</f>
        <v>Low</v>
      </c>
      <c r="F1001" s="7" t="n">
        <f aca="false">'Raw Data'!K1001</f>
        <v>234.5</v>
      </c>
      <c r="G1001" s="7" t="str">
        <f aca="false">'Raw Data'!L1001</f>
        <v>No</v>
      </c>
      <c r="H1001" s="7" t="str">
        <f aca="false">'Raw Data'!M1001</f>
        <v>Low</v>
      </c>
      <c r="I1001" s="7" t="n">
        <f aca="false">(IF(D1001="Current",3,IF(D1001="Former",1,0)))+(IF(E1001="High",3,IF(E1001="Normal",1,0)))+(IF(F1001&gt;=240,2,IF(F1001&gt;=200,1,0)))+(IF(G1001="Yes",2,0))+(IF(H1001="High",2,IF(H1001="Moderate",1,0)))</f>
        <v>1</v>
      </c>
      <c r="J1001" s="7" t="str">
        <f aca="false">IF(I1001&gt;=8,"High",IF(I1001&gt;=4,"Medium","Low"))</f>
        <v>Low</v>
      </c>
    </row>
    <row r="1002" customFormat="false" ht="15" hidden="false" customHeight="true" outlineLevel="0" collapsed="false">
      <c r="A1002" s="7" t="n">
        <f aca="false">'Raw Data'!A1002</f>
        <v>2191</v>
      </c>
      <c r="B1002" s="7" t="n">
        <f aca="false">'Raw Data'!B1002</f>
        <v>66</v>
      </c>
      <c r="C1002" s="7" t="str">
        <f aca="false">'Raw Data'!C1002</f>
        <v>Male</v>
      </c>
      <c r="D1002" s="7" t="str">
        <f aca="false">'Raw Data'!D1002</f>
        <v>Never</v>
      </c>
      <c r="E1002" s="7" t="str">
        <f aca="false">'Raw Data'!J1002</f>
        <v>Low</v>
      </c>
      <c r="F1002" s="7" t="n">
        <f aca="false">'Raw Data'!K1002</f>
        <v>295.5</v>
      </c>
      <c r="G1002" s="7" t="str">
        <f aca="false">'Raw Data'!L1002</f>
        <v>Yes</v>
      </c>
      <c r="H1002" s="7" t="str">
        <f aca="false">'Raw Data'!M1002</f>
        <v>Low</v>
      </c>
      <c r="I1002" s="7" t="n">
        <f aca="false">(IF(D1002="Current",3,IF(D1002="Former",1,0)))+(IF(E1002="High",3,IF(E1002="Normal",1,0)))+(IF(F1002&gt;=240,2,IF(F1002&gt;=200,1,0)))+(IF(G1002="Yes",2,0))+(IF(H1002="High",2,IF(H1002="Moderate",1,0)))</f>
        <v>4</v>
      </c>
      <c r="J1002" s="7" t="str">
        <f aca="false">IF(I1002&gt;=8,"High",IF(I1002&gt;=4,"Medium","Low"))</f>
        <v>Medium</v>
      </c>
    </row>
    <row r="1003" customFormat="false" ht="15" hidden="false" customHeight="true" outlineLevel="0" collapsed="false">
      <c r="A1003" s="7" t="n">
        <f aca="false">'Raw Data'!A1003</f>
        <v>2218</v>
      </c>
      <c r="B1003" s="7" t="n">
        <f aca="false">'Raw Data'!B1003</f>
        <v>30</v>
      </c>
      <c r="C1003" s="7" t="str">
        <f aca="false">'Raw Data'!C1003</f>
        <v>Male</v>
      </c>
      <c r="D1003" s="7" t="str">
        <f aca="false">'Raw Data'!D1003</f>
        <v>Never</v>
      </c>
      <c r="E1003" s="7" t="str">
        <f aca="false">'Raw Data'!J1003</f>
        <v>Low</v>
      </c>
      <c r="F1003" s="7" t="n">
        <f aca="false">'Raw Data'!K1003</f>
        <v>189.7</v>
      </c>
      <c r="G1003" s="7" t="str">
        <f aca="false">'Raw Data'!L1003</f>
        <v>No</v>
      </c>
      <c r="H1003" s="7" t="str">
        <f aca="false">'Raw Data'!M1003</f>
        <v>Low</v>
      </c>
      <c r="I1003" s="7" t="n">
        <f aca="false">(IF(D1003="Current",3,IF(D1003="Former",1,0)))+(IF(E1003="High",3,IF(E1003="Normal",1,0)))+(IF(F1003&gt;=240,2,IF(F1003&gt;=200,1,0)))+(IF(G1003="Yes",2,0))+(IF(H1003="High",2,IF(H1003="Moderate",1,0)))</f>
        <v>0</v>
      </c>
      <c r="J1003" s="7" t="str">
        <f aca="false">IF(I1003&gt;=8,"High",IF(I1003&gt;=4,"Medium","Low"))</f>
        <v>Low</v>
      </c>
    </row>
    <row r="1004" customFormat="false" ht="15" hidden="false" customHeight="true" outlineLevel="0" collapsed="false">
      <c r="A1004" s="7" t="n">
        <f aca="false">'Raw Data'!A1004</f>
        <v>2239</v>
      </c>
      <c r="B1004" s="7" t="n">
        <f aca="false">'Raw Data'!B1004</f>
        <v>82</v>
      </c>
      <c r="C1004" s="7" t="str">
        <f aca="false">'Raw Data'!C1004</f>
        <v>Female</v>
      </c>
      <c r="D1004" s="7" t="str">
        <f aca="false">'Raw Data'!D1004</f>
        <v>Never</v>
      </c>
      <c r="E1004" s="7" t="str">
        <f aca="false">'Raw Data'!J1004</f>
        <v>Low</v>
      </c>
      <c r="F1004" s="7" t="n">
        <f aca="false">'Raw Data'!K1004</f>
        <v>128.4</v>
      </c>
      <c r="G1004" s="7" t="str">
        <f aca="false">'Raw Data'!L1004</f>
        <v>No</v>
      </c>
      <c r="H1004" s="7" t="str">
        <f aca="false">'Raw Data'!M1004</f>
        <v>Low</v>
      </c>
      <c r="I1004" s="7" t="n">
        <f aca="false">(IF(D1004="Current",3,IF(D1004="Former",1,0)))+(IF(E1004="High",3,IF(E1004="Normal",1,0)))+(IF(F1004&gt;=240,2,IF(F1004&gt;=200,1,0)))+(IF(G1004="Yes",2,0))+(IF(H1004="High",2,IF(H1004="Moderate",1,0)))</f>
        <v>0</v>
      </c>
      <c r="J1004" s="7" t="str">
        <f aca="false">IF(I1004&gt;=8,"High",IF(I1004&gt;=4,"Medium","Low"))</f>
        <v>Low</v>
      </c>
    </row>
    <row r="1005" customFormat="false" ht="15" hidden="false" customHeight="true" outlineLevel="0" collapsed="false">
      <c r="A1005" s="7" t="n">
        <f aca="false">'Raw Data'!A1005</f>
        <v>2245</v>
      </c>
      <c r="B1005" s="7" t="n">
        <f aca="false">'Raw Data'!B1005</f>
        <v>21</v>
      </c>
      <c r="C1005" s="7" t="str">
        <f aca="false">'Raw Data'!C1005</f>
        <v>Female</v>
      </c>
      <c r="D1005" s="7" t="str">
        <f aca="false">'Raw Data'!D1005</f>
        <v>Never</v>
      </c>
      <c r="E1005" s="7" t="str">
        <f aca="false">'Raw Data'!J1005</f>
        <v>Low</v>
      </c>
      <c r="F1005" s="7" t="n">
        <f aca="false">'Raw Data'!K1005</f>
        <v>221.2</v>
      </c>
      <c r="G1005" s="7" t="str">
        <f aca="false">'Raw Data'!L1005</f>
        <v>Yes</v>
      </c>
      <c r="H1005" s="7" t="str">
        <f aca="false">'Raw Data'!M1005</f>
        <v>Low</v>
      </c>
      <c r="I1005" s="7" t="n">
        <f aca="false">(IF(D1005="Current",3,IF(D1005="Former",1,0)))+(IF(E1005="High",3,IF(E1005="Normal",1,0)))+(IF(F1005&gt;=240,2,IF(F1005&gt;=200,1,0)))+(IF(G1005="Yes",2,0))+(IF(H1005="High",2,IF(H1005="Moderate",1,0)))</f>
        <v>3</v>
      </c>
      <c r="J1005" s="7" t="str">
        <f aca="false">IF(I1005&gt;=8,"High",IF(I1005&gt;=4,"Medium","Low"))</f>
        <v>Low</v>
      </c>
    </row>
    <row r="1006" customFormat="false" ht="15" hidden="false" customHeight="true" outlineLevel="0" collapsed="false">
      <c r="A1006" s="7" t="n">
        <f aca="false">'Raw Data'!A1006</f>
        <v>2255</v>
      </c>
      <c r="B1006" s="7" t="n">
        <f aca="false">'Raw Data'!B1006</f>
        <v>89</v>
      </c>
      <c r="C1006" s="7" t="str">
        <f aca="false">'Raw Data'!C1006</f>
        <v>Male</v>
      </c>
      <c r="D1006" s="7" t="str">
        <f aca="false">'Raw Data'!D1006</f>
        <v>Never</v>
      </c>
      <c r="E1006" s="7" t="str">
        <f aca="false">'Raw Data'!J1006</f>
        <v>Low</v>
      </c>
      <c r="F1006" s="7" t="n">
        <f aca="false">'Raw Data'!K1006</f>
        <v>233.4</v>
      </c>
      <c r="G1006" s="7" t="str">
        <f aca="false">'Raw Data'!L1006</f>
        <v>No</v>
      </c>
      <c r="H1006" s="7" t="str">
        <f aca="false">'Raw Data'!M1006</f>
        <v>Low</v>
      </c>
      <c r="I1006" s="7" t="n">
        <f aca="false">(IF(D1006="Current",3,IF(D1006="Former",1,0)))+(IF(E1006="High",3,IF(E1006="Normal",1,0)))+(IF(F1006&gt;=240,2,IF(F1006&gt;=200,1,0)))+(IF(G1006="Yes",2,0))+(IF(H1006="High",2,IF(H1006="Moderate",1,0)))</f>
        <v>1</v>
      </c>
      <c r="J1006" s="7" t="str">
        <f aca="false">IF(I1006&gt;=8,"High",IF(I1006&gt;=4,"Medium","Low"))</f>
        <v>Low</v>
      </c>
    </row>
    <row r="1007" customFormat="false" ht="15" hidden="false" customHeight="true" outlineLevel="0" collapsed="false">
      <c r="A1007" s="7" t="n">
        <f aca="false">'Raw Data'!A1007</f>
        <v>2261</v>
      </c>
      <c r="B1007" s="7" t="n">
        <f aca="false">'Raw Data'!B1007</f>
        <v>66</v>
      </c>
      <c r="C1007" s="7" t="str">
        <f aca="false">'Raw Data'!C1007</f>
        <v>Female</v>
      </c>
      <c r="D1007" s="7" t="str">
        <f aca="false">'Raw Data'!D1007</f>
        <v>Never</v>
      </c>
      <c r="E1007" s="7" t="str">
        <f aca="false">'Raw Data'!J1007</f>
        <v>Low</v>
      </c>
      <c r="F1007" s="7" t="n">
        <f aca="false">'Raw Data'!K1007</f>
        <v>136.9</v>
      </c>
      <c r="G1007" s="7" t="str">
        <f aca="false">'Raw Data'!L1007</f>
        <v>No</v>
      </c>
      <c r="H1007" s="7" t="str">
        <f aca="false">'Raw Data'!M1007</f>
        <v>Low</v>
      </c>
      <c r="I1007" s="7" t="n">
        <f aca="false">(IF(D1007="Current",3,IF(D1007="Former",1,0)))+(IF(E1007="High",3,IF(E1007="Normal",1,0)))+(IF(F1007&gt;=240,2,IF(F1007&gt;=200,1,0)))+(IF(G1007="Yes",2,0))+(IF(H1007="High",2,IF(H1007="Moderate",1,0)))</f>
        <v>0</v>
      </c>
      <c r="J1007" s="7" t="str">
        <f aca="false">IF(I1007&gt;=8,"High",IF(I1007&gt;=4,"Medium","Low"))</f>
        <v>Low</v>
      </c>
    </row>
    <row r="1008" customFormat="false" ht="15" hidden="false" customHeight="true" outlineLevel="0" collapsed="false">
      <c r="A1008" s="7" t="n">
        <f aca="false">'Raw Data'!A1008</f>
        <v>2266</v>
      </c>
      <c r="B1008" s="7" t="n">
        <f aca="false">'Raw Data'!B1008</f>
        <v>83</v>
      </c>
      <c r="C1008" s="7" t="str">
        <f aca="false">'Raw Data'!C1008</f>
        <v>Female</v>
      </c>
      <c r="D1008" s="7" t="str">
        <f aca="false">'Raw Data'!D1008</f>
        <v>Never</v>
      </c>
      <c r="E1008" s="7" t="str">
        <f aca="false">'Raw Data'!J1008</f>
        <v>Low</v>
      </c>
      <c r="F1008" s="7" t="n">
        <f aca="false">'Raw Data'!K1008</f>
        <v>224.4</v>
      </c>
      <c r="G1008" s="7" t="str">
        <f aca="false">'Raw Data'!L1008</f>
        <v>No</v>
      </c>
      <c r="H1008" s="7" t="str">
        <f aca="false">'Raw Data'!M1008</f>
        <v>Low</v>
      </c>
      <c r="I1008" s="7" t="n">
        <f aca="false">(IF(D1008="Current",3,IF(D1008="Former",1,0)))+(IF(E1008="High",3,IF(E1008="Normal",1,0)))+(IF(F1008&gt;=240,2,IF(F1008&gt;=200,1,0)))+(IF(G1008="Yes",2,0))+(IF(H1008="High",2,IF(H1008="Moderate",1,0)))</f>
        <v>1</v>
      </c>
      <c r="J1008" s="7" t="str">
        <f aca="false">IF(I1008&gt;=8,"High",IF(I1008&gt;=4,"Medium","Low"))</f>
        <v>Low</v>
      </c>
    </row>
    <row r="1009" customFormat="false" ht="15" hidden="false" customHeight="true" outlineLevel="0" collapsed="false">
      <c r="A1009" s="7" t="n">
        <f aca="false">'Raw Data'!A1009</f>
        <v>2270</v>
      </c>
      <c r="B1009" s="7" t="n">
        <f aca="false">'Raw Data'!B1009</f>
        <v>74</v>
      </c>
      <c r="C1009" s="7" t="str">
        <f aca="false">'Raw Data'!C1009</f>
        <v>Female</v>
      </c>
      <c r="D1009" s="7" t="str">
        <f aca="false">'Raw Data'!D1009</f>
        <v>Never</v>
      </c>
      <c r="E1009" s="7" t="str">
        <f aca="false">'Raw Data'!J1009</f>
        <v>Low</v>
      </c>
      <c r="F1009" s="7" t="n">
        <f aca="false">'Raw Data'!K1009</f>
        <v>134.4</v>
      </c>
      <c r="G1009" s="7" t="str">
        <f aca="false">'Raw Data'!L1009</f>
        <v>Yes</v>
      </c>
      <c r="H1009" s="7" t="str">
        <f aca="false">'Raw Data'!M1009</f>
        <v>Low</v>
      </c>
      <c r="I1009" s="7" t="n">
        <f aca="false">(IF(D1009="Current",3,IF(D1009="Former",1,0)))+(IF(E1009="High",3,IF(E1009="Normal",1,0)))+(IF(F1009&gt;=240,2,IF(F1009&gt;=200,1,0)))+(IF(G1009="Yes",2,0))+(IF(H1009="High",2,IF(H1009="Moderate",1,0)))</f>
        <v>2</v>
      </c>
      <c r="J1009" s="7" t="str">
        <f aca="false">IF(I1009&gt;=8,"High",IF(I1009&gt;=4,"Medium","Low"))</f>
        <v>Low</v>
      </c>
    </row>
    <row r="1010" customFormat="false" ht="15" hidden="false" customHeight="true" outlineLevel="0" collapsed="false">
      <c r="A1010" s="7" t="n">
        <f aca="false">'Raw Data'!A1010</f>
        <v>2319</v>
      </c>
      <c r="B1010" s="7" t="n">
        <f aca="false">'Raw Data'!B1010</f>
        <v>57</v>
      </c>
      <c r="C1010" s="7" t="str">
        <f aca="false">'Raw Data'!C1010</f>
        <v>Female</v>
      </c>
      <c r="D1010" s="7" t="str">
        <f aca="false">'Raw Data'!D1010</f>
        <v>Never</v>
      </c>
      <c r="E1010" s="7" t="str">
        <f aca="false">'Raw Data'!J1010</f>
        <v>Low</v>
      </c>
      <c r="F1010" s="7" t="n">
        <f aca="false">'Raw Data'!K1010</f>
        <v>185.8</v>
      </c>
      <c r="G1010" s="7" t="str">
        <f aca="false">'Raw Data'!L1010</f>
        <v>Yes</v>
      </c>
      <c r="H1010" s="7" t="str">
        <f aca="false">'Raw Data'!M1010</f>
        <v>Low</v>
      </c>
      <c r="I1010" s="7" t="n">
        <f aca="false">(IF(D1010="Current",3,IF(D1010="Former",1,0)))+(IF(E1010="High",3,IF(E1010="Normal",1,0)))+(IF(F1010&gt;=240,2,IF(F1010&gt;=200,1,0)))+(IF(G1010="Yes",2,0))+(IF(H1010="High",2,IF(H1010="Moderate",1,0)))</f>
        <v>2</v>
      </c>
      <c r="J1010" s="7" t="str">
        <f aca="false">IF(I1010&gt;=8,"High",IF(I1010&gt;=4,"Medium","Low"))</f>
        <v>Low</v>
      </c>
    </row>
    <row r="1011" customFormat="false" ht="15" hidden="false" customHeight="true" outlineLevel="0" collapsed="false">
      <c r="A1011" s="7" t="n">
        <f aca="false">'Raw Data'!A1011</f>
        <v>2390</v>
      </c>
      <c r="B1011" s="7" t="n">
        <f aca="false">'Raw Data'!B1011</f>
        <v>64</v>
      </c>
      <c r="C1011" s="7" t="str">
        <f aca="false">'Raw Data'!C1011</f>
        <v>Female</v>
      </c>
      <c r="D1011" s="7" t="str">
        <f aca="false">'Raw Data'!D1011</f>
        <v>Never</v>
      </c>
      <c r="E1011" s="7" t="str">
        <f aca="false">'Raw Data'!J1011</f>
        <v>Low</v>
      </c>
      <c r="F1011" s="7" t="n">
        <f aca="false">'Raw Data'!K1011</f>
        <v>179.4</v>
      </c>
      <c r="G1011" s="7" t="str">
        <f aca="false">'Raw Data'!L1011</f>
        <v>Yes</v>
      </c>
      <c r="H1011" s="7" t="str">
        <f aca="false">'Raw Data'!M1011</f>
        <v>Low</v>
      </c>
      <c r="I1011" s="7" t="n">
        <f aca="false">(IF(D1011="Current",3,IF(D1011="Former",1,0)))+(IF(E1011="High",3,IF(E1011="Normal",1,0)))+(IF(F1011&gt;=240,2,IF(F1011&gt;=200,1,0)))+(IF(G1011="Yes",2,0))+(IF(H1011="High",2,IF(H1011="Moderate",1,0)))</f>
        <v>2</v>
      </c>
      <c r="J1011" s="7" t="str">
        <f aca="false">IF(I1011&gt;=8,"High",IF(I1011&gt;=4,"Medium","Low"))</f>
        <v>Low</v>
      </c>
    </row>
    <row r="1012" customFormat="false" ht="15" hidden="false" customHeight="true" outlineLevel="0" collapsed="false">
      <c r="A1012" s="7" t="n">
        <f aca="false">'Raw Data'!A1012</f>
        <v>2414</v>
      </c>
      <c r="B1012" s="7" t="n">
        <f aca="false">'Raw Data'!B1012</f>
        <v>28</v>
      </c>
      <c r="C1012" s="7" t="str">
        <f aca="false">'Raw Data'!C1012</f>
        <v>Male</v>
      </c>
      <c r="D1012" s="7" t="str">
        <f aca="false">'Raw Data'!D1012</f>
        <v>Never</v>
      </c>
      <c r="E1012" s="7" t="str">
        <f aca="false">'Raw Data'!J1012</f>
        <v>Low</v>
      </c>
      <c r="F1012" s="7" t="n">
        <f aca="false">'Raw Data'!K1012</f>
        <v>139.1</v>
      </c>
      <c r="G1012" s="7" t="str">
        <f aca="false">'Raw Data'!L1012</f>
        <v>No</v>
      </c>
      <c r="H1012" s="7" t="str">
        <f aca="false">'Raw Data'!M1012</f>
        <v>Low</v>
      </c>
      <c r="I1012" s="7" t="n">
        <f aca="false">(IF(D1012="Current",3,IF(D1012="Former",1,0)))+(IF(E1012="High",3,IF(E1012="Normal",1,0)))+(IF(F1012&gt;=240,2,IF(F1012&gt;=200,1,0)))+(IF(G1012="Yes",2,0))+(IF(H1012="High",2,IF(H1012="Moderate",1,0)))</f>
        <v>0</v>
      </c>
      <c r="J1012" s="7" t="str">
        <f aca="false">IF(I1012&gt;=8,"High",IF(I1012&gt;=4,"Medium","Low"))</f>
        <v>Low</v>
      </c>
    </row>
    <row r="1013" customFormat="false" ht="15" hidden="false" customHeight="true" outlineLevel="0" collapsed="false">
      <c r="A1013" s="7" t="n">
        <f aca="false">'Raw Data'!A1013</f>
        <v>2419</v>
      </c>
      <c r="B1013" s="7" t="n">
        <f aca="false">'Raw Data'!B1013</f>
        <v>86</v>
      </c>
      <c r="C1013" s="7" t="str">
        <f aca="false">'Raw Data'!C1013</f>
        <v>Female</v>
      </c>
      <c r="D1013" s="7" t="str">
        <f aca="false">'Raw Data'!D1013</f>
        <v>Never</v>
      </c>
      <c r="E1013" s="7" t="str">
        <f aca="false">'Raw Data'!J1013</f>
        <v>Low</v>
      </c>
      <c r="F1013" s="7" t="n">
        <f aca="false">'Raw Data'!K1013</f>
        <v>291.5</v>
      </c>
      <c r="G1013" s="7" t="str">
        <f aca="false">'Raw Data'!L1013</f>
        <v>No</v>
      </c>
      <c r="H1013" s="7" t="str">
        <f aca="false">'Raw Data'!M1013</f>
        <v>Low</v>
      </c>
      <c r="I1013" s="7" t="n">
        <f aca="false">(IF(D1013="Current",3,IF(D1013="Former",1,0)))+(IF(E1013="High",3,IF(E1013="Normal",1,0)))+(IF(F1013&gt;=240,2,IF(F1013&gt;=200,1,0)))+(IF(G1013="Yes",2,0))+(IF(H1013="High",2,IF(H1013="Moderate",1,0)))</f>
        <v>2</v>
      </c>
      <c r="J1013" s="7" t="str">
        <f aca="false">IF(I1013&gt;=8,"High",IF(I1013&gt;=4,"Medium","Low"))</f>
        <v>Low</v>
      </c>
    </row>
    <row r="1014" customFormat="false" ht="15" hidden="false" customHeight="true" outlineLevel="0" collapsed="false">
      <c r="A1014" s="7" t="n">
        <f aca="false">'Raw Data'!A1014</f>
        <v>2458</v>
      </c>
      <c r="B1014" s="7" t="n">
        <f aca="false">'Raw Data'!B1014</f>
        <v>58</v>
      </c>
      <c r="C1014" s="7" t="str">
        <f aca="false">'Raw Data'!C1014</f>
        <v>Male</v>
      </c>
      <c r="D1014" s="7" t="str">
        <f aca="false">'Raw Data'!D1014</f>
        <v>Never</v>
      </c>
      <c r="E1014" s="7" t="str">
        <f aca="false">'Raw Data'!J1014</f>
        <v>Low</v>
      </c>
      <c r="F1014" s="7" t="n">
        <f aca="false">'Raw Data'!K1014</f>
        <v>220.2</v>
      </c>
      <c r="G1014" s="7" t="str">
        <f aca="false">'Raw Data'!L1014</f>
        <v>No</v>
      </c>
      <c r="H1014" s="7" t="str">
        <f aca="false">'Raw Data'!M1014</f>
        <v>Low</v>
      </c>
      <c r="I1014" s="7" t="n">
        <f aca="false">(IF(D1014="Current",3,IF(D1014="Former",1,0)))+(IF(E1014="High",3,IF(E1014="Normal",1,0)))+(IF(F1014&gt;=240,2,IF(F1014&gt;=200,1,0)))+(IF(G1014="Yes",2,0))+(IF(H1014="High",2,IF(H1014="Moderate",1,0)))</f>
        <v>1</v>
      </c>
      <c r="J1014" s="7" t="str">
        <f aca="false">IF(I1014&gt;=8,"High",IF(I1014&gt;=4,"Medium","Low"))</f>
        <v>Low</v>
      </c>
    </row>
    <row r="1015" customFormat="false" ht="15" hidden="false" customHeight="true" outlineLevel="0" collapsed="false">
      <c r="A1015" s="7" t="n">
        <f aca="false">'Raw Data'!A1015</f>
        <v>44</v>
      </c>
      <c r="B1015" s="7" t="n">
        <f aca="false">'Raw Data'!B1015</f>
        <v>30</v>
      </c>
      <c r="C1015" s="7" t="str">
        <f aca="false">'Raw Data'!C1015</f>
        <v>Female</v>
      </c>
      <c r="D1015" s="7" t="str">
        <f aca="false">'Raw Data'!D1015</f>
        <v>Never</v>
      </c>
      <c r="E1015" s="7" t="str">
        <f aca="false">'Raw Data'!J1015</f>
        <v>Low</v>
      </c>
      <c r="F1015" s="7" t="n">
        <f aca="false">'Raw Data'!K1015</f>
        <v>212.4</v>
      </c>
      <c r="G1015" s="7" t="str">
        <f aca="false">'Raw Data'!L1015</f>
        <v>Yes</v>
      </c>
      <c r="H1015" s="7" t="str">
        <f aca="false">'Raw Data'!M1015</f>
        <v>Moderate</v>
      </c>
      <c r="I1015" s="7" t="n">
        <f aca="false">(IF(D1015="Current",3,IF(D1015="Former",1,0)))+(IF(E1015="High",3,IF(E1015="Normal",1,0)))+(IF(F1015&gt;=240,2,IF(F1015&gt;=200,1,0)))+(IF(G1015="Yes",2,0))+(IF(H1015="High",2,IF(H1015="Moderate",1,0)))</f>
        <v>4</v>
      </c>
      <c r="J1015" s="7" t="str">
        <f aca="false">IF(I1015&gt;=8,"High",IF(I1015&gt;=4,"Medium","Low"))</f>
        <v>Medium</v>
      </c>
    </row>
    <row r="1016" customFormat="false" ht="15" hidden="false" customHeight="true" outlineLevel="0" collapsed="false">
      <c r="A1016" s="7" t="n">
        <f aca="false">'Raw Data'!A1016</f>
        <v>68</v>
      </c>
      <c r="B1016" s="7" t="n">
        <f aca="false">'Raw Data'!B1016</f>
        <v>53</v>
      </c>
      <c r="C1016" s="7" t="str">
        <f aca="false">'Raw Data'!C1016</f>
        <v>Female</v>
      </c>
      <c r="D1016" s="7" t="str">
        <f aca="false">'Raw Data'!D1016</f>
        <v>Never</v>
      </c>
      <c r="E1016" s="7" t="str">
        <f aca="false">'Raw Data'!J1016</f>
        <v>Low</v>
      </c>
      <c r="F1016" s="7" t="n">
        <f aca="false">'Raw Data'!K1016</f>
        <v>295.5</v>
      </c>
      <c r="G1016" s="7" t="str">
        <f aca="false">'Raw Data'!L1016</f>
        <v>No</v>
      </c>
      <c r="H1016" s="7" t="str">
        <f aca="false">'Raw Data'!M1016</f>
        <v>Moderate</v>
      </c>
      <c r="I1016" s="7" t="n">
        <f aca="false">(IF(D1016="Current",3,IF(D1016="Former",1,0)))+(IF(E1016="High",3,IF(E1016="Normal",1,0)))+(IF(F1016&gt;=240,2,IF(F1016&gt;=200,1,0)))+(IF(G1016="Yes",2,0))+(IF(H1016="High",2,IF(H1016="Moderate",1,0)))</f>
        <v>3</v>
      </c>
      <c r="J1016" s="7" t="str">
        <f aca="false">IF(I1016&gt;=8,"High",IF(I1016&gt;=4,"Medium","Low"))</f>
        <v>Low</v>
      </c>
    </row>
    <row r="1017" customFormat="false" ht="15" hidden="false" customHeight="true" outlineLevel="0" collapsed="false">
      <c r="A1017" s="7" t="n">
        <f aca="false">'Raw Data'!A1017</f>
        <v>125</v>
      </c>
      <c r="B1017" s="7" t="n">
        <f aca="false">'Raw Data'!B1017</f>
        <v>44</v>
      </c>
      <c r="C1017" s="7" t="str">
        <f aca="false">'Raw Data'!C1017</f>
        <v>Female</v>
      </c>
      <c r="D1017" s="7" t="str">
        <f aca="false">'Raw Data'!D1017</f>
        <v>Never</v>
      </c>
      <c r="E1017" s="7" t="str">
        <f aca="false">'Raw Data'!J1017</f>
        <v>Low</v>
      </c>
      <c r="F1017" s="7" t="n">
        <f aca="false">'Raw Data'!K1017</f>
        <v>125.9</v>
      </c>
      <c r="G1017" s="7" t="str">
        <f aca="false">'Raw Data'!L1017</f>
        <v>No</v>
      </c>
      <c r="H1017" s="7" t="str">
        <f aca="false">'Raw Data'!M1017</f>
        <v>Moderate</v>
      </c>
      <c r="I1017" s="7" t="n">
        <f aca="false">(IF(D1017="Current",3,IF(D1017="Former",1,0)))+(IF(E1017="High",3,IF(E1017="Normal",1,0)))+(IF(F1017&gt;=240,2,IF(F1017&gt;=200,1,0)))+(IF(G1017="Yes",2,0))+(IF(H1017="High",2,IF(H1017="Moderate",1,0)))</f>
        <v>1</v>
      </c>
      <c r="J1017" s="7" t="str">
        <f aca="false">IF(I1017&gt;=8,"High",IF(I1017&gt;=4,"Medium","Low"))</f>
        <v>Low</v>
      </c>
    </row>
    <row r="1018" customFormat="false" ht="15" hidden="false" customHeight="true" outlineLevel="0" collapsed="false">
      <c r="A1018" s="7" t="n">
        <f aca="false">'Raw Data'!A1018</f>
        <v>132</v>
      </c>
      <c r="B1018" s="7" t="n">
        <f aca="false">'Raw Data'!B1018</f>
        <v>21</v>
      </c>
      <c r="C1018" s="7" t="str">
        <f aca="false">'Raw Data'!C1018</f>
        <v>Female</v>
      </c>
      <c r="D1018" s="7" t="str">
        <f aca="false">'Raw Data'!D1018</f>
        <v>Never</v>
      </c>
      <c r="E1018" s="7" t="str">
        <f aca="false">'Raw Data'!J1018</f>
        <v>Low</v>
      </c>
      <c r="F1018" s="7" t="n">
        <f aca="false">'Raw Data'!K1018</f>
        <v>149.5</v>
      </c>
      <c r="G1018" s="7" t="str">
        <f aca="false">'Raw Data'!L1018</f>
        <v>No</v>
      </c>
      <c r="H1018" s="7" t="str">
        <f aca="false">'Raw Data'!M1018</f>
        <v>Moderate</v>
      </c>
      <c r="I1018" s="7" t="n">
        <f aca="false">(IF(D1018="Current",3,IF(D1018="Former",1,0)))+(IF(E1018="High",3,IF(E1018="Normal",1,0)))+(IF(F1018&gt;=240,2,IF(F1018&gt;=200,1,0)))+(IF(G1018="Yes",2,0))+(IF(H1018="High",2,IF(H1018="Moderate",1,0)))</f>
        <v>1</v>
      </c>
      <c r="J1018" s="7" t="str">
        <f aca="false">IF(I1018&gt;=8,"High",IF(I1018&gt;=4,"Medium","Low"))</f>
        <v>Low</v>
      </c>
    </row>
    <row r="1019" customFormat="false" ht="15" hidden="false" customHeight="true" outlineLevel="0" collapsed="false">
      <c r="A1019" s="7" t="n">
        <f aca="false">'Raw Data'!A1019</f>
        <v>141</v>
      </c>
      <c r="B1019" s="7" t="n">
        <f aca="false">'Raw Data'!B1019</f>
        <v>25</v>
      </c>
      <c r="C1019" s="7" t="str">
        <f aca="false">'Raw Data'!C1019</f>
        <v>Male</v>
      </c>
      <c r="D1019" s="7" t="str">
        <f aca="false">'Raw Data'!D1019</f>
        <v>Never</v>
      </c>
      <c r="E1019" s="7" t="str">
        <f aca="false">'Raw Data'!J1019</f>
        <v>Low</v>
      </c>
      <c r="F1019" s="7" t="n">
        <f aca="false">'Raw Data'!K1019</f>
        <v>126.6</v>
      </c>
      <c r="G1019" s="7" t="str">
        <f aca="false">'Raw Data'!L1019</f>
        <v>No</v>
      </c>
      <c r="H1019" s="7" t="str">
        <f aca="false">'Raw Data'!M1019</f>
        <v>Moderate</v>
      </c>
      <c r="I1019" s="7" t="n">
        <f aca="false">(IF(D1019="Current",3,IF(D1019="Former",1,0)))+(IF(E1019="High",3,IF(E1019="Normal",1,0)))+(IF(F1019&gt;=240,2,IF(F1019&gt;=200,1,0)))+(IF(G1019="Yes",2,0))+(IF(H1019="High",2,IF(H1019="Moderate",1,0)))</f>
        <v>1</v>
      </c>
      <c r="J1019" s="7" t="str">
        <f aca="false">IF(I1019&gt;=8,"High",IF(I1019&gt;=4,"Medium","Low"))</f>
        <v>Low</v>
      </c>
    </row>
    <row r="1020" customFormat="false" ht="15" hidden="false" customHeight="true" outlineLevel="0" collapsed="false">
      <c r="A1020" s="7" t="n">
        <f aca="false">'Raw Data'!A1020</f>
        <v>273</v>
      </c>
      <c r="B1020" s="7" t="n">
        <f aca="false">'Raw Data'!B1020</f>
        <v>76</v>
      </c>
      <c r="C1020" s="7" t="str">
        <f aca="false">'Raw Data'!C1020</f>
        <v>Male</v>
      </c>
      <c r="D1020" s="7" t="str">
        <f aca="false">'Raw Data'!D1020</f>
        <v>Never</v>
      </c>
      <c r="E1020" s="7" t="str">
        <f aca="false">'Raw Data'!J1020</f>
        <v>Low</v>
      </c>
      <c r="F1020" s="7" t="n">
        <f aca="false">'Raw Data'!K1020</f>
        <v>172.8</v>
      </c>
      <c r="G1020" s="7" t="str">
        <f aca="false">'Raw Data'!L1020</f>
        <v>No</v>
      </c>
      <c r="H1020" s="7" t="str">
        <f aca="false">'Raw Data'!M1020</f>
        <v>Moderate</v>
      </c>
      <c r="I1020" s="7" t="n">
        <f aca="false">(IF(D1020="Current",3,IF(D1020="Former",1,0)))+(IF(E1020="High",3,IF(E1020="Normal",1,0)))+(IF(F1020&gt;=240,2,IF(F1020&gt;=200,1,0)))+(IF(G1020="Yes",2,0))+(IF(H1020="High",2,IF(H1020="Moderate",1,0)))</f>
        <v>1</v>
      </c>
      <c r="J1020" s="7" t="str">
        <f aca="false">IF(I1020&gt;=8,"High",IF(I1020&gt;=4,"Medium","Low"))</f>
        <v>Low</v>
      </c>
    </row>
    <row r="1021" customFormat="false" ht="15" hidden="false" customHeight="true" outlineLevel="0" collapsed="false">
      <c r="A1021" s="7" t="n">
        <f aca="false">'Raw Data'!A1021</f>
        <v>306</v>
      </c>
      <c r="B1021" s="7" t="n">
        <f aca="false">'Raw Data'!B1021</f>
        <v>79</v>
      </c>
      <c r="C1021" s="7" t="str">
        <f aca="false">'Raw Data'!C1021</f>
        <v>Male</v>
      </c>
      <c r="D1021" s="7" t="str">
        <f aca="false">'Raw Data'!D1021</f>
        <v>Never</v>
      </c>
      <c r="E1021" s="7" t="str">
        <f aca="false">'Raw Data'!J1021</f>
        <v>Low</v>
      </c>
      <c r="F1021" s="7" t="n">
        <f aca="false">'Raw Data'!K1021</f>
        <v>192.6</v>
      </c>
      <c r="G1021" s="7" t="str">
        <f aca="false">'Raw Data'!L1021</f>
        <v>No</v>
      </c>
      <c r="H1021" s="7" t="str">
        <f aca="false">'Raw Data'!M1021</f>
        <v>Moderate</v>
      </c>
      <c r="I1021" s="7" t="n">
        <f aca="false">(IF(D1021="Current",3,IF(D1021="Former",1,0)))+(IF(E1021="High",3,IF(E1021="Normal",1,0)))+(IF(F1021&gt;=240,2,IF(F1021&gt;=200,1,0)))+(IF(G1021="Yes",2,0))+(IF(H1021="High",2,IF(H1021="Moderate",1,0)))</f>
        <v>1</v>
      </c>
      <c r="J1021" s="7" t="str">
        <f aca="false">IF(I1021&gt;=8,"High",IF(I1021&gt;=4,"Medium","Low"))</f>
        <v>Low</v>
      </c>
    </row>
    <row r="1022" customFormat="false" ht="15" hidden="false" customHeight="true" outlineLevel="0" collapsed="false">
      <c r="A1022" s="7" t="n">
        <f aca="false">'Raw Data'!A1022</f>
        <v>323</v>
      </c>
      <c r="B1022" s="7" t="n">
        <f aca="false">'Raw Data'!B1022</f>
        <v>49</v>
      </c>
      <c r="C1022" s="7" t="str">
        <f aca="false">'Raw Data'!C1022</f>
        <v>Female</v>
      </c>
      <c r="D1022" s="7" t="str">
        <f aca="false">'Raw Data'!D1022</f>
        <v>Never</v>
      </c>
      <c r="E1022" s="7" t="str">
        <f aca="false">'Raw Data'!J1022</f>
        <v>Low</v>
      </c>
      <c r="F1022" s="7" t="n">
        <f aca="false">'Raw Data'!K1022</f>
        <v>120.4</v>
      </c>
      <c r="G1022" s="7" t="str">
        <f aca="false">'Raw Data'!L1022</f>
        <v>No</v>
      </c>
      <c r="H1022" s="7" t="str">
        <f aca="false">'Raw Data'!M1022</f>
        <v>Moderate</v>
      </c>
      <c r="I1022" s="7" t="n">
        <f aca="false">(IF(D1022="Current",3,IF(D1022="Former",1,0)))+(IF(E1022="High",3,IF(E1022="Normal",1,0)))+(IF(F1022&gt;=240,2,IF(F1022&gt;=200,1,0)))+(IF(G1022="Yes",2,0))+(IF(H1022="High",2,IF(H1022="Moderate",1,0)))</f>
        <v>1</v>
      </c>
      <c r="J1022" s="7" t="str">
        <f aca="false">IF(I1022&gt;=8,"High",IF(I1022&gt;=4,"Medium","Low"))</f>
        <v>Low</v>
      </c>
    </row>
    <row r="1023" customFormat="false" ht="15" hidden="false" customHeight="true" outlineLevel="0" collapsed="false">
      <c r="A1023" s="7" t="n">
        <f aca="false">'Raw Data'!A1023</f>
        <v>358</v>
      </c>
      <c r="B1023" s="7" t="n">
        <f aca="false">'Raw Data'!B1023</f>
        <v>65</v>
      </c>
      <c r="C1023" s="7" t="str">
        <f aca="false">'Raw Data'!C1023</f>
        <v>Female</v>
      </c>
      <c r="D1023" s="7" t="str">
        <f aca="false">'Raw Data'!D1023</f>
        <v>Never</v>
      </c>
      <c r="E1023" s="7" t="str">
        <f aca="false">'Raw Data'!J1023</f>
        <v>Low</v>
      </c>
      <c r="F1023" s="7" t="n">
        <f aca="false">'Raw Data'!K1023</f>
        <v>128.1</v>
      </c>
      <c r="G1023" s="7" t="str">
        <f aca="false">'Raw Data'!L1023</f>
        <v>Yes</v>
      </c>
      <c r="H1023" s="7" t="str">
        <f aca="false">'Raw Data'!M1023</f>
        <v>Moderate</v>
      </c>
      <c r="I1023" s="7" t="n">
        <f aca="false">(IF(D1023="Current",3,IF(D1023="Former",1,0)))+(IF(E1023="High",3,IF(E1023="Normal",1,0)))+(IF(F1023&gt;=240,2,IF(F1023&gt;=200,1,0)))+(IF(G1023="Yes",2,0))+(IF(H1023="High",2,IF(H1023="Moderate",1,0)))</f>
        <v>3</v>
      </c>
      <c r="J1023" s="7" t="str">
        <f aca="false">IF(I1023&gt;=8,"High",IF(I1023&gt;=4,"Medium","Low"))</f>
        <v>Low</v>
      </c>
    </row>
    <row r="1024" customFormat="false" ht="15" hidden="false" customHeight="true" outlineLevel="0" collapsed="false">
      <c r="A1024" s="7" t="n">
        <f aca="false">'Raw Data'!A1024</f>
        <v>387</v>
      </c>
      <c r="B1024" s="7" t="n">
        <f aca="false">'Raw Data'!B1024</f>
        <v>41</v>
      </c>
      <c r="C1024" s="7" t="str">
        <f aca="false">'Raw Data'!C1024</f>
        <v>Male</v>
      </c>
      <c r="D1024" s="7" t="str">
        <f aca="false">'Raw Data'!D1024</f>
        <v>Never</v>
      </c>
      <c r="E1024" s="7" t="str">
        <f aca="false">'Raw Data'!J1024</f>
        <v>Low</v>
      </c>
      <c r="F1024" s="7" t="n">
        <f aca="false">'Raw Data'!K1024</f>
        <v>183.9</v>
      </c>
      <c r="G1024" s="7" t="str">
        <f aca="false">'Raw Data'!L1024</f>
        <v>No</v>
      </c>
      <c r="H1024" s="7" t="str">
        <f aca="false">'Raw Data'!M1024</f>
        <v>Moderate</v>
      </c>
      <c r="I1024" s="7" t="n">
        <f aca="false">(IF(D1024="Current",3,IF(D1024="Former",1,0)))+(IF(E1024="High",3,IF(E1024="Normal",1,0)))+(IF(F1024&gt;=240,2,IF(F1024&gt;=200,1,0)))+(IF(G1024="Yes",2,0))+(IF(H1024="High",2,IF(H1024="Moderate",1,0)))</f>
        <v>1</v>
      </c>
      <c r="J1024" s="7" t="str">
        <f aca="false">IF(I1024&gt;=8,"High",IF(I1024&gt;=4,"Medium","Low"))</f>
        <v>Low</v>
      </c>
    </row>
    <row r="1025" customFormat="false" ht="15" hidden="false" customHeight="true" outlineLevel="0" collapsed="false">
      <c r="A1025" s="7" t="n">
        <f aca="false">'Raw Data'!A1025</f>
        <v>414</v>
      </c>
      <c r="B1025" s="7" t="n">
        <f aca="false">'Raw Data'!B1025</f>
        <v>86</v>
      </c>
      <c r="C1025" s="7" t="str">
        <f aca="false">'Raw Data'!C1025</f>
        <v>Female</v>
      </c>
      <c r="D1025" s="7" t="str">
        <f aca="false">'Raw Data'!D1025</f>
        <v>Never</v>
      </c>
      <c r="E1025" s="7" t="str">
        <f aca="false">'Raw Data'!J1025</f>
        <v>Low</v>
      </c>
      <c r="F1025" s="7" t="n">
        <f aca="false">'Raw Data'!K1025</f>
        <v>251.2</v>
      </c>
      <c r="G1025" s="7" t="str">
        <f aca="false">'Raw Data'!L1025</f>
        <v>No</v>
      </c>
      <c r="H1025" s="7" t="str">
        <f aca="false">'Raw Data'!M1025</f>
        <v>Moderate</v>
      </c>
      <c r="I1025" s="7" t="n">
        <f aca="false">(IF(D1025="Current",3,IF(D1025="Former",1,0)))+(IF(E1025="High",3,IF(E1025="Normal",1,0)))+(IF(F1025&gt;=240,2,IF(F1025&gt;=200,1,0)))+(IF(G1025="Yes",2,0))+(IF(H1025="High",2,IF(H1025="Moderate",1,0)))</f>
        <v>3</v>
      </c>
      <c r="J1025" s="7" t="str">
        <f aca="false">IF(I1025&gt;=8,"High",IF(I1025&gt;=4,"Medium","Low"))</f>
        <v>Low</v>
      </c>
    </row>
    <row r="1026" customFormat="false" ht="15" hidden="false" customHeight="true" outlineLevel="0" collapsed="false">
      <c r="A1026" s="7" t="n">
        <f aca="false">'Raw Data'!A1026</f>
        <v>419</v>
      </c>
      <c r="B1026" s="7" t="n">
        <f aca="false">'Raw Data'!B1026</f>
        <v>83</v>
      </c>
      <c r="C1026" s="7" t="str">
        <f aca="false">'Raw Data'!C1026</f>
        <v>Male</v>
      </c>
      <c r="D1026" s="7" t="str">
        <f aca="false">'Raw Data'!D1026</f>
        <v>Never</v>
      </c>
      <c r="E1026" s="7" t="str">
        <f aca="false">'Raw Data'!J1026</f>
        <v>Low</v>
      </c>
      <c r="F1026" s="7" t="n">
        <f aca="false">'Raw Data'!K1026</f>
        <v>233.8</v>
      </c>
      <c r="G1026" s="7" t="str">
        <f aca="false">'Raw Data'!L1026</f>
        <v>Yes</v>
      </c>
      <c r="H1026" s="7" t="str">
        <f aca="false">'Raw Data'!M1026</f>
        <v>Moderate</v>
      </c>
      <c r="I1026" s="7" t="n">
        <f aca="false">(IF(D1026="Current",3,IF(D1026="Former",1,0)))+(IF(E1026="High",3,IF(E1026="Normal",1,0)))+(IF(F1026&gt;=240,2,IF(F1026&gt;=200,1,0)))+(IF(G1026="Yes",2,0))+(IF(H1026="High",2,IF(H1026="Moderate",1,0)))</f>
        <v>4</v>
      </c>
      <c r="J1026" s="7" t="str">
        <f aca="false">IF(I1026&gt;=8,"High",IF(I1026&gt;=4,"Medium","Low"))</f>
        <v>Medium</v>
      </c>
    </row>
    <row r="1027" customFormat="false" ht="15" hidden="false" customHeight="true" outlineLevel="0" collapsed="false">
      <c r="A1027" s="7" t="n">
        <f aca="false">'Raw Data'!A1027</f>
        <v>454</v>
      </c>
      <c r="B1027" s="7" t="n">
        <f aca="false">'Raw Data'!B1027</f>
        <v>62</v>
      </c>
      <c r="C1027" s="7" t="str">
        <f aca="false">'Raw Data'!C1027</f>
        <v>Female</v>
      </c>
      <c r="D1027" s="7" t="str">
        <f aca="false">'Raw Data'!D1027</f>
        <v>Never</v>
      </c>
      <c r="E1027" s="7" t="str">
        <f aca="false">'Raw Data'!J1027</f>
        <v>Low</v>
      </c>
      <c r="F1027" s="7" t="n">
        <f aca="false">'Raw Data'!K1027</f>
        <v>135.8</v>
      </c>
      <c r="G1027" s="7" t="str">
        <f aca="false">'Raw Data'!L1027</f>
        <v>Yes</v>
      </c>
      <c r="H1027" s="7" t="str">
        <f aca="false">'Raw Data'!M1027</f>
        <v>Moderate</v>
      </c>
      <c r="I1027" s="7" t="n">
        <f aca="false">(IF(D1027="Current",3,IF(D1027="Former",1,0)))+(IF(E1027="High",3,IF(E1027="Normal",1,0)))+(IF(F1027&gt;=240,2,IF(F1027&gt;=200,1,0)))+(IF(G1027="Yes",2,0))+(IF(H1027="High",2,IF(H1027="Moderate",1,0)))</f>
        <v>3</v>
      </c>
      <c r="J1027" s="7" t="str">
        <f aca="false">IF(I1027&gt;=8,"High",IF(I1027&gt;=4,"Medium","Low"))</f>
        <v>Low</v>
      </c>
    </row>
    <row r="1028" customFormat="false" ht="15" hidden="false" customHeight="true" outlineLevel="0" collapsed="false">
      <c r="A1028" s="7" t="n">
        <f aca="false">'Raw Data'!A1028</f>
        <v>465</v>
      </c>
      <c r="B1028" s="7" t="n">
        <f aca="false">'Raw Data'!B1028</f>
        <v>76</v>
      </c>
      <c r="C1028" s="7" t="str">
        <f aca="false">'Raw Data'!C1028</f>
        <v>Male</v>
      </c>
      <c r="D1028" s="7" t="str">
        <f aca="false">'Raw Data'!D1028</f>
        <v>Never</v>
      </c>
      <c r="E1028" s="7" t="str">
        <f aca="false">'Raw Data'!J1028</f>
        <v>Low</v>
      </c>
      <c r="F1028" s="7" t="n">
        <f aca="false">'Raw Data'!K1028</f>
        <v>236.4</v>
      </c>
      <c r="G1028" s="7" t="str">
        <f aca="false">'Raw Data'!L1028</f>
        <v>No</v>
      </c>
      <c r="H1028" s="7" t="str">
        <f aca="false">'Raw Data'!M1028</f>
        <v>Moderate</v>
      </c>
      <c r="I1028" s="7" t="n">
        <f aca="false">(IF(D1028="Current",3,IF(D1028="Former",1,0)))+(IF(E1028="High",3,IF(E1028="Normal",1,0)))+(IF(F1028&gt;=240,2,IF(F1028&gt;=200,1,0)))+(IF(G1028="Yes",2,0))+(IF(H1028="High",2,IF(H1028="Moderate",1,0)))</f>
        <v>2</v>
      </c>
      <c r="J1028" s="7" t="str">
        <f aca="false">IF(I1028&gt;=8,"High",IF(I1028&gt;=4,"Medium","Low"))</f>
        <v>Low</v>
      </c>
    </row>
    <row r="1029" customFormat="false" ht="15" hidden="false" customHeight="true" outlineLevel="0" collapsed="false">
      <c r="A1029" s="7" t="n">
        <f aca="false">'Raw Data'!A1029</f>
        <v>511</v>
      </c>
      <c r="B1029" s="7" t="n">
        <f aca="false">'Raw Data'!B1029</f>
        <v>50</v>
      </c>
      <c r="C1029" s="7" t="str">
        <f aca="false">'Raw Data'!C1029</f>
        <v>Male</v>
      </c>
      <c r="D1029" s="7" t="str">
        <f aca="false">'Raw Data'!D1029</f>
        <v>Never</v>
      </c>
      <c r="E1029" s="7" t="str">
        <f aca="false">'Raw Data'!J1029</f>
        <v>Low</v>
      </c>
      <c r="F1029" s="7" t="n">
        <f aca="false">'Raw Data'!K1029</f>
        <v>200.8</v>
      </c>
      <c r="G1029" s="7" t="str">
        <f aca="false">'Raw Data'!L1029</f>
        <v>No</v>
      </c>
      <c r="H1029" s="7" t="str">
        <f aca="false">'Raw Data'!M1029</f>
        <v>Moderate</v>
      </c>
      <c r="I1029" s="7" t="n">
        <f aca="false">(IF(D1029="Current",3,IF(D1029="Former",1,0)))+(IF(E1029="High",3,IF(E1029="Normal",1,0)))+(IF(F1029&gt;=240,2,IF(F1029&gt;=200,1,0)))+(IF(G1029="Yes",2,0))+(IF(H1029="High",2,IF(H1029="Moderate",1,0)))</f>
        <v>2</v>
      </c>
      <c r="J1029" s="7" t="str">
        <f aca="false">IF(I1029&gt;=8,"High",IF(I1029&gt;=4,"Medium","Low"))</f>
        <v>Low</v>
      </c>
    </row>
    <row r="1030" customFormat="false" ht="15" hidden="false" customHeight="true" outlineLevel="0" collapsed="false">
      <c r="A1030" s="7" t="n">
        <f aca="false">'Raw Data'!A1030</f>
        <v>514</v>
      </c>
      <c r="B1030" s="7" t="n">
        <f aca="false">'Raw Data'!B1030</f>
        <v>25</v>
      </c>
      <c r="C1030" s="7" t="str">
        <f aca="false">'Raw Data'!C1030</f>
        <v>Female</v>
      </c>
      <c r="D1030" s="7" t="str">
        <f aca="false">'Raw Data'!D1030</f>
        <v>Never</v>
      </c>
      <c r="E1030" s="7" t="str">
        <f aca="false">'Raw Data'!J1030</f>
        <v>Low</v>
      </c>
      <c r="F1030" s="7" t="n">
        <f aca="false">'Raw Data'!K1030</f>
        <v>177.1</v>
      </c>
      <c r="G1030" s="7" t="str">
        <f aca="false">'Raw Data'!L1030</f>
        <v>Yes</v>
      </c>
      <c r="H1030" s="7" t="str">
        <f aca="false">'Raw Data'!M1030</f>
        <v>Moderate</v>
      </c>
      <c r="I1030" s="7" t="n">
        <f aca="false">(IF(D1030="Current",3,IF(D1030="Former",1,0)))+(IF(E1030="High",3,IF(E1030="Normal",1,0)))+(IF(F1030&gt;=240,2,IF(F1030&gt;=200,1,0)))+(IF(G1030="Yes",2,0))+(IF(H1030="High",2,IF(H1030="Moderate",1,0)))</f>
        <v>3</v>
      </c>
      <c r="J1030" s="7" t="str">
        <f aca="false">IF(I1030&gt;=8,"High",IF(I1030&gt;=4,"Medium","Low"))</f>
        <v>Low</v>
      </c>
    </row>
    <row r="1031" customFormat="false" ht="15" hidden="false" customHeight="true" outlineLevel="0" collapsed="false">
      <c r="A1031" s="7" t="n">
        <f aca="false">'Raw Data'!A1031</f>
        <v>531</v>
      </c>
      <c r="B1031" s="7" t="n">
        <f aca="false">'Raw Data'!B1031</f>
        <v>75</v>
      </c>
      <c r="C1031" s="7" t="str">
        <f aca="false">'Raw Data'!C1031</f>
        <v>Male</v>
      </c>
      <c r="D1031" s="7" t="str">
        <f aca="false">'Raw Data'!D1031</f>
        <v>Never</v>
      </c>
      <c r="E1031" s="7" t="str">
        <f aca="false">'Raw Data'!J1031</f>
        <v>Low</v>
      </c>
      <c r="F1031" s="7" t="n">
        <f aca="false">'Raw Data'!K1031</f>
        <v>261</v>
      </c>
      <c r="G1031" s="7" t="str">
        <f aca="false">'Raw Data'!L1031</f>
        <v>Yes</v>
      </c>
      <c r="H1031" s="7" t="str">
        <f aca="false">'Raw Data'!M1031</f>
        <v>Moderate</v>
      </c>
      <c r="I1031" s="7" t="n">
        <f aca="false">(IF(D1031="Current",3,IF(D1031="Former",1,0)))+(IF(E1031="High",3,IF(E1031="Normal",1,0)))+(IF(F1031&gt;=240,2,IF(F1031&gt;=200,1,0)))+(IF(G1031="Yes",2,0))+(IF(H1031="High",2,IF(H1031="Moderate",1,0)))</f>
        <v>5</v>
      </c>
      <c r="J1031" s="7" t="str">
        <f aca="false">IF(I1031&gt;=8,"High",IF(I1031&gt;=4,"Medium","Low"))</f>
        <v>Medium</v>
      </c>
    </row>
    <row r="1032" customFormat="false" ht="15" hidden="false" customHeight="true" outlineLevel="0" collapsed="false">
      <c r="A1032" s="7" t="n">
        <f aca="false">'Raw Data'!A1032</f>
        <v>563</v>
      </c>
      <c r="B1032" s="7" t="n">
        <f aca="false">'Raw Data'!B1032</f>
        <v>88</v>
      </c>
      <c r="C1032" s="7" t="str">
        <f aca="false">'Raw Data'!C1032</f>
        <v>Female</v>
      </c>
      <c r="D1032" s="7" t="str">
        <f aca="false">'Raw Data'!D1032</f>
        <v>Never</v>
      </c>
      <c r="E1032" s="7" t="str">
        <f aca="false">'Raw Data'!J1032</f>
        <v>Low</v>
      </c>
      <c r="F1032" s="7" t="n">
        <f aca="false">'Raw Data'!K1032</f>
        <v>249.7</v>
      </c>
      <c r="G1032" s="7" t="str">
        <f aca="false">'Raw Data'!L1032</f>
        <v>No</v>
      </c>
      <c r="H1032" s="7" t="str">
        <f aca="false">'Raw Data'!M1032</f>
        <v>Moderate</v>
      </c>
      <c r="I1032" s="7" t="n">
        <f aca="false">(IF(D1032="Current",3,IF(D1032="Former",1,0)))+(IF(E1032="High",3,IF(E1032="Normal",1,0)))+(IF(F1032&gt;=240,2,IF(F1032&gt;=200,1,0)))+(IF(G1032="Yes",2,0))+(IF(H1032="High",2,IF(H1032="Moderate",1,0)))</f>
        <v>3</v>
      </c>
      <c r="J1032" s="7" t="str">
        <f aca="false">IF(I1032&gt;=8,"High",IF(I1032&gt;=4,"Medium","Low"))</f>
        <v>Low</v>
      </c>
    </row>
    <row r="1033" customFormat="false" ht="15" hidden="false" customHeight="true" outlineLevel="0" collapsed="false">
      <c r="A1033" s="7" t="n">
        <f aca="false">'Raw Data'!A1033</f>
        <v>615</v>
      </c>
      <c r="B1033" s="7" t="n">
        <f aca="false">'Raw Data'!B1033</f>
        <v>48</v>
      </c>
      <c r="C1033" s="7" t="str">
        <f aca="false">'Raw Data'!C1033</f>
        <v>Male</v>
      </c>
      <c r="D1033" s="7" t="str">
        <f aca="false">'Raw Data'!D1033</f>
        <v>Never</v>
      </c>
      <c r="E1033" s="7" t="str">
        <f aca="false">'Raw Data'!J1033</f>
        <v>Low</v>
      </c>
      <c r="F1033" s="7" t="n">
        <f aca="false">'Raw Data'!K1033</f>
        <v>176.4</v>
      </c>
      <c r="G1033" s="7" t="str">
        <f aca="false">'Raw Data'!L1033</f>
        <v>No</v>
      </c>
      <c r="H1033" s="7" t="str">
        <f aca="false">'Raw Data'!M1033</f>
        <v>Moderate</v>
      </c>
      <c r="I1033" s="7" t="n">
        <f aca="false">(IF(D1033="Current",3,IF(D1033="Former",1,0)))+(IF(E1033="High",3,IF(E1033="Normal",1,0)))+(IF(F1033&gt;=240,2,IF(F1033&gt;=200,1,0)))+(IF(G1033="Yes",2,0))+(IF(H1033="High",2,IF(H1033="Moderate",1,0)))</f>
        <v>1</v>
      </c>
      <c r="J1033" s="7" t="str">
        <f aca="false">IF(I1033&gt;=8,"High",IF(I1033&gt;=4,"Medium","Low"))</f>
        <v>Low</v>
      </c>
    </row>
    <row r="1034" customFormat="false" ht="15" hidden="false" customHeight="true" outlineLevel="0" collapsed="false">
      <c r="A1034" s="7" t="n">
        <f aca="false">'Raw Data'!A1034</f>
        <v>714</v>
      </c>
      <c r="B1034" s="7" t="n">
        <f aca="false">'Raw Data'!B1034</f>
        <v>56</v>
      </c>
      <c r="C1034" s="7" t="str">
        <f aca="false">'Raw Data'!C1034</f>
        <v>Female</v>
      </c>
      <c r="D1034" s="7" t="str">
        <f aca="false">'Raw Data'!D1034</f>
        <v>Never</v>
      </c>
      <c r="E1034" s="7" t="str">
        <f aca="false">'Raw Data'!J1034</f>
        <v>Low</v>
      </c>
      <c r="F1034" s="7" t="n">
        <f aca="false">'Raw Data'!K1034</f>
        <v>213.1</v>
      </c>
      <c r="G1034" s="7" t="str">
        <f aca="false">'Raw Data'!L1034</f>
        <v>No</v>
      </c>
      <c r="H1034" s="7" t="str">
        <f aca="false">'Raw Data'!M1034</f>
        <v>Moderate</v>
      </c>
      <c r="I1034" s="7" t="n">
        <f aca="false">(IF(D1034="Current",3,IF(D1034="Former",1,0)))+(IF(E1034="High",3,IF(E1034="Normal",1,0)))+(IF(F1034&gt;=240,2,IF(F1034&gt;=200,1,0)))+(IF(G1034="Yes",2,0))+(IF(H1034="High",2,IF(H1034="Moderate",1,0)))</f>
        <v>2</v>
      </c>
      <c r="J1034" s="7" t="str">
        <f aca="false">IF(I1034&gt;=8,"High",IF(I1034&gt;=4,"Medium","Low"))</f>
        <v>Low</v>
      </c>
    </row>
    <row r="1035" customFormat="false" ht="15" hidden="false" customHeight="true" outlineLevel="0" collapsed="false">
      <c r="A1035" s="7" t="n">
        <f aca="false">'Raw Data'!A1035</f>
        <v>825</v>
      </c>
      <c r="B1035" s="7" t="n">
        <f aca="false">'Raw Data'!B1035</f>
        <v>81</v>
      </c>
      <c r="C1035" s="7" t="str">
        <f aca="false">'Raw Data'!C1035</f>
        <v>Male</v>
      </c>
      <c r="D1035" s="7" t="str">
        <f aca="false">'Raw Data'!D1035</f>
        <v>Never</v>
      </c>
      <c r="E1035" s="7" t="str">
        <f aca="false">'Raw Data'!J1035</f>
        <v>Low</v>
      </c>
      <c r="F1035" s="7" t="n">
        <f aca="false">'Raw Data'!K1035</f>
        <v>256.9</v>
      </c>
      <c r="G1035" s="7" t="str">
        <f aca="false">'Raw Data'!L1035</f>
        <v>Yes</v>
      </c>
      <c r="H1035" s="7" t="str">
        <f aca="false">'Raw Data'!M1035</f>
        <v>Moderate</v>
      </c>
      <c r="I1035" s="7" t="n">
        <f aca="false">(IF(D1035="Current",3,IF(D1035="Former",1,0)))+(IF(E1035="High",3,IF(E1035="Normal",1,0)))+(IF(F1035&gt;=240,2,IF(F1035&gt;=200,1,0)))+(IF(G1035="Yes",2,0))+(IF(H1035="High",2,IF(H1035="Moderate",1,0)))</f>
        <v>5</v>
      </c>
      <c r="J1035" s="7" t="str">
        <f aca="false">IF(I1035&gt;=8,"High",IF(I1035&gt;=4,"Medium","Low"))</f>
        <v>Medium</v>
      </c>
    </row>
    <row r="1036" customFormat="false" ht="15" hidden="false" customHeight="true" outlineLevel="0" collapsed="false">
      <c r="A1036" s="7" t="n">
        <f aca="false">'Raw Data'!A1036</f>
        <v>877</v>
      </c>
      <c r="B1036" s="7" t="n">
        <f aca="false">'Raw Data'!B1036</f>
        <v>81</v>
      </c>
      <c r="C1036" s="7" t="str">
        <f aca="false">'Raw Data'!C1036</f>
        <v>Female</v>
      </c>
      <c r="D1036" s="7" t="str">
        <f aca="false">'Raw Data'!D1036</f>
        <v>Never</v>
      </c>
      <c r="E1036" s="7" t="str">
        <f aca="false">'Raw Data'!J1036</f>
        <v>Low</v>
      </c>
      <c r="F1036" s="7" t="n">
        <f aca="false">'Raw Data'!K1036</f>
        <v>136.2</v>
      </c>
      <c r="G1036" s="7" t="str">
        <f aca="false">'Raw Data'!L1036</f>
        <v>No</v>
      </c>
      <c r="H1036" s="7" t="str">
        <f aca="false">'Raw Data'!M1036</f>
        <v>Moderate</v>
      </c>
      <c r="I1036" s="7" t="n">
        <f aca="false">(IF(D1036="Current",3,IF(D1036="Former",1,0)))+(IF(E1036="High",3,IF(E1036="Normal",1,0)))+(IF(F1036&gt;=240,2,IF(F1036&gt;=200,1,0)))+(IF(G1036="Yes",2,0))+(IF(H1036="High",2,IF(H1036="Moderate",1,0)))</f>
        <v>1</v>
      </c>
      <c r="J1036" s="7" t="str">
        <f aca="false">IF(I1036&gt;=8,"High",IF(I1036&gt;=4,"Medium","Low"))</f>
        <v>Low</v>
      </c>
    </row>
    <row r="1037" customFormat="false" ht="15" hidden="false" customHeight="true" outlineLevel="0" collapsed="false">
      <c r="A1037" s="7" t="n">
        <f aca="false">'Raw Data'!A1037</f>
        <v>882</v>
      </c>
      <c r="B1037" s="7" t="n">
        <f aca="false">'Raw Data'!B1037</f>
        <v>46</v>
      </c>
      <c r="C1037" s="7" t="str">
        <f aca="false">'Raw Data'!C1037</f>
        <v>Male</v>
      </c>
      <c r="D1037" s="7" t="str">
        <f aca="false">'Raw Data'!D1037</f>
        <v>Never</v>
      </c>
      <c r="E1037" s="7" t="str">
        <f aca="false">'Raw Data'!J1037</f>
        <v>Low</v>
      </c>
      <c r="F1037" s="7" t="n">
        <f aca="false">'Raw Data'!K1037</f>
        <v>181.5</v>
      </c>
      <c r="G1037" s="7" t="str">
        <f aca="false">'Raw Data'!L1037</f>
        <v>No</v>
      </c>
      <c r="H1037" s="7" t="str">
        <f aca="false">'Raw Data'!M1037</f>
        <v>Moderate</v>
      </c>
      <c r="I1037" s="7" t="n">
        <f aca="false">(IF(D1037="Current",3,IF(D1037="Former",1,0)))+(IF(E1037="High",3,IF(E1037="Normal",1,0)))+(IF(F1037&gt;=240,2,IF(F1037&gt;=200,1,0)))+(IF(G1037="Yes",2,0))+(IF(H1037="High",2,IF(H1037="Moderate",1,0)))</f>
        <v>1</v>
      </c>
      <c r="J1037" s="7" t="str">
        <f aca="false">IF(I1037&gt;=8,"High",IF(I1037&gt;=4,"Medium","Low"))</f>
        <v>Low</v>
      </c>
    </row>
    <row r="1038" customFormat="false" ht="15" hidden="false" customHeight="true" outlineLevel="0" collapsed="false">
      <c r="A1038" s="7" t="n">
        <f aca="false">'Raw Data'!A1038</f>
        <v>953</v>
      </c>
      <c r="B1038" s="7" t="n">
        <f aca="false">'Raw Data'!B1038</f>
        <v>27</v>
      </c>
      <c r="C1038" s="7" t="str">
        <f aca="false">'Raw Data'!C1038</f>
        <v>Male</v>
      </c>
      <c r="D1038" s="7" t="str">
        <f aca="false">'Raw Data'!D1038</f>
        <v>Never</v>
      </c>
      <c r="E1038" s="7" t="str">
        <f aca="false">'Raw Data'!J1038</f>
        <v>Low</v>
      </c>
      <c r="F1038" s="7" t="n">
        <f aca="false">'Raw Data'!K1038</f>
        <v>120.5</v>
      </c>
      <c r="G1038" s="7" t="str">
        <f aca="false">'Raw Data'!L1038</f>
        <v>No</v>
      </c>
      <c r="H1038" s="7" t="str">
        <f aca="false">'Raw Data'!M1038</f>
        <v>Moderate</v>
      </c>
      <c r="I1038" s="7" t="n">
        <f aca="false">(IF(D1038="Current",3,IF(D1038="Former",1,0)))+(IF(E1038="High",3,IF(E1038="Normal",1,0)))+(IF(F1038&gt;=240,2,IF(F1038&gt;=200,1,0)))+(IF(G1038="Yes",2,0))+(IF(H1038="High",2,IF(H1038="Moderate",1,0)))</f>
        <v>1</v>
      </c>
      <c r="J1038" s="7" t="str">
        <f aca="false">IF(I1038&gt;=8,"High",IF(I1038&gt;=4,"Medium","Low"))</f>
        <v>Low</v>
      </c>
    </row>
    <row r="1039" customFormat="false" ht="15" hidden="false" customHeight="true" outlineLevel="0" collapsed="false">
      <c r="A1039" s="7" t="n">
        <f aca="false">'Raw Data'!A1039</f>
        <v>966</v>
      </c>
      <c r="B1039" s="7" t="n">
        <f aca="false">'Raw Data'!B1039</f>
        <v>25</v>
      </c>
      <c r="C1039" s="7" t="str">
        <f aca="false">'Raw Data'!C1039</f>
        <v>Male</v>
      </c>
      <c r="D1039" s="7" t="str">
        <f aca="false">'Raw Data'!D1039</f>
        <v>Never</v>
      </c>
      <c r="E1039" s="7" t="str">
        <f aca="false">'Raw Data'!J1039</f>
        <v>Low</v>
      </c>
      <c r="F1039" s="7" t="n">
        <f aca="false">'Raw Data'!K1039</f>
        <v>296.9</v>
      </c>
      <c r="G1039" s="7" t="str">
        <f aca="false">'Raw Data'!L1039</f>
        <v>No</v>
      </c>
      <c r="H1039" s="7" t="str">
        <f aca="false">'Raw Data'!M1039</f>
        <v>Moderate</v>
      </c>
      <c r="I1039" s="7" t="n">
        <f aca="false">(IF(D1039="Current",3,IF(D1039="Former",1,0)))+(IF(E1039="High",3,IF(E1039="Normal",1,0)))+(IF(F1039&gt;=240,2,IF(F1039&gt;=200,1,0)))+(IF(G1039="Yes",2,0))+(IF(H1039="High",2,IF(H1039="Moderate",1,0)))</f>
        <v>3</v>
      </c>
      <c r="J1039" s="7" t="str">
        <f aca="false">IF(I1039&gt;=8,"High",IF(I1039&gt;=4,"Medium","Low"))</f>
        <v>Low</v>
      </c>
    </row>
    <row r="1040" customFormat="false" ht="15" hidden="false" customHeight="true" outlineLevel="0" collapsed="false">
      <c r="A1040" s="7" t="n">
        <f aca="false">'Raw Data'!A1040</f>
        <v>973</v>
      </c>
      <c r="B1040" s="7" t="n">
        <f aca="false">'Raw Data'!B1040</f>
        <v>47</v>
      </c>
      <c r="C1040" s="7" t="str">
        <f aca="false">'Raw Data'!C1040</f>
        <v>Male</v>
      </c>
      <c r="D1040" s="7" t="str">
        <f aca="false">'Raw Data'!D1040</f>
        <v>Never</v>
      </c>
      <c r="E1040" s="7" t="str">
        <f aca="false">'Raw Data'!J1040</f>
        <v>Low</v>
      </c>
      <c r="F1040" s="7" t="n">
        <f aca="false">'Raw Data'!K1040</f>
        <v>176.3</v>
      </c>
      <c r="G1040" s="7" t="str">
        <f aca="false">'Raw Data'!L1040</f>
        <v>No</v>
      </c>
      <c r="H1040" s="7" t="str">
        <f aca="false">'Raw Data'!M1040</f>
        <v>Moderate</v>
      </c>
      <c r="I1040" s="7" t="n">
        <f aca="false">(IF(D1040="Current",3,IF(D1040="Former",1,0)))+(IF(E1040="High",3,IF(E1040="Normal",1,0)))+(IF(F1040&gt;=240,2,IF(F1040&gt;=200,1,0)))+(IF(G1040="Yes",2,0))+(IF(H1040="High",2,IF(H1040="Moderate",1,0)))</f>
        <v>1</v>
      </c>
      <c r="J1040" s="7" t="str">
        <f aca="false">IF(I1040&gt;=8,"High",IF(I1040&gt;=4,"Medium","Low"))</f>
        <v>Low</v>
      </c>
    </row>
    <row r="1041" customFormat="false" ht="15" hidden="false" customHeight="true" outlineLevel="0" collapsed="false">
      <c r="A1041" s="7" t="n">
        <f aca="false">'Raw Data'!A1041</f>
        <v>1030</v>
      </c>
      <c r="B1041" s="7" t="n">
        <f aca="false">'Raw Data'!B1041</f>
        <v>59</v>
      </c>
      <c r="C1041" s="7" t="str">
        <f aca="false">'Raw Data'!C1041</f>
        <v>Male</v>
      </c>
      <c r="D1041" s="7" t="str">
        <f aca="false">'Raw Data'!D1041</f>
        <v>Never</v>
      </c>
      <c r="E1041" s="7" t="str">
        <f aca="false">'Raw Data'!J1041</f>
        <v>Low</v>
      </c>
      <c r="F1041" s="7" t="n">
        <f aca="false">'Raw Data'!K1041</f>
        <v>225.2</v>
      </c>
      <c r="G1041" s="7" t="str">
        <f aca="false">'Raw Data'!L1041</f>
        <v>Yes</v>
      </c>
      <c r="H1041" s="7" t="str">
        <f aca="false">'Raw Data'!M1041</f>
        <v>Moderate</v>
      </c>
      <c r="I1041" s="7" t="n">
        <f aca="false">(IF(D1041="Current",3,IF(D1041="Former",1,0)))+(IF(E1041="High",3,IF(E1041="Normal",1,0)))+(IF(F1041&gt;=240,2,IF(F1041&gt;=200,1,0)))+(IF(G1041="Yes",2,0))+(IF(H1041="High",2,IF(H1041="Moderate",1,0)))</f>
        <v>4</v>
      </c>
      <c r="J1041" s="7" t="str">
        <f aca="false">IF(I1041&gt;=8,"High",IF(I1041&gt;=4,"Medium","Low"))</f>
        <v>Medium</v>
      </c>
    </row>
    <row r="1042" customFormat="false" ht="15" hidden="false" customHeight="true" outlineLevel="0" collapsed="false">
      <c r="A1042" s="7" t="n">
        <f aca="false">'Raw Data'!A1042</f>
        <v>1036</v>
      </c>
      <c r="B1042" s="7" t="n">
        <f aca="false">'Raw Data'!B1042</f>
        <v>42</v>
      </c>
      <c r="C1042" s="7" t="str">
        <f aca="false">'Raw Data'!C1042</f>
        <v>Female</v>
      </c>
      <c r="D1042" s="7" t="str">
        <f aca="false">'Raw Data'!D1042</f>
        <v>Never</v>
      </c>
      <c r="E1042" s="7" t="str">
        <f aca="false">'Raw Data'!J1042</f>
        <v>Low</v>
      </c>
      <c r="F1042" s="7" t="n">
        <f aca="false">'Raw Data'!K1042</f>
        <v>221.8</v>
      </c>
      <c r="G1042" s="7" t="str">
        <f aca="false">'Raw Data'!L1042</f>
        <v>Yes</v>
      </c>
      <c r="H1042" s="7" t="str">
        <f aca="false">'Raw Data'!M1042</f>
        <v>Moderate</v>
      </c>
      <c r="I1042" s="7" t="n">
        <f aca="false">(IF(D1042="Current",3,IF(D1042="Former",1,0)))+(IF(E1042="High",3,IF(E1042="Normal",1,0)))+(IF(F1042&gt;=240,2,IF(F1042&gt;=200,1,0)))+(IF(G1042="Yes",2,0))+(IF(H1042="High",2,IF(H1042="Moderate",1,0)))</f>
        <v>4</v>
      </c>
      <c r="J1042" s="7" t="str">
        <f aca="false">IF(I1042&gt;=8,"High",IF(I1042&gt;=4,"Medium","Low"))</f>
        <v>Medium</v>
      </c>
    </row>
    <row r="1043" customFormat="false" ht="15" hidden="false" customHeight="true" outlineLevel="0" collapsed="false">
      <c r="A1043" s="7" t="n">
        <f aca="false">'Raw Data'!A1043</f>
        <v>1074</v>
      </c>
      <c r="B1043" s="7" t="n">
        <f aca="false">'Raw Data'!B1043</f>
        <v>41</v>
      </c>
      <c r="C1043" s="7" t="str">
        <f aca="false">'Raw Data'!C1043</f>
        <v>Male</v>
      </c>
      <c r="D1043" s="7" t="str">
        <f aca="false">'Raw Data'!D1043</f>
        <v>Never</v>
      </c>
      <c r="E1043" s="7" t="str">
        <f aca="false">'Raw Data'!J1043</f>
        <v>Low</v>
      </c>
      <c r="F1043" s="7" t="n">
        <f aca="false">'Raw Data'!K1043</f>
        <v>259.9</v>
      </c>
      <c r="G1043" s="7" t="str">
        <f aca="false">'Raw Data'!L1043</f>
        <v>Yes</v>
      </c>
      <c r="H1043" s="7" t="str">
        <f aca="false">'Raw Data'!M1043</f>
        <v>Moderate</v>
      </c>
      <c r="I1043" s="7" t="n">
        <f aca="false">(IF(D1043="Current",3,IF(D1043="Former",1,0)))+(IF(E1043="High",3,IF(E1043="Normal",1,0)))+(IF(F1043&gt;=240,2,IF(F1043&gt;=200,1,0)))+(IF(G1043="Yes",2,0))+(IF(H1043="High",2,IF(H1043="Moderate",1,0)))</f>
        <v>5</v>
      </c>
      <c r="J1043" s="7" t="str">
        <f aca="false">IF(I1043&gt;=8,"High",IF(I1043&gt;=4,"Medium","Low"))</f>
        <v>Medium</v>
      </c>
    </row>
    <row r="1044" customFormat="false" ht="15" hidden="false" customHeight="true" outlineLevel="0" collapsed="false">
      <c r="A1044" s="7" t="n">
        <f aca="false">'Raw Data'!A1044</f>
        <v>1094</v>
      </c>
      <c r="B1044" s="7" t="n">
        <f aca="false">'Raw Data'!B1044</f>
        <v>76</v>
      </c>
      <c r="C1044" s="7" t="str">
        <f aca="false">'Raw Data'!C1044</f>
        <v>Female</v>
      </c>
      <c r="D1044" s="7" t="str">
        <f aca="false">'Raw Data'!D1044</f>
        <v>Never</v>
      </c>
      <c r="E1044" s="7" t="str">
        <f aca="false">'Raw Data'!J1044</f>
        <v>Low</v>
      </c>
      <c r="F1044" s="7" t="n">
        <f aca="false">'Raw Data'!K1044</f>
        <v>124.6</v>
      </c>
      <c r="G1044" s="7" t="str">
        <f aca="false">'Raw Data'!L1044</f>
        <v>Yes</v>
      </c>
      <c r="H1044" s="7" t="str">
        <f aca="false">'Raw Data'!M1044</f>
        <v>Moderate</v>
      </c>
      <c r="I1044" s="7" t="n">
        <f aca="false">(IF(D1044="Current",3,IF(D1044="Former",1,0)))+(IF(E1044="High",3,IF(E1044="Normal",1,0)))+(IF(F1044&gt;=240,2,IF(F1044&gt;=200,1,0)))+(IF(G1044="Yes",2,0))+(IF(H1044="High",2,IF(H1044="Moderate",1,0)))</f>
        <v>3</v>
      </c>
      <c r="J1044" s="7" t="str">
        <f aca="false">IF(I1044&gt;=8,"High",IF(I1044&gt;=4,"Medium","Low"))</f>
        <v>Low</v>
      </c>
    </row>
    <row r="1045" customFormat="false" ht="15" hidden="false" customHeight="true" outlineLevel="0" collapsed="false">
      <c r="A1045" s="7" t="n">
        <f aca="false">'Raw Data'!A1045</f>
        <v>1138</v>
      </c>
      <c r="B1045" s="7" t="n">
        <f aca="false">'Raw Data'!B1045</f>
        <v>31</v>
      </c>
      <c r="C1045" s="7" t="str">
        <f aca="false">'Raw Data'!C1045</f>
        <v>Female</v>
      </c>
      <c r="D1045" s="7" t="str">
        <f aca="false">'Raw Data'!D1045</f>
        <v>Never</v>
      </c>
      <c r="E1045" s="7" t="str">
        <f aca="false">'Raw Data'!J1045</f>
        <v>Low</v>
      </c>
      <c r="F1045" s="7" t="n">
        <f aca="false">'Raw Data'!K1045</f>
        <v>196.6</v>
      </c>
      <c r="G1045" s="7" t="str">
        <f aca="false">'Raw Data'!L1045</f>
        <v>No</v>
      </c>
      <c r="H1045" s="7" t="str">
        <f aca="false">'Raw Data'!M1045</f>
        <v>Moderate</v>
      </c>
      <c r="I1045" s="7" t="n">
        <f aca="false">(IF(D1045="Current",3,IF(D1045="Former",1,0)))+(IF(E1045="High",3,IF(E1045="Normal",1,0)))+(IF(F1045&gt;=240,2,IF(F1045&gt;=200,1,0)))+(IF(G1045="Yes",2,0))+(IF(H1045="High",2,IF(H1045="Moderate",1,0)))</f>
        <v>1</v>
      </c>
      <c r="J1045" s="7" t="str">
        <f aca="false">IF(I1045&gt;=8,"High",IF(I1045&gt;=4,"Medium","Low"))</f>
        <v>Low</v>
      </c>
    </row>
    <row r="1046" customFormat="false" ht="15" hidden="false" customHeight="true" outlineLevel="0" collapsed="false">
      <c r="A1046" s="7" t="n">
        <f aca="false">'Raw Data'!A1046</f>
        <v>1154</v>
      </c>
      <c r="B1046" s="7" t="n">
        <f aca="false">'Raw Data'!B1046</f>
        <v>56</v>
      </c>
      <c r="C1046" s="7" t="str">
        <f aca="false">'Raw Data'!C1046</f>
        <v>Female</v>
      </c>
      <c r="D1046" s="7" t="str">
        <f aca="false">'Raw Data'!D1046</f>
        <v>Never</v>
      </c>
      <c r="E1046" s="7" t="str">
        <f aca="false">'Raw Data'!J1046</f>
        <v>Low</v>
      </c>
      <c r="F1046" s="7" t="n">
        <f aca="false">'Raw Data'!K1046</f>
        <v>203.2</v>
      </c>
      <c r="G1046" s="7" t="str">
        <f aca="false">'Raw Data'!L1046</f>
        <v>No</v>
      </c>
      <c r="H1046" s="7" t="str">
        <f aca="false">'Raw Data'!M1046</f>
        <v>Moderate</v>
      </c>
      <c r="I1046" s="7" t="n">
        <f aca="false">(IF(D1046="Current",3,IF(D1046="Former",1,0)))+(IF(E1046="High",3,IF(E1046="Normal",1,0)))+(IF(F1046&gt;=240,2,IF(F1046&gt;=200,1,0)))+(IF(G1046="Yes",2,0))+(IF(H1046="High",2,IF(H1046="Moderate",1,0)))</f>
        <v>2</v>
      </c>
      <c r="J1046" s="7" t="str">
        <f aca="false">IF(I1046&gt;=8,"High",IF(I1046&gt;=4,"Medium","Low"))</f>
        <v>Low</v>
      </c>
    </row>
    <row r="1047" customFormat="false" ht="15" hidden="false" customHeight="true" outlineLevel="0" collapsed="false">
      <c r="A1047" s="7" t="n">
        <f aca="false">'Raw Data'!A1047</f>
        <v>1165</v>
      </c>
      <c r="B1047" s="7" t="n">
        <f aca="false">'Raw Data'!B1047</f>
        <v>62</v>
      </c>
      <c r="C1047" s="7" t="str">
        <f aca="false">'Raw Data'!C1047</f>
        <v>Male</v>
      </c>
      <c r="D1047" s="7" t="str">
        <f aca="false">'Raw Data'!D1047</f>
        <v>Never</v>
      </c>
      <c r="E1047" s="7" t="str">
        <f aca="false">'Raw Data'!J1047</f>
        <v>Low</v>
      </c>
      <c r="F1047" s="7" t="n">
        <f aca="false">'Raw Data'!K1047</f>
        <v>150.3</v>
      </c>
      <c r="G1047" s="7" t="str">
        <f aca="false">'Raw Data'!L1047</f>
        <v>No</v>
      </c>
      <c r="H1047" s="7" t="str">
        <f aca="false">'Raw Data'!M1047</f>
        <v>Moderate</v>
      </c>
      <c r="I1047" s="7" t="n">
        <f aca="false">(IF(D1047="Current",3,IF(D1047="Former",1,0)))+(IF(E1047="High",3,IF(E1047="Normal",1,0)))+(IF(F1047&gt;=240,2,IF(F1047&gt;=200,1,0)))+(IF(G1047="Yes",2,0))+(IF(H1047="High",2,IF(H1047="Moderate",1,0)))</f>
        <v>1</v>
      </c>
      <c r="J1047" s="7" t="str">
        <f aca="false">IF(I1047&gt;=8,"High",IF(I1047&gt;=4,"Medium","Low"))</f>
        <v>Low</v>
      </c>
    </row>
    <row r="1048" customFormat="false" ht="15" hidden="false" customHeight="true" outlineLevel="0" collapsed="false">
      <c r="A1048" s="7" t="n">
        <f aca="false">'Raw Data'!A1048</f>
        <v>1177</v>
      </c>
      <c r="B1048" s="7" t="n">
        <f aca="false">'Raw Data'!B1048</f>
        <v>51</v>
      </c>
      <c r="C1048" s="7" t="str">
        <f aca="false">'Raw Data'!C1048</f>
        <v>Female</v>
      </c>
      <c r="D1048" s="7" t="str">
        <f aca="false">'Raw Data'!D1048</f>
        <v>Never</v>
      </c>
      <c r="E1048" s="7" t="str">
        <f aca="false">'Raw Data'!J1048</f>
        <v>Low</v>
      </c>
      <c r="F1048" s="7" t="n">
        <f aca="false">'Raw Data'!K1048</f>
        <v>218.2</v>
      </c>
      <c r="G1048" s="7" t="str">
        <f aca="false">'Raw Data'!L1048</f>
        <v>No</v>
      </c>
      <c r="H1048" s="7" t="str">
        <f aca="false">'Raw Data'!M1048</f>
        <v>Moderate</v>
      </c>
      <c r="I1048" s="7" t="n">
        <f aca="false">(IF(D1048="Current",3,IF(D1048="Former",1,0)))+(IF(E1048="High",3,IF(E1048="Normal",1,0)))+(IF(F1048&gt;=240,2,IF(F1048&gt;=200,1,0)))+(IF(G1048="Yes",2,0))+(IF(H1048="High",2,IF(H1048="Moderate",1,0)))</f>
        <v>2</v>
      </c>
      <c r="J1048" s="7" t="str">
        <f aca="false">IF(I1048&gt;=8,"High",IF(I1048&gt;=4,"Medium","Low"))</f>
        <v>Low</v>
      </c>
    </row>
    <row r="1049" customFormat="false" ht="15" hidden="false" customHeight="true" outlineLevel="0" collapsed="false">
      <c r="A1049" s="7" t="n">
        <f aca="false">'Raw Data'!A1049</f>
        <v>1178</v>
      </c>
      <c r="B1049" s="7" t="n">
        <f aca="false">'Raw Data'!B1049</f>
        <v>26</v>
      </c>
      <c r="C1049" s="7" t="str">
        <f aca="false">'Raw Data'!C1049</f>
        <v>Male</v>
      </c>
      <c r="D1049" s="7" t="str">
        <f aca="false">'Raw Data'!D1049</f>
        <v>Never</v>
      </c>
      <c r="E1049" s="7" t="str">
        <f aca="false">'Raw Data'!J1049</f>
        <v>Low</v>
      </c>
      <c r="F1049" s="7" t="n">
        <f aca="false">'Raw Data'!K1049</f>
        <v>251.8</v>
      </c>
      <c r="G1049" s="7" t="str">
        <f aca="false">'Raw Data'!L1049</f>
        <v>No</v>
      </c>
      <c r="H1049" s="7" t="str">
        <f aca="false">'Raw Data'!M1049</f>
        <v>Moderate</v>
      </c>
      <c r="I1049" s="7" t="n">
        <f aca="false">(IF(D1049="Current",3,IF(D1049="Former",1,0)))+(IF(E1049="High",3,IF(E1049="Normal",1,0)))+(IF(F1049&gt;=240,2,IF(F1049&gt;=200,1,0)))+(IF(G1049="Yes",2,0))+(IF(H1049="High",2,IF(H1049="Moderate",1,0)))</f>
        <v>3</v>
      </c>
      <c r="J1049" s="7" t="str">
        <f aca="false">IF(I1049&gt;=8,"High",IF(I1049&gt;=4,"Medium","Low"))</f>
        <v>Low</v>
      </c>
    </row>
    <row r="1050" customFormat="false" ht="15" hidden="false" customHeight="true" outlineLevel="0" collapsed="false">
      <c r="A1050" s="7" t="n">
        <f aca="false">'Raw Data'!A1050</f>
        <v>1192</v>
      </c>
      <c r="B1050" s="7" t="n">
        <f aca="false">'Raw Data'!B1050</f>
        <v>79</v>
      </c>
      <c r="C1050" s="7" t="str">
        <f aca="false">'Raw Data'!C1050</f>
        <v>Female</v>
      </c>
      <c r="D1050" s="7" t="str">
        <f aca="false">'Raw Data'!D1050</f>
        <v>Never</v>
      </c>
      <c r="E1050" s="7" t="str">
        <f aca="false">'Raw Data'!J1050</f>
        <v>Low</v>
      </c>
      <c r="F1050" s="7" t="n">
        <f aca="false">'Raw Data'!K1050</f>
        <v>203.9</v>
      </c>
      <c r="G1050" s="7" t="str">
        <f aca="false">'Raw Data'!L1050</f>
        <v>Yes</v>
      </c>
      <c r="H1050" s="7" t="str">
        <f aca="false">'Raw Data'!M1050</f>
        <v>Moderate</v>
      </c>
      <c r="I1050" s="7" t="n">
        <f aca="false">(IF(D1050="Current",3,IF(D1050="Former",1,0)))+(IF(E1050="High",3,IF(E1050="Normal",1,0)))+(IF(F1050&gt;=240,2,IF(F1050&gt;=200,1,0)))+(IF(G1050="Yes",2,0))+(IF(H1050="High",2,IF(H1050="Moderate",1,0)))</f>
        <v>4</v>
      </c>
      <c r="J1050" s="7" t="str">
        <f aca="false">IF(I1050&gt;=8,"High",IF(I1050&gt;=4,"Medium","Low"))</f>
        <v>Medium</v>
      </c>
    </row>
    <row r="1051" customFormat="false" ht="15" hidden="false" customHeight="true" outlineLevel="0" collapsed="false">
      <c r="A1051" s="7" t="n">
        <f aca="false">'Raw Data'!A1051</f>
        <v>1207</v>
      </c>
      <c r="B1051" s="7" t="n">
        <f aca="false">'Raw Data'!B1051</f>
        <v>56</v>
      </c>
      <c r="C1051" s="7" t="str">
        <f aca="false">'Raw Data'!C1051</f>
        <v>Male</v>
      </c>
      <c r="D1051" s="7" t="str">
        <f aca="false">'Raw Data'!D1051</f>
        <v>Never</v>
      </c>
      <c r="E1051" s="7" t="str">
        <f aca="false">'Raw Data'!J1051</f>
        <v>Low</v>
      </c>
      <c r="F1051" s="7" t="n">
        <f aca="false">'Raw Data'!K1051</f>
        <v>218.6</v>
      </c>
      <c r="G1051" s="7" t="str">
        <f aca="false">'Raw Data'!L1051</f>
        <v>Yes</v>
      </c>
      <c r="H1051" s="7" t="str">
        <f aca="false">'Raw Data'!M1051</f>
        <v>Moderate</v>
      </c>
      <c r="I1051" s="7" t="n">
        <f aca="false">(IF(D1051="Current",3,IF(D1051="Former",1,0)))+(IF(E1051="High",3,IF(E1051="Normal",1,0)))+(IF(F1051&gt;=240,2,IF(F1051&gt;=200,1,0)))+(IF(G1051="Yes",2,0))+(IF(H1051="High",2,IF(H1051="Moderate",1,0)))</f>
        <v>4</v>
      </c>
      <c r="J1051" s="7" t="str">
        <f aca="false">IF(I1051&gt;=8,"High",IF(I1051&gt;=4,"Medium","Low"))</f>
        <v>Medium</v>
      </c>
    </row>
    <row r="1052" customFormat="false" ht="15" hidden="false" customHeight="true" outlineLevel="0" collapsed="false">
      <c r="A1052" s="7" t="n">
        <f aca="false">'Raw Data'!A1052</f>
        <v>1239</v>
      </c>
      <c r="B1052" s="7" t="n">
        <f aca="false">'Raw Data'!B1052</f>
        <v>58</v>
      </c>
      <c r="C1052" s="7" t="str">
        <f aca="false">'Raw Data'!C1052</f>
        <v>Male</v>
      </c>
      <c r="D1052" s="7" t="str">
        <f aca="false">'Raw Data'!D1052</f>
        <v>Never</v>
      </c>
      <c r="E1052" s="7" t="str">
        <f aca="false">'Raw Data'!J1052</f>
        <v>Low</v>
      </c>
      <c r="F1052" s="7" t="n">
        <f aca="false">'Raw Data'!K1052</f>
        <v>166.9</v>
      </c>
      <c r="G1052" s="7" t="str">
        <f aca="false">'Raw Data'!L1052</f>
        <v>No</v>
      </c>
      <c r="H1052" s="7" t="str">
        <f aca="false">'Raw Data'!M1052</f>
        <v>Moderate</v>
      </c>
      <c r="I1052" s="7" t="n">
        <f aca="false">(IF(D1052="Current",3,IF(D1052="Former",1,0)))+(IF(E1052="High",3,IF(E1052="Normal",1,0)))+(IF(F1052&gt;=240,2,IF(F1052&gt;=200,1,0)))+(IF(G1052="Yes",2,0))+(IF(H1052="High",2,IF(H1052="Moderate",1,0)))</f>
        <v>1</v>
      </c>
      <c r="J1052" s="7" t="str">
        <f aca="false">IF(I1052&gt;=8,"High",IF(I1052&gt;=4,"Medium","Low"))</f>
        <v>Low</v>
      </c>
    </row>
    <row r="1053" customFormat="false" ht="15" hidden="false" customHeight="true" outlineLevel="0" collapsed="false">
      <c r="A1053" s="7" t="n">
        <f aca="false">'Raw Data'!A1053</f>
        <v>1322</v>
      </c>
      <c r="B1053" s="7" t="n">
        <f aca="false">'Raw Data'!B1053</f>
        <v>44</v>
      </c>
      <c r="C1053" s="7" t="str">
        <f aca="false">'Raw Data'!C1053</f>
        <v>Male</v>
      </c>
      <c r="D1053" s="7" t="str">
        <f aca="false">'Raw Data'!D1053</f>
        <v>Never</v>
      </c>
      <c r="E1053" s="7" t="str">
        <f aca="false">'Raw Data'!J1053</f>
        <v>Low</v>
      </c>
      <c r="F1053" s="7" t="n">
        <f aca="false">'Raw Data'!K1053</f>
        <v>203.3</v>
      </c>
      <c r="G1053" s="7" t="str">
        <f aca="false">'Raw Data'!L1053</f>
        <v>No</v>
      </c>
      <c r="H1053" s="7" t="str">
        <f aca="false">'Raw Data'!M1053</f>
        <v>Moderate</v>
      </c>
      <c r="I1053" s="7" t="n">
        <f aca="false">(IF(D1053="Current",3,IF(D1053="Former",1,0)))+(IF(E1053="High",3,IF(E1053="Normal",1,0)))+(IF(F1053&gt;=240,2,IF(F1053&gt;=200,1,0)))+(IF(G1053="Yes",2,0))+(IF(H1053="High",2,IF(H1053="Moderate",1,0)))</f>
        <v>2</v>
      </c>
      <c r="J1053" s="7" t="str">
        <f aca="false">IF(I1053&gt;=8,"High",IF(I1053&gt;=4,"Medium","Low"))</f>
        <v>Low</v>
      </c>
    </row>
    <row r="1054" customFormat="false" ht="15" hidden="false" customHeight="true" outlineLevel="0" collapsed="false">
      <c r="A1054" s="7" t="n">
        <f aca="false">'Raw Data'!A1054</f>
        <v>1368</v>
      </c>
      <c r="B1054" s="7" t="n">
        <f aca="false">'Raw Data'!B1054</f>
        <v>44</v>
      </c>
      <c r="C1054" s="7" t="str">
        <f aca="false">'Raw Data'!C1054</f>
        <v>Male</v>
      </c>
      <c r="D1054" s="7" t="str">
        <f aca="false">'Raw Data'!D1054</f>
        <v>Never</v>
      </c>
      <c r="E1054" s="7" t="str">
        <f aca="false">'Raw Data'!J1054</f>
        <v>Low</v>
      </c>
      <c r="F1054" s="7" t="n">
        <f aca="false">'Raw Data'!K1054</f>
        <v>157.9</v>
      </c>
      <c r="G1054" s="7" t="str">
        <f aca="false">'Raw Data'!L1054</f>
        <v>No</v>
      </c>
      <c r="H1054" s="7" t="str">
        <f aca="false">'Raw Data'!M1054</f>
        <v>Moderate</v>
      </c>
      <c r="I1054" s="7" t="n">
        <f aca="false">(IF(D1054="Current",3,IF(D1054="Former",1,0)))+(IF(E1054="High",3,IF(E1054="Normal",1,0)))+(IF(F1054&gt;=240,2,IF(F1054&gt;=200,1,0)))+(IF(G1054="Yes",2,0))+(IF(H1054="High",2,IF(H1054="Moderate",1,0)))</f>
        <v>1</v>
      </c>
      <c r="J1054" s="7" t="str">
        <f aca="false">IF(I1054&gt;=8,"High",IF(I1054&gt;=4,"Medium","Low"))</f>
        <v>Low</v>
      </c>
    </row>
    <row r="1055" customFormat="false" ht="15" hidden="false" customHeight="true" outlineLevel="0" collapsed="false">
      <c r="A1055" s="7" t="n">
        <f aca="false">'Raw Data'!A1055</f>
        <v>1388</v>
      </c>
      <c r="B1055" s="7" t="n">
        <f aca="false">'Raw Data'!B1055</f>
        <v>30</v>
      </c>
      <c r="C1055" s="7" t="str">
        <f aca="false">'Raw Data'!C1055</f>
        <v>Male</v>
      </c>
      <c r="D1055" s="7" t="str">
        <f aca="false">'Raw Data'!D1055</f>
        <v>Never</v>
      </c>
      <c r="E1055" s="7" t="str">
        <f aca="false">'Raw Data'!J1055</f>
        <v>Low</v>
      </c>
      <c r="F1055" s="7" t="n">
        <f aca="false">'Raw Data'!K1055</f>
        <v>178</v>
      </c>
      <c r="G1055" s="7" t="str">
        <f aca="false">'Raw Data'!L1055</f>
        <v>No</v>
      </c>
      <c r="H1055" s="7" t="str">
        <f aca="false">'Raw Data'!M1055</f>
        <v>Moderate</v>
      </c>
      <c r="I1055" s="7" t="n">
        <f aca="false">(IF(D1055="Current",3,IF(D1055="Former",1,0)))+(IF(E1055="High",3,IF(E1055="Normal",1,0)))+(IF(F1055&gt;=240,2,IF(F1055&gt;=200,1,0)))+(IF(G1055="Yes",2,0))+(IF(H1055="High",2,IF(H1055="Moderate",1,0)))</f>
        <v>1</v>
      </c>
      <c r="J1055" s="7" t="str">
        <f aca="false">IF(I1055&gt;=8,"High",IF(I1055&gt;=4,"Medium","Low"))</f>
        <v>Low</v>
      </c>
    </row>
    <row r="1056" customFormat="false" ht="15" hidden="false" customHeight="true" outlineLevel="0" collapsed="false">
      <c r="A1056" s="7" t="n">
        <f aca="false">'Raw Data'!A1056</f>
        <v>1410</v>
      </c>
      <c r="B1056" s="7" t="n">
        <f aca="false">'Raw Data'!B1056</f>
        <v>61</v>
      </c>
      <c r="C1056" s="7" t="str">
        <f aca="false">'Raw Data'!C1056</f>
        <v>Female</v>
      </c>
      <c r="D1056" s="7" t="str">
        <f aca="false">'Raw Data'!D1056</f>
        <v>Never</v>
      </c>
      <c r="E1056" s="7" t="str">
        <f aca="false">'Raw Data'!J1056</f>
        <v>Low</v>
      </c>
      <c r="F1056" s="7" t="n">
        <f aca="false">'Raw Data'!K1056</f>
        <v>127.4</v>
      </c>
      <c r="G1056" s="7" t="str">
        <f aca="false">'Raw Data'!L1056</f>
        <v>No</v>
      </c>
      <c r="H1056" s="7" t="str">
        <f aca="false">'Raw Data'!M1056</f>
        <v>Moderate</v>
      </c>
      <c r="I1056" s="7" t="n">
        <f aca="false">(IF(D1056="Current",3,IF(D1056="Former",1,0)))+(IF(E1056="High",3,IF(E1056="Normal",1,0)))+(IF(F1056&gt;=240,2,IF(F1056&gt;=200,1,0)))+(IF(G1056="Yes",2,0))+(IF(H1056="High",2,IF(H1056="Moderate",1,0)))</f>
        <v>1</v>
      </c>
      <c r="J1056" s="7" t="str">
        <f aca="false">IF(I1056&gt;=8,"High",IF(I1056&gt;=4,"Medium","Low"))</f>
        <v>Low</v>
      </c>
    </row>
    <row r="1057" customFormat="false" ht="15" hidden="false" customHeight="true" outlineLevel="0" collapsed="false">
      <c r="A1057" s="7" t="n">
        <f aca="false">'Raw Data'!A1057</f>
        <v>1430</v>
      </c>
      <c r="B1057" s="7" t="n">
        <f aca="false">'Raw Data'!B1057</f>
        <v>30</v>
      </c>
      <c r="C1057" s="7" t="str">
        <f aca="false">'Raw Data'!C1057</f>
        <v>Male</v>
      </c>
      <c r="D1057" s="7" t="str">
        <f aca="false">'Raw Data'!D1057</f>
        <v>Never</v>
      </c>
      <c r="E1057" s="7" t="str">
        <f aca="false">'Raw Data'!J1057</f>
        <v>Low</v>
      </c>
      <c r="F1057" s="7" t="n">
        <f aca="false">'Raw Data'!K1057</f>
        <v>159.1</v>
      </c>
      <c r="G1057" s="7" t="str">
        <f aca="false">'Raw Data'!L1057</f>
        <v>Yes</v>
      </c>
      <c r="H1057" s="7" t="str">
        <f aca="false">'Raw Data'!M1057</f>
        <v>Moderate</v>
      </c>
      <c r="I1057" s="7" t="n">
        <f aca="false">(IF(D1057="Current",3,IF(D1057="Former",1,0)))+(IF(E1057="High",3,IF(E1057="Normal",1,0)))+(IF(F1057&gt;=240,2,IF(F1057&gt;=200,1,0)))+(IF(G1057="Yes",2,0))+(IF(H1057="High",2,IF(H1057="Moderate",1,0)))</f>
        <v>3</v>
      </c>
      <c r="J1057" s="7" t="str">
        <f aca="false">IF(I1057&gt;=8,"High",IF(I1057&gt;=4,"Medium","Low"))</f>
        <v>Low</v>
      </c>
    </row>
    <row r="1058" customFormat="false" ht="15" hidden="false" customHeight="true" outlineLevel="0" collapsed="false">
      <c r="A1058" s="7" t="n">
        <f aca="false">'Raw Data'!A1058</f>
        <v>1433</v>
      </c>
      <c r="B1058" s="7" t="n">
        <f aca="false">'Raw Data'!B1058</f>
        <v>79</v>
      </c>
      <c r="C1058" s="7" t="str">
        <f aca="false">'Raw Data'!C1058</f>
        <v>Female</v>
      </c>
      <c r="D1058" s="7" t="str">
        <f aca="false">'Raw Data'!D1058</f>
        <v>Never</v>
      </c>
      <c r="E1058" s="7" t="str">
        <f aca="false">'Raw Data'!J1058</f>
        <v>Low</v>
      </c>
      <c r="F1058" s="7" t="n">
        <f aca="false">'Raw Data'!K1058</f>
        <v>146.7</v>
      </c>
      <c r="G1058" s="7" t="str">
        <f aca="false">'Raw Data'!L1058</f>
        <v>Yes</v>
      </c>
      <c r="H1058" s="7" t="str">
        <f aca="false">'Raw Data'!M1058</f>
        <v>Moderate</v>
      </c>
      <c r="I1058" s="7" t="n">
        <f aca="false">(IF(D1058="Current",3,IF(D1058="Former",1,0)))+(IF(E1058="High",3,IF(E1058="Normal",1,0)))+(IF(F1058&gt;=240,2,IF(F1058&gt;=200,1,0)))+(IF(G1058="Yes",2,0))+(IF(H1058="High",2,IF(H1058="Moderate",1,0)))</f>
        <v>3</v>
      </c>
      <c r="J1058" s="7" t="str">
        <f aca="false">IF(I1058&gt;=8,"High",IF(I1058&gt;=4,"Medium","Low"))</f>
        <v>Low</v>
      </c>
    </row>
    <row r="1059" customFormat="false" ht="15" hidden="false" customHeight="true" outlineLevel="0" collapsed="false">
      <c r="A1059" s="7" t="n">
        <f aca="false">'Raw Data'!A1059</f>
        <v>1437</v>
      </c>
      <c r="B1059" s="7" t="n">
        <f aca="false">'Raw Data'!B1059</f>
        <v>82</v>
      </c>
      <c r="C1059" s="7" t="str">
        <f aca="false">'Raw Data'!C1059</f>
        <v>Male</v>
      </c>
      <c r="D1059" s="7" t="str">
        <f aca="false">'Raw Data'!D1059</f>
        <v>Never</v>
      </c>
      <c r="E1059" s="7" t="str">
        <f aca="false">'Raw Data'!J1059</f>
        <v>Low</v>
      </c>
      <c r="F1059" s="7" t="n">
        <f aca="false">'Raw Data'!K1059</f>
        <v>127.3</v>
      </c>
      <c r="G1059" s="7" t="str">
        <f aca="false">'Raw Data'!L1059</f>
        <v>No</v>
      </c>
      <c r="H1059" s="7" t="str">
        <f aca="false">'Raw Data'!M1059</f>
        <v>Moderate</v>
      </c>
      <c r="I1059" s="7" t="n">
        <f aca="false">(IF(D1059="Current",3,IF(D1059="Former",1,0)))+(IF(E1059="High",3,IF(E1059="Normal",1,0)))+(IF(F1059&gt;=240,2,IF(F1059&gt;=200,1,0)))+(IF(G1059="Yes",2,0))+(IF(H1059="High",2,IF(H1059="Moderate",1,0)))</f>
        <v>1</v>
      </c>
      <c r="J1059" s="7" t="str">
        <f aca="false">IF(I1059&gt;=8,"High",IF(I1059&gt;=4,"Medium","Low"))</f>
        <v>Low</v>
      </c>
    </row>
    <row r="1060" customFormat="false" ht="15" hidden="false" customHeight="true" outlineLevel="0" collapsed="false">
      <c r="A1060" s="7" t="n">
        <f aca="false">'Raw Data'!A1060</f>
        <v>1491</v>
      </c>
      <c r="B1060" s="7" t="n">
        <f aca="false">'Raw Data'!B1060</f>
        <v>30</v>
      </c>
      <c r="C1060" s="7" t="str">
        <f aca="false">'Raw Data'!C1060</f>
        <v>Female</v>
      </c>
      <c r="D1060" s="7" t="str">
        <f aca="false">'Raw Data'!D1060</f>
        <v>Never</v>
      </c>
      <c r="E1060" s="7" t="str">
        <f aca="false">'Raw Data'!J1060</f>
        <v>Low</v>
      </c>
      <c r="F1060" s="7" t="n">
        <f aca="false">'Raw Data'!K1060</f>
        <v>179.6</v>
      </c>
      <c r="G1060" s="7" t="str">
        <f aca="false">'Raw Data'!L1060</f>
        <v>No</v>
      </c>
      <c r="H1060" s="7" t="str">
        <f aca="false">'Raw Data'!M1060</f>
        <v>Moderate</v>
      </c>
      <c r="I1060" s="7" t="n">
        <f aca="false">(IF(D1060="Current",3,IF(D1060="Former",1,0)))+(IF(E1060="High",3,IF(E1060="Normal",1,0)))+(IF(F1060&gt;=240,2,IF(F1060&gt;=200,1,0)))+(IF(G1060="Yes",2,0))+(IF(H1060="High",2,IF(H1060="Moderate",1,0)))</f>
        <v>1</v>
      </c>
      <c r="J1060" s="7" t="str">
        <f aca="false">IF(I1060&gt;=8,"High",IF(I1060&gt;=4,"Medium","Low"))</f>
        <v>Low</v>
      </c>
    </row>
    <row r="1061" customFormat="false" ht="15" hidden="false" customHeight="true" outlineLevel="0" collapsed="false">
      <c r="A1061" s="7" t="n">
        <f aca="false">'Raw Data'!A1061</f>
        <v>1507</v>
      </c>
      <c r="B1061" s="7" t="n">
        <f aca="false">'Raw Data'!B1061</f>
        <v>85</v>
      </c>
      <c r="C1061" s="7" t="str">
        <f aca="false">'Raw Data'!C1061</f>
        <v>Male</v>
      </c>
      <c r="D1061" s="7" t="str">
        <f aca="false">'Raw Data'!D1061</f>
        <v>Never</v>
      </c>
      <c r="E1061" s="7" t="str">
        <f aca="false">'Raw Data'!J1061</f>
        <v>Low</v>
      </c>
      <c r="F1061" s="7" t="n">
        <f aca="false">'Raw Data'!K1061</f>
        <v>139.8</v>
      </c>
      <c r="G1061" s="7" t="str">
        <f aca="false">'Raw Data'!L1061</f>
        <v>No</v>
      </c>
      <c r="H1061" s="7" t="str">
        <f aca="false">'Raw Data'!M1061</f>
        <v>Moderate</v>
      </c>
      <c r="I1061" s="7" t="n">
        <f aca="false">(IF(D1061="Current",3,IF(D1061="Former",1,0)))+(IF(E1061="High",3,IF(E1061="Normal",1,0)))+(IF(F1061&gt;=240,2,IF(F1061&gt;=200,1,0)))+(IF(G1061="Yes",2,0))+(IF(H1061="High",2,IF(H1061="Moderate",1,0)))</f>
        <v>1</v>
      </c>
      <c r="J1061" s="7" t="str">
        <f aca="false">IF(I1061&gt;=8,"High",IF(I1061&gt;=4,"Medium","Low"))</f>
        <v>Low</v>
      </c>
    </row>
    <row r="1062" customFormat="false" ht="15" hidden="false" customHeight="true" outlineLevel="0" collapsed="false">
      <c r="A1062" s="7" t="n">
        <f aca="false">'Raw Data'!A1062</f>
        <v>1519</v>
      </c>
      <c r="B1062" s="7" t="n">
        <f aca="false">'Raw Data'!B1062</f>
        <v>36</v>
      </c>
      <c r="C1062" s="7" t="str">
        <f aca="false">'Raw Data'!C1062</f>
        <v>Male</v>
      </c>
      <c r="D1062" s="7" t="str">
        <f aca="false">'Raw Data'!D1062</f>
        <v>Never</v>
      </c>
      <c r="E1062" s="7" t="str">
        <f aca="false">'Raw Data'!J1062</f>
        <v>Low</v>
      </c>
      <c r="F1062" s="7" t="n">
        <f aca="false">'Raw Data'!K1062</f>
        <v>148</v>
      </c>
      <c r="G1062" s="7" t="str">
        <f aca="false">'Raw Data'!L1062</f>
        <v>No</v>
      </c>
      <c r="H1062" s="7" t="str">
        <f aca="false">'Raw Data'!M1062</f>
        <v>Moderate</v>
      </c>
      <c r="I1062" s="7" t="n">
        <f aca="false">(IF(D1062="Current",3,IF(D1062="Former",1,0)))+(IF(E1062="High",3,IF(E1062="Normal",1,0)))+(IF(F1062&gt;=240,2,IF(F1062&gt;=200,1,0)))+(IF(G1062="Yes",2,0))+(IF(H1062="High",2,IF(H1062="Moderate",1,0)))</f>
        <v>1</v>
      </c>
      <c r="J1062" s="7" t="str">
        <f aca="false">IF(I1062&gt;=8,"High",IF(I1062&gt;=4,"Medium","Low"))</f>
        <v>Low</v>
      </c>
    </row>
    <row r="1063" customFormat="false" ht="15" hidden="false" customHeight="true" outlineLevel="0" collapsed="false">
      <c r="A1063" s="7" t="n">
        <f aca="false">'Raw Data'!A1063</f>
        <v>1536</v>
      </c>
      <c r="B1063" s="7" t="n">
        <f aca="false">'Raw Data'!B1063</f>
        <v>83</v>
      </c>
      <c r="C1063" s="7" t="str">
        <f aca="false">'Raw Data'!C1063</f>
        <v>Male</v>
      </c>
      <c r="D1063" s="7" t="str">
        <f aca="false">'Raw Data'!D1063</f>
        <v>Never</v>
      </c>
      <c r="E1063" s="7" t="str">
        <f aca="false">'Raw Data'!J1063</f>
        <v>Low</v>
      </c>
      <c r="F1063" s="7" t="n">
        <f aca="false">'Raw Data'!K1063</f>
        <v>240.8</v>
      </c>
      <c r="G1063" s="7" t="str">
        <f aca="false">'Raw Data'!L1063</f>
        <v>No</v>
      </c>
      <c r="H1063" s="7" t="str">
        <f aca="false">'Raw Data'!M1063</f>
        <v>Moderate</v>
      </c>
      <c r="I1063" s="7" t="n">
        <f aca="false">(IF(D1063="Current",3,IF(D1063="Former",1,0)))+(IF(E1063="High",3,IF(E1063="Normal",1,0)))+(IF(F1063&gt;=240,2,IF(F1063&gt;=200,1,0)))+(IF(G1063="Yes",2,0))+(IF(H1063="High",2,IF(H1063="Moderate",1,0)))</f>
        <v>3</v>
      </c>
      <c r="J1063" s="7" t="str">
        <f aca="false">IF(I1063&gt;=8,"High",IF(I1063&gt;=4,"Medium","Low"))</f>
        <v>Low</v>
      </c>
    </row>
    <row r="1064" customFormat="false" ht="15" hidden="false" customHeight="true" outlineLevel="0" collapsed="false">
      <c r="A1064" s="7" t="n">
        <f aca="false">'Raw Data'!A1064</f>
        <v>1537</v>
      </c>
      <c r="B1064" s="7" t="n">
        <f aca="false">'Raw Data'!B1064</f>
        <v>40</v>
      </c>
      <c r="C1064" s="7" t="str">
        <f aca="false">'Raw Data'!C1064</f>
        <v>Female</v>
      </c>
      <c r="D1064" s="7" t="str">
        <f aca="false">'Raw Data'!D1064</f>
        <v>Never</v>
      </c>
      <c r="E1064" s="7" t="str">
        <f aca="false">'Raw Data'!J1064</f>
        <v>Low</v>
      </c>
      <c r="F1064" s="7" t="n">
        <f aca="false">'Raw Data'!K1064</f>
        <v>144.5</v>
      </c>
      <c r="G1064" s="7" t="str">
        <f aca="false">'Raw Data'!L1064</f>
        <v>Yes</v>
      </c>
      <c r="H1064" s="7" t="str">
        <f aca="false">'Raw Data'!M1064</f>
        <v>Moderate</v>
      </c>
      <c r="I1064" s="7" t="n">
        <f aca="false">(IF(D1064="Current",3,IF(D1064="Former",1,0)))+(IF(E1064="High",3,IF(E1064="Normal",1,0)))+(IF(F1064&gt;=240,2,IF(F1064&gt;=200,1,0)))+(IF(G1064="Yes",2,0))+(IF(H1064="High",2,IF(H1064="Moderate",1,0)))</f>
        <v>3</v>
      </c>
      <c r="J1064" s="7" t="str">
        <f aca="false">IF(I1064&gt;=8,"High",IF(I1064&gt;=4,"Medium","Low"))</f>
        <v>Low</v>
      </c>
    </row>
    <row r="1065" customFormat="false" ht="15" hidden="false" customHeight="true" outlineLevel="0" collapsed="false">
      <c r="A1065" s="7" t="n">
        <f aca="false">'Raw Data'!A1065</f>
        <v>1566</v>
      </c>
      <c r="B1065" s="7" t="n">
        <f aca="false">'Raw Data'!B1065</f>
        <v>64</v>
      </c>
      <c r="C1065" s="7" t="str">
        <f aca="false">'Raw Data'!C1065</f>
        <v>Male</v>
      </c>
      <c r="D1065" s="7" t="str">
        <f aca="false">'Raw Data'!D1065</f>
        <v>Never</v>
      </c>
      <c r="E1065" s="7" t="str">
        <f aca="false">'Raw Data'!J1065</f>
        <v>Low</v>
      </c>
      <c r="F1065" s="7" t="n">
        <f aca="false">'Raw Data'!K1065</f>
        <v>124.7</v>
      </c>
      <c r="G1065" s="7" t="str">
        <f aca="false">'Raw Data'!L1065</f>
        <v>Yes</v>
      </c>
      <c r="H1065" s="7" t="str">
        <f aca="false">'Raw Data'!M1065</f>
        <v>Moderate</v>
      </c>
      <c r="I1065" s="7" t="n">
        <f aca="false">(IF(D1065="Current",3,IF(D1065="Former",1,0)))+(IF(E1065="High",3,IF(E1065="Normal",1,0)))+(IF(F1065&gt;=240,2,IF(F1065&gt;=200,1,0)))+(IF(G1065="Yes",2,0))+(IF(H1065="High",2,IF(H1065="Moderate",1,0)))</f>
        <v>3</v>
      </c>
      <c r="J1065" s="7" t="str">
        <f aca="false">IF(I1065&gt;=8,"High",IF(I1065&gt;=4,"Medium","Low"))</f>
        <v>Low</v>
      </c>
    </row>
    <row r="1066" customFormat="false" ht="15" hidden="false" customHeight="true" outlineLevel="0" collapsed="false">
      <c r="A1066" s="7" t="n">
        <f aca="false">'Raw Data'!A1066</f>
        <v>1577</v>
      </c>
      <c r="B1066" s="7" t="n">
        <f aca="false">'Raw Data'!B1066</f>
        <v>53</v>
      </c>
      <c r="C1066" s="7" t="str">
        <f aca="false">'Raw Data'!C1066</f>
        <v>Male</v>
      </c>
      <c r="D1066" s="7" t="str">
        <f aca="false">'Raw Data'!D1066</f>
        <v>Never</v>
      </c>
      <c r="E1066" s="7" t="str">
        <f aca="false">'Raw Data'!J1066</f>
        <v>Low</v>
      </c>
      <c r="F1066" s="7" t="n">
        <f aca="false">'Raw Data'!K1066</f>
        <v>139.3</v>
      </c>
      <c r="G1066" s="7" t="str">
        <f aca="false">'Raw Data'!L1066</f>
        <v>Yes</v>
      </c>
      <c r="H1066" s="7" t="str">
        <f aca="false">'Raw Data'!M1066</f>
        <v>Moderate</v>
      </c>
      <c r="I1066" s="7" t="n">
        <f aca="false">(IF(D1066="Current",3,IF(D1066="Former",1,0)))+(IF(E1066="High",3,IF(E1066="Normal",1,0)))+(IF(F1066&gt;=240,2,IF(F1066&gt;=200,1,0)))+(IF(G1066="Yes",2,0))+(IF(H1066="High",2,IF(H1066="Moderate",1,0)))</f>
        <v>3</v>
      </c>
      <c r="J1066" s="7" t="str">
        <f aca="false">IF(I1066&gt;=8,"High",IF(I1066&gt;=4,"Medium","Low"))</f>
        <v>Low</v>
      </c>
    </row>
    <row r="1067" customFormat="false" ht="15" hidden="false" customHeight="true" outlineLevel="0" collapsed="false">
      <c r="A1067" s="7" t="n">
        <f aca="false">'Raw Data'!A1067</f>
        <v>1593</v>
      </c>
      <c r="B1067" s="7" t="n">
        <f aca="false">'Raw Data'!B1067</f>
        <v>23</v>
      </c>
      <c r="C1067" s="7" t="str">
        <f aca="false">'Raw Data'!C1067</f>
        <v>Male</v>
      </c>
      <c r="D1067" s="7" t="str">
        <f aca="false">'Raw Data'!D1067</f>
        <v>Never</v>
      </c>
      <c r="E1067" s="7" t="str">
        <f aca="false">'Raw Data'!J1067</f>
        <v>Low</v>
      </c>
      <c r="F1067" s="7" t="n">
        <f aca="false">'Raw Data'!K1067</f>
        <v>172.3</v>
      </c>
      <c r="G1067" s="7" t="str">
        <f aca="false">'Raw Data'!L1067</f>
        <v>No</v>
      </c>
      <c r="H1067" s="7" t="str">
        <f aca="false">'Raw Data'!M1067</f>
        <v>Moderate</v>
      </c>
      <c r="I1067" s="7" t="n">
        <f aca="false">(IF(D1067="Current",3,IF(D1067="Former",1,0)))+(IF(E1067="High",3,IF(E1067="Normal",1,0)))+(IF(F1067&gt;=240,2,IF(F1067&gt;=200,1,0)))+(IF(G1067="Yes",2,0))+(IF(H1067="High",2,IF(H1067="Moderate",1,0)))</f>
        <v>1</v>
      </c>
      <c r="J1067" s="7" t="str">
        <f aca="false">IF(I1067&gt;=8,"High",IF(I1067&gt;=4,"Medium","Low"))</f>
        <v>Low</v>
      </c>
    </row>
    <row r="1068" customFormat="false" ht="15" hidden="false" customHeight="true" outlineLevel="0" collapsed="false">
      <c r="A1068" s="7" t="n">
        <f aca="false">'Raw Data'!A1068</f>
        <v>1612</v>
      </c>
      <c r="B1068" s="7" t="n">
        <f aca="false">'Raw Data'!B1068</f>
        <v>79</v>
      </c>
      <c r="C1068" s="7" t="str">
        <f aca="false">'Raw Data'!C1068</f>
        <v>Female</v>
      </c>
      <c r="D1068" s="7" t="str">
        <f aca="false">'Raw Data'!D1068</f>
        <v>Never</v>
      </c>
      <c r="E1068" s="7" t="str">
        <f aca="false">'Raw Data'!J1068</f>
        <v>Low</v>
      </c>
      <c r="F1068" s="7" t="n">
        <f aca="false">'Raw Data'!K1068</f>
        <v>217.6</v>
      </c>
      <c r="G1068" s="7" t="str">
        <f aca="false">'Raw Data'!L1068</f>
        <v>Yes</v>
      </c>
      <c r="H1068" s="7" t="str">
        <f aca="false">'Raw Data'!M1068</f>
        <v>Moderate</v>
      </c>
      <c r="I1068" s="7" t="n">
        <f aca="false">(IF(D1068="Current",3,IF(D1068="Former",1,0)))+(IF(E1068="High",3,IF(E1068="Normal",1,0)))+(IF(F1068&gt;=240,2,IF(F1068&gt;=200,1,0)))+(IF(G1068="Yes",2,0))+(IF(H1068="High",2,IF(H1068="Moderate",1,0)))</f>
        <v>4</v>
      </c>
      <c r="J1068" s="7" t="str">
        <f aca="false">IF(I1068&gt;=8,"High",IF(I1068&gt;=4,"Medium","Low"))</f>
        <v>Medium</v>
      </c>
    </row>
    <row r="1069" customFormat="false" ht="15" hidden="false" customHeight="true" outlineLevel="0" collapsed="false">
      <c r="A1069" s="7" t="n">
        <f aca="false">'Raw Data'!A1069</f>
        <v>1625</v>
      </c>
      <c r="B1069" s="7" t="n">
        <f aca="false">'Raw Data'!B1069</f>
        <v>55</v>
      </c>
      <c r="C1069" s="7" t="str">
        <f aca="false">'Raw Data'!C1069</f>
        <v>Male</v>
      </c>
      <c r="D1069" s="7" t="str">
        <f aca="false">'Raw Data'!D1069</f>
        <v>Never</v>
      </c>
      <c r="E1069" s="7" t="str">
        <f aca="false">'Raw Data'!J1069</f>
        <v>Low</v>
      </c>
      <c r="F1069" s="7" t="n">
        <f aca="false">'Raw Data'!K1069</f>
        <v>287.8</v>
      </c>
      <c r="G1069" s="7" t="str">
        <f aca="false">'Raw Data'!L1069</f>
        <v>No</v>
      </c>
      <c r="H1069" s="7" t="str">
        <f aca="false">'Raw Data'!M1069</f>
        <v>Moderate</v>
      </c>
      <c r="I1069" s="7" t="n">
        <f aca="false">(IF(D1069="Current",3,IF(D1069="Former",1,0)))+(IF(E1069="High",3,IF(E1069="Normal",1,0)))+(IF(F1069&gt;=240,2,IF(F1069&gt;=200,1,0)))+(IF(G1069="Yes",2,0))+(IF(H1069="High",2,IF(H1069="Moderate",1,0)))</f>
        <v>3</v>
      </c>
      <c r="J1069" s="7" t="str">
        <f aca="false">IF(I1069&gt;=8,"High",IF(I1069&gt;=4,"Medium","Low"))</f>
        <v>Low</v>
      </c>
    </row>
    <row r="1070" customFormat="false" ht="15" hidden="false" customHeight="true" outlineLevel="0" collapsed="false">
      <c r="A1070" s="7" t="n">
        <f aca="false">'Raw Data'!A1070</f>
        <v>1632</v>
      </c>
      <c r="B1070" s="7" t="n">
        <f aca="false">'Raw Data'!B1070</f>
        <v>40</v>
      </c>
      <c r="C1070" s="7" t="str">
        <f aca="false">'Raw Data'!C1070</f>
        <v>Male</v>
      </c>
      <c r="D1070" s="7" t="str">
        <f aca="false">'Raw Data'!D1070</f>
        <v>Never</v>
      </c>
      <c r="E1070" s="7" t="str">
        <f aca="false">'Raw Data'!J1070</f>
        <v>Low</v>
      </c>
      <c r="F1070" s="7" t="n">
        <f aca="false">'Raw Data'!K1070</f>
        <v>242.8</v>
      </c>
      <c r="G1070" s="7" t="str">
        <f aca="false">'Raw Data'!L1070</f>
        <v>No</v>
      </c>
      <c r="H1070" s="7" t="str">
        <f aca="false">'Raw Data'!M1070</f>
        <v>Moderate</v>
      </c>
      <c r="I1070" s="7" t="n">
        <f aca="false">(IF(D1070="Current",3,IF(D1070="Former",1,0)))+(IF(E1070="High",3,IF(E1070="Normal",1,0)))+(IF(F1070&gt;=240,2,IF(F1070&gt;=200,1,0)))+(IF(G1070="Yes",2,0))+(IF(H1070="High",2,IF(H1070="Moderate",1,0)))</f>
        <v>3</v>
      </c>
      <c r="J1070" s="7" t="str">
        <f aca="false">IF(I1070&gt;=8,"High",IF(I1070&gt;=4,"Medium","Low"))</f>
        <v>Low</v>
      </c>
    </row>
    <row r="1071" customFormat="false" ht="15" hidden="false" customHeight="true" outlineLevel="0" collapsed="false">
      <c r="A1071" s="7" t="n">
        <f aca="false">'Raw Data'!A1071</f>
        <v>1640</v>
      </c>
      <c r="B1071" s="7" t="n">
        <f aca="false">'Raw Data'!B1071</f>
        <v>70</v>
      </c>
      <c r="C1071" s="7" t="str">
        <f aca="false">'Raw Data'!C1071</f>
        <v>Male</v>
      </c>
      <c r="D1071" s="7" t="str">
        <f aca="false">'Raw Data'!D1071</f>
        <v>Never</v>
      </c>
      <c r="E1071" s="7" t="str">
        <f aca="false">'Raw Data'!J1071</f>
        <v>Low</v>
      </c>
      <c r="F1071" s="7" t="n">
        <f aca="false">'Raw Data'!K1071</f>
        <v>202.2</v>
      </c>
      <c r="G1071" s="7" t="str">
        <f aca="false">'Raw Data'!L1071</f>
        <v>Yes</v>
      </c>
      <c r="H1071" s="7" t="str">
        <f aca="false">'Raw Data'!M1071</f>
        <v>Moderate</v>
      </c>
      <c r="I1071" s="7" t="n">
        <f aca="false">(IF(D1071="Current",3,IF(D1071="Former",1,0)))+(IF(E1071="High",3,IF(E1071="Normal",1,0)))+(IF(F1071&gt;=240,2,IF(F1071&gt;=200,1,0)))+(IF(G1071="Yes",2,0))+(IF(H1071="High",2,IF(H1071="Moderate",1,0)))</f>
        <v>4</v>
      </c>
      <c r="J1071" s="7" t="str">
        <f aca="false">IF(I1071&gt;=8,"High",IF(I1071&gt;=4,"Medium","Low"))</f>
        <v>Medium</v>
      </c>
    </row>
    <row r="1072" customFormat="false" ht="15" hidden="false" customHeight="true" outlineLevel="0" collapsed="false">
      <c r="A1072" s="7" t="n">
        <f aca="false">'Raw Data'!A1072</f>
        <v>1658</v>
      </c>
      <c r="B1072" s="7" t="n">
        <f aca="false">'Raw Data'!B1072</f>
        <v>73</v>
      </c>
      <c r="C1072" s="7" t="str">
        <f aca="false">'Raw Data'!C1072</f>
        <v>Male</v>
      </c>
      <c r="D1072" s="7" t="str">
        <f aca="false">'Raw Data'!D1072</f>
        <v>Never</v>
      </c>
      <c r="E1072" s="7" t="str">
        <f aca="false">'Raw Data'!J1072</f>
        <v>Low</v>
      </c>
      <c r="F1072" s="7" t="n">
        <f aca="false">'Raw Data'!K1072</f>
        <v>257.4</v>
      </c>
      <c r="G1072" s="7" t="str">
        <f aca="false">'Raw Data'!L1072</f>
        <v>No</v>
      </c>
      <c r="H1072" s="7" t="str">
        <f aca="false">'Raw Data'!M1072</f>
        <v>Moderate</v>
      </c>
      <c r="I1072" s="7" t="n">
        <f aca="false">(IF(D1072="Current",3,IF(D1072="Former",1,0)))+(IF(E1072="High",3,IF(E1072="Normal",1,0)))+(IF(F1072&gt;=240,2,IF(F1072&gt;=200,1,0)))+(IF(G1072="Yes",2,0))+(IF(H1072="High",2,IF(H1072="Moderate",1,0)))</f>
        <v>3</v>
      </c>
      <c r="J1072" s="7" t="str">
        <f aca="false">IF(I1072&gt;=8,"High",IF(I1072&gt;=4,"Medium","Low"))</f>
        <v>Low</v>
      </c>
    </row>
    <row r="1073" customFormat="false" ht="15" hidden="false" customHeight="true" outlineLevel="0" collapsed="false">
      <c r="A1073" s="7" t="n">
        <f aca="false">'Raw Data'!A1073</f>
        <v>1702</v>
      </c>
      <c r="B1073" s="7" t="n">
        <f aca="false">'Raw Data'!B1073</f>
        <v>72</v>
      </c>
      <c r="C1073" s="7" t="str">
        <f aca="false">'Raw Data'!C1073</f>
        <v>Male</v>
      </c>
      <c r="D1073" s="7" t="str">
        <f aca="false">'Raw Data'!D1073</f>
        <v>Never</v>
      </c>
      <c r="E1073" s="7" t="str">
        <f aca="false">'Raw Data'!J1073</f>
        <v>Low</v>
      </c>
      <c r="F1073" s="7" t="n">
        <f aca="false">'Raw Data'!K1073</f>
        <v>126.3</v>
      </c>
      <c r="G1073" s="7" t="str">
        <f aca="false">'Raw Data'!L1073</f>
        <v>No</v>
      </c>
      <c r="H1073" s="7" t="str">
        <f aca="false">'Raw Data'!M1073</f>
        <v>Moderate</v>
      </c>
      <c r="I1073" s="7" t="n">
        <f aca="false">(IF(D1073="Current",3,IF(D1073="Former",1,0)))+(IF(E1073="High",3,IF(E1073="Normal",1,0)))+(IF(F1073&gt;=240,2,IF(F1073&gt;=200,1,0)))+(IF(G1073="Yes",2,0))+(IF(H1073="High",2,IF(H1073="Moderate",1,0)))</f>
        <v>1</v>
      </c>
      <c r="J1073" s="7" t="str">
        <f aca="false">IF(I1073&gt;=8,"High",IF(I1073&gt;=4,"Medium","Low"))</f>
        <v>Low</v>
      </c>
    </row>
    <row r="1074" customFormat="false" ht="15" hidden="false" customHeight="true" outlineLevel="0" collapsed="false">
      <c r="A1074" s="7" t="n">
        <f aca="false">'Raw Data'!A1074</f>
        <v>1707</v>
      </c>
      <c r="B1074" s="7" t="n">
        <f aca="false">'Raw Data'!B1074</f>
        <v>58</v>
      </c>
      <c r="C1074" s="7" t="str">
        <f aca="false">'Raw Data'!C1074</f>
        <v>Female</v>
      </c>
      <c r="D1074" s="7" t="str">
        <f aca="false">'Raw Data'!D1074</f>
        <v>Never</v>
      </c>
      <c r="E1074" s="7" t="str">
        <f aca="false">'Raw Data'!J1074</f>
        <v>Low</v>
      </c>
      <c r="F1074" s="7" t="n">
        <f aca="false">'Raw Data'!K1074</f>
        <v>204.5</v>
      </c>
      <c r="G1074" s="7" t="str">
        <f aca="false">'Raw Data'!L1074</f>
        <v>No</v>
      </c>
      <c r="H1074" s="7" t="str">
        <f aca="false">'Raw Data'!M1074</f>
        <v>Moderate</v>
      </c>
      <c r="I1074" s="7" t="n">
        <f aca="false">(IF(D1074="Current",3,IF(D1074="Former",1,0)))+(IF(E1074="High",3,IF(E1074="Normal",1,0)))+(IF(F1074&gt;=240,2,IF(F1074&gt;=200,1,0)))+(IF(G1074="Yes",2,0))+(IF(H1074="High",2,IF(H1074="Moderate",1,0)))</f>
        <v>2</v>
      </c>
      <c r="J1074" s="7" t="str">
        <f aca="false">IF(I1074&gt;=8,"High",IF(I1074&gt;=4,"Medium","Low"))</f>
        <v>Low</v>
      </c>
    </row>
    <row r="1075" customFormat="false" ht="15" hidden="false" customHeight="true" outlineLevel="0" collapsed="false">
      <c r="A1075" s="7" t="n">
        <f aca="false">'Raw Data'!A1075</f>
        <v>1822</v>
      </c>
      <c r="B1075" s="7" t="n">
        <f aca="false">'Raw Data'!B1075</f>
        <v>18</v>
      </c>
      <c r="C1075" s="7" t="str">
        <f aca="false">'Raw Data'!C1075</f>
        <v>Male</v>
      </c>
      <c r="D1075" s="7" t="str">
        <f aca="false">'Raw Data'!D1075</f>
        <v>Never</v>
      </c>
      <c r="E1075" s="7" t="str">
        <f aca="false">'Raw Data'!J1075</f>
        <v>Low</v>
      </c>
      <c r="F1075" s="7" t="n">
        <f aca="false">'Raw Data'!K1075</f>
        <v>203.6</v>
      </c>
      <c r="G1075" s="7" t="str">
        <f aca="false">'Raw Data'!L1075</f>
        <v>Yes</v>
      </c>
      <c r="H1075" s="7" t="str">
        <f aca="false">'Raw Data'!M1075</f>
        <v>Moderate</v>
      </c>
      <c r="I1075" s="7" t="n">
        <f aca="false">(IF(D1075="Current",3,IF(D1075="Former",1,0)))+(IF(E1075="High",3,IF(E1075="Normal",1,0)))+(IF(F1075&gt;=240,2,IF(F1075&gt;=200,1,0)))+(IF(G1075="Yes",2,0))+(IF(H1075="High",2,IF(H1075="Moderate",1,0)))</f>
        <v>4</v>
      </c>
      <c r="J1075" s="7" t="str">
        <f aca="false">IF(I1075&gt;=8,"High",IF(I1075&gt;=4,"Medium","Low"))</f>
        <v>Medium</v>
      </c>
    </row>
    <row r="1076" customFormat="false" ht="15" hidden="false" customHeight="true" outlineLevel="0" collapsed="false">
      <c r="A1076" s="7" t="n">
        <f aca="false">'Raw Data'!A1076</f>
        <v>1831</v>
      </c>
      <c r="B1076" s="7" t="n">
        <f aca="false">'Raw Data'!B1076</f>
        <v>22</v>
      </c>
      <c r="C1076" s="7" t="str">
        <f aca="false">'Raw Data'!C1076</f>
        <v>Female</v>
      </c>
      <c r="D1076" s="7" t="str">
        <f aca="false">'Raw Data'!D1076</f>
        <v>Never</v>
      </c>
      <c r="E1076" s="7" t="str">
        <f aca="false">'Raw Data'!J1076</f>
        <v>Low</v>
      </c>
      <c r="F1076" s="7" t="n">
        <f aca="false">'Raw Data'!K1076</f>
        <v>182.3</v>
      </c>
      <c r="G1076" s="7" t="str">
        <f aca="false">'Raw Data'!L1076</f>
        <v>Yes</v>
      </c>
      <c r="H1076" s="7" t="str">
        <f aca="false">'Raw Data'!M1076</f>
        <v>Moderate</v>
      </c>
      <c r="I1076" s="7" t="n">
        <f aca="false">(IF(D1076="Current",3,IF(D1076="Former",1,0)))+(IF(E1076="High",3,IF(E1076="Normal",1,0)))+(IF(F1076&gt;=240,2,IF(F1076&gt;=200,1,0)))+(IF(G1076="Yes",2,0))+(IF(H1076="High",2,IF(H1076="Moderate",1,0)))</f>
        <v>3</v>
      </c>
      <c r="J1076" s="7" t="str">
        <f aca="false">IF(I1076&gt;=8,"High",IF(I1076&gt;=4,"Medium","Low"))</f>
        <v>Low</v>
      </c>
    </row>
    <row r="1077" customFormat="false" ht="15" hidden="false" customHeight="true" outlineLevel="0" collapsed="false">
      <c r="A1077" s="7" t="n">
        <f aca="false">'Raw Data'!A1077</f>
        <v>1865</v>
      </c>
      <c r="B1077" s="7" t="n">
        <f aca="false">'Raw Data'!B1077</f>
        <v>76</v>
      </c>
      <c r="C1077" s="7" t="str">
        <f aca="false">'Raw Data'!C1077</f>
        <v>Male</v>
      </c>
      <c r="D1077" s="7" t="str">
        <f aca="false">'Raw Data'!D1077</f>
        <v>Never</v>
      </c>
      <c r="E1077" s="7" t="str">
        <f aca="false">'Raw Data'!J1077</f>
        <v>Low</v>
      </c>
      <c r="F1077" s="7" t="n">
        <f aca="false">'Raw Data'!K1077</f>
        <v>158.2</v>
      </c>
      <c r="G1077" s="7" t="str">
        <f aca="false">'Raw Data'!L1077</f>
        <v>No</v>
      </c>
      <c r="H1077" s="7" t="str">
        <f aca="false">'Raw Data'!M1077</f>
        <v>Moderate</v>
      </c>
      <c r="I1077" s="7" t="n">
        <f aca="false">(IF(D1077="Current",3,IF(D1077="Former",1,0)))+(IF(E1077="High",3,IF(E1077="Normal",1,0)))+(IF(F1077&gt;=240,2,IF(F1077&gt;=200,1,0)))+(IF(G1077="Yes",2,0))+(IF(H1077="High",2,IF(H1077="Moderate",1,0)))</f>
        <v>1</v>
      </c>
      <c r="J1077" s="7" t="str">
        <f aca="false">IF(I1077&gt;=8,"High",IF(I1077&gt;=4,"Medium","Low"))</f>
        <v>Low</v>
      </c>
    </row>
    <row r="1078" customFormat="false" ht="15" hidden="false" customHeight="true" outlineLevel="0" collapsed="false">
      <c r="A1078" s="7" t="n">
        <f aca="false">'Raw Data'!A1078</f>
        <v>1871</v>
      </c>
      <c r="B1078" s="7" t="n">
        <f aca="false">'Raw Data'!B1078</f>
        <v>63</v>
      </c>
      <c r="C1078" s="7" t="str">
        <f aca="false">'Raw Data'!C1078</f>
        <v>Male</v>
      </c>
      <c r="D1078" s="7" t="str">
        <f aca="false">'Raw Data'!D1078</f>
        <v>Never</v>
      </c>
      <c r="E1078" s="7" t="str">
        <f aca="false">'Raw Data'!J1078</f>
        <v>Low</v>
      </c>
      <c r="F1078" s="7" t="n">
        <f aca="false">'Raw Data'!K1078</f>
        <v>204.2</v>
      </c>
      <c r="G1078" s="7" t="str">
        <f aca="false">'Raw Data'!L1078</f>
        <v>No</v>
      </c>
      <c r="H1078" s="7" t="str">
        <f aca="false">'Raw Data'!M1078</f>
        <v>Moderate</v>
      </c>
      <c r="I1078" s="7" t="n">
        <f aca="false">(IF(D1078="Current",3,IF(D1078="Former",1,0)))+(IF(E1078="High",3,IF(E1078="Normal",1,0)))+(IF(F1078&gt;=240,2,IF(F1078&gt;=200,1,0)))+(IF(G1078="Yes",2,0))+(IF(H1078="High",2,IF(H1078="Moderate",1,0)))</f>
        <v>2</v>
      </c>
      <c r="J1078" s="7" t="str">
        <f aca="false">IF(I1078&gt;=8,"High",IF(I1078&gt;=4,"Medium","Low"))</f>
        <v>Low</v>
      </c>
    </row>
    <row r="1079" customFormat="false" ht="15" hidden="false" customHeight="true" outlineLevel="0" collapsed="false">
      <c r="A1079" s="7" t="n">
        <f aca="false">'Raw Data'!A1079</f>
        <v>1981</v>
      </c>
      <c r="B1079" s="7" t="n">
        <f aca="false">'Raw Data'!B1079</f>
        <v>21</v>
      </c>
      <c r="C1079" s="7" t="str">
        <f aca="false">'Raw Data'!C1079</f>
        <v>Female</v>
      </c>
      <c r="D1079" s="7" t="str">
        <f aca="false">'Raw Data'!D1079</f>
        <v>Never</v>
      </c>
      <c r="E1079" s="7" t="str">
        <f aca="false">'Raw Data'!J1079</f>
        <v>Low</v>
      </c>
      <c r="F1079" s="7" t="n">
        <f aca="false">'Raw Data'!K1079</f>
        <v>297.3</v>
      </c>
      <c r="G1079" s="7" t="str">
        <f aca="false">'Raw Data'!L1079</f>
        <v>Yes</v>
      </c>
      <c r="H1079" s="7" t="str">
        <f aca="false">'Raw Data'!M1079</f>
        <v>Moderate</v>
      </c>
      <c r="I1079" s="7" t="n">
        <f aca="false">(IF(D1079="Current",3,IF(D1079="Former",1,0)))+(IF(E1079="High",3,IF(E1079="Normal",1,0)))+(IF(F1079&gt;=240,2,IF(F1079&gt;=200,1,0)))+(IF(G1079="Yes",2,0))+(IF(H1079="High",2,IF(H1079="Moderate",1,0)))</f>
        <v>5</v>
      </c>
      <c r="J1079" s="7" t="str">
        <f aca="false">IF(I1079&gt;=8,"High",IF(I1079&gt;=4,"Medium","Low"))</f>
        <v>Medium</v>
      </c>
    </row>
    <row r="1080" customFormat="false" ht="15" hidden="false" customHeight="true" outlineLevel="0" collapsed="false">
      <c r="A1080" s="7" t="n">
        <f aca="false">'Raw Data'!A1080</f>
        <v>2000</v>
      </c>
      <c r="B1080" s="7" t="n">
        <f aca="false">'Raw Data'!B1080</f>
        <v>39</v>
      </c>
      <c r="C1080" s="7" t="str">
        <f aca="false">'Raw Data'!C1080</f>
        <v>Male</v>
      </c>
      <c r="D1080" s="7" t="str">
        <f aca="false">'Raw Data'!D1080</f>
        <v>Never</v>
      </c>
      <c r="E1080" s="7" t="str">
        <f aca="false">'Raw Data'!J1080</f>
        <v>Low</v>
      </c>
      <c r="F1080" s="7" t="n">
        <f aca="false">'Raw Data'!K1080</f>
        <v>299.5</v>
      </c>
      <c r="G1080" s="7" t="str">
        <f aca="false">'Raw Data'!L1080</f>
        <v>No</v>
      </c>
      <c r="H1080" s="7" t="str">
        <f aca="false">'Raw Data'!M1080</f>
        <v>Moderate</v>
      </c>
      <c r="I1080" s="7" t="n">
        <f aca="false">(IF(D1080="Current",3,IF(D1080="Former",1,0)))+(IF(E1080="High",3,IF(E1080="Normal",1,0)))+(IF(F1080&gt;=240,2,IF(F1080&gt;=200,1,0)))+(IF(G1080="Yes",2,0))+(IF(H1080="High",2,IF(H1080="Moderate",1,0)))</f>
        <v>3</v>
      </c>
      <c r="J1080" s="7" t="str">
        <f aca="false">IF(I1080&gt;=8,"High",IF(I1080&gt;=4,"Medium","Low"))</f>
        <v>Low</v>
      </c>
    </row>
    <row r="1081" customFormat="false" ht="15" hidden="false" customHeight="true" outlineLevel="0" collapsed="false">
      <c r="A1081" s="7" t="n">
        <f aca="false">'Raw Data'!A1081</f>
        <v>2003</v>
      </c>
      <c r="B1081" s="7" t="n">
        <f aca="false">'Raw Data'!B1081</f>
        <v>83</v>
      </c>
      <c r="C1081" s="7" t="str">
        <f aca="false">'Raw Data'!C1081</f>
        <v>Male</v>
      </c>
      <c r="D1081" s="7" t="str">
        <f aca="false">'Raw Data'!D1081</f>
        <v>Never</v>
      </c>
      <c r="E1081" s="7" t="str">
        <f aca="false">'Raw Data'!J1081</f>
        <v>Low</v>
      </c>
      <c r="F1081" s="7" t="n">
        <f aca="false">'Raw Data'!K1081</f>
        <v>147</v>
      </c>
      <c r="G1081" s="7" t="str">
        <f aca="false">'Raw Data'!L1081</f>
        <v>Yes</v>
      </c>
      <c r="H1081" s="7" t="str">
        <f aca="false">'Raw Data'!M1081</f>
        <v>Moderate</v>
      </c>
      <c r="I1081" s="7" t="n">
        <f aca="false">(IF(D1081="Current",3,IF(D1081="Former",1,0)))+(IF(E1081="High",3,IF(E1081="Normal",1,0)))+(IF(F1081&gt;=240,2,IF(F1081&gt;=200,1,0)))+(IF(G1081="Yes",2,0))+(IF(H1081="High",2,IF(H1081="Moderate",1,0)))</f>
        <v>3</v>
      </c>
      <c r="J1081" s="7" t="str">
        <f aca="false">IF(I1081&gt;=8,"High",IF(I1081&gt;=4,"Medium","Low"))</f>
        <v>Low</v>
      </c>
    </row>
    <row r="1082" customFormat="false" ht="15" hidden="false" customHeight="true" outlineLevel="0" collapsed="false">
      <c r="A1082" s="7" t="n">
        <f aca="false">'Raw Data'!A1082</f>
        <v>2023</v>
      </c>
      <c r="B1082" s="7" t="n">
        <f aca="false">'Raw Data'!B1082</f>
        <v>84</v>
      </c>
      <c r="C1082" s="7" t="str">
        <f aca="false">'Raw Data'!C1082</f>
        <v>Female</v>
      </c>
      <c r="D1082" s="7" t="str">
        <f aca="false">'Raw Data'!D1082</f>
        <v>Never</v>
      </c>
      <c r="E1082" s="7" t="str">
        <f aca="false">'Raw Data'!J1082</f>
        <v>Low</v>
      </c>
      <c r="F1082" s="7" t="n">
        <f aca="false">'Raw Data'!K1082</f>
        <v>216.4</v>
      </c>
      <c r="G1082" s="7" t="str">
        <f aca="false">'Raw Data'!L1082</f>
        <v>No</v>
      </c>
      <c r="H1082" s="7" t="str">
        <f aca="false">'Raw Data'!M1082</f>
        <v>Moderate</v>
      </c>
      <c r="I1082" s="7" t="n">
        <f aca="false">(IF(D1082="Current",3,IF(D1082="Former",1,0)))+(IF(E1082="High",3,IF(E1082="Normal",1,0)))+(IF(F1082&gt;=240,2,IF(F1082&gt;=200,1,0)))+(IF(G1082="Yes",2,0))+(IF(H1082="High",2,IF(H1082="Moderate",1,0)))</f>
        <v>2</v>
      </c>
      <c r="J1082" s="7" t="str">
        <f aca="false">IF(I1082&gt;=8,"High",IF(I1082&gt;=4,"Medium","Low"))</f>
        <v>Low</v>
      </c>
    </row>
    <row r="1083" customFormat="false" ht="15" hidden="false" customHeight="true" outlineLevel="0" collapsed="false">
      <c r="A1083" s="7" t="n">
        <f aca="false">'Raw Data'!A1083</f>
        <v>2054</v>
      </c>
      <c r="B1083" s="7" t="n">
        <f aca="false">'Raw Data'!B1083</f>
        <v>53</v>
      </c>
      <c r="C1083" s="7" t="str">
        <f aca="false">'Raw Data'!C1083</f>
        <v>Female</v>
      </c>
      <c r="D1083" s="7" t="str">
        <f aca="false">'Raw Data'!D1083</f>
        <v>Never</v>
      </c>
      <c r="E1083" s="7" t="str">
        <f aca="false">'Raw Data'!J1083</f>
        <v>Low</v>
      </c>
      <c r="F1083" s="7" t="n">
        <f aca="false">'Raw Data'!K1083</f>
        <v>180</v>
      </c>
      <c r="G1083" s="7" t="str">
        <f aca="false">'Raw Data'!L1083</f>
        <v>Yes</v>
      </c>
      <c r="H1083" s="7" t="str">
        <f aca="false">'Raw Data'!M1083</f>
        <v>Moderate</v>
      </c>
      <c r="I1083" s="7" t="n">
        <f aca="false">(IF(D1083="Current",3,IF(D1083="Former",1,0)))+(IF(E1083="High",3,IF(E1083="Normal",1,0)))+(IF(F1083&gt;=240,2,IF(F1083&gt;=200,1,0)))+(IF(G1083="Yes",2,0))+(IF(H1083="High",2,IF(H1083="Moderate",1,0)))</f>
        <v>3</v>
      </c>
      <c r="J1083" s="7" t="str">
        <f aca="false">IF(I1083&gt;=8,"High",IF(I1083&gt;=4,"Medium","Low"))</f>
        <v>Low</v>
      </c>
    </row>
    <row r="1084" customFormat="false" ht="15" hidden="false" customHeight="true" outlineLevel="0" collapsed="false">
      <c r="A1084" s="7" t="n">
        <f aca="false">'Raw Data'!A1084</f>
        <v>2115</v>
      </c>
      <c r="B1084" s="7" t="n">
        <f aca="false">'Raw Data'!B1084</f>
        <v>66</v>
      </c>
      <c r="C1084" s="7" t="str">
        <f aca="false">'Raw Data'!C1084</f>
        <v>Male</v>
      </c>
      <c r="D1084" s="7" t="str">
        <f aca="false">'Raw Data'!D1084</f>
        <v>Never</v>
      </c>
      <c r="E1084" s="7" t="str">
        <f aca="false">'Raw Data'!J1084</f>
        <v>Low</v>
      </c>
      <c r="F1084" s="7" t="n">
        <f aca="false">'Raw Data'!K1084</f>
        <v>160.8</v>
      </c>
      <c r="G1084" s="7" t="str">
        <f aca="false">'Raw Data'!L1084</f>
        <v>No</v>
      </c>
      <c r="H1084" s="7" t="str">
        <f aca="false">'Raw Data'!M1084</f>
        <v>Moderate</v>
      </c>
      <c r="I1084" s="7" t="n">
        <f aca="false">(IF(D1084="Current",3,IF(D1084="Former",1,0)))+(IF(E1084="High",3,IF(E1084="Normal",1,0)))+(IF(F1084&gt;=240,2,IF(F1084&gt;=200,1,0)))+(IF(G1084="Yes",2,0))+(IF(H1084="High",2,IF(H1084="Moderate",1,0)))</f>
        <v>1</v>
      </c>
      <c r="J1084" s="7" t="str">
        <f aca="false">IF(I1084&gt;=8,"High",IF(I1084&gt;=4,"Medium","Low"))</f>
        <v>Low</v>
      </c>
    </row>
    <row r="1085" customFormat="false" ht="15" hidden="false" customHeight="true" outlineLevel="0" collapsed="false">
      <c r="A1085" s="7" t="n">
        <f aca="false">'Raw Data'!A1085</f>
        <v>2119</v>
      </c>
      <c r="B1085" s="7" t="n">
        <f aca="false">'Raw Data'!B1085</f>
        <v>38</v>
      </c>
      <c r="C1085" s="7" t="str">
        <f aca="false">'Raw Data'!C1085</f>
        <v>Male</v>
      </c>
      <c r="D1085" s="7" t="str">
        <f aca="false">'Raw Data'!D1085</f>
        <v>Never</v>
      </c>
      <c r="E1085" s="7" t="str">
        <f aca="false">'Raw Data'!J1085</f>
        <v>Low</v>
      </c>
      <c r="F1085" s="7" t="n">
        <f aca="false">'Raw Data'!K1085</f>
        <v>276.9</v>
      </c>
      <c r="G1085" s="7" t="str">
        <f aca="false">'Raw Data'!L1085</f>
        <v>No</v>
      </c>
      <c r="H1085" s="7" t="str">
        <f aca="false">'Raw Data'!M1085</f>
        <v>Moderate</v>
      </c>
      <c r="I1085" s="7" t="n">
        <f aca="false">(IF(D1085="Current",3,IF(D1085="Former",1,0)))+(IF(E1085="High",3,IF(E1085="Normal",1,0)))+(IF(F1085&gt;=240,2,IF(F1085&gt;=200,1,0)))+(IF(G1085="Yes",2,0))+(IF(H1085="High",2,IF(H1085="Moderate",1,0)))</f>
        <v>3</v>
      </c>
      <c r="J1085" s="7" t="str">
        <f aca="false">IF(I1085&gt;=8,"High",IF(I1085&gt;=4,"Medium","Low"))</f>
        <v>Low</v>
      </c>
    </row>
    <row r="1086" customFormat="false" ht="15" hidden="false" customHeight="true" outlineLevel="0" collapsed="false">
      <c r="A1086" s="7" t="n">
        <f aca="false">'Raw Data'!A1086</f>
        <v>2136</v>
      </c>
      <c r="B1086" s="7" t="n">
        <f aca="false">'Raw Data'!B1086</f>
        <v>59</v>
      </c>
      <c r="C1086" s="7" t="str">
        <f aca="false">'Raw Data'!C1086</f>
        <v>Female</v>
      </c>
      <c r="D1086" s="7" t="str">
        <f aca="false">'Raw Data'!D1086</f>
        <v>Never</v>
      </c>
      <c r="E1086" s="7" t="str">
        <f aca="false">'Raw Data'!J1086</f>
        <v>Low</v>
      </c>
      <c r="F1086" s="7" t="n">
        <f aca="false">'Raw Data'!K1086</f>
        <v>134.1</v>
      </c>
      <c r="G1086" s="7" t="str">
        <f aca="false">'Raw Data'!L1086</f>
        <v>No</v>
      </c>
      <c r="H1086" s="7" t="str">
        <f aca="false">'Raw Data'!M1086</f>
        <v>Moderate</v>
      </c>
      <c r="I1086" s="7" t="n">
        <f aca="false">(IF(D1086="Current",3,IF(D1086="Former",1,0)))+(IF(E1086="High",3,IF(E1086="Normal",1,0)))+(IF(F1086&gt;=240,2,IF(F1086&gt;=200,1,0)))+(IF(G1086="Yes",2,0))+(IF(H1086="High",2,IF(H1086="Moderate",1,0)))</f>
        <v>1</v>
      </c>
      <c r="J1086" s="7" t="str">
        <f aca="false">IF(I1086&gt;=8,"High",IF(I1086&gt;=4,"Medium","Low"))</f>
        <v>Low</v>
      </c>
    </row>
    <row r="1087" customFormat="false" ht="15" hidden="false" customHeight="true" outlineLevel="0" collapsed="false">
      <c r="A1087" s="7" t="n">
        <f aca="false">'Raw Data'!A1087</f>
        <v>2213</v>
      </c>
      <c r="B1087" s="7" t="n">
        <f aca="false">'Raw Data'!B1087</f>
        <v>28</v>
      </c>
      <c r="C1087" s="7" t="str">
        <f aca="false">'Raw Data'!C1087</f>
        <v>Male</v>
      </c>
      <c r="D1087" s="7" t="str">
        <f aca="false">'Raw Data'!D1087</f>
        <v>Never</v>
      </c>
      <c r="E1087" s="7" t="str">
        <f aca="false">'Raw Data'!J1087</f>
        <v>Low</v>
      </c>
      <c r="F1087" s="7" t="n">
        <f aca="false">'Raw Data'!K1087</f>
        <v>220.1</v>
      </c>
      <c r="G1087" s="7" t="str">
        <f aca="false">'Raw Data'!L1087</f>
        <v>Yes</v>
      </c>
      <c r="H1087" s="7" t="str">
        <f aca="false">'Raw Data'!M1087</f>
        <v>Moderate</v>
      </c>
      <c r="I1087" s="7" t="n">
        <f aca="false">(IF(D1087="Current",3,IF(D1087="Former",1,0)))+(IF(E1087="High",3,IF(E1087="Normal",1,0)))+(IF(F1087&gt;=240,2,IF(F1087&gt;=200,1,0)))+(IF(G1087="Yes",2,0))+(IF(H1087="High",2,IF(H1087="Moderate",1,0)))</f>
        <v>4</v>
      </c>
      <c r="J1087" s="7" t="str">
        <f aca="false">IF(I1087&gt;=8,"High",IF(I1087&gt;=4,"Medium","Low"))</f>
        <v>Medium</v>
      </c>
    </row>
    <row r="1088" customFormat="false" ht="15" hidden="false" customHeight="true" outlineLevel="0" collapsed="false">
      <c r="A1088" s="7" t="n">
        <f aca="false">'Raw Data'!A1088</f>
        <v>2225</v>
      </c>
      <c r="B1088" s="7" t="n">
        <f aca="false">'Raw Data'!B1088</f>
        <v>79</v>
      </c>
      <c r="C1088" s="7" t="str">
        <f aca="false">'Raw Data'!C1088</f>
        <v>Male</v>
      </c>
      <c r="D1088" s="7" t="str">
        <f aca="false">'Raw Data'!D1088</f>
        <v>Never</v>
      </c>
      <c r="E1088" s="7" t="str">
        <f aca="false">'Raw Data'!J1088</f>
        <v>Low</v>
      </c>
      <c r="F1088" s="7" t="n">
        <f aca="false">'Raw Data'!K1088</f>
        <v>246.1</v>
      </c>
      <c r="G1088" s="7" t="str">
        <f aca="false">'Raw Data'!L1088</f>
        <v>No</v>
      </c>
      <c r="H1088" s="7" t="str">
        <f aca="false">'Raw Data'!M1088</f>
        <v>Moderate</v>
      </c>
      <c r="I1088" s="7" t="n">
        <f aca="false">(IF(D1088="Current",3,IF(D1088="Former",1,0)))+(IF(E1088="High",3,IF(E1088="Normal",1,0)))+(IF(F1088&gt;=240,2,IF(F1088&gt;=200,1,0)))+(IF(G1088="Yes",2,0))+(IF(H1088="High",2,IF(H1088="Moderate",1,0)))</f>
        <v>3</v>
      </c>
      <c r="J1088" s="7" t="str">
        <f aca="false">IF(I1088&gt;=8,"High",IF(I1088&gt;=4,"Medium","Low"))</f>
        <v>Low</v>
      </c>
    </row>
    <row r="1089" customFormat="false" ht="15" hidden="false" customHeight="true" outlineLevel="0" collapsed="false">
      <c r="A1089" s="7" t="n">
        <f aca="false">'Raw Data'!A1089</f>
        <v>2271</v>
      </c>
      <c r="B1089" s="7" t="n">
        <f aca="false">'Raw Data'!B1089</f>
        <v>39</v>
      </c>
      <c r="C1089" s="7" t="str">
        <f aca="false">'Raw Data'!C1089</f>
        <v>Male</v>
      </c>
      <c r="D1089" s="7" t="str">
        <f aca="false">'Raw Data'!D1089</f>
        <v>Never</v>
      </c>
      <c r="E1089" s="7" t="str">
        <f aca="false">'Raw Data'!J1089</f>
        <v>Low</v>
      </c>
      <c r="F1089" s="7" t="n">
        <f aca="false">'Raw Data'!K1089</f>
        <v>261.7</v>
      </c>
      <c r="G1089" s="7" t="str">
        <f aca="false">'Raw Data'!L1089</f>
        <v>No</v>
      </c>
      <c r="H1089" s="7" t="str">
        <f aca="false">'Raw Data'!M1089</f>
        <v>Moderate</v>
      </c>
      <c r="I1089" s="7" t="n">
        <f aca="false">(IF(D1089="Current",3,IF(D1089="Former",1,0)))+(IF(E1089="High",3,IF(E1089="Normal",1,0)))+(IF(F1089&gt;=240,2,IF(F1089&gt;=200,1,0)))+(IF(G1089="Yes",2,0))+(IF(H1089="High",2,IF(H1089="Moderate",1,0)))</f>
        <v>3</v>
      </c>
      <c r="J1089" s="7" t="str">
        <f aca="false">IF(I1089&gt;=8,"High",IF(I1089&gt;=4,"Medium","Low"))</f>
        <v>Low</v>
      </c>
    </row>
    <row r="1090" customFormat="false" ht="15" hidden="false" customHeight="true" outlineLevel="0" collapsed="false">
      <c r="A1090" s="7" t="n">
        <f aca="false">'Raw Data'!A1090</f>
        <v>2276</v>
      </c>
      <c r="B1090" s="7" t="n">
        <f aca="false">'Raw Data'!B1090</f>
        <v>19</v>
      </c>
      <c r="C1090" s="7" t="str">
        <f aca="false">'Raw Data'!C1090</f>
        <v>Male</v>
      </c>
      <c r="D1090" s="7" t="str">
        <f aca="false">'Raw Data'!D1090</f>
        <v>Never</v>
      </c>
      <c r="E1090" s="7" t="str">
        <f aca="false">'Raw Data'!J1090</f>
        <v>Low</v>
      </c>
      <c r="F1090" s="7" t="n">
        <f aca="false">'Raw Data'!K1090</f>
        <v>124.2</v>
      </c>
      <c r="G1090" s="7" t="str">
        <f aca="false">'Raw Data'!L1090</f>
        <v>No</v>
      </c>
      <c r="H1090" s="7" t="str">
        <f aca="false">'Raw Data'!M1090</f>
        <v>Moderate</v>
      </c>
      <c r="I1090" s="7" t="n">
        <f aca="false">(IF(D1090="Current",3,IF(D1090="Former",1,0)))+(IF(E1090="High",3,IF(E1090="Normal",1,0)))+(IF(F1090&gt;=240,2,IF(F1090&gt;=200,1,0)))+(IF(G1090="Yes",2,0))+(IF(H1090="High",2,IF(H1090="Moderate",1,0)))</f>
        <v>1</v>
      </c>
      <c r="J1090" s="7" t="str">
        <f aca="false">IF(I1090&gt;=8,"High",IF(I1090&gt;=4,"Medium","Low"))</f>
        <v>Low</v>
      </c>
    </row>
    <row r="1091" customFormat="false" ht="15" hidden="false" customHeight="true" outlineLevel="0" collapsed="false">
      <c r="A1091" s="7" t="n">
        <f aca="false">'Raw Data'!A1091</f>
        <v>2283</v>
      </c>
      <c r="B1091" s="7" t="n">
        <f aca="false">'Raw Data'!B1091</f>
        <v>80</v>
      </c>
      <c r="C1091" s="7" t="str">
        <f aca="false">'Raw Data'!C1091</f>
        <v>Male</v>
      </c>
      <c r="D1091" s="7" t="str">
        <f aca="false">'Raw Data'!D1091</f>
        <v>Never</v>
      </c>
      <c r="E1091" s="7" t="str">
        <f aca="false">'Raw Data'!J1091</f>
        <v>Low</v>
      </c>
      <c r="F1091" s="7" t="n">
        <f aca="false">'Raw Data'!K1091</f>
        <v>294.9</v>
      </c>
      <c r="G1091" s="7" t="str">
        <f aca="false">'Raw Data'!L1091</f>
        <v>No</v>
      </c>
      <c r="H1091" s="7" t="str">
        <f aca="false">'Raw Data'!M1091</f>
        <v>Moderate</v>
      </c>
      <c r="I1091" s="7" t="n">
        <f aca="false">(IF(D1091="Current",3,IF(D1091="Former",1,0)))+(IF(E1091="High",3,IF(E1091="Normal",1,0)))+(IF(F1091&gt;=240,2,IF(F1091&gt;=200,1,0)))+(IF(G1091="Yes",2,0))+(IF(H1091="High",2,IF(H1091="Moderate",1,0)))</f>
        <v>3</v>
      </c>
      <c r="J1091" s="7" t="str">
        <f aca="false">IF(I1091&gt;=8,"High",IF(I1091&gt;=4,"Medium","Low"))</f>
        <v>Low</v>
      </c>
    </row>
    <row r="1092" customFormat="false" ht="15" hidden="false" customHeight="true" outlineLevel="0" collapsed="false">
      <c r="A1092" s="7" t="n">
        <f aca="false">'Raw Data'!A1092</f>
        <v>2286</v>
      </c>
      <c r="B1092" s="7" t="n">
        <f aca="false">'Raw Data'!B1092</f>
        <v>53</v>
      </c>
      <c r="C1092" s="7" t="str">
        <f aca="false">'Raw Data'!C1092</f>
        <v>Female</v>
      </c>
      <c r="D1092" s="7" t="str">
        <f aca="false">'Raw Data'!D1092</f>
        <v>Never</v>
      </c>
      <c r="E1092" s="7" t="str">
        <f aca="false">'Raw Data'!J1092</f>
        <v>Low</v>
      </c>
      <c r="F1092" s="7" t="n">
        <f aca="false">'Raw Data'!K1092</f>
        <v>198.4</v>
      </c>
      <c r="G1092" s="7" t="str">
        <f aca="false">'Raw Data'!L1092</f>
        <v>No</v>
      </c>
      <c r="H1092" s="7" t="str">
        <f aca="false">'Raw Data'!M1092</f>
        <v>Moderate</v>
      </c>
      <c r="I1092" s="7" t="n">
        <f aca="false">(IF(D1092="Current",3,IF(D1092="Former",1,0)))+(IF(E1092="High",3,IF(E1092="Normal",1,0)))+(IF(F1092&gt;=240,2,IF(F1092&gt;=200,1,0)))+(IF(G1092="Yes",2,0))+(IF(H1092="High",2,IF(H1092="Moderate",1,0)))</f>
        <v>1</v>
      </c>
      <c r="J1092" s="7" t="str">
        <f aca="false">IF(I1092&gt;=8,"High",IF(I1092&gt;=4,"Medium","Low"))</f>
        <v>Low</v>
      </c>
    </row>
    <row r="1093" customFormat="false" ht="15" hidden="false" customHeight="true" outlineLevel="0" collapsed="false">
      <c r="A1093" s="7" t="n">
        <f aca="false">'Raw Data'!A1093</f>
        <v>2368</v>
      </c>
      <c r="B1093" s="7" t="n">
        <f aca="false">'Raw Data'!B1093</f>
        <v>61</v>
      </c>
      <c r="C1093" s="7" t="str">
        <f aca="false">'Raw Data'!C1093</f>
        <v>Female</v>
      </c>
      <c r="D1093" s="7" t="str">
        <f aca="false">'Raw Data'!D1093</f>
        <v>Never</v>
      </c>
      <c r="E1093" s="7" t="str">
        <f aca="false">'Raw Data'!J1093</f>
        <v>Low</v>
      </c>
      <c r="F1093" s="7" t="n">
        <f aca="false">'Raw Data'!K1093</f>
        <v>295</v>
      </c>
      <c r="G1093" s="7" t="str">
        <f aca="false">'Raw Data'!L1093</f>
        <v>Yes</v>
      </c>
      <c r="H1093" s="7" t="str">
        <f aca="false">'Raw Data'!M1093</f>
        <v>Moderate</v>
      </c>
      <c r="I1093" s="7" t="n">
        <f aca="false">(IF(D1093="Current",3,IF(D1093="Former",1,0)))+(IF(E1093="High",3,IF(E1093="Normal",1,0)))+(IF(F1093&gt;=240,2,IF(F1093&gt;=200,1,0)))+(IF(G1093="Yes",2,0))+(IF(H1093="High",2,IF(H1093="Moderate",1,0)))</f>
        <v>5</v>
      </c>
      <c r="J1093" s="7" t="str">
        <f aca="false">IF(I1093&gt;=8,"High",IF(I1093&gt;=4,"Medium","Low"))</f>
        <v>Medium</v>
      </c>
    </row>
    <row r="1094" customFormat="false" ht="15" hidden="false" customHeight="true" outlineLevel="0" collapsed="false">
      <c r="A1094" s="7" t="n">
        <f aca="false">'Raw Data'!A1094</f>
        <v>2411</v>
      </c>
      <c r="B1094" s="7" t="n">
        <f aca="false">'Raw Data'!B1094</f>
        <v>89</v>
      </c>
      <c r="C1094" s="7" t="str">
        <f aca="false">'Raw Data'!C1094</f>
        <v>Female</v>
      </c>
      <c r="D1094" s="7" t="str">
        <f aca="false">'Raw Data'!D1094</f>
        <v>Never</v>
      </c>
      <c r="E1094" s="7" t="str">
        <f aca="false">'Raw Data'!J1094</f>
        <v>Low</v>
      </c>
      <c r="F1094" s="7" t="n">
        <f aca="false">'Raw Data'!K1094</f>
        <v>128.7</v>
      </c>
      <c r="G1094" s="7" t="str">
        <f aca="false">'Raw Data'!L1094</f>
        <v>No</v>
      </c>
      <c r="H1094" s="7" t="str">
        <f aca="false">'Raw Data'!M1094</f>
        <v>Moderate</v>
      </c>
      <c r="I1094" s="7" t="n">
        <f aca="false">(IF(D1094="Current",3,IF(D1094="Former",1,0)))+(IF(E1094="High",3,IF(E1094="Normal",1,0)))+(IF(F1094&gt;=240,2,IF(F1094&gt;=200,1,0)))+(IF(G1094="Yes",2,0))+(IF(H1094="High",2,IF(H1094="Moderate",1,0)))</f>
        <v>1</v>
      </c>
      <c r="J1094" s="7" t="str">
        <f aca="false">IF(I1094&gt;=8,"High",IF(I1094&gt;=4,"Medium","Low"))</f>
        <v>Low</v>
      </c>
    </row>
    <row r="1095" customFormat="false" ht="15" hidden="false" customHeight="true" outlineLevel="0" collapsed="false">
      <c r="A1095" s="7" t="n">
        <f aca="false">'Raw Data'!A1095</f>
        <v>2440</v>
      </c>
      <c r="B1095" s="7" t="n">
        <f aca="false">'Raw Data'!B1095</f>
        <v>18</v>
      </c>
      <c r="C1095" s="7" t="str">
        <f aca="false">'Raw Data'!C1095</f>
        <v>Female</v>
      </c>
      <c r="D1095" s="7" t="str">
        <f aca="false">'Raw Data'!D1095</f>
        <v>Never</v>
      </c>
      <c r="E1095" s="7" t="str">
        <f aca="false">'Raw Data'!J1095</f>
        <v>Low</v>
      </c>
      <c r="F1095" s="7" t="n">
        <f aca="false">'Raw Data'!K1095</f>
        <v>164.8</v>
      </c>
      <c r="G1095" s="7" t="str">
        <f aca="false">'Raw Data'!L1095</f>
        <v>No</v>
      </c>
      <c r="H1095" s="7" t="str">
        <f aca="false">'Raw Data'!M1095</f>
        <v>Moderate</v>
      </c>
      <c r="I1095" s="7" t="n">
        <f aca="false">(IF(D1095="Current",3,IF(D1095="Former",1,0)))+(IF(E1095="High",3,IF(E1095="Normal",1,0)))+(IF(F1095&gt;=240,2,IF(F1095&gt;=200,1,0)))+(IF(G1095="Yes",2,0))+(IF(H1095="High",2,IF(H1095="Moderate",1,0)))</f>
        <v>1</v>
      </c>
      <c r="J1095" s="7" t="str">
        <f aca="false">IF(I1095&gt;=8,"High",IF(I1095&gt;=4,"Medium","Low"))</f>
        <v>Low</v>
      </c>
    </row>
    <row r="1096" customFormat="false" ht="15" hidden="false" customHeight="true" outlineLevel="0" collapsed="false">
      <c r="A1096" s="7" t="n">
        <f aca="false">'Raw Data'!A1096</f>
        <v>2450</v>
      </c>
      <c r="B1096" s="7" t="n">
        <f aca="false">'Raw Data'!B1096</f>
        <v>72</v>
      </c>
      <c r="C1096" s="7" t="str">
        <f aca="false">'Raw Data'!C1096</f>
        <v>Female</v>
      </c>
      <c r="D1096" s="7" t="str">
        <f aca="false">'Raw Data'!D1096</f>
        <v>Never</v>
      </c>
      <c r="E1096" s="7" t="str">
        <f aca="false">'Raw Data'!J1096</f>
        <v>Low</v>
      </c>
      <c r="F1096" s="7" t="n">
        <f aca="false">'Raw Data'!K1096</f>
        <v>264.6</v>
      </c>
      <c r="G1096" s="7" t="str">
        <f aca="false">'Raw Data'!L1096</f>
        <v>No</v>
      </c>
      <c r="H1096" s="7" t="str">
        <f aca="false">'Raw Data'!M1096</f>
        <v>Moderate</v>
      </c>
      <c r="I1096" s="7" t="n">
        <f aca="false">(IF(D1096="Current",3,IF(D1096="Former",1,0)))+(IF(E1096="High",3,IF(E1096="Normal",1,0)))+(IF(F1096&gt;=240,2,IF(F1096&gt;=200,1,0)))+(IF(G1096="Yes",2,0))+(IF(H1096="High",2,IF(H1096="Moderate",1,0)))</f>
        <v>3</v>
      </c>
      <c r="J1096" s="7" t="str">
        <f aca="false">IF(I1096&gt;=8,"High",IF(I1096&gt;=4,"Medium","Low"))</f>
        <v>Low</v>
      </c>
    </row>
    <row r="1097" customFormat="false" ht="15" hidden="false" customHeight="true" outlineLevel="0" collapsed="false">
      <c r="A1097" s="7" t="n">
        <f aca="false">'Raw Data'!A1097</f>
        <v>2477</v>
      </c>
      <c r="B1097" s="7" t="n">
        <f aca="false">'Raw Data'!B1097</f>
        <v>54</v>
      </c>
      <c r="C1097" s="7" t="str">
        <f aca="false">'Raw Data'!C1097</f>
        <v>Female</v>
      </c>
      <c r="D1097" s="7" t="str">
        <f aca="false">'Raw Data'!D1097</f>
        <v>Never</v>
      </c>
      <c r="E1097" s="7" t="str">
        <f aca="false">'Raw Data'!J1097</f>
        <v>Low</v>
      </c>
      <c r="F1097" s="7" t="n">
        <f aca="false">'Raw Data'!K1097</f>
        <v>127.2</v>
      </c>
      <c r="G1097" s="7" t="str">
        <f aca="false">'Raw Data'!L1097</f>
        <v>No</v>
      </c>
      <c r="H1097" s="7" t="str">
        <f aca="false">'Raw Data'!M1097</f>
        <v>Moderate</v>
      </c>
      <c r="I1097" s="7" t="n">
        <f aca="false">(IF(D1097="Current",3,IF(D1097="Former",1,0)))+(IF(E1097="High",3,IF(E1097="Normal",1,0)))+(IF(F1097&gt;=240,2,IF(F1097&gt;=200,1,0)))+(IF(G1097="Yes",2,0))+(IF(H1097="High",2,IF(H1097="Moderate",1,0)))</f>
        <v>1</v>
      </c>
      <c r="J1097" s="7" t="str">
        <f aca="false">IF(I1097&gt;=8,"High",IF(I1097&gt;=4,"Medium","Low"))</f>
        <v>Low</v>
      </c>
    </row>
    <row r="1098" customFormat="false" ht="15" hidden="false" customHeight="true" outlineLevel="0" collapsed="false">
      <c r="A1098" s="7" t="n">
        <f aca="false">'Raw Data'!A1098</f>
        <v>108</v>
      </c>
      <c r="B1098" s="7" t="n">
        <f aca="false">'Raw Data'!B1098</f>
        <v>85</v>
      </c>
      <c r="C1098" s="7" t="str">
        <f aca="false">'Raw Data'!C1098</f>
        <v>Female</v>
      </c>
      <c r="D1098" s="7" t="str">
        <f aca="false">'Raw Data'!D1098</f>
        <v>Never</v>
      </c>
      <c r="E1098" s="7" t="str">
        <f aca="false">'Raw Data'!J1098</f>
        <v>Low</v>
      </c>
      <c r="F1098" s="7" t="n">
        <f aca="false">'Raw Data'!K1098</f>
        <v>195.2</v>
      </c>
      <c r="G1098" s="7" t="str">
        <f aca="false">'Raw Data'!L1098</f>
        <v>No</v>
      </c>
      <c r="H1098" s="7" t="str">
        <f aca="false">'Raw Data'!M1098</f>
        <v>High</v>
      </c>
      <c r="I1098" s="7" t="n">
        <f aca="false">(IF(D1098="Current",3,IF(D1098="Former",1,0)))+(IF(E1098="High",3,IF(E1098="Normal",1,0)))+(IF(F1098&gt;=240,2,IF(F1098&gt;=200,1,0)))+(IF(G1098="Yes",2,0))+(IF(H1098="High",2,IF(H1098="Moderate",1,0)))</f>
        <v>2</v>
      </c>
      <c r="J1098" s="7" t="str">
        <f aca="false">IF(I1098&gt;=8,"High",IF(I1098&gt;=4,"Medium","Low"))</f>
        <v>Low</v>
      </c>
    </row>
    <row r="1099" customFormat="false" ht="15" hidden="false" customHeight="true" outlineLevel="0" collapsed="false">
      <c r="A1099" s="7" t="n">
        <f aca="false">'Raw Data'!A1099</f>
        <v>183</v>
      </c>
      <c r="B1099" s="7" t="n">
        <f aca="false">'Raw Data'!B1099</f>
        <v>67</v>
      </c>
      <c r="C1099" s="7" t="str">
        <f aca="false">'Raw Data'!C1099</f>
        <v>Male</v>
      </c>
      <c r="D1099" s="7" t="str">
        <f aca="false">'Raw Data'!D1099</f>
        <v>Never</v>
      </c>
      <c r="E1099" s="7" t="str">
        <f aca="false">'Raw Data'!J1099</f>
        <v>Low</v>
      </c>
      <c r="F1099" s="7" t="n">
        <f aca="false">'Raw Data'!K1099</f>
        <v>292.8</v>
      </c>
      <c r="G1099" s="7" t="str">
        <f aca="false">'Raw Data'!L1099</f>
        <v>No</v>
      </c>
      <c r="H1099" s="7" t="str">
        <f aca="false">'Raw Data'!M1099</f>
        <v>High</v>
      </c>
      <c r="I1099" s="7" t="n">
        <f aca="false">(IF(D1099="Current",3,IF(D1099="Former",1,0)))+(IF(E1099="High",3,IF(E1099="Normal",1,0)))+(IF(F1099&gt;=240,2,IF(F1099&gt;=200,1,0)))+(IF(G1099="Yes",2,0))+(IF(H1099="High",2,IF(H1099="Moderate",1,0)))</f>
        <v>4</v>
      </c>
      <c r="J1099" s="7" t="str">
        <f aca="false">IF(I1099&gt;=8,"High",IF(I1099&gt;=4,"Medium","Low"))</f>
        <v>Medium</v>
      </c>
    </row>
    <row r="1100" customFormat="false" ht="15" hidden="false" customHeight="true" outlineLevel="0" collapsed="false">
      <c r="A1100" s="7" t="n">
        <f aca="false">'Raw Data'!A1100</f>
        <v>267</v>
      </c>
      <c r="B1100" s="7" t="n">
        <f aca="false">'Raw Data'!B1100</f>
        <v>38</v>
      </c>
      <c r="C1100" s="7" t="str">
        <f aca="false">'Raw Data'!C1100</f>
        <v>Female</v>
      </c>
      <c r="D1100" s="7" t="str">
        <f aca="false">'Raw Data'!D1100</f>
        <v>Never</v>
      </c>
      <c r="E1100" s="7" t="str">
        <f aca="false">'Raw Data'!J1100</f>
        <v>Low</v>
      </c>
      <c r="F1100" s="7" t="n">
        <f aca="false">'Raw Data'!K1100</f>
        <v>209.7</v>
      </c>
      <c r="G1100" s="7" t="str">
        <f aca="false">'Raw Data'!L1100</f>
        <v>No</v>
      </c>
      <c r="H1100" s="7" t="str">
        <f aca="false">'Raw Data'!M1100</f>
        <v>High</v>
      </c>
      <c r="I1100" s="7" t="n">
        <f aca="false">(IF(D1100="Current",3,IF(D1100="Former",1,0)))+(IF(E1100="High",3,IF(E1100="Normal",1,0)))+(IF(F1100&gt;=240,2,IF(F1100&gt;=200,1,0)))+(IF(G1100="Yes",2,0))+(IF(H1100="High",2,IF(H1100="Moderate",1,0)))</f>
        <v>3</v>
      </c>
      <c r="J1100" s="7" t="str">
        <f aca="false">IF(I1100&gt;=8,"High",IF(I1100&gt;=4,"Medium","Low"))</f>
        <v>Low</v>
      </c>
    </row>
    <row r="1101" customFormat="false" ht="15" hidden="false" customHeight="true" outlineLevel="0" collapsed="false">
      <c r="A1101" s="7" t="n">
        <f aca="false">'Raw Data'!A1101</f>
        <v>343</v>
      </c>
      <c r="B1101" s="7" t="n">
        <f aca="false">'Raw Data'!B1101</f>
        <v>52</v>
      </c>
      <c r="C1101" s="7" t="str">
        <f aca="false">'Raw Data'!C1101</f>
        <v>Female</v>
      </c>
      <c r="D1101" s="7" t="str">
        <f aca="false">'Raw Data'!D1101</f>
        <v>Never</v>
      </c>
      <c r="E1101" s="7" t="str">
        <f aca="false">'Raw Data'!J1101</f>
        <v>Low</v>
      </c>
      <c r="F1101" s="7" t="n">
        <f aca="false">'Raw Data'!K1101</f>
        <v>212.1</v>
      </c>
      <c r="G1101" s="7" t="str">
        <f aca="false">'Raw Data'!L1101</f>
        <v>Yes</v>
      </c>
      <c r="H1101" s="7" t="str">
        <f aca="false">'Raw Data'!M1101</f>
        <v>High</v>
      </c>
      <c r="I1101" s="7" t="n">
        <f aca="false">(IF(D1101="Current",3,IF(D1101="Former",1,0)))+(IF(E1101="High",3,IF(E1101="Normal",1,0)))+(IF(F1101&gt;=240,2,IF(F1101&gt;=200,1,0)))+(IF(G1101="Yes",2,0))+(IF(H1101="High",2,IF(H1101="Moderate",1,0)))</f>
        <v>5</v>
      </c>
      <c r="J1101" s="7" t="str">
        <f aca="false">IF(I1101&gt;=8,"High",IF(I1101&gt;=4,"Medium","Low"))</f>
        <v>Medium</v>
      </c>
    </row>
    <row r="1102" customFormat="false" ht="15" hidden="false" customHeight="true" outlineLevel="0" collapsed="false">
      <c r="A1102" s="7" t="n">
        <f aca="false">'Raw Data'!A1102</f>
        <v>353</v>
      </c>
      <c r="B1102" s="7" t="n">
        <f aca="false">'Raw Data'!B1102</f>
        <v>51</v>
      </c>
      <c r="C1102" s="7" t="str">
        <f aca="false">'Raw Data'!C1102</f>
        <v>Male</v>
      </c>
      <c r="D1102" s="7" t="str">
        <f aca="false">'Raw Data'!D1102</f>
        <v>Never</v>
      </c>
      <c r="E1102" s="7" t="str">
        <f aca="false">'Raw Data'!J1102</f>
        <v>Low</v>
      </c>
      <c r="F1102" s="7" t="n">
        <f aca="false">'Raw Data'!K1102</f>
        <v>198.9</v>
      </c>
      <c r="G1102" s="7" t="str">
        <f aca="false">'Raw Data'!L1102</f>
        <v>No</v>
      </c>
      <c r="H1102" s="7" t="str">
        <f aca="false">'Raw Data'!M1102</f>
        <v>High</v>
      </c>
      <c r="I1102" s="7" t="n">
        <f aca="false">(IF(D1102="Current",3,IF(D1102="Former",1,0)))+(IF(E1102="High",3,IF(E1102="Normal",1,0)))+(IF(F1102&gt;=240,2,IF(F1102&gt;=200,1,0)))+(IF(G1102="Yes",2,0))+(IF(H1102="High",2,IF(H1102="Moderate",1,0)))</f>
        <v>2</v>
      </c>
      <c r="J1102" s="7" t="str">
        <f aca="false">IF(I1102&gt;=8,"High",IF(I1102&gt;=4,"Medium","Low"))</f>
        <v>Low</v>
      </c>
    </row>
    <row r="1103" customFormat="false" ht="15" hidden="false" customHeight="true" outlineLevel="0" collapsed="false">
      <c r="A1103" s="7" t="n">
        <f aca="false">'Raw Data'!A1103</f>
        <v>361</v>
      </c>
      <c r="B1103" s="7" t="n">
        <f aca="false">'Raw Data'!B1103</f>
        <v>56</v>
      </c>
      <c r="C1103" s="7" t="str">
        <f aca="false">'Raw Data'!C1103</f>
        <v>Female</v>
      </c>
      <c r="D1103" s="7" t="str">
        <f aca="false">'Raw Data'!D1103</f>
        <v>Never</v>
      </c>
      <c r="E1103" s="7" t="str">
        <f aca="false">'Raw Data'!J1103</f>
        <v>Low</v>
      </c>
      <c r="F1103" s="7" t="n">
        <f aca="false">'Raw Data'!K1103</f>
        <v>273.8</v>
      </c>
      <c r="G1103" s="7" t="str">
        <f aca="false">'Raw Data'!L1103</f>
        <v>Yes</v>
      </c>
      <c r="H1103" s="7" t="str">
        <f aca="false">'Raw Data'!M1103</f>
        <v>High</v>
      </c>
      <c r="I1103" s="7" t="n">
        <f aca="false">(IF(D1103="Current",3,IF(D1103="Former",1,0)))+(IF(E1103="High",3,IF(E1103="Normal",1,0)))+(IF(F1103&gt;=240,2,IF(F1103&gt;=200,1,0)))+(IF(G1103="Yes",2,0))+(IF(H1103="High",2,IF(H1103="Moderate",1,0)))</f>
        <v>6</v>
      </c>
      <c r="J1103" s="7" t="str">
        <f aca="false">IF(I1103&gt;=8,"High",IF(I1103&gt;=4,"Medium","Low"))</f>
        <v>Medium</v>
      </c>
    </row>
    <row r="1104" customFormat="false" ht="15" hidden="false" customHeight="true" outlineLevel="0" collapsed="false">
      <c r="A1104" s="7" t="n">
        <f aca="false">'Raw Data'!A1104</f>
        <v>407</v>
      </c>
      <c r="B1104" s="7" t="n">
        <f aca="false">'Raw Data'!B1104</f>
        <v>70</v>
      </c>
      <c r="C1104" s="7" t="str">
        <f aca="false">'Raw Data'!C1104</f>
        <v>Female</v>
      </c>
      <c r="D1104" s="7" t="str">
        <f aca="false">'Raw Data'!D1104</f>
        <v>Never</v>
      </c>
      <c r="E1104" s="7" t="str">
        <f aca="false">'Raw Data'!J1104</f>
        <v>Low</v>
      </c>
      <c r="F1104" s="7" t="n">
        <f aca="false">'Raw Data'!K1104</f>
        <v>171.8</v>
      </c>
      <c r="G1104" s="7" t="str">
        <f aca="false">'Raw Data'!L1104</f>
        <v>Yes</v>
      </c>
      <c r="H1104" s="7" t="str">
        <f aca="false">'Raw Data'!M1104</f>
        <v>High</v>
      </c>
      <c r="I1104" s="7" t="n">
        <f aca="false">(IF(D1104="Current",3,IF(D1104="Former",1,0)))+(IF(E1104="High",3,IF(E1104="Normal",1,0)))+(IF(F1104&gt;=240,2,IF(F1104&gt;=200,1,0)))+(IF(G1104="Yes",2,0))+(IF(H1104="High",2,IF(H1104="Moderate",1,0)))</f>
        <v>4</v>
      </c>
      <c r="J1104" s="7" t="str">
        <f aca="false">IF(I1104&gt;=8,"High",IF(I1104&gt;=4,"Medium","Low"))</f>
        <v>Medium</v>
      </c>
    </row>
    <row r="1105" customFormat="false" ht="15" hidden="false" customHeight="true" outlineLevel="0" collapsed="false">
      <c r="A1105" s="7" t="n">
        <f aca="false">'Raw Data'!A1105</f>
        <v>423</v>
      </c>
      <c r="B1105" s="7" t="n">
        <f aca="false">'Raw Data'!B1105</f>
        <v>59</v>
      </c>
      <c r="C1105" s="7" t="str">
        <f aca="false">'Raw Data'!C1105</f>
        <v>Female</v>
      </c>
      <c r="D1105" s="7" t="str">
        <f aca="false">'Raw Data'!D1105</f>
        <v>Never</v>
      </c>
      <c r="E1105" s="7" t="str">
        <f aca="false">'Raw Data'!J1105</f>
        <v>Low</v>
      </c>
      <c r="F1105" s="7" t="n">
        <f aca="false">'Raw Data'!K1105</f>
        <v>280.9</v>
      </c>
      <c r="G1105" s="7" t="str">
        <f aca="false">'Raw Data'!L1105</f>
        <v>Yes</v>
      </c>
      <c r="H1105" s="7" t="str">
        <f aca="false">'Raw Data'!M1105</f>
        <v>High</v>
      </c>
      <c r="I1105" s="7" t="n">
        <f aca="false">(IF(D1105="Current",3,IF(D1105="Former",1,0)))+(IF(E1105="High",3,IF(E1105="Normal",1,0)))+(IF(F1105&gt;=240,2,IF(F1105&gt;=200,1,0)))+(IF(G1105="Yes",2,0))+(IF(H1105="High",2,IF(H1105="Moderate",1,0)))</f>
        <v>6</v>
      </c>
      <c r="J1105" s="7" t="str">
        <f aca="false">IF(I1105&gt;=8,"High",IF(I1105&gt;=4,"Medium","Low"))</f>
        <v>Medium</v>
      </c>
    </row>
    <row r="1106" customFormat="false" ht="15" hidden="false" customHeight="true" outlineLevel="0" collapsed="false">
      <c r="A1106" s="7" t="n">
        <f aca="false">'Raw Data'!A1106</f>
        <v>569</v>
      </c>
      <c r="B1106" s="7" t="n">
        <f aca="false">'Raw Data'!B1106</f>
        <v>81</v>
      </c>
      <c r="C1106" s="7" t="str">
        <f aca="false">'Raw Data'!C1106</f>
        <v>Female</v>
      </c>
      <c r="D1106" s="7" t="str">
        <f aca="false">'Raw Data'!D1106</f>
        <v>Never</v>
      </c>
      <c r="E1106" s="7" t="str">
        <f aca="false">'Raw Data'!J1106</f>
        <v>Low</v>
      </c>
      <c r="F1106" s="7" t="n">
        <f aca="false">'Raw Data'!K1106</f>
        <v>256.6</v>
      </c>
      <c r="G1106" s="7" t="str">
        <f aca="false">'Raw Data'!L1106</f>
        <v>No</v>
      </c>
      <c r="H1106" s="7" t="str">
        <f aca="false">'Raw Data'!M1106</f>
        <v>High</v>
      </c>
      <c r="I1106" s="7" t="n">
        <f aca="false">(IF(D1106="Current",3,IF(D1106="Former",1,0)))+(IF(E1106="High",3,IF(E1106="Normal",1,0)))+(IF(F1106&gt;=240,2,IF(F1106&gt;=200,1,0)))+(IF(G1106="Yes",2,0))+(IF(H1106="High",2,IF(H1106="Moderate",1,0)))</f>
        <v>4</v>
      </c>
      <c r="J1106" s="7" t="str">
        <f aca="false">IF(I1106&gt;=8,"High",IF(I1106&gt;=4,"Medium","Low"))</f>
        <v>Medium</v>
      </c>
    </row>
    <row r="1107" customFormat="false" ht="15" hidden="false" customHeight="true" outlineLevel="0" collapsed="false">
      <c r="A1107" s="7" t="n">
        <f aca="false">'Raw Data'!A1107</f>
        <v>631</v>
      </c>
      <c r="B1107" s="7" t="n">
        <f aca="false">'Raw Data'!B1107</f>
        <v>50</v>
      </c>
      <c r="C1107" s="7" t="str">
        <f aca="false">'Raw Data'!C1107</f>
        <v>Female</v>
      </c>
      <c r="D1107" s="7" t="str">
        <f aca="false">'Raw Data'!D1107</f>
        <v>Never</v>
      </c>
      <c r="E1107" s="7" t="str">
        <f aca="false">'Raw Data'!J1107</f>
        <v>Low</v>
      </c>
      <c r="F1107" s="7" t="n">
        <f aca="false">'Raw Data'!K1107</f>
        <v>174.5</v>
      </c>
      <c r="G1107" s="7" t="str">
        <f aca="false">'Raw Data'!L1107</f>
        <v>No</v>
      </c>
      <c r="H1107" s="7" t="str">
        <f aca="false">'Raw Data'!M1107</f>
        <v>High</v>
      </c>
      <c r="I1107" s="7" t="n">
        <f aca="false">(IF(D1107="Current",3,IF(D1107="Former",1,0)))+(IF(E1107="High",3,IF(E1107="Normal",1,0)))+(IF(F1107&gt;=240,2,IF(F1107&gt;=200,1,0)))+(IF(G1107="Yes",2,0))+(IF(H1107="High",2,IF(H1107="Moderate",1,0)))</f>
        <v>2</v>
      </c>
      <c r="J1107" s="7" t="str">
        <f aca="false">IF(I1107&gt;=8,"High",IF(I1107&gt;=4,"Medium","Low"))</f>
        <v>Low</v>
      </c>
    </row>
    <row r="1108" customFormat="false" ht="15" hidden="false" customHeight="true" outlineLevel="0" collapsed="false">
      <c r="A1108" s="7" t="n">
        <f aca="false">'Raw Data'!A1108</f>
        <v>655</v>
      </c>
      <c r="B1108" s="7" t="n">
        <f aca="false">'Raw Data'!B1108</f>
        <v>83</v>
      </c>
      <c r="C1108" s="7" t="str">
        <f aca="false">'Raw Data'!C1108</f>
        <v>Male</v>
      </c>
      <c r="D1108" s="7" t="str">
        <f aca="false">'Raw Data'!D1108</f>
        <v>Never</v>
      </c>
      <c r="E1108" s="7" t="str">
        <f aca="false">'Raw Data'!J1108</f>
        <v>Low</v>
      </c>
      <c r="F1108" s="7" t="n">
        <f aca="false">'Raw Data'!K1108</f>
        <v>165.1</v>
      </c>
      <c r="G1108" s="7" t="str">
        <f aca="false">'Raw Data'!L1108</f>
        <v>No</v>
      </c>
      <c r="H1108" s="7" t="str">
        <f aca="false">'Raw Data'!M1108</f>
        <v>High</v>
      </c>
      <c r="I1108" s="7" t="n">
        <f aca="false">(IF(D1108="Current",3,IF(D1108="Former",1,0)))+(IF(E1108="High",3,IF(E1108="Normal",1,0)))+(IF(F1108&gt;=240,2,IF(F1108&gt;=200,1,0)))+(IF(G1108="Yes",2,0))+(IF(H1108="High",2,IF(H1108="Moderate",1,0)))</f>
        <v>2</v>
      </c>
      <c r="J1108" s="7" t="str">
        <f aca="false">IF(I1108&gt;=8,"High",IF(I1108&gt;=4,"Medium","Low"))</f>
        <v>Low</v>
      </c>
    </row>
    <row r="1109" customFormat="false" ht="15" hidden="false" customHeight="true" outlineLevel="0" collapsed="false">
      <c r="A1109" s="7" t="n">
        <f aca="false">'Raw Data'!A1109</f>
        <v>750</v>
      </c>
      <c r="B1109" s="7" t="n">
        <f aca="false">'Raw Data'!B1109</f>
        <v>36</v>
      </c>
      <c r="C1109" s="7" t="str">
        <f aca="false">'Raw Data'!C1109</f>
        <v>Female</v>
      </c>
      <c r="D1109" s="7" t="str">
        <f aca="false">'Raw Data'!D1109</f>
        <v>Never</v>
      </c>
      <c r="E1109" s="7" t="str">
        <f aca="false">'Raw Data'!J1109</f>
        <v>Low</v>
      </c>
      <c r="F1109" s="7" t="n">
        <f aca="false">'Raw Data'!K1109</f>
        <v>282.3</v>
      </c>
      <c r="G1109" s="7" t="str">
        <f aca="false">'Raw Data'!L1109</f>
        <v>No</v>
      </c>
      <c r="H1109" s="7" t="str">
        <f aca="false">'Raw Data'!M1109</f>
        <v>High</v>
      </c>
      <c r="I1109" s="7" t="n">
        <f aca="false">(IF(D1109="Current",3,IF(D1109="Former",1,0)))+(IF(E1109="High",3,IF(E1109="Normal",1,0)))+(IF(F1109&gt;=240,2,IF(F1109&gt;=200,1,0)))+(IF(G1109="Yes",2,0))+(IF(H1109="High",2,IF(H1109="Moderate",1,0)))</f>
        <v>4</v>
      </c>
      <c r="J1109" s="7" t="str">
        <f aca="false">IF(I1109&gt;=8,"High",IF(I1109&gt;=4,"Medium","Low"))</f>
        <v>Medium</v>
      </c>
    </row>
    <row r="1110" customFormat="false" ht="15" hidden="false" customHeight="true" outlineLevel="0" collapsed="false">
      <c r="A1110" s="7" t="n">
        <f aca="false">'Raw Data'!A1110</f>
        <v>761</v>
      </c>
      <c r="B1110" s="7" t="n">
        <f aca="false">'Raw Data'!B1110</f>
        <v>73</v>
      </c>
      <c r="C1110" s="7" t="str">
        <f aca="false">'Raw Data'!C1110</f>
        <v>Female</v>
      </c>
      <c r="D1110" s="7" t="str">
        <f aca="false">'Raw Data'!D1110</f>
        <v>Never</v>
      </c>
      <c r="E1110" s="7" t="str">
        <f aca="false">'Raw Data'!J1110</f>
        <v>Low</v>
      </c>
      <c r="F1110" s="7" t="n">
        <f aca="false">'Raw Data'!K1110</f>
        <v>224.5</v>
      </c>
      <c r="G1110" s="7" t="str">
        <f aca="false">'Raw Data'!L1110</f>
        <v>No</v>
      </c>
      <c r="H1110" s="7" t="str">
        <f aca="false">'Raw Data'!M1110</f>
        <v>High</v>
      </c>
      <c r="I1110" s="7" t="n">
        <f aca="false">(IF(D1110="Current",3,IF(D1110="Former",1,0)))+(IF(E1110="High",3,IF(E1110="Normal",1,0)))+(IF(F1110&gt;=240,2,IF(F1110&gt;=200,1,0)))+(IF(G1110="Yes",2,0))+(IF(H1110="High",2,IF(H1110="Moderate",1,0)))</f>
        <v>3</v>
      </c>
      <c r="J1110" s="7" t="str">
        <f aca="false">IF(I1110&gt;=8,"High",IF(I1110&gt;=4,"Medium","Low"))</f>
        <v>Low</v>
      </c>
    </row>
    <row r="1111" customFormat="false" ht="15" hidden="false" customHeight="true" outlineLevel="0" collapsed="false">
      <c r="A1111" s="7" t="n">
        <f aca="false">'Raw Data'!A1111</f>
        <v>824</v>
      </c>
      <c r="B1111" s="7" t="n">
        <f aca="false">'Raw Data'!B1111</f>
        <v>89</v>
      </c>
      <c r="C1111" s="7" t="str">
        <f aca="false">'Raw Data'!C1111</f>
        <v>Female</v>
      </c>
      <c r="D1111" s="7" t="str">
        <f aca="false">'Raw Data'!D1111</f>
        <v>Never</v>
      </c>
      <c r="E1111" s="7" t="str">
        <f aca="false">'Raw Data'!J1111</f>
        <v>Low</v>
      </c>
      <c r="F1111" s="7" t="n">
        <f aca="false">'Raw Data'!K1111</f>
        <v>154.4</v>
      </c>
      <c r="G1111" s="7" t="str">
        <f aca="false">'Raw Data'!L1111</f>
        <v>No</v>
      </c>
      <c r="H1111" s="7" t="str">
        <f aca="false">'Raw Data'!M1111</f>
        <v>High</v>
      </c>
      <c r="I1111" s="7" t="n">
        <f aca="false">(IF(D1111="Current",3,IF(D1111="Former",1,0)))+(IF(E1111="High",3,IF(E1111="Normal",1,0)))+(IF(F1111&gt;=240,2,IF(F1111&gt;=200,1,0)))+(IF(G1111="Yes",2,0))+(IF(H1111="High",2,IF(H1111="Moderate",1,0)))</f>
        <v>2</v>
      </c>
      <c r="J1111" s="7" t="str">
        <f aca="false">IF(I1111&gt;=8,"High",IF(I1111&gt;=4,"Medium","Low"))</f>
        <v>Low</v>
      </c>
    </row>
    <row r="1112" customFormat="false" ht="15" hidden="false" customHeight="true" outlineLevel="0" collapsed="false">
      <c r="A1112" s="7" t="n">
        <f aca="false">'Raw Data'!A1112</f>
        <v>903</v>
      </c>
      <c r="B1112" s="7" t="n">
        <f aca="false">'Raw Data'!B1112</f>
        <v>21</v>
      </c>
      <c r="C1112" s="7" t="str">
        <f aca="false">'Raw Data'!C1112</f>
        <v>Male</v>
      </c>
      <c r="D1112" s="7" t="str">
        <f aca="false">'Raw Data'!D1112</f>
        <v>Never</v>
      </c>
      <c r="E1112" s="7" t="str">
        <f aca="false">'Raw Data'!J1112</f>
        <v>Low</v>
      </c>
      <c r="F1112" s="7" t="n">
        <f aca="false">'Raw Data'!K1112</f>
        <v>296</v>
      </c>
      <c r="G1112" s="7" t="str">
        <f aca="false">'Raw Data'!L1112</f>
        <v>Yes</v>
      </c>
      <c r="H1112" s="7" t="str">
        <f aca="false">'Raw Data'!M1112</f>
        <v>High</v>
      </c>
      <c r="I1112" s="7" t="n">
        <f aca="false">(IF(D1112="Current",3,IF(D1112="Former",1,0)))+(IF(E1112="High",3,IF(E1112="Normal",1,0)))+(IF(F1112&gt;=240,2,IF(F1112&gt;=200,1,0)))+(IF(G1112="Yes",2,0))+(IF(H1112="High",2,IF(H1112="Moderate",1,0)))</f>
        <v>6</v>
      </c>
      <c r="J1112" s="7" t="str">
        <f aca="false">IF(I1112&gt;=8,"High",IF(I1112&gt;=4,"Medium","Low"))</f>
        <v>Medium</v>
      </c>
    </row>
    <row r="1113" customFormat="false" ht="15" hidden="false" customHeight="true" outlineLevel="0" collapsed="false">
      <c r="A1113" s="7" t="n">
        <f aca="false">'Raw Data'!A1113</f>
        <v>922</v>
      </c>
      <c r="B1113" s="7" t="n">
        <f aca="false">'Raw Data'!B1113</f>
        <v>73</v>
      </c>
      <c r="C1113" s="7" t="str">
        <f aca="false">'Raw Data'!C1113</f>
        <v>Female</v>
      </c>
      <c r="D1113" s="7" t="str">
        <f aca="false">'Raw Data'!D1113</f>
        <v>Never</v>
      </c>
      <c r="E1113" s="7" t="str">
        <f aca="false">'Raw Data'!J1113</f>
        <v>Low</v>
      </c>
      <c r="F1113" s="7" t="n">
        <f aca="false">'Raw Data'!K1113</f>
        <v>291.7</v>
      </c>
      <c r="G1113" s="7" t="str">
        <f aca="false">'Raw Data'!L1113</f>
        <v>No</v>
      </c>
      <c r="H1113" s="7" t="str">
        <f aca="false">'Raw Data'!M1113</f>
        <v>High</v>
      </c>
      <c r="I1113" s="7" t="n">
        <f aca="false">(IF(D1113="Current",3,IF(D1113="Former",1,0)))+(IF(E1113="High",3,IF(E1113="Normal",1,0)))+(IF(F1113&gt;=240,2,IF(F1113&gt;=200,1,0)))+(IF(G1113="Yes",2,0))+(IF(H1113="High",2,IF(H1113="Moderate",1,0)))</f>
        <v>4</v>
      </c>
      <c r="J1113" s="7" t="str">
        <f aca="false">IF(I1113&gt;=8,"High",IF(I1113&gt;=4,"Medium","Low"))</f>
        <v>Medium</v>
      </c>
    </row>
    <row r="1114" customFormat="false" ht="15" hidden="false" customHeight="true" outlineLevel="0" collapsed="false">
      <c r="A1114" s="7" t="n">
        <f aca="false">'Raw Data'!A1114</f>
        <v>1008</v>
      </c>
      <c r="B1114" s="7" t="n">
        <f aca="false">'Raw Data'!B1114</f>
        <v>89</v>
      </c>
      <c r="C1114" s="7" t="str">
        <f aca="false">'Raw Data'!C1114</f>
        <v>Male</v>
      </c>
      <c r="D1114" s="7" t="str">
        <f aca="false">'Raw Data'!D1114</f>
        <v>Never</v>
      </c>
      <c r="E1114" s="7" t="str">
        <f aca="false">'Raw Data'!J1114</f>
        <v>Low</v>
      </c>
      <c r="F1114" s="7" t="n">
        <f aca="false">'Raw Data'!K1114</f>
        <v>235.7</v>
      </c>
      <c r="G1114" s="7" t="str">
        <f aca="false">'Raw Data'!L1114</f>
        <v>No</v>
      </c>
      <c r="H1114" s="7" t="str">
        <f aca="false">'Raw Data'!M1114</f>
        <v>High</v>
      </c>
      <c r="I1114" s="7" t="n">
        <f aca="false">(IF(D1114="Current",3,IF(D1114="Former",1,0)))+(IF(E1114="High",3,IF(E1114="Normal",1,0)))+(IF(F1114&gt;=240,2,IF(F1114&gt;=200,1,0)))+(IF(G1114="Yes",2,0))+(IF(H1114="High",2,IF(H1114="Moderate",1,0)))</f>
        <v>3</v>
      </c>
      <c r="J1114" s="7" t="str">
        <f aca="false">IF(I1114&gt;=8,"High",IF(I1114&gt;=4,"Medium","Low"))</f>
        <v>Low</v>
      </c>
    </row>
    <row r="1115" customFormat="false" ht="15" hidden="false" customHeight="true" outlineLevel="0" collapsed="false">
      <c r="A1115" s="7" t="n">
        <f aca="false">'Raw Data'!A1115</f>
        <v>1060</v>
      </c>
      <c r="B1115" s="7" t="n">
        <f aca="false">'Raw Data'!B1115</f>
        <v>47</v>
      </c>
      <c r="C1115" s="7" t="str">
        <f aca="false">'Raw Data'!C1115</f>
        <v>Female</v>
      </c>
      <c r="D1115" s="7" t="str">
        <f aca="false">'Raw Data'!D1115</f>
        <v>Never</v>
      </c>
      <c r="E1115" s="7" t="str">
        <f aca="false">'Raw Data'!J1115</f>
        <v>Low</v>
      </c>
      <c r="F1115" s="7" t="n">
        <f aca="false">'Raw Data'!K1115</f>
        <v>157.5</v>
      </c>
      <c r="G1115" s="7" t="str">
        <f aca="false">'Raw Data'!L1115</f>
        <v>No</v>
      </c>
      <c r="H1115" s="7" t="str">
        <f aca="false">'Raw Data'!M1115</f>
        <v>High</v>
      </c>
      <c r="I1115" s="7" t="n">
        <f aca="false">(IF(D1115="Current",3,IF(D1115="Former",1,0)))+(IF(E1115="High",3,IF(E1115="Normal",1,0)))+(IF(F1115&gt;=240,2,IF(F1115&gt;=200,1,0)))+(IF(G1115="Yes",2,0))+(IF(H1115="High",2,IF(H1115="Moderate",1,0)))</f>
        <v>2</v>
      </c>
      <c r="J1115" s="7" t="str">
        <f aca="false">IF(I1115&gt;=8,"High",IF(I1115&gt;=4,"Medium","Low"))</f>
        <v>Low</v>
      </c>
    </row>
    <row r="1116" customFormat="false" ht="15" hidden="false" customHeight="true" outlineLevel="0" collapsed="false">
      <c r="A1116" s="7" t="n">
        <f aca="false">'Raw Data'!A1116</f>
        <v>1067</v>
      </c>
      <c r="B1116" s="7" t="n">
        <f aca="false">'Raw Data'!B1116</f>
        <v>88</v>
      </c>
      <c r="C1116" s="7" t="str">
        <f aca="false">'Raw Data'!C1116</f>
        <v>Female</v>
      </c>
      <c r="D1116" s="7" t="str">
        <f aca="false">'Raw Data'!D1116</f>
        <v>Never</v>
      </c>
      <c r="E1116" s="7" t="str">
        <f aca="false">'Raw Data'!J1116</f>
        <v>Low</v>
      </c>
      <c r="F1116" s="7" t="n">
        <f aca="false">'Raw Data'!K1116</f>
        <v>122.5</v>
      </c>
      <c r="G1116" s="7" t="str">
        <f aca="false">'Raw Data'!L1116</f>
        <v>No</v>
      </c>
      <c r="H1116" s="7" t="str">
        <f aca="false">'Raw Data'!M1116</f>
        <v>High</v>
      </c>
      <c r="I1116" s="7" t="n">
        <f aca="false">(IF(D1116="Current",3,IF(D1116="Former",1,0)))+(IF(E1116="High",3,IF(E1116="Normal",1,0)))+(IF(F1116&gt;=240,2,IF(F1116&gt;=200,1,0)))+(IF(G1116="Yes",2,0))+(IF(H1116="High",2,IF(H1116="Moderate",1,0)))</f>
        <v>2</v>
      </c>
      <c r="J1116" s="7" t="str">
        <f aca="false">IF(I1116&gt;=8,"High",IF(I1116&gt;=4,"Medium","Low"))</f>
        <v>Low</v>
      </c>
    </row>
    <row r="1117" customFormat="false" ht="15" hidden="false" customHeight="true" outlineLevel="0" collapsed="false">
      <c r="A1117" s="7" t="n">
        <f aca="false">'Raw Data'!A1117</f>
        <v>1131</v>
      </c>
      <c r="B1117" s="7" t="n">
        <f aca="false">'Raw Data'!B1117</f>
        <v>66</v>
      </c>
      <c r="C1117" s="7" t="str">
        <f aca="false">'Raw Data'!C1117</f>
        <v>Female</v>
      </c>
      <c r="D1117" s="7" t="str">
        <f aca="false">'Raw Data'!D1117</f>
        <v>Never</v>
      </c>
      <c r="E1117" s="7" t="str">
        <f aca="false">'Raw Data'!J1117</f>
        <v>Low</v>
      </c>
      <c r="F1117" s="7" t="n">
        <f aca="false">'Raw Data'!K1117</f>
        <v>211.6</v>
      </c>
      <c r="G1117" s="7" t="str">
        <f aca="false">'Raw Data'!L1117</f>
        <v>No</v>
      </c>
      <c r="H1117" s="7" t="str">
        <f aca="false">'Raw Data'!M1117</f>
        <v>High</v>
      </c>
      <c r="I1117" s="7" t="n">
        <f aca="false">(IF(D1117="Current",3,IF(D1117="Former",1,0)))+(IF(E1117="High",3,IF(E1117="Normal",1,0)))+(IF(F1117&gt;=240,2,IF(F1117&gt;=200,1,0)))+(IF(G1117="Yes",2,0))+(IF(H1117="High",2,IF(H1117="Moderate",1,0)))</f>
        <v>3</v>
      </c>
      <c r="J1117" s="7" t="str">
        <f aca="false">IF(I1117&gt;=8,"High",IF(I1117&gt;=4,"Medium","Low"))</f>
        <v>Low</v>
      </c>
    </row>
    <row r="1118" customFormat="false" ht="15" hidden="false" customHeight="true" outlineLevel="0" collapsed="false">
      <c r="A1118" s="7" t="n">
        <f aca="false">'Raw Data'!A1118</f>
        <v>1231</v>
      </c>
      <c r="B1118" s="7" t="n">
        <f aca="false">'Raw Data'!B1118</f>
        <v>33</v>
      </c>
      <c r="C1118" s="7" t="str">
        <f aca="false">'Raw Data'!C1118</f>
        <v>Male</v>
      </c>
      <c r="D1118" s="7" t="str">
        <f aca="false">'Raw Data'!D1118</f>
        <v>Never</v>
      </c>
      <c r="E1118" s="7" t="str">
        <f aca="false">'Raw Data'!J1118</f>
        <v>Low</v>
      </c>
      <c r="F1118" s="7" t="n">
        <f aca="false">'Raw Data'!K1118</f>
        <v>294.6</v>
      </c>
      <c r="G1118" s="7" t="str">
        <f aca="false">'Raw Data'!L1118</f>
        <v>No</v>
      </c>
      <c r="H1118" s="7" t="str">
        <f aca="false">'Raw Data'!M1118</f>
        <v>High</v>
      </c>
      <c r="I1118" s="7" t="n">
        <f aca="false">(IF(D1118="Current",3,IF(D1118="Former",1,0)))+(IF(E1118="High",3,IF(E1118="Normal",1,0)))+(IF(F1118&gt;=240,2,IF(F1118&gt;=200,1,0)))+(IF(G1118="Yes",2,0))+(IF(H1118="High",2,IF(H1118="Moderate",1,0)))</f>
        <v>4</v>
      </c>
      <c r="J1118" s="7" t="str">
        <f aca="false">IF(I1118&gt;=8,"High",IF(I1118&gt;=4,"Medium","Low"))</f>
        <v>Medium</v>
      </c>
    </row>
    <row r="1119" customFormat="false" ht="15" hidden="false" customHeight="true" outlineLevel="0" collapsed="false">
      <c r="A1119" s="7" t="n">
        <f aca="false">'Raw Data'!A1119</f>
        <v>1301</v>
      </c>
      <c r="B1119" s="7" t="n">
        <f aca="false">'Raw Data'!B1119</f>
        <v>32</v>
      </c>
      <c r="C1119" s="7" t="str">
        <f aca="false">'Raw Data'!C1119</f>
        <v>Female</v>
      </c>
      <c r="D1119" s="7" t="str">
        <f aca="false">'Raw Data'!D1119</f>
        <v>Never</v>
      </c>
      <c r="E1119" s="7" t="str">
        <f aca="false">'Raw Data'!J1119</f>
        <v>Low</v>
      </c>
      <c r="F1119" s="7" t="n">
        <f aca="false">'Raw Data'!K1119</f>
        <v>177.9</v>
      </c>
      <c r="G1119" s="7" t="str">
        <f aca="false">'Raw Data'!L1119</f>
        <v>No</v>
      </c>
      <c r="H1119" s="7" t="str">
        <f aca="false">'Raw Data'!M1119</f>
        <v>High</v>
      </c>
      <c r="I1119" s="7" t="n">
        <f aca="false">(IF(D1119="Current",3,IF(D1119="Former",1,0)))+(IF(E1119="High",3,IF(E1119="Normal",1,0)))+(IF(F1119&gt;=240,2,IF(F1119&gt;=200,1,0)))+(IF(G1119="Yes",2,0))+(IF(H1119="High",2,IF(H1119="Moderate",1,0)))</f>
        <v>2</v>
      </c>
      <c r="J1119" s="7" t="str">
        <f aca="false">IF(I1119&gt;=8,"High",IF(I1119&gt;=4,"Medium","Low"))</f>
        <v>Low</v>
      </c>
    </row>
    <row r="1120" customFormat="false" ht="15" hidden="false" customHeight="true" outlineLevel="0" collapsed="false">
      <c r="A1120" s="7" t="n">
        <f aca="false">'Raw Data'!A1120</f>
        <v>1306</v>
      </c>
      <c r="B1120" s="7" t="n">
        <f aca="false">'Raw Data'!B1120</f>
        <v>56</v>
      </c>
      <c r="C1120" s="7" t="str">
        <f aca="false">'Raw Data'!C1120</f>
        <v>Male</v>
      </c>
      <c r="D1120" s="7" t="str">
        <f aca="false">'Raw Data'!D1120</f>
        <v>Never</v>
      </c>
      <c r="E1120" s="7" t="str">
        <f aca="false">'Raw Data'!J1120</f>
        <v>Low</v>
      </c>
      <c r="F1120" s="7" t="n">
        <f aca="false">'Raw Data'!K1120</f>
        <v>147.7</v>
      </c>
      <c r="G1120" s="7" t="str">
        <f aca="false">'Raw Data'!L1120</f>
        <v>No</v>
      </c>
      <c r="H1120" s="7" t="str">
        <f aca="false">'Raw Data'!M1120</f>
        <v>High</v>
      </c>
      <c r="I1120" s="7" t="n">
        <f aca="false">(IF(D1120="Current",3,IF(D1120="Former",1,0)))+(IF(E1120="High",3,IF(E1120="Normal",1,0)))+(IF(F1120&gt;=240,2,IF(F1120&gt;=200,1,0)))+(IF(G1120="Yes",2,0))+(IF(H1120="High",2,IF(H1120="Moderate",1,0)))</f>
        <v>2</v>
      </c>
      <c r="J1120" s="7" t="str">
        <f aca="false">IF(I1120&gt;=8,"High",IF(I1120&gt;=4,"Medium","Low"))</f>
        <v>Low</v>
      </c>
    </row>
    <row r="1121" customFormat="false" ht="15" hidden="false" customHeight="true" outlineLevel="0" collapsed="false">
      <c r="A1121" s="7" t="n">
        <f aca="false">'Raw Data'!A1121</f>
        <v>1313</v>
      </c>
      <c r="B1121" s="7" t="n">
        <f aca="false">'Raw Data'!B1121</f>
        <v>83</v>
      </c>
      <c r="C1121" s="7" t="str">
        <f aca="false">'Raw Data'!C1121</f>
        <v>Male</v>
      </c>
      <c r="D1121" s="7" t="str">
        <f aca="false">'Raw Data'!D1121</f>
        <v>Never</v>
      </c>
      <c r="E1121" s="7" t="str">
        <f aca="false">'Raw Data'!J1121</f>
        <v>Low</v>
      </c>
      <c r="F1121" s="7" t="n">
        <f aca="false">'Raw Data'!K1121</f>
        <v>276</v>
      </c>
      <c r="G1121" s="7" t="str">
        <f aca="false">'Raw Data'!L1121</f>
        <v>No</v>
      </c>
      <c r="H1121" s="7" t="str">
        <f aca="false">'Raw Data'!M1121</f>
        <v>High</v>
      </c>
      <c r="I1121" s="7" t="n">
        <f aca="false">(IF(D1121="Current",3,IF(D1121="Former",1,0)))+(IF(E1121="High",3,IF(E1121="Normal",1,0)))+(IF(F1121&gt;=240,2,IF(F1121&gt;=200,1,0)))+(IF(G1121="Yes",2,0))+(IF(H1121="High",2,IF(H1121="Moderate",1,0)))</f>
        <v>4</v>
      </c>
      <c r="J1121" s="7" t="str">
        <f aca="false">IF(I1121&gt;=8,"High",IF(I1121&gt;=4,"Medium","Low"))</f>
        <v>Medium</v>
      </c>
    </row>
    <row r="1122" customFormat="false" ht="15" hidden="false" customHeight="true" outlineLevel="0" collapsed="false">
      <c r="A1122" s="7" t="n">
        <f aca="false">'Raw Data'!A1122</f>
        <v>1360</v>
      </c>
      <c r="B1122" s="7" t="n">
        <f aca="false">'Raw Data'!B1122</f>
        <v>82</v>
      </c>
      <c r="C1122" s="7" t="str">
        <f aca="false">'Raw Data'!C1122</f>
        <v>Female</v>
      </c>
      <c r="D1122" s="7" t="str">
        <f aca="false">'Raw Data'!D1122</f>
        <v>Never</v>
      </c>
      <c r="E1122" s="7" t="str">
        <f aca="false">'Raw Data'!J1122</f>
        <v>Low</v>
      </c>
      <c r="F1122" s="7" t="n">
        <f aca="false">'Raw Data'!K1122</f>
        <v>283.6</v>
      </c>
      <c r="G1122" s="7" t="str">
        <f aca="false">'Raw Data'!L1122</f>
        <v>No</v>
      </c>
      <c r="H1122" s="7" t="str">
        <f aca="false">'Raw Data'!M1122</f>
        <v>High</v>
      </c>
      <c r="I1122" s="7" t="n">
        <f aca="false">(IF(D1122="Current",3,IF(D1122="Former",1,0)))+(IF(E1122="High",3,IF(E1122="Normal",1,0)))+(IF(F1122&gt;=240,2,IF(F1122&gt;=200,1,0)))+(IF(G1122="Yes",2,0))+(IF(H1122="High",2,IF(H1122="Moderate",1,0)))</f>
        <v>4</v>
      </c>
      <c r="J1122" s="7" t="str">
        <f aca="false">IF(I1122&gt;=8,"High",IF(I1122&gt;=4,"Medium","Low"))</f>
        <v>Medium</v>
      </c>
    </row>
    <row r="1123" customFormat="false" ht="15" hidden="false" customHeight="true" outlineLevel="0" collapsed="false">
      <c r="A1123" s="7" t="n">
        <f aca="false">'Raw Data'!A1123</f>
        <v>1509</v>
      </c>
      <c r="B1123" s="7" t="n">
        <f aca="false">'Raw Data'!B1123</f>
        <v>72</v>
      </c>
      <c r="C1123" s="7" t="str">
        <f aca="false">'Raw Data'!C1123</f>
        <v>Female</v>
      </c>
      <c r="D1123" s="7" t="str">
        <f aca="false">'Raw Data'!D1123</f>
        <v>Never</v>
      </c>
      <c r="E1123" s="7" t="str">
        <f aca="false">'Raw Data'!J1123</f>
        <v>Low</v>
      </c>
      <c r="F1123" s="7" t="n">
        <f aca="false">'Raw Data'!K1123</f>
        <v>278.9</v>
      </c>
      <c r="G1123" s="7" t="str">
        <f aca="false">'Raw Data'!L1123</f>
        <v>No</v>
      </c>
      <c r="H1123" s="7" t="str">
        <f aca="false">'Raw Data'!M1123</f>
        <v>High</v>
      </c>
      <c r="I1123" s="7" t="n">
        <f aca="false">(IF(D1123="Current",3,IF(D1123="Former",1,0)))+(IF(E1123="High",3,IF(E1123="Normal",1,0)))+(IF(F1123&gt;=240,2,IF(F1123&gt;=200,1,0)))+(IF(G1123="Yes",2,0))+(IF(H1123="High",2,IF(H1123="Moderate",1,0)))</f>
        <v>4</v>
      </c>
      <c r="J1123" s="7" t="str">
        <f aca="false">IF(I1123&gt;=8,"High",IF(I1123&gt;=4,"Medium","Low"))</f>
        <v>Medium</v>
      </c>
    </row>
    <row r="1124" customFormat="false" ht="15" hidden="false" customHeight="true" outlineLevel="0" collapsed="false">
      <c r="A1124" s="7" t="n">
        <f aca="false">'Raw Data'!A1124</f>
        <v>1559</v>
      </c>
      <c r="B1124" s="7" t="n">
        <f aca="false">'Raw Data'!B1124</f>
        <v>51</v>
      </c>
      <c r="C1124" s="7" t="str">
        <f aca="false">'Raw Data'!C1124</f>
        <v>Female</v>
      </c>
      <c r="D1124" s="7" t="str">
        <f aca="false">'Raw Data'!D1124</f>
        <v>Never</v>
      </c>
      <c r="E1124" s="7" t="str">
        <f aca="false">'Raw Data'!J1124</f>
        <v>Low</v>
      </c>
      <c r="F1124" s="7" t="n">
        <f aca="false">'Raw Data'!K1124</f>
        <v>209.9</v>
      </c>
      <c r="G1124" s="7" t="str">
        <f aca="false">'Raw Data'!L1124</f>
        <v>Yes</v>
      </c>
      <c r="H1124" s="7" t="str">
        <f aca="false">'Raw Data'!M1124</f>
        <v>High</v>
      </c>
      <c r="I1124" s="7" t="n">
        <f aca="false">(IF(D1124="Current",3,IF(D1124="Former",1,0)))+(IF(E1124="High",3,IF(E1124="Normal",1,0)))+(IF(F1124&gt;=240,2,IF(F1124&gt;=200,1,0)))+(IF(G1124="Yes",2,0))+(IF(H1124="High",2,IF(H1124="Moderate",1,0)))</f>
        <v>5</v>
      </c>
      <c r="J1124" s="7" t="str">
        <f aca="false">IF(I1124&gt;=8,"High",IF(I1124&gt;=4,"Medium","Low"))</f>
        <v>Medium</v>
      </c>
    </row>
    <row r="1125" customFormat="false" ht="15" hidden="false" customHeight="true" outlineLevel="0" collapsed="false">
      <c r="A1125" s="7" t="n">
        <f aca="false">'Raw Data'!A1125</f>
        <v>1597</v>
      </c>
      <c r="B1125" s="7" t="n">
        <f aca="false">'Raw Data'!B1125</f>
        <v>70</v>
      </c>
      <c r="C1125" s="7" t="str">
        <f aca="false">'Raw Data'!C1125</f>
        <v>Male</v>
      </c>
      <c r="D1125" s="7" t="str">
        <f aca="false">'Raw Data'!D1125</f>
        <v>Never</v>
      </c>
      <c r="E1125" s="7" t="str">
        <f aca="false">'Raw Data'!J1125</f>
        <v>Low</v>
      </c>
      <c r="F1125" s="7" t="n">
        <f aca="false">'Raw Data'!K1125</f>
        <v>158.1</v>
      </c>
      <c r="G1125" s="7" t="str">
        <f aca="false">'Raw Data'!L1125</f>
        <v>Yes</v>
      </c>
      <c r="H1125" s="7" t="str">
        <f aca="false">'Raw Data'!M1125</f>
        <v>High</v>
      </c>
      <c r="I1125" s="7" t="n">
        <f aca="false">(IF(D1125="Current",3,IF(D1125="Former",1,0)))+(IF(E1125="High",3,IF(E1125="Normal",1,0)))+(IF(F1125&gt;=240,2,IF(F1125&gt;=200,1,0)))+(IF(G1125="Yes",2,0))+(IF(H1125="High",2,IF(H1125="Moderate",1,0)))</f>
        <v>4</v>
      </c>
      <c r="J1125" s="7" t="str">
        <f aca="false">IF(I1125&gt;=8,"High",IF(I1125&gt;=4,"Medium","Low"))</f>
        <v>Medium</v>
      </c>
    </row>
    <row r="1126" customFormat="false" ht="15" hidden="false" customHeight="true" outlineLevel="0" collapsed="false">
      <c r="A1126" s="7" t="n">
        <f aca="false">'Raw Data'!A1126</f>
        <v>1775</v>
      </c>
      <c r="B1126" s="7" t="n">
        <f aca="false">'Raw Data'!B1126</f>
        <v>83</v>
      </c>
      <c r="C1126" s="7" t="str">
        <f aca="false">'Raw Data'!C1126</f>
        <v>Female</v>
      </c>
      <c r="D1126" s="7" t="str">
        <f aca="false">'Raw Data'!D1126</f>
        <v>Never</v>
      </c>
      <c r="E1126" s="7" t="str">
        <f aca="false">'Raw Data'!J1126</f>
        <v>Low</v>
      </c>
      <c r="F1126" s="7" t="n">
        <f aca="false">'Raw Data'!K1126</f>
        <v>181.3</v>
      </c>
      <c r="G1126" s="7" t="str">
        <f aca="false">'Raw Data'!L1126</f>
        <v>No</v>
      </c>
      <c r="H1126" s="7" t="str">
        <f aca="false">'Raw Data'!M1126</f>
        <v>High</v>
      </c>
      <c r="I1126" s="7" t="n">
        <f aca="false">(IF(D1126="Current",3,IF(D1126="Former",1,0)))+(IF(E1126="High",3,IF(E1126="Normal",1,0)))+(IF(F1126&gt;=240,2,IF(F1126&gt;=200,1,0)))+(IF(G1126="Yes",2,0))+(IF(H1126="High",2,IF(H1126="Moderate",1,0)))</f>
        <v>2</v>
      </c>
      <c r="J1126" s="7" t="str">
        <f aca="false">IF(I1126&gt;=8,"High",IF(I1126&gt;=4,"Medium","Low"))</f>
        <v>Low</v>
      </c>
    </row>
    <row r="1127" customFormat="false" ht="15" hidden="false" customHeight="true" outlineLevel="0" collapsed="false">
      <c r="A1127" s="7" t="n">
        <f aca="false">'Raw Data'!A1127</f>
        <v>1880</v>
      </c>
      <c r="B1127" s="7" t="n">
        <f aca="false">'Raw Data'!B1127</f>
        <v>89</v>
      </c>
      <c r="C1127" s="7" t="str">
        <f aca="false">'Raw Data'!C1127</f>
        <v>Male</v>
      </c>
      <c r="D1127" s="7" t="str">
        <f aca="false">'Raw Data'!D1127</f>
        <v>Never</v>
      </c>
      <c r="E1127" s="7" t="str">
        <f aca="false">'Raw Data'!J1127</f>
        <v>Low</v>
      </c>
      <c r="F1127" s="7" t="n">
        <f aca="false">'Raw Data'!K1127</f>
        <v>138</v>
      </c>
      <c r="G1127" s="7" t="str">
        <f aca="false">'Raw Data'!L1127</f>
        <v>No</v>
      </c>
      <c r="H1127" s="7" t="str">
        <f aca="false">'Raw Data'!M1127</f>
        <v>High</v>
      </c>
      <c r="I1127" s="7" t="n">
        <f aca="false">(IF(D1127="Current",3,IF(D1127="Former",1,0)))+(IF(E1127="High",3,IF(E1127="Normal",1,0)))+(IF(F1127&gt;=240,2,IF(F1127&gt;=200,1,0)))+(IF(G1127="Yes",2,0))+(IF(H1127="High",2,IF(H1127="Moderate",1,0)))</f>
        <v>2</v>
      </c>
      <c r="J1127" s="7" t="str">
        <f aca="false">IF(I1127&gt;=8,"High",IF(I1127&gt;=4,"Medium","Low"))</f>
        <v>Low</v>
      </c>
    </row>
    <row r="1128" customFormat="false" ht="15" hidden="false" customHeight="true" outlineLevel="0" collapsed="false">
      <c r="A1128" s="7" t="n">
        <f aca="false">'Raw Data'!A1128</f>
        <v>1913</v>
      </c>
      <c r="B1128" s="7" t="n">
        <f aca="false">'Raw Data'!B1128</f>
        <v>59</v>
      </c>
      <c r="C1128" s="7" t="str">
        <f aca="false">'Raw Data'!C1128</f>
        <v>Male</v>
      </c>
      <c r="D1128" s="7" t="str">
        <f aca="false">'Raw Data'!D1128</f>
        <v>Never</v>
      </c>
      <c r="E1128" s="7" t="str">
        <f aca="false">'Raw Data'!J1128</f>
        <v>Low</v>
      </c>
      <c r="F1128" s="7" t="n">
        <f aca="false">'Raw Data'!K1128</f>
        <v>125.9</v>
      </c>
      <c r="G1128" s="7" t="str">
        <f aca="false">'Raw Data'!L1128</f>
        <v>Yes</v>
      </c>
      <c r="H1128" s="7" t="str">
        <f aca="false">'Raw Data'!M1128</f>
        <v>High</v>
      </c>
      <c r="I1128" s="7" t="n">
        <f aca="false">(IF(D1128="Current",3,IF(D1128="Former",1,0)))+(IF(E1128="High",3,IF(E1128="Normal",1,0)))+(IF(F1128&gt;=240,2,IF(F1128&gt;=200,1,0)))+(IF(G1128="Yes",2,0))+(IF(H1128="High",2,IF(H1128="Moderate",1,0)))</f>
        <v>4</v>
      </c>
      <c r="J1128" s="7" t="str">
        <f aca="false">IF(I1128&gt;=8,"High",IF(I1128&gt;=4,"Medium","Low"))</f>
        <v>Medium</v>
      </c>
    </row>
    <row r="1129" customFormat="false" ht="15" hidden="false" customHeight="true" outlineLevel="0" collapsed="false">
      <c r="A1129" s="7" t="n">
        <f aca="false">'Raw Data'!A1129</f>
        <v>2045</v>
      </c>
      <c r="B1129" s="7" t="n">
        <f aca="false">'Raw Data'!B1129</f>
        <v>75</v>
      </c>
      <c r="C1129" s="7" t="str">
        <f aca="false">'Raw Data'!C1129</f>
        <v>Male</v>
      </c>
      <c r="D1129" s="7" t="str">
        <f aca="false">'Raw Data'!D1129</f>
        <v>Never</v>
      </c>
      <c r="E1129" s="7" t="str">
        <f aca="false">'Raw Data'!J1129</f>
        <v>Low</v>
      </c>
      <c r="F1129" s="7" t="n">
        <f aca="false">'Raw Data'!K1129</f>
        <v>146.5</v>
      </c>
      <c r="G1129" s="7" t="str">
        <f aca="false">'Raw Data'!L1129</f>
        <v>No</v>
      </c>
      <c r="H1129" s="7" t="str">
        <f aca="false">'Raw Data'!M1129</f>
        <v>High</v>
      </c>
      <c r="I1129" s="7" t="n">
        <f aca="false">(IF(D1129="Current",3,IF(D1129="Former",1,0)))+(IF(E1129="High",3,IF(E1129="Normal",1,0)))+(IF(F1129&gt;=240,2,IF(F1129&gt;=200,1,0)))+(IF(G1129="Yes",2,0))+(IF(H1129="High",2,IF(H1129="Moderate",1,0)))</f>
        <v>2</v>
      </c>
      <c r="J1129" s="7" t="str">
        <f aca="false">IF(I1129&gt;=8,"High",IF(I1129&gt;=4,"Medium","Low"))</f>
        <v>Low</v>
      </c>
    </row>
    <row r="1130" customFormat="false" ht="15" hidden="false" customHeight="true" outlineLevel="0" collapsed="false">
      <c r="A1130" s="7" t="n">
        <f aca="false">'Raw Data'!A1130</f>
        <v>2147</v>
      </c>
      <c r="B1130" s="7" t="n">
        <f aca="false">'Raw Data'!B1130</f>
        <v>27</v>
      </c>
      <c r="C1130" s="7" t="str">
        <f aca="false">'Raw Data'!C1130</f>
        <v>Female</v>
      </c>
      <c r="D1130" s="7" t="str">
        <f aca="false">'Raw Data'!D1130</f>
        <v>Never</v>
      </c>
      <c r="E1130" s="7" t="str">
        <f aca="false">'Raw Data'!J1130</f>
        <v>Low</v>
      </c>
      <c r="F1130" s="7" t="n">
        <f aca="false">'Raw Data'!K1130</f>
        <v>220.7</v>
      </c>
      <c r="G1130" s="7" t="str">
        <f aca="false">'Raw Data'!L1130</f>
        <v>No</v>
      </c>
      <c r="H1130" s="7" t="str">
        <f aca="false">'Raw Data'!M1130</f>
        <v>High</v>
      </c>
      <c r="I1130" s="7" t="n">
        <f aca="false">(IF(D1130="Current",3,IF(D1130="Former",1,0)))+(IF(E1130="High",3,IF(E1130="Normal",1,0)))+(IF(F1130&gt;=240,2,IF(F1130&gt;=200,1,0)))+(IF(G1130="Yes",2,0))+(IF(H1130="High",2,IF(H1130="Moderate",1,0)))</f>
        <v>3</v>
      </c>
      <c r="J1130" s="7" t="str">
        <f aca="false">IF(I1130&gt;=8,"High",IF(I1130&gt;=4,"Medium","Low"))</f>
        <v>Low</v>
      </c>
    </row>
    <row r="1131" customFormat="false" ht="15" hidden="false" customHeight="true" outlineLevel="0" collapsed="false">
      <c r="A1131" s="7" t="n">
        <f aca="false">'Raw Data'!A1131</f>
        <v>2219</v>
      </c>
      <c r="B1131" s="7" t="n">
        <f aca="false">'Raw Data'!B1131</f>
        <v>54</v>
      </c>
      <c r="C1131" s="7" t="str">
        <f aca="false">'Raw Data'!C1131</f>
        <v>Female</v>
      </c>
      <c r="D1131" s="7" t="str">
        <f aca="false">'Raw Data'!D1131</f>
        <v>Never</v>
      </c>
      <c r="E1131" s="7" t="str">
        <f aca="false">'Raw Data'!J1131</f>
        <v>Low</v>
      </c>
      <c r="F1131" s="7" t="n">
        <f aca="false">'Raw Data'!K1131</f>
        <v>196.1</v>
      </c>
      <c r="G1131" s="7" t="str">
        <f aca="false">'Raw Data'!L1131</f>
        <v>No</v>
      </c>
      <c r="H1131" s="7" t="str">
        <f aca="false">'Raw Data'!M1131</f>
        <v>High</v>
      </c>
      <c r="I1131" s="7" t="n">
        <f aca="false">(IF(D1131="Current",3,IF(D1131="Former",1,0)))+(IF(E1131="High",3,IF(E1131="Normal",1,0)))+(IF(F1131&gt;=240,2,IF(F1131&gt;=200,1,0)))+(IF(G1131="Yes",2,0))+(IF(H1131="High",2,IF(H1131="Moderate",1,0)))</f>
        <v>2</v>
      </c>
      <c r="J1131" s="7" t="str">
        <f aca="false">IF(I1131&gt;=8,"High",IF(I1131&gt;=4,"Medium","Low"))</f>
        <v>Low</v>
      </c>
    </row>
    <row r="1132" customFormat="false" ht="15" hidden="false" customHeight="true" outlineLevel="0" collapsed="false">
      <c r="A1132" s="7" t="n">
        <f aca="false">'Raw Data'!A1132</f>
        <v>2263</v>
      </c>
      <c r="B1132" s="7" t="n">
        <f aca="false">'Raw Data'!B1132</f>
        <v>77</v>
      </c>
      <c r="C1132" s="7" t="str">
        <f aca="false">'Raw Data'!C1132</f>
        <v>Male</v>
      </c>
      <c r="D1132" s="7" t="str">
        <f aca="false">'Raw Data'!D1132</f>
        <v>Never</v>
      </c>
      <c r="E1132" s="7" t="str">
        <f aca="false">'Raw Data'!J1132</f>
        <v>Low</v>
      </c>
      <c r="F1132" s="7" t="n">
        <f aca="false">'Raw Data'!K1132</f>
        <v>249.5</v>
      </c>
      <c r="G1132" s="7" t="str">
        <f aca="false">'Raw Data'!L1132</f>
        <v>Yes</v>
      </c>
      <c r="H1132" s="7" t="str">
        <f aca="false">'Raw Data'!M1132</f>
        <v>High</v>
      </c>
      <c r="I1132" s="7" t="n">
        <f aca="false">(IF(D1132="Current",3,IF(D1132="Former",1,0)))+(IF(E1132="High",3,IF(E1132="Normal",1,0)))+(IF(F1132&gt;=240,2,IF(F1132&gt;=200,1,0)))+(IF(G1132="Yes",2,0))+(IF(H1132="High",2,IF(H1132="Moderate",1,0)))</f>
        <v>6</v>
      </c>
      <c r="J1132" s="7" t="str">
        <f aca="false">IF(I1132&gt;=8,"High",IF(I1132&gt;=4,"Medium","Low"))</f>
        <v>Medium</v>
      </c>
    </row>
    <row r="1133" customFormat="false" ht="15" hidden="false" customHeight="true" outlineLevel="0" collapsed="false">
      <c r="A1133" s="7" t="n">
        <f aca="false">'Raw Data'!A1133</f>
        <v>2363</v>
      </c>
      <c r="B1133" s="7" t="n">
        <f aca="false">'Raw Data'!B1133</f>
        <v>89</v>
      </c>
      <c r="C1133" s="7" t="str">
        <f aca="false">'Raw Data'!C1133</f>
        <v>Male</v>
      </c>
      <c r="D1133" s="7" t="str">
        <f aca="false">'Raw Data'!D1133</f>
        <v>Never</v>
      </c>
      <c r="E1133" s="7" t="str">
        <f aca="false">'Raw Data'!J1133</f>
        <v>Low</v>
      </c>
      <c r="F1133" s="7" t="n">
        <f aca="false">'Raw Data'!K1133</f>
        <v>205.2</v>
      </c>
      <c r="G1133" s="7" t="str">
        <f aca="false">'Raw Data'!L1133</f>
        <v>Yes</v>
      </c>
      <c r="H1133" s="7" t="str">
        <f aca="false">'Raw Data'!M1133</f>
        <v>High</v>
      </c>
      <c r="I1133" s="7" t="n">
        <f aca="false">(IF(D1133="Current",3,IF(D1133="Former",1,0)))+(IF(E1133="High",3,IF(E1133="Normal",1,0)))+(IF(F1133&gt;=240,2,IF(F1133&gt;=200,1,0)))+(IF(G1133="Yes",2,0))+(IF(H1133="High",2,IF(H1133="Moderate",1,0)))</f>
        <v>5</v>
      </c>
      <c r="J1133" s="7" t="str">
        <f aca="false">IF(I1133&gt;=8,"High",IF(I1133&gt;=4,"Medium","Low"))</f>
        <v>Medium</v>
      </c>
    </row>
    <row r="1134" customFormat="false" ht="15" hidden="false" customHeight="true" outlineLevel="0" collapsed="false">
      <c r="A1134" s="7" t="n">
        <f aca="false">'Raw Data'!A1134</f>
        <v>2401</v>
      </c>
      <c r="B1134" s="7" t="n">
        <f aca="false">'Raw Data'!B1134</f>
        <v>33</v>
      </c>
      <c r="C1134" s="7" t="str">
        <f aca="false">'Raw Data'!C1134</f>
        <v>Male</v>
      </c>
      <c r="D1134" s="7" t="str">
        <f aca="false">'Raw Data'!D1134</f>
        <v>Never</v>
      </c>
      <c r="E1134" s="7" t="str">
        <f aca="false">'Raw Data'!J1134</f>
        <v>Low</v>
      </c>
      <c r="F1134" s="7" t="n">
        <f aca="false">'Raw Data'!K1134</f>
        <v>157.4</v>
      </c>
      <c r="G1134" s="7" t="str">
        <f aca="false">'Raw Data'!L1134</f>
        <v>No</v>
      </c>
      <c r="H1134" s="7" t="str">
        <f aca="false">'Raw Data'!M1134</f>
        <v>High</v>
      </c>
      <c r="I1134" s="7" t="n">
        <f aca="false">(IF(D1134="Current",3,IF(D1134="Former",1,0)))+(IF(E1134="High",3,IF(E1134="Normal",1,0)))+(IF(F1134&gt;=240,2,IF(F1134&gt;=200,1,0)))+(IF(G1134="Yes",2,0))+(IF(H1134="High",2,IF(H1134="Moderate",1,0)))</f>
        <v>2</v>
      </c>
      <c r="J1134" s="7" t="str">
        <f aca="false">IF(I1134&gt;=8,"High",IF(I1134&gt;=4,"Medium","Low"))</f>
        <v>Low</v>
      </c>
    </row>
    <row r="1135" customFormat="false" ht="15" hidden="false" customHeight="true" outlineLevel="0" collapsed="false">
      <c r="A1135" s="7" t="n">
        <f aca="false">'Raw Data'!A1135</f>
        <v>2415</v>
      </c>
      <c r="B1135" s="7" t="n">
        <f aca="false">'Raw Data'!B1135</f>
        <v>43</v>
      </c>
      <c r="C1135" s="7" t="str">
        <f aca="false">'Raw Data'!C1135</f>
        <v>Female</v>
      </c>
      <c r="D1135" s="7" t="str">
        <f aca="false">'Raw Data'!D1135</f>
        <v>Never</v>
      </c>
      <c r="E1135" s="7" t="str">
        <f aca="false">'Raw Data'!J1135</f>
        <v>Low</v>
      </c>
      <c r="F1135" s="7" t="n">
        <f aca="false">'Raw Data'!K1135</f>
        <v>288.3</v>
      </c>
      <c r="G1135" s="7" t="str">
        <f aca="false">'Raw Data'!L1135</f>
        <v>No</v>
      </c>
      <c r="H1135" s="7" t="str">
        <f aca="false">'Raw Data'!M1135</f>
        <v>High</v>
      </c>
      <c r="I1135" s="7" t="n">
        <f aca="false">(IF(D1135="Current",3,IF(D1135="Former",1,0)))+(IF(E1135="High",3,IF(E1135="Normal",1,0)))+(IF(F1135&gt;=240,2,IF(F1135&gt;=200,1,0)))+(IF(G1135="Yes",2,0))+(IF(H1135="High",2,IF(H1135="Moderate",1,0)))</f>
        <v>4</v>
      </c>
      <c r="J1135" s="7" t="str">
        <f aca="false">IF(I1135&gt;=8,"High",IF(I1135&gt;=4,"Medium","Low"))</f>
        <v>Medium</v>
      </c>
    </row>
    <row r="1136" customFormat="false" ht="15" hidden="false" customHeight="true" outlineLevel="0" collapsed="false">
      <c r="A1136" s="7" t="n">
        <f aca="false">'Raw Data'!A1136</f>
        <v>2485</v>
      </c>
      <c r="B1136" s="7" t="n">
        <f aca="false">'Raw Data'!B1136</f>
        <v>51</v>
      </c>
      <c r="C1136" s="7" t="str">
        <f aca="false">'Raw Data'!C1136</f>
        <v>Male</v>
      </c>
      <c r="D1136" s="7" t="str">
        <f aca="false">'Raw Data'!D1136</f>
        <v>Never</v>
      </c>
      <c r="E1136" s="7" t="str">
        <f aca="false">'Raw Data'!J1136</f>
        <v>Low</v>
      </c>
      <c r="F1136" s="7" t="n">
        <f aca="false">'Raw Data'!K1136</f>
        <v>182.8</v>
      </c>
      <c r="G1136" s="7" t="str">
        <f aca="false">'Raw Data'!L1136</f>
        <v>Yes</v>
      </c>
      <c r="H1136" s="7" t="str">
        <f aca="false">'Raw Data'!M1136</f>
        <v>High</v>
      </c>
      <c r="I1136" s="7" t="n">
        <f aca="false">(IF(D1136="Current",3,IF(D1136="Former",1,0)))+(IF(E1136="High",3,IF(E1136="Normal",1,0)))+(IF(F1136&gt;=240,2,IF(F1136&gt;=200,1,0)))+(IF(G1136="Yes",2,0))+(IF(H1136="High",2,IF(H1136="Moderate",1,0)))</f>
        <v>4</v>
      </c>
      <c r="J1136" s="7" t="str">
        <f aca="false">IF(I1136&gt;=8,"High",IF(I1136&gt;=4,"Medium","Low"))</f>
        <v>Medium</v>
      </c>
    </row>
    <row r="1137" customFormat="false" ht="15" hidden="false" customHeight="true" outlineLevel="0" collapsed="false">
      <c r="A1137" s="7" t="n">
        <f aca="false">'Raw Data'!A1137</f>
        <v>2500</v>
      </c>
      <c r="B1137" s="7" t="n">
        <f aca="false">'Raw Data'!B1137</f>
        <v>49</v>
      </c>
      <c r="C1137" s="7" t="str">
        <f aca="false">'Raw Data'!C1137</f>
        <v>Male</v>
      </c>
      <c r="D1137" s="7" t="str">
        <f aca="false">'Raw Data'!D1137</f>
        <v>Never</v>
      </c>
      <c r="E1137" s="7" t="str">
        <f aca="false">'Raw Data'!J1137</f>
        <v>Low</v>
      </c>
      <c r="F1137" s="7" t="n">
        <f aca="false">'Raw Data'!K1137</f>
        <v>129.7</v>
      </c>
      <c r="G1137" s="7" t="str">
        <f aca="false">'Raw Data'!L1137</f>
        <v>No</v>
      </c>
      <c r="H1137" s="7" t="str">
        <f aca="false">'Raw Data'!M1137</f>
        <v>High</v>
      </c>
      <c r="I1137" s="7" t="n">
        <f aca="false">(IF(D1137="Current",3,IF(D1137="Former",1,0)))+(IF(E1137="High",3,IF(E1137="Normal",1,0)))+(IF(F1137&gt;=240,2,IF(F1137&gt;=200,1,0)))+(IF(G1137="Yes",2,0))+(IF(H1137="High",2,IF(H1137="Moderate",1,0)))</f>
        <v>2</v>
      </c>
      <c r="J1137" s="7" t="str">
        <f aca="false">IF(I1137&gt;=8,"High",IF(I1137&gt;=4,"Medium","Low"))</f>
        <v>Low</v>
      </c>
    </row>
    <row r="1138" customFormat="false" ht="15" hidden="false" customHeight="true" outlineLevel="0" collapsed="false">
      <c r="A1138" s="7" t="n">
        <f aca="false">'Raw Data'!A1138</f>
        <v>10</v>
      </c>
      <c r="B1138" s="7" t="n">
        <f aca="false">'Raw Data'!B1138</f>
        <v>31</v>
      </c>
      <c r="C1138" s="7" t="str">
        <f aca="false">'Raw Data'!C1138</f>
        <v>Male</v>
      </c>
      <c r="D1138" s="7" t="str">
        <f aca="false">'Raw Data'!D1138</f>
        <v>Current</v>
      </c>
      <c r="E1138" s="7" t="str">
        <f aca="false">'Raw Data'!J1138</f>
        <v>Low</v>
      </c>
      <c r="F1138" s="7" t="n">
        <f aca="false">'Raw Data'!K1138</f>
        <v>139.4</v>
      </c>
      <c r="G1138" s="7" t="str">
        <f aca="false">'Raw Data'!L1138</f>
        <v>Yes</v>
      </c>
      <c r="H1138" s="7" t="str">
        <f aca="false">'Raw Data'!M1138</f>
        <v>Moderate</v>
      </c>
      <c r="I1138" s="7" t="n">
        <f aca="false">(IF(D1138="Current",3,IF(D1138="Former",1,0)))+(IF(E1138="High",3,IF(E1138="Normal",1,0)))+(IF(F1138&gt;=240,2,IF(F1138&gt;=200,1,0)))+(IF(G1138="Yes",2,0))+(IF(H1138="High",2,IF(H1138="Moderate",1,0)))</f>
        <v>6</v>
      </c>
      <c r="J1138" s="7" t="str">
        <f aca="false">IF(I1138&gt;=8,"High",IF(I1138&gt;=4,"Medium","Low"))</f>
        <v>Medium</v>
      </c>
    </row>
    <row r="1139" customFormat="false" ht="15" hidden="false" customHeight="true" outlineLevel="0" collapsed="false">
      <c r="A1139" s="7" t="n">
        <f aca="false">'Raw Data'!A1139</f>
        <v>20</v>
      </c>
      <c r="B1139" s="7" t="n">
        <f aca="false">'Raw Data'!B1139</f>
        <v>65</v>
      </c>
      <c r="C1139" s="7" t="str">
        <f aca="false">'Raw Data'!C1139</f>
        <v>Female</v>
      </c>
      <c r="D1139" s="7" t="str">
        <f aca="false">'Raw Data'!D1139</f>
        <v>Current</v>
      </c>
      <c r="E1139" s="7" t="str">
        <f aca="false">'Raw Data'!J1139</f>
        <v>Low</v>
      </c>
      <c r="F1139" s="7" t="n">
        <f aca="false">'Raw Data'!K1139</f>
        <v>170.2</v>
      </c>
      <c r="G1139" s="7" t="str">
        <f aca="false">'Raw Data'!L1139</f>
        <v>No</v>
      </c>
      <c r="H1139" s="7" t="str">
        <f aca="false">'Raw Data'!M1139</f>
        <v>Moderate</v>
      </c>
      <c r="I1139" s="7" t="n">
        <f aca="false">(IF(D1139="Current",3,IF(D1139="Former",1,0)))+(IF(E1139="High",3,IF(E1139="Normal",1,0)))+(IF(F1139&gt;=240,2,IF(F1139&gt;=200,1,0)))+(IF(G1139="Yes",2,0))+(IF(H1139="High",2,IF(H1139="Moderate",1,0)))</f>
        <v>4</v>
      </c>
      <c r="J1139" s="7" t="str">
        <f aca="false">IF(I1139&gt;=8,"High",IF(I1139&gt;=4,"Medium","Low"))</f>
        <v>Medium</v>
      </c>
    </row>
    <row r="1140" customFormat="false" ht="15" hidden="false" customHeight="true" outlineLevel="0" collapsed="false">
      <c r="A1140" s="7" t="n">
        <f aca="false">'Raw Data'!A1140</f>
        <v>34</v>
      </c>
      <c r="B1140" s="7" t="n">
        <f aca="false">'Raw Data'!B1140</f>
        <v>86</v>
      </c>
      <c r="C1140" s="7" t="str">
        <f aca="false">'Raw Data'!C1140</f>
        <v>Male</v>
      </c>
      <c r="D1140" s="7" t="str">
        <f aca="false">'Raw Data'!D1140</f>
        <v>Current</v>
      </c>
      <c r="E1140" s="7" t="str">
        <f aca="false">'Raw Data'!J1140</f>
        <v>Low</v>
      </c>
      <c r="F1140" s="7" t="n">
        <f aca="false">'Raw Data'!K1140</f>
        <v>123.1</v>
      </c>
      <c r="G1140" s="7" t="str">
        <f aca="false">'Raw Data'!L1140</f>
        <v>No</v>
      </c>
      <c r="H1140" s="7" t="str">
        <f aca="false">'Raw Data'!M1140</f>
        <v>Moderate</v>
      </c>
      <c r="I1140" s="7" t="n">
        <f aca="false">(IF(D1140="Current",3,IF(D1140="Former",1,0)))+(IF(E1140="High",3,IF(E1140="Normal",1,0)))+(IF(F1140&gt;=240,2,IF(F1140&gt;=200,1,0)))+(IF(G1140="Yes",2,0))+(IF(H1140="High",2,IF(H1140="Moderate",1,0)))</f>
        <v>4</v>
      </c>
      <c r="J1140" s="7" t="str">
        <f aca="false">IF(I1140&gt;=8,"High",IF(I1140&gt;=4,"Medium","Low"))</f>
        <v>Medium</v>
      </c>
    </row>
    <row r="1141" customFormat="false" ht="15" hidden="false" customHeight="true" outlineLevel="0" collapsed="false">
      <c r="A1141" s="7" t="n">
        <f aca="false">'Raw Data'!A1141</f>
        <v>73</v>
      </c>
      <c r="B1141" s="7" t="n">
        <f aca="false">'Raw Data'!B1141</f>
        <v>28</v>
      </c>
      <c r="C1141" s="7" t="str">
        <f aca="false">'Raw Data'!C1141</f>
        <v>Male</v>
      </c>
      <c r="D1141" s="7" t="str">
        <f aca="false">'Raw Data'!D1141</f>
        <v>Current</v>
      </c>
      <c r="E1141" s="7" t="str">
        <f aca="false">'Raw Data'!J1141</f>
        <v>Low</v>
      </c>
      <c r="F1141" s="7" t="n">
        <f aca="false">'Raw Data'!K1141</f>
        <v>266.6</v>
      </c>
      <c r="G1141" s="7" t="str">
        <f aca="false">'Raw Data'!L1141</f>
        <v>No</v>
      </c>
      <c r="H1141" s="7" t="str">
        <f aca="false">'Raw Data'!M1141</f>
        <v>Moderate</v>
      </c>
      <c r="I1141" s="7" t="n">
        <f aca="false">(IF(D1141="Current",3,IF(D1141="Former",1,0)))+(IF(E1141="High",3,IF(E1141="Normal",1,0)))+(IF(F1141&gt;=240,2,IF(F1141&gt;=200,1,0)))+(IF(G1141="Yes",2,0))+(IF(H1141="High",2,IF(H1141="Moderate",1,0)))</f>
        <v>6</v>
      </c>
      <c r="J1141" s="7" t="str">
        <f aca="false">IF(I1141&gt;=8,"High",IF(I1141&gt;=4,"Medium","Low"))</f>
        <v>Medium</v>
      </c>
    </row>
    <row r="1142" customFormat="false" ht="15" hidden="false" customHeight="true" outlineLevel="0" collapsed="false">
      <c r="A1142" s="7" t="n">
        <f aca="false">'Raw Data'!A1142</f>
        <v>95</v>
      </c>
      <c r="B1142" s="7" t="n">
        <f aca="false">'Raw Data'!B1142</f>
        <v>54</v>
      </c>
      <c r="C1142" s="7" t="str">
        <f aca="false">'Raw Data'!C1142</f>
        <v>Male</v>
      </c>
      <c r="D1142" s="7" t="str">
        <f aca="false">'Raw Data'!D1142</f>
        <v>Current</v>
      </c>
      <c r="E1142" s="7" t="str">
        <f aca="false">'Raw Data'!J1142</f>
        <v>Low</v>
      </c>
      <c r="F1142" s="7" t="n">
        <f aca="false">'Raw Data'!K1142</f>
        <v>167.5</v>
      </c>
      <c r="G1142" s="7" t="str">
        <f aca="false">'Raw Data'!L1142</f>
        <v>Yes</v>
      </c>
      <c r="H1142" s="7" t="str">
        <f aca="false">'Raw Data'!M1142</f>
        <v>Moderate</v>
      </c>
      <c r="I1142" s="7" t="n">
        <f aca="false">(IF(D1142="Current",3,IF(D1142="Former",1,0)))+(IF(E1142="High",3,IF(E1142="Normal",1,0)))+(IF(F1142&gt;=240,2,IF(F1142&gt;=200,1,0)))+(IF(G1142="Yes",2,0))+(IF(H1142="High",2,IF(H1142="Moderate",1,0)))</f>
        <v>6</v>
      </c>
      <c r="J1142" s="7" t="str">
        <f aca="false">IF(I1142&gt;=8,"High",IF(I1142&gt;=4,"Medium","Low"))</f>
        <v>Medium</v>
      </c>
    </row>
    <row r="1143" customFormat="false" ht="15" hidden="false" customHeight="true" outlineLevel="0" collapsed="false">
      <c r="A1143" s="7" t="n">
        <f aca="false">'Raw Data'!A1143</f>
        <v>120</v>
      </c>
      <c r="B1143" s="7" t="n">
        <f aca="false">'Raw Data'!B1143</f>
        <v>53</v>
      </c>
      <c r="C1143" s="7" t="str">
        <f aca="false">'Raw Data'!C1143</f>
        <v>Male</v>
      </c>
      <c r="D1143" s="7" t="str">
        <f aca="false">'Raw Data'!D1143</f>
        <v>Current</v>
      </c>
      <c r="E1143" s="7" t="str">
        <f aca="false">'Raw Data'!J1143</f>
        <v>Low</v>
      </c>
      <c r="F1143" s="7" t="n">
        <f aca="false">'Raw Data'!K1143</f>
        <v>267.9</v>
      </c>
      <c r="G1143" s="7" t="str">
        <f aca="false">'Raw Data'!L1143</f>
        <v>No</v>
      </c>
      <c r="H1143" s="7" t="str">
        <f aca="false">'Raw Data'!M1143</f>
        <v>Moderate</v>
      </c>
      <c r="I1143" s="7" t="n">
        <f aca="false">(IF(D1143="Current",3,IF(D1143="Former",1,0)))+(IF(E1143="High",3,IF(E1143="Normal",1,0)))+(IF(F1143&gt;=240,2,IF(F1143&gt;=200,1,0)))+(IF(G1143="Yes",2,0))+(IF(H1143="High",2,IF(H1143="Moderate",1,0)))</f>
        <v>6</v>
      </c>
      <c r="J1143" s="7" t="str">
        <f aca="false">IF(I1143&gt;=8,"High",IF(I1143&gt;=4,"Medium","Low"))</f>
        <v>Medium</v>
      </c>
    </row>
    <row r="1144" customFormat="false" ht="15" hidden="false" customHeight="true" outlineLevel="0" collapsed="false">
      <c r="A1144" s="7" t="n">
        <f aca="false">'Raw Data'!A1144</f>
        <v>156</v>
      </c>
      <c r="B1144" s="7" t="n">
        <f aca="false">'Raw Data'!B1144</f>
        <v>24</v>
      </c>
      <c r="C1144" s="7" t="str">
        <f aca="false">'Raw Data'!C1144</f>
        <v>Female</v>
      </c>
      <c r="D1144" s="7" t="str">
        <f aca="false">'Raw Data'!D1144</f>
        <v>Current</v>
      </c>
      <c r="E1144" s="7" t="str">
        <f aca="false">'Raw Data'!J1144</f>
        <v>Low</v>
      </c>
      <c r="F1144" s="7" t="n">
        <f aca="false">'Raw Data'!K1144</f>
        <v>120.5</v>
      </c>
      <c r="G1144" s="7" t="str">
        <f aca="false">'Raw Data'!L1144</f>
        <v>No</v>
      </c>
      <c r="H1144" s="7" t="str">
        <f aca="false">'Raw Data'!M1144</f>
        <v>Moderate</v>
      </c>
      <c r="I1144" s="7" t="n">
        <f aca="false">(IF(D1144="Current",3,IF(D1144="Former",1,0)))+(IF(E1144="High",3,IF(E1144="Normal",1,0)))+(IF(F1144&gt;=240,2,IF(F1144&gt;=200,1,0)))+(IF(G1144="Yes",2,0))+(IF(H1144="High",2,IF(H1144="Moderate",1,0)))</f>
        <v>4</v>
      </c>
      <c r="J1144" s="7" t="str">
        <f aca="false">IF(I1144&gt;=8,"High",IF(I1144&gt;=4,"Medium","Low"))</f>
        <v>Medium</v>
      </c>
    </row>
    <row r="1145" customFormat="false" ht="15" hidden="false" customHeight="true" outlineLevel="0" collapsed="false">
      <c r="A1145" s="7" t="n">
        <f aca="false">'Raw Data'!A1145</f>
        <v>165</v>
      </c>
      <c r="B1145" s="7" t="n">
        <f aca="false">'Raw Data'!B1145</f>
        <v>22</v>
      </c>
      <c r="C1145" s="7" t="str">
        <f aca="false">'Raw Data'!C1145</f>
        <v>Female</v>
      </c>
      <c r="D1145" s="7" t="str">
        <f aca="false">'Raw Data'!D1145</f>
        <v>Current</v>
      </c>
      <c r="E1145" s="7" t="str">
        <f aca="false">'Raw Data'!J1145</f>
        <v>Low</v>
      </c>
      <c r="F1145" s="7" t="n">
        <f aca="false">'Raw Data'!K1145</f>
        <v>166.3</v>
      </c>
      <c r="G1145" s="7" t="str">
        <f aca="false">'Raw Data'!L1145</f>
        <v>No</v>
      </c>
      <c r="H1145" s="7" t="str">
        <f aca="false">'Raw Data'!M1145</f>
        <v>High</v>
      </c>
      <c r="I1145" s="7" t="n">
        <f aca="false">(IF(D1145="Current",3,IF(D1145="Former",1,0)))+(IF(E1145="High",3,IF(E1145="Normal",1,0)))+(IF(F1145&gt;=240,2,IF(F1145&gt;=200,1,0)))+(IF(G1145="Yes",2,0))+(IF(H1145="High",2,IF(H1145="Moderate",1,0)))</f>
        <v>5</v>
      </c>
      <c r="J1145" s="7" t="str">
        <f aca="false">IF(I1145&gt;=8,"High",IF(I1145&gt;=4,"Medium","Low"))</f>
        <v>Medium</v>
      </c>
    </row>
    <row r="1146" customFormat="false" ht="15" hidden="false" customHeight="true" outlineLevel="0" collapsed="false">
      <c r="A1146" s="7" t="n">
        <f aca="false">'Raw Data'!A1146</f>
        <v>197</v>
      </c>
      <c r="B1146" s="7" t="n">
        <f aca="false">'Raw Data'!B1146</f>
        <v>62</v>
      </c>
      <c r="C1146" s="7" t="str">
        <f aca="false">'Raw Data'!C1146</f>
        <v>Male</v>
      </c>
      <c r="D1146" s="7" t="str">
        <f aca="false">'Raw Data'!D1146</f>
        <v>Current</v>
      </c>
      <c r="E1146" s="7" t="str">
        <f aca="false">'Raw Data'!J1146</f>
        <v>Low</v>
      </c>
      <c r="F1146" s="7" t="n">
        <f aca="false">'Raw Data'!K1146</f>
        <v>243.5</v>
      </c>
      <c r="G1146" s="7" t="str">
        <f aca="false">'Raw Data'!L1146</f>
        <v>No</v>
      </c>
      <c r="H1146" s="7" t="str">
        <f aca="false">'Raw Data'!M1146</f>
        <v>Moderate</v>
      </c>
      <c r="I1146" s="7" t="n">
        <f aca="false">(IF(D1146="Current",3,IF(D1146="Former",1,0)))+(IF(E1146="High",3,IF(E1146="Normal",1,0)))+(IF(F1146&gt;=240,2,IF(F1146&gt;=200,1,0)))+(IF(G1146="Yes",2,0))+(IF(H1146="High",2,IF(H1146="Moderate",1,0)))</f>
        <v>6</v>
      </c>
      <c r="J1146" s="7" t="str">
        <f aca="false">IF(I1146&gt;=8,"High",IF(I1146&gt;=4,"Medium","Low"))</f>
        <v>Medium</v>
      </c>
    </row>
    <row r="1147" customFormat="false" ht="15" hidden="false" customHeight="true" outlineLevel="0" collapsed="false">
      <c r="A1147" s="7" t="n">
        <f aca="false">'Raw Data'!A1147</f>
        <v>202</v>
      </c>
      <c r="B1147" s="7" t="n">
        <f aca="false">'Raw Data'!B1147</f>
        <v>33</v>
      </c>
      <c r="C1147" s="7" t="str">
        <f aca="false">'Raw Data'!C1147</f>
        <v>Female</v>
      </c>
      <c r="D1147" s="7" t="str">
        <f aca="false">'Raw Data'!D1147</f>
        <v>Current</v>
      </c>
      <c r="E1147" s="7" t="str">
        <f aca="false">'Raw Data'!J1147</f>
        <v>Low</v>
      </c>
      <c r="F1147" s="7" t="n">
        <f aca="false">'Raw Data'!K1147</f>
        <v>273.6</v>
      </c>
      <c r="G1147" s="7" t="str">
        <f aca="false">'Raw Data'!L1147</f>
        <v>Yes</v>
      </c>
      <c r="H1147" s="7" t="str">
        <f aca="false">'Raw Data'!M1147</f>
        <v>Moderate</v>
      </c>
      <c r="I1147" s="7" t="n">
        <f aca="false">(IF(D1147="Current",3,IF(D1147="Former",1,0)))+(IF(E1147="High",3,IF(E1147="Normal",1,0)))+(IF(F1147&gt;=240,2,IF(F1147&gt;=200,1,0)))+(IF(G1147="Yes",2,0))+(IF(H1147="High",2,IF(H1147="Moderate",1,0)))</f>
        <v>8</v>
      </c>
      <c r="J1147" s="7" t="str">
        <f aca="false">IF(I1147&gt;=8,"High",IF(I1147&gt;=4,"Medium","Low"))</f>
        <v>High</v>
      </c>
    </row>
    <row r="1148" customFormat="false" ht="15" hidden="false" customHeight="true" outlineLevel="0" collapsed="false">
      <c r="A1148" s="7" t="n">
        <f aca="false">'Raw Data'!A1148</f>
        <v>204</v>
      </c>
      <c r="B1148" s="7" t="n">
        <f aca="false">'Raw Data'!B1148</f>
        <v>54</v>
      </c>
      <c r="C1148" s="7" t="str">
        <f aca="false">'Raw Data'!C1148</f>
        <v>Female</v>
      </c>
      <c r="D1148" s="7" t="str">
        <f aca="false">'Raw Data'!D1148</f>
        <v>Current</v>
      </c>
      <c r="E1148" s="7" t="str">
        <f aca="false">'Raw Data'!J1148</f>
        <v>Low</v>
      </c>
      <c r="F1148" s="7" t="n">
        <f aca="false">'Raw Data'!K1148</f>
        <v>221.8</v>
      </c>
      <c r="G1148" s="7" t="str">
        <f aca="false">'Raw Data'!L1148</f>
        <v>No</v>
      </c>
      <c r="H1148" s="7" t="str">
        <f aca="false">'Raw Data'!M1148</f>
        <v>High</v>
      </c>
      <c r="I1148" s="7" t="n">
        <f aca="false">(IF(D1148="Current",3,IF(D1148="Former",1,0)))+(IF(E1148="High",3,IF(E1148="Normal",1,0)))+(IF(F1148&gt;=240,2,IF(F1148&gt;=200,1,0)))+(IF(G1148="Yes",2,0))+(IF(H1148="High",2,IF(H1148="Moderate",1,0)))</f>
        <v>6</v>
      </c>
      <c r="J1148" s="7" t="str">
        <f aca="false">IF(I1148&gt;=8,"High",IF(I1148&gt;=4,"Medium","Low"))</f>
        <v>Medium</v>
      </c>
    </row>
    <row r="1149" customFormat="false" ht="15" hidden="false" customHeight="true" outlineLevel="0" collapsed="false">
      <c r="A1149" s="7" t="n">
        <f aca="false">'Raw Data'!A1149</f>
        <v>217</v>
      </c>
      <c r="B1149" s="7" t="n">
        <f aca="false">'Raw Data'!B1149</f>
        <v>38</v>
      </c>
      <c r="C1149" s="7" t="str">
        <f aca="false">'Raw Data'!C1149</f>
        <v>Female</v>
      </c>
      <c r="D1149" s="7" t="str">
        <f aca="false">'Raw Data'!D1149</f>
        <v>Current</v>
      </c>
      <c r="E1149" s="7" t="str">
        <f aca="false">'Raw Data'!J1149</f>
        <v>Low</v>
      </c>
      <c r="F1149" s="7" t="n">
        <f aca="false">'Raw Data'!K1149</f>
        <v>182.6</v>
      </c>
      <c r="G1149" s="7" t="str">
        <f aca="false">'Raw Data'!L1149</f>
        <v>No</v>
      </c>
      <c r="H1149" s="7" t="str">
        <f aca="false">'Raw Data'!M1149</f>
        <v>Moderate</v>
      </c>
      <c r="I1149" s="7" t="n">
        <f aca="false">(IF(D1149="Current",3,IF(D1149="Former",1,0)))+(IF(E1149="High",3,IF(E1149="Normal",1,0)))+(IF(F1149&gt;=240,2,IF(F1149&gt;=200,1,0)))+(IF(G1149="Yes",2,0))+(IF(H1149="High",2,IF(H1149="Moderate",1,0)))</f>
        <v>4</v>
      </c>
      <c r="J1149" s="7" t="str">
        <f aca="false">IF(I1149&gt;=8,"High",IF(I1149&gt;=4,"Medium","Low"))</f>
        <v>Medium</v>
      </c>
    </row>
    <row r="1150" customFormat="false" ht="15" hidden="false" customHeight="true" outlineLevel="0" collapsed="false">
      <c r="A1150" s="7" t="n">
        <f aca="false">'Raw Data'!A1150</f>
        <v>287</v>
      </c>
      <c r="B1150" s="7" t="n">
        <f aca="false">'Raw Data'!B1150</f>
        <v>70</v>
      </c>
      <c r="C1150" s="7" t="str">
        <f aca="false">'Raw Data'!C1150</f>
        <v>Male</v>
      </c>
      <c r="D1150" s="7" t="str">
        <f aca="false">'Raw Data'!D1150</f>
        <v>Current</v>
      </c>
      <c r="E1150" s="7" t="str">
        <f aca="false">'Raw Data'!J1150</f>
        <v>Low</v>
      </c>
      <c r="F1150" s="7" t="n">
        <f aca="false">'Raw Data'!K1150</f>
        <v>285.3</v>
      </c>
      <c r="G1150" s="7" t="str">
        <f aca="false">'Raw Data'!L1150</f>
        <v>Yes</v>
      </c>
      <c r="H1150" s="7" t="str">
        <f aca="false">'Raw Data'!M1150</f>
        <v>Moderate</v>
      </c>
      <c r="I1150" s="7" t="n">
        <f aca="false">(IF(D1150="Current",3,IF(D1150="Former",1,0)))+(IF(E1150="High",3,IF(E1150="Normal",1,0)))+(IF(F1150&gt;=240,2,IF(F1150&gt;=200,1,0)))+(IF(G1150="Yes",2,0))+(IF(H1150="High",2,IF(H1150="Moderate",1,0)))</f>
        <v>8</v>
      </c>
      <c r="J1150" s="7" t="str">
        <f aca="false">IF(I1150&gt;=8,"High",IF(I1150&gt;=4,"Medium","Low"))</f>
        <v>High</v>
      </c>
    </row>
    <row r="1151" customFormat="false" ht="15" hidden="false" customHeight="true" outlineLevel="0" collapsed="false">
      <c r="A1151" s="7" t="n">
        <f aca="false">'Raw Data'!A1151</f>
        <v>293</v>
      </c>
      <c r="B1151" s="7" t="n">
        <f aca="false">'Raw Data'!B1151</f>
        <v>55</v>
      </c>
      <c r="C1151" s="7" t="str">
        <f aca="false">'Raw Data'!C1151</f>
        <v>Male</v>
      </c>
      <c r="D1151" s="7" t="str">
        <f aca="false">'Raw Data'!D1151</f>
        <v>Current</v>
      </c>
      <c r="E1151" s="7" t="str">
        <f aca="false">'Raw Data'!J1151</f>
        <v>Low</v>
      </c>
      <c r="F1151" s="7" t="n">
        <f aca="false">'Raw Data'!K1151</f>
        <v>154.4</v>
      </c>
      <c r="G1151" s="7" t="str">
        <f aca="false">'Raw Data'!L1151</f>
        <v>No</v>
      </c>
      <c r="H1151" s="7" t="str">
        <f aca="false">'Raw Data'!M1151</f>
        <v>Moderate</v>
      </c>
      <c r="I1151" s="7" t="n">
        <f aca="false">(IF(D1151="Current",3,IF(D1151="Former",1,0)))+(IF(E1151="High",3,IF(E1151="Normal",1,0)))+(IF(F1151&gt;=240,2,IF(F1151&gt;=200,1,0)))+(IF(G1151="Yes",2,0))+(IF(H1151="High",2,IF(H1151="Moderate",1,0)))</f>
        <v>4</v>
      </c>
      <c r="J1151" s="7" t="str">
        <f aca="false">IF(I1151&gt;=8,"High",IF(I1151&gt;=4,"Medium","Low"))</f>
        <v>Medium</v>
      </c>
    </row>
    <row r="1152" customFormat="false" ht="15" hidden="false" customHeight="true" outlineLevel="0" collapsed="false">
      <c r="A1152" s="7" t="n">
        <f aca="false">'Raw Data'!A1152</f>
        <v>319</v>
      </c>
      <c r="B1152" s="7" t="n">
        <f aca="false">'Raw Data'!B1152</f>
        <v>18</v>
      </c>
      <c r="C1152" s="7" t="str">
        <f aca="false">'Raw Data'!C1152</f>
        <v>Female</v>
      </c>
      <c r="D1152" s="7" t="str">
        <f aca="false">'Raw Data'!D1152</f>
        <v>Current</v>
      </c>
      <c r="E1152" s="7" t="str">
        <f aca="false">'Raw Data'!J1152</f>
        <v>Low</v>
      </c>
      <c r="F1152" s="7" t="n">
        <f aca="false">'Raw Data'!K1152</f>
        <v>239.6</v>
      </c>
      <c r="G1152" s="7" t="str">
        <f aca="false">'Raw Data'!L1152</f>
        <v>No</v>
      </c>
      <c r="H1152" s="7" t="str">
        <f aca="false">'Raw Data'!M1152</f>
        <v>Moderate</v>
      </c>
      <c r="I1152" s="7" t="n">
        <f aca="false">(IF(D1152="Current",3,IF(D1152="Former",1,0)))+(IF(E1152="High",3,IF(E1152="Normal",1,0)))+(IF(F1152&gt;=240,2,IF(F1152&gt;=200,1,0)))+(IF(G1152="Yes",2,0))+(IF(H1152="High",2,IF(H1152="Moderate",1,0)))</f>
        <v>5</v>
      </c>
      <c r="J1152" s="7" t="str">
        <f aca="false">IF(I1152&gt;=8,"High",IF(I1152&gt;=4,"Medium","Low"))</f>
        <v>Medium</v>
      </c>
    </row>
    <row r="1153" customFormat="false" ht="15" hidden="false" customHeight="true" outlineLevel="0" collapsed="false">
      <c r="A1153" s="7" t="n">
        <f aca="false">'Raw Data'!A1153</f>
        <v>338</v>
      </c>
      <c r="B1153" s="7" t="n">
        <f aca="false">'Raw Data'!B1153</f>
        <v>84</v>
      </c>
      <c r="C1153" s="7" t="str">
        <f aca="false">'Raw Data'!C1153</f>
        <v>Female</v>
      </c>
      <c r="D1153" s="7" t="str">
        <f aca="false">'Raw Data'!D1153</f>
        <v>Current</v>
      </c>
      <c r="E1153" s="7" t="str">
        <f aca="false">'Raw Data'!J1153</f>
        <v>Low</v>
      </c>
      <c r="F1153" s="7" t="n">
        <f aca="false">'Raw Data'!K1153</f>
        <v>245</v>
      </c>
      <c r="G1153" s="7" t="str">
        <f aca="false">'Raw Data'!L1153</f>
        <v>Yes</v>
      </c>
      <c r="H1153" s="7" t="str">
        <f aca="false">'Raw Data'!M1153</f>
        <v>Moderate</v>
      </c>
      <c r="I1153" s="7" t="n">
        <f aca="false">(IF(D1153="Current",3,IF(D1153="Former",1,0)))+(IF(E1153="High",3,IF(E1153="Normal",1,0)))+(IF(F1153&gt;=240,2,IF(F1153&gt;=200,1,0)))+(IF(G1153="Yes",2,0))+(IF(H1153="High",2,IF(H1153="Moderate",1,0)))</f>
        <v>8</v>
      </c>
      <c r="J1153" s="7" t="str">
        <f aca="false">IF(I1153&gt;=8,"High",IF(I1153&gt;=4,"Medium","Low"))</f>
        <v>High</v>
      </c>
    </row>
    <row r="1154" customFormat="false" ht="15" hidden="false" customHeight="true" outlineLevel="0" collapsed="false">
      <c r="A1154" s="7" t="n">
        <f aca="false">'Raw Data'!A1154</f>
        <v>359</v>
      </c>
      <c r="B1154" s="7" t="n">
        <f aca="false">'Raw Data'!B1154</f>
        <v>80</v>
      </c>
      <c r="C1154" s="7" t="str">
        <f aca="false">'Raw Data'!C1154</f>
        <v>Female</v>
      </c>
      <c r="D1154" s="7" t="str">
        <f aca="false">'Raw Data'!D1154</f>
        <v>Current</v>
      </c>
      <c r="E1154" s="7" t="str">
        <f aca="false">'Raw Data'!J1154</f>
        <v>Low</v>
      </c>
      <c r="F1154" s="7" t="n">
        <f aca="false">'Raw Data'!K1154</f>
        <v>263.9</v>
      </c>
      <c r="G1154" s="7" t="str">
        <f aca="false">'Raw Data'!L1154</f>
        <v>Yes</v>
      </c>
      <c r="H1154" s="7" t="str">
        <f aca="false">'Raw Data'!M1154</f>
        <v>Moderate</v>
      </c>
      <c r="I1154" s="7" t="n">
        <f aca="false">(IF(D1154="Current",3,IF(D1154="Former",1,0)))+(IF(E1154="High",3,IF(E1154="Normal",1,0)))+(IF(F1154&gt;=240,2,IF(F1154&gt;=200,1,0)))+(IF(G1154="Yes",2,0))+(IF(H1154="High",2,IF(H1154="Moderate",1,0)))</f>
        <v>8</v>
      </c>
      <c r="J1154" s="7" t="str">
        <f aca="false">IF(I1154&gt;=8,"High",IF(I1154&gt;=4,"Medium","Low"))</f>
        <v>High</v>
      </c>
    </row>
    <row r="1155" customFormat="false" ht="15" hidden="false" customHeight="true" outlineLevel="0" collapsed="false">
      <c r="A1155" s="7" t="n">
        <f aca="false">'Raw Data'!A1155</f>
        <v>384</v>
      </c>
      <c r="B1155" s="7" t="n">
        <f aca="false">'Raw Data'!B1155</f>
        <v>48</v>
      </c>
      <c r="C1155" s="7" t="str">
        <f aca="false">'Raw Data'!C1155</f>
        <v>Male</v>
      </c>
      <c r="D1155" s="7" t="str">
        <f aca="false">'Raw Data'!D1155</f>
        <v>Current</v>
      </c>
      <c r="E1155" s="7" t="str">
        <f aca="false">'Raw Data'!J1155</f>
        <v>Low</v>
      </c>
      <c r="F1155" s="7" t="n">
        <f aca="false">'Raw Data'!K1155</f>
        <v>195.7</v>
      </c>
      <c r="G1155" s="7" t="str">
        <f aca="false">'Raw Data'!L1155</f>
        <v>No</v>
      </c>
      <c r="H1155" s="7" t="str">
        <f aca="false">'Raw Data'!M1155</f>
        <v>High</v>
      </c>
      <c r="I1155" s="7" t="n">
        <f aca="false">(IF(D1155="Current",3,IF(D1155="Former",1,0)))+(IF(E1155="High",3,IF(E1155="Normal",1,0)))+(IF(F1155&gt;=240,2,IF(F1155&gt;=200,1,0)))+(IF(G1155="Yes",2,0))+(IF(H1155="High",2,IF(H1155="Moderate",1,0)))</f>
        <v>5</v>
      </c>
      <c r="J1155" s="7" t="str">
        <f aca="false">IF(I1155&gt;=8,"High",IF(I1155&gt;=4,"Medium","Low"))</f>
        <v>Medium</v>
      </c>
    </row>
    <row r="1156" customFormat="false" ht="15" hidden="false" customHeight="true" outlineLevel="0" collapsed="false">
      <c r="A1156" s="7" t="n">
        <f aca="false">'Raw Data'!A1156</f>
        <v>410</v>
      </c>
      <c r="B1156" s="7" t="n">
        <f aca="false">'Raw Data'!B1156</f>
        <v>51</v>
      </c>
      <c r="C1156" s="7" t="str">
        <f aca="false">'Raw Data'!C1156</f>
        <v>Female</v>
      </c>
      <c r="D1156" s="7" t="str">
        <f aca="false">'Raw Data'!D1156</f>
        <v>Current</v>
      </c>
      <c r="E1156" s="7" t="str">
        <f aca="false">'Raw Data'!J1156</f>
        <v>Low</v>
      </c>
      <c r="F1156" s="7" t="n">
        <f aca="false">'Raw Data'!K1156</f>
        <v>125</v>
      </c>
      <c r="G1156" s="7" t="str">
        <f aca="false">'Raw Data'!L1156</f>
        <v>No</v>
      </c>
      <c r="H1156" s="7" t="str">
        <f aca="false">'Raw Data'!M1156</f>
        <v>Moderate</v>
      </c>
      <c r="I1156" s="7" t="n">
        <f aca="false">(IF(D1156="Current",3,IF(D1156="Former",1,0)))+(IF(E1156="High",3,IF(E1156="Normal",1,0)))+(IF(F1156&gt;=240,2,IF(F1156&gt;=200,1,0)))+(IF(G1156="Yes",2,0))+(IF(H1156="High",2,IF(H1156="Moderate",1,0)))</f>
        <v>4</v>
      </c>
      <c r="J1156" s="7" t="str">
        <f aca="false">IF(I1156&gt;=8,"High",IF(I1156&gt;=4,"Medium","Low"))</f>
        <v>Medium</v>
      </c>
    </row>
    <row r="1157" customFormat="false" ht="15" hidden="false" customHeight="true" outlineLevel="0" collapsed="false">
      <c r="A1157" s="7" t="n">
        <f aca="false">'Raw Data'!A1157</f>
        <v>438</v>
      </c>
      <c r="B1157" s="7" t="n">
        <f aca="false">'Raw Data'!B1157</f>
        <v>84</v>
      </c>
      <c r="C1157" s="7" t="str">
        <f aca="false">'Raw Data'!C1157</f>
        <v>Female</v>
      </c>
      <c r="D1157" s="7" t="str">
        <f aca="false">'Raw Data'!D1157</f>
        <v>Current</v>
      </c>
      <c r="E1157" s="7" t="str">
        <f aca="false">'Raw Data'!J1157</f>
        <v>Low</v>
      </c>
      <c r="F1157" s="7" t="n">
        <f aca="false">'Raw Data'!K1157</f>
        <v>132.8</v>
      </c>
      <c r="G1157" s="7" t="str">
        <f aca="false">'Raw Data'!L1157</f>
        <v>No</v>
      </c>
      <c r="H1157" s="7" t="str">
        <f aca="false">'Raw Data'!M1157</f>
        <v>Moderate</v>
      </c>
      <c r="I1157" s="7" t="n">
        <f aca="false">(IF(D1157="Current",3,IF(D1157="Former",1,0)))+(IF(E1157="High",3,IF(E1157="Normal",1,0)))+(IF(F1157&gt;=240,2,IF(F1157&gt;=200,1,0)))+(IF(G1157="Yes",2,0))+(IF(H1157="High",2,IF(H1157="Moderate",1,0)))</f>
        <v>4</v>
      </c>
      <c r="J1157" s="7" t="str">
        <f aca="false">IF(I1157&gt;=8,"High",IF(I1157&gt;=4,"Medium","Low"))</f>
        <v>Medium</v>
      </c>
    </row>
    <row r="1158" customFormat="false" ht="15" hidden="false" customHeight="true" outlineLevel="0" collapsed="false">
      <c r="A1158" s="7" t="n">
        <f aca="false">'Raw Data'!A1158</f>
        <v>446</v>
      </c>
      <c r="B1158" s="7" t="n">
        <f aca="false">'Raw Data'!B1158</f>
        <v>57</v>
      </c>
      <c r="C1158" s="7" t="str">
        <f aca="false">'Raw Data'!C1158</f>
        <v>Female</v>
      </c>
      <c r="D1158" s="7" t="str">
        <f aca="false">'Raw Data'!D1158</f>
        <v>Current</v>
      </c>
      <c r="E1158" s="7" t="str">
        <f aca="false">'Raw Data'!J1158</f>
        <v>Low</v>
      </c>
      <c r="F1158" s="7" t="n">
        <f aca="false">'Raw Data'!K1158</f>
        <v>233.9</v>
      </c>
      <c r="G1158" s="7" t="str">
        <f aca="false">'Raw Data'!L1158</f>
        <v>No</v>
      </c>
      <c r="H1158" s="7" t="str">
        <f aca="false">'Raw Data'!M1158</f>
        <v>High</v>
      </c>
      <c r="I1158" s="7" t="n">
        <f aca="false">(IF(D1158="Current",3,IF(D1158="Former",1,0)))+(IF(E1158="High",3,IF(E1158="Normal",1,0)))+(IF(F1158&gt;=240,2,IF(F1158&gt;=200,1,0)))+(IF(G1158="Yes",2,0))+(IF(H1158="High",2,IF(H1158="Moderate",1,0)))</f>
        <v>6</v>
      </c>
      <c r="J1158" s="7" t="str">
        <f aca="false">IF(I1158&gt;=8,"High",IF(I1158&gt;=4,"Medium","Low"))</f>
        <v>Medium</v>
      </c>
    </row>
    <row r="1159" customFormat="false" ht="15" hidden="false" customHeight="true" outlineLevel="0" collapsed="false">
      <c r="A1159" s="7" t="n">
        <f aca="false">'Raw Data'!A1159</f>
        <v>468</v>
      </c>
      <c r="B1159" s="7" t="n">
        <f aca="false">'Raw Data'!B1159</f>
        <v>41</v>
      </c>
      <c r="C1159" s="7" t="str">
        <f aca="false">'Raw Data'!C1159</f>
        <v>Female</v>
      </c>
      <c r="D1159" s="7" t="str">
        <f aca="false">'Raw Data'!D1159</f>
        <v>Current</v>
      </c>
      <c r="E1159" s="7" t="str">
        <f aca="false">'Raw Data'!J1159</f>
        <v>Low</v>
      </c>
      <c r="F1159" s="7" t="n">
        <f aca="false">'Raw Data'!K1159</f>
        <v>293.1</v>
      </c>
      <c r="G1159" s="7" t="str">
        <f aca="false">'Raw Data'!L1159</f>
        <v>No</v>
      </c>
      <c r="H1159" s="7" t="str">
        <f aca="false">'Raw Data'!M1159</f>
        <v>Moderate</v>
      </c>
      <c r="I1159" s="7" t="n">
        <f aca="false">(IF(D1159="Current",3,IF(D1159="Former",1,0)))+(IF(E1159="High",3,IF(E1159="Normal",1,0)))+(IF(F1159&gt;=240,2,IF(F1159&gt;=200,1,0)))+(IF(G1159="Yes",2,0))+(IF(H1159="High",2,IF(H1159="Moderate",1,0)))</f>
        <v>6</v>
      </c>
      <c r="J1159" s="7" t="str">
        <f aca="false">IF(I1159&gt;=8,"High",IF(I1159&gt;=4,"Medium","Low"))</f>
        <v>Medium</v>
      </c>
    </row>
    <row r="1160" customFormat="false" ht="15" hidden="false" customHeight="true" outlineLevel="0" collapsed="false">
      <c r="A1160" s="7" t="n">
        <f aca="false">'Raw Data'!A1160</f>
        <v>480</v>
      </c>
      <c r="B1160" s="7" t="n">
        <f aca="false">'Raw Data'!B1160</f>
        <v>73</v>
      </c>
      <c r="C1160" s="7" t="str">
        <f aca="false">'Raw Data'!C1160</f>
        <v>Female</v>
      </c>
      <c r="D1160" s="7" t="str">
        <f aca="false">'Raw Data'!D1160</f>
        <v>Current</v>
      </c>
      <c r="E1160" s="7" t="str">
        <f aca="false">'Raw Data'!J1160</f>
        <v>Low</v>
      </c>
      <c r="F1160" s="7" t="n">
        <f aca="false">'Raw Data'!K1160</f>
        <v>283.7</v>
      </c>
      <c r="G1160" s="7" t="str">
        <f aca="false">'Raw Data'!L1160</f>
        <v>Yes</v>
      </c>
      <c r="H1160" s="7" t="str">
        <f aca="false">'Raw Data'!M1160</f>
        <v>Moderate</v>
      </c>
      <c r="I1160" s="7" t="n">
        <f aca="false">(IF(D1160="Current",3,IF(D1160="Former",1,0)))+(IF(E1160="High",3,IF(E1160="Normal",1,0)))+(IF(F1160&gt;=240,2,IF(F1160&gt;=200,1,0)))+(IF(G1160="Yes",2,0))+(IF(H1160="High",2,IF(H1160="Moderate",1,0)))</f>
        <v>8</v>
      </c>
      <c r="J1160" s="7" t="str">
        <f aca="false">IF(I1160&gt;=8,"High",IF(I1160&gt;=4,"Medium","Low"))</f>
        <v>High</v>
      </c>
    </row>
    <row r="1161" customFormat="false" ht="15" hidden="false" customHeight="true" outlineLevel="0" collapsed="false">
      <c r="A1161" s="7" t="n">
        <f aca="false">'Raw Data'!A1161</f>
        <v>548</v>
      </c>
      <c r="B1161" s="7" t="n">
        <f aca="false">'Raw Data'!B1161</f>
        <v>34</v>
      </c>
      <c r="C1161" s="7" t="str">
        <f aca="false">'Raw Data'!C1161</f>
        <v>Female</v>
      </c>
      <c r="D1161" s="7" t="str">
        <f aca="false">'Raw Data'!D1161</f>
        <v>Current</v>
      </c>
      <c r="E1161" s="7" t="str">
        <f aca="false">'Raw Data'!J1161</f>
        <v>Low</v>
      </c>
      <c r="F1161" s="7" t="n">
        <f aca="false">'Raw Data'!K1161</f>
        <v>193.7</v>
      </c>
      <c r="G1161" s="7" t="str">
        <f aca="false">'Raw Data'!L1161</f>
        <v>No</v>
      </c>
      <c r="H1161" s="7" t="str">
        <f aca="false">'Raw Data'!M1161</f>
        <v>Moderate</v>
      </c>
      <c r="I1161" s="7" t="n">
        <f aca="false">(IF(D1161="Current",3,IF(D1161="Former",1,0)))+(IF(E1161="High",3,IF(E1161="Normal",1,0)))+(IF(F1161&gt;=240,2,IF(F1161&gt;=200,1,0)))+(IF(G1161="Yes",2,0))+(IF(H1161="High",2,IF(H1161="Moderate",1,0)))</f>
        <v>4</v>
      </c>
      <c r="J1161" s="7" t="str">
        <f aca="false">IF(I1161&gt;=8,"High",IF(I1161&gt;=4,"Medium","Low"))</f>
        <v>Medium</v>
      </c>
    </row>
    <row r="1162" customFormat="false" ht="15" hidden="false" customHeight="true" outlineLevel="0" collapsed="false">
      <c r="A1162" s="7" t="n">
        <f aca="false">'Raw Data'!A1162</f>
        <v>599</v>
      </c>
      <c r="B1162" s="7" t="n">
        <f aca="false">'Raw Data'!B1162</f>
        <v>83</v>
      </c>
      <c r="C1162" s="7" t="str">
        <f aca="false">'Raw Data'!C1162</f>
        <v>Female</v>
      </c>
      <c r="D1162" s="7" t="str">
        <f aca="false">'Raw Data'!D1162</f>
        <v>Current</v>
      </c>
      <c r="E1162" s="7" t="str">
        <f aca="false">'Raw Data'!J1162</f>
        <v>Low</v>
      </c>
      <c r="F1162" s="7" t="n">
        <f aca="false">'Raw Data'!K1162</f>
        <v>147</v>
      </c>
      <c r="G1162" s="7" t="str">
        <f aca="false">'Raw Data'!L1162</f>
        <v>No</v>
      </c>
      <c r="H1162" s="7" t="str">
        <f aca="false">'Raw Data'!M1162</f>
        <v>Moderate</v>
      </c>
      <c r="I1162" s="7" t="n">
        <f aca="false">(IF(D1162="Current",3,IF(D1162="Former",1,0)))+(IF(E1162="High",3,IF(E1162="Normal",1,0)))+(IF(F1162&gt;=240,2,IF(F1162&gt;=200,1,0)))+(IF(G1162="Yes",2,0))+(IF(H1162="High",2,IF(H1162="Moderate",1,0)))</f>
        <v>4</v>
      </c>
      <c r="J1162" s="7" t="str">
        <f aca="false">IF(I1162&gt;=8,"High",IF(I1162&gt;=4,"Medium","Low"))</f>
        <v>Medium</v>
      </c>
    </row>
    <row r="1163" customFormat="false" ht="15" hidden="false" customHeight="true" outlineLevel="0" collapsed="false">
      <c r="A1163" s="7" t="n">
        <f aca="false">'Raw Data'!A1163</f>
        <v>621</v>
      </c>
      <c r="B1163" s="7" t="n">
        <f aca="false">'Raw Data'!B1163</f>
        <v>23</v>
      </c>
      <c r="C1163" s="7" t="str">
        <f aca="false">'Raw Data'!C1163</f>
        <v>Male</v>
      </c>
      <c r="D1163" s="7" t="str">
        <f aca="false">'Raw Data'!D1163</f>
        <v>Current</v>
      </c>
      <c r="E1163" s="7" t="str">
        <f aca="false">'Raw Data'!J1163</f>
        <v>Low</v>
      </c>
      <c r="F1163" s="7" t="n">
        <f aca="false">'Raw Data'!K1163</f>
        <v>300</v>
      </c>
      <c r="G1163" s="7" t="str">
        <f aca="false">'Raw Data'!L1163</f>
        <v>Yes</v>
      </c>
      <c r="H1163" s="7" t="str">
        <f aca="false">'Raw Data'!M1163</f>
        <v>Moderate</v>
      </c>
      <c r="I1163" s="7" t="n">
        <f aca="false">(IF(D1163="Current",3,IF(D1163="Former",1,0)))+(IF(E1163="High",3,IF(E1163="Normal",1,0)))+(IF(F1163&gt;=240,2,IF(F1163&gt;=200,1,0)))+(IF(G1163="Yes",2,0))+(IF(H1163="High",2,IF(H1163="Moderate",1,0)))</f>
        <v>8</v>
      </c>
      <c r="J1163" s="7" t="str">
        <f aca="false">IF(I1163&gt;=8,"High",IF(I1163&gt;=4,"Medium","Low"))</f>
        <v>High</v>
      </c>
    </row>
    <row r="1164" customFormat="false" ht="15" hidden="false" customHeight="true" outlineLevel="0" collapsed="false">
      <c r="A1164" s="7" t="n">
        <f aca="false">'Raw Data'!A1164</f>
        <v>654</v>
      </c>
      <c r="B1164" s="7" t="n">
        <f aca="false">'Raw Data'!B1164</f>
        <v>85</v>
      </c>
      <c r="C1164" s="7" t="str">
        <f aca="false">'Raw Data'!C1164</f>
        <v>Male</v>
      </c>
      <c r="D1164" s="7" t="str">
        <f aca="false">'Raw Data'!D1164</f>
        <v>Current</v>
      </c>
      <c r="E1164" s="7" t="str">
        <f aca="false">'Raw Data'!J1164</f>
        <v>Low</v>
      </c>
      <c r="F1164" s="7" t="n">
        <f aca="false">'Raw Data'!K1164</f>
        <v>299.7</v>
      </c>
      <c r="G1164" s="7" t="str">
        <f aca="false">'Raw Data'!L1164</f>
        <v>Yes</v>
      </c>
      <c r="H1164" s="7" t="str">
        <f aca="false">'Raw Data'!M1164</f>
        <v>Moderate</v>
      </c>
      <c r="I1164" s="7" t="n">
        <f aca="false">(IF(D1164="Current",3,IF(D1164="Former",1,0)))+(IF(E1164="High",3,IF(E1164="Normal",1,0)))+(IF(F1164&gt;=240,2,IF(F1164&gt;=200,1,0)))+(IF(G1164="Yes",2,0))+(IF(H1164="High",2,IF(H1164="Moderate",1,0)))</f>
        <v>8</v>
      </c>
      <c r="J1164" s="7" t="str">
        <f aca="false">IF(I1164&gt;=8,"High",IF(I1164&gt;=4,"Medium","Low"))</f>
        <v>High</v>
      </c>
    </row>
    <row r="1165" customFormat="false" ht="15" hidden="false" customHeight="true" outlineLevel="0" collapsed="false">
      <c r="A1165" s="7" t="n">
        <f aca="false">'Raw Data'!A1165</f>
        <v>765</v>
      </c>
      <c r="B1165" s="7" t="n">
        <f aca="false">'Raw Data'!B1165</f>
        <v>70</v>
      </c>
      <c r="C1165" s="7" t="str">
        <f aca="false">'Raw Data'!C1165</f>
        <v>Male</v>
      </c>
      <c r="D1165" s="7" t="str">
        <f aca="false">'Raw Data'!D1165</f>
        <v>Current</v>
      </c>
      <c r="E1165" s="7" t="str">
        <f aca="false">'Raw Data'!J1165</f>
        <v>Low</v>
      </c>
      <c r="F1165" s="7" t="n">
        <f aca="false">'Raw Data'!K1165</f>
        <v>234.9</v>
      </c>
      <c r="G1165" s="7" t="str">
        <f aca="false">'Raw Data'!L1165</f>
        <v>Yes</v>
      </c>
      <c r="H1165" s="7" t="str">
        <f aca="false">'Raw Data'!M1165</f>
        <v>High</v>
      </c>
      <c r="I1165" s="7" t="n">
        <f aca="false">(IF(D1165="Current",3,IF(D1165="Former",1,0)))+(IF(E1165="High",3,IF(E1165="Normal",1,0)))+(IF(F1165&gt;=240,2,IF(F1165&gt;=200,1,0)))+(IF(G1165="Yes",2,0))+(IF(H1165="High",2,IF(H1165="Moderate",1,0)))</f>
        <v>8</v>
      </c>
      <c r="J1165" s="7" t="str">
        <f aca="false">IF(I1165&gt;=8,"High",IF(I1165&gt;=4,"Medium","Low"))</f>
        <v>High</v>
      </c>
    </row>
    <row r="1166" customFormat="false" ht="15" hidden="false" customHeight="true" outlineLevel="0" collapsed="false">
      <c r="A1166" s="7" t="n">
        <f aca="false">'Raw Data'!A1166</f>
        <v>784</v>
      </c>
      <c r="B1166" s="7" t="n">
        <f aca="false">'Raw Data'!B1166</f>
        <v>33</v>
      </c>
      <c r="C1166" s="7" t="str">
        <f aca="false">'Raw Data'!C1166</f>
        <v>Male</v>
      </c>
      <c r="D1166" s="7" t="str">
        <f aca="false">'Raw Data'!D1166</f>
        <v>Current</v>
      </c>
      <c r="E1166" s="7" t="str">
        <f aca="false">'Raw Data'!J1166</f>
        <v>Low</v>
      </c>
      <c r="F1166" s="7" t="n">
        <f aca="false">'Raw Data'!K1166</f>
        <v>139.3</v>
      </c>
      <c r="G1166" s="7" t="str">
        <f aca="false">'Raw Data'!L1166</f>
        <v>No</v>
      </c>
      <c r="H1166" s="7" t="str">
        <f aca="false">'Raw Data'!M1166</f>
        <v>High</v>
      </c>
      <c r="I1166" s="7" t="n">
        <f aca="false">(IF(D1166="Current",3,IF(D1166="Former",1,0)))+(IF(E1166="High",3,IF(E1166="Normal",1,0)))+(IF(F1166&gt;=240,2,IF(F1166&gt;=200,1,0)))+(IF(G1166="Yes",2,0))+(IF(H1166="High",2,IF(H1166="Moderate",1,0)))</f>
        <v>5</v>
      </c>
      <c r="J1166" s="7" t="str">
        <f aca="false">IF(I1166&gt;=8,"High",IF(I1166&gt;=4,"Medium","Low"))</f>
        <v>Medium</v>
      </c>
    </row>
    <row r="1167" customFormat="false" ht="15" hidden="false" customHeight="true" outlineLevel="0" collapsed="false">
      <c r="A1167" s="7" t="n">
        <f aca="false">'Raw Data'!A1167</f>
        <v>809</v>
      </c>
      <c r="B1167" s="7" t="n">
        <f aca="false">'Raw Data'!B1167</f>
        <v>82</v>
      </c>
      <c r="C1167" s="7" t="str">
        <f aca="false">'Raw Data'!C1167</f>
        <v>Female</v>
      </c>
      <c r="D1167" s="7" t="str">
        <f aca="false">'Raw Data'!D1167</f>
        <v>Current</v>
      </c>
      <c r="E1167" s="7" t="str">
        <f aca="false">'Raw Data'!J1167</f>
        <v>Low</v>
      </c>
      <c r="F1167" s="7" t="n">
        <f aca="false">'Raw Data'!K1167</f>
        <v>292.8</v>
      </c>
      <c r="G1167" s="7" t="str">
        <f aca="false">'Raw Data'!L1167</f>
        <v>No</v>
      </c>
      <c r="H1167" s="7" t="str">
        <f aca="false">'Raw Data'!M1167</f>
        <v>Moderate</v>
      </c>
      <c r="I1167" s="7" t="n">
        <f aca="false">(IF(D1167="Current",3,IF(D1167="Former",1,0)))+(IF(E1167="High",3,IF(E1167="Normal",1,0)))+(IF(F1167&gt;=240,2,IF(F1167&gt;=200,1,0)))+(IF(G1167="Yes",2,0))+(IF(H1167="High",2,IF(H1167="Moderate",1,0)))</f>
        <v>6</v>
      </c>
      <c r="J1167" s="7" t="str">
        <f aca="false">IF(I1167&gt;=8,"High",IF(I1167&gt;=4,"Medium","Low"))</f>
        <v>Medium</v>
      </c>
    </row>
    <row r="1168" customFormat="false" ht="15" hidden="false" customHeight="true" outlineLevel="0" collapsed="false">
      <c r="A1168" s="7" t="n">
        <f aca="false">'Raw Data'!A1168</f>
        <v>942</v>
      </c>
      <c r="B1168" s="7" t="n">
        <f aca="false">'Raw Data'!B1168</f>
        <v>43</v>
      </c>
      <c r="C1168" s="7" t="str">
        <f aca="false">'Raw Data'!C1168</f>
        <v>Female</v>
      </c>
      <c r="D1168" s="7" t="str">
        <f aca="false">'Raw Data'!D1168</f>
        <v>Current</v>
      </c>
      <c r="E1168" s="7" t="str">
        <f aca="false">'Raw Data'!J1168</f>
        <v>Low</v>
      </c>
      <c r="F1168" s="7" t="n">
        <f aca="false">'Raw Data'!K1168</f>
        <v>125.3</v>
      </c>
      <c r="G1168" s="7" t="str">
        <f aca="false">'Raw Data'!L1168</f>
        <v>Yes</v>
      </c>
      <c r="H1168" s="7" t="str">
        <f aca="false">'Raw Data'!M1168</f>
        <v>High</v>
      </c>
      <c r="I1168" s="7" t="n">
        <f aca="false">(IF(D1168="Current",3,IF(D1168="Former",1,0)))+(IF(E1168="High",3,IF(E1168="Normal",1,0)))+(IF(F1168&gt;=240,2,IF(F1168&gt;=200,1,0)))+(IF(G1168="Yes",2,0))+(IF(H1168="High",2,IF(H1168="Moderate",1,0)))</f>
        <v>7</v>
      </c>
      <c r="J1168" s="7" t="str">
        <f aca="false">IF(I1168&gt;=8,"High",IF(I1168&gt;=4,"Medium","Low"))</f>
        <v>Medium</v>
      </c>
    </row>
    <row r="1169" customFormat="false" ht="15" hidden="false" customHeight="true" outlineLevel="0" collapsed="false">
      <c r="A1169" s="7" t="n">
        <f aca="false">'Raw Data'!A1169</f>
        <v>957</v>
      </c>
      <c r="B1169" s="7" t="n">
        <f aca="false">'Raw Data'!B1169</f>
        <v>70</v>
      </c>
      <c r="C1169" s="7" t="str">
        <f aca="false">'Raw Data'!C1169</f>
        <v>Female</v>
      </c>
      <c r="D1169" s="7" t="str">
        <f aca="false">'Raw Data'!D1169</f>
        <v>Current</v>
      </c>
      <c r="E1169" s="7" t="str">
        <f aca="false">'Raw Data'!J1169</f>
        <v>Low</v>
      </c>
      <c r="F1169" s="7" t="n">
        <f aca="false">'Raw Data'!K1169</f>
        <v>184.3</v>
      </c>
      <c r="G1169" s="7" t="str">
        <f aca="false">'Raw Data'!L1169</f>
        <v>No</v>
      </c>
      <c r="H1169" s="7" t="str">
        <f aca="false">'Raw Data'!M1169</f>
        <v>High</v>
      </c>
      <c r="I1169" s="7" t="n">
        <f aca="false">(IF(D1169="Current",3,IF(D1169="Former",1,0)))+(IF(E1169="High",3,IF(E1169="Normal",1,0)))+(IF(F1169&gt;=240,2,IF(F1169&gt;=200,1,0)))+(IF(G1169="Yes",2,0))+(IF(H1169="High",2,IF(H1169="Moderate",1,0)))</f>
        <v>5</v>
      </c>
      <c r="J1169" s="7" t="str">
        <f aca="false">IF(I1169&gt;=8,"High",IF(I1169&gt;=4,"Medium","Low"))</f>
        <v>Medium</v>
      </c>
    </row>
    <row r="1170" customFormat="false" ht="15" hidden="false" customHeight="true" outlineLevel="0" collapsed="false">
      <c r="A1170" s="7" t="n">
        <f aca="false">'Raw Data'!A1170</f>
        <v>1004</v>
      </c>
      <c r="B1170" s="7" t="n">
        <f aca="false">'Raw Data'!B1170</f>
        <v>54</v>
      </c>
      <c r="C1170" s="7" t="str">
        <f aca="false">'Raw Data'!C1170</f>
        <v>Female</v>
      </c>
      <c r="D1170" s="7" t="str">
        <f aca="false">'Raw Data'!D1170</f>
        <v>Current</v>
      </c>
      <c r="E1170" s="7" t="str">
        <f aca="false">'Raw Data'!J1170</f>
        <v>Low</v>
      </c>
      <c r="F1170" s="7" t="n">
        <f aca="false">'Raw Data'!K1170</f>
        <v>235.9</v>
      </c>
      <c r="G1170" s="7" t="str">
        <f aca="false">'Raw Data'!L1170</f>
        <v>No</v>
      </c>
      <c r="H1170" s="7" t="str">
        <f aca="false">'Raw Data'!M1170</f>
        <v>Moderate</v>
      </c>
      <c r="I1170" s="7" t="n">
        <f aca="false">(IF(D1170="Current",3,IF(D1170="Former",1,0)))+(IF(E1170="High",3,IF(E1170="Normal",1,0)))+(IF(F1170&gt;=240,2,IF(F1170&gt;=200,1,0)))+(IF(G1170="Yes",2,0))+(IF(H1170="High",2,IF(H1170="Moderate",1,0)))</f>
        <v>5</v>
      </c>
      <c r="J1170" s="7" t="str">
        <f aca="false">IF(I1170&gt;=8,"High",IF(I1170&gt;=4,"Medium","Low"))</f>
        <v>Medium</v>
      </c>
    </row>
    <row r="1171" customFormat="false" ht="15" hidden="false" customHeight="true" outlineLevel="0" collapsed="false">
      <c r="A1171" s="7" t="n">
        <f aca="false">'Raw Data'!A1171</f>
        <v>1102</v>
      </c>
      <c r="B1171" s="7" t="n">
        <f aca="false">'Raw Data'!B1171</f>
        <v>27</v>
      </c>
      <c r="C1171" s="7" t="str">
        <f aca="false">'Raw Data'!C1171</f>
        <v>Male</v>
      </c>
      <c r="D1171" s="7" t="str">
        <f aca="false">'Raw Data'!D1171</f>
        <v>Current</v>
      </c>
      <c r="E1171" s="7" t="str">
        <f aca="false">'Raw Data'!J1171</f>
        <v>Low</v>
      </c>
      <c r="F1171" s="7" t="n">
        <f aca="false">'Raw Data'!K1171</f>
        <v>281.2</v>
      </c>
      <c r="G1171" s="7" t="str">
        <f aca="false">'Raw Data'!L1171</f>
        <v>Yes</v>
      </c>
      <c r="H1171" s="7" t="str">
        <f aca="false">'Raw Data'!M1171</f>
        <v>Moderate</v>
      </c>
      <c r="I1171" s="7" t="n">
        <f aca="false">(IF(D1171="Current",3,IF(D1171="Former",1,0)))+(IF(E1171="High",3,IF(E1171="Normal",1,0)))+(IF(F1171&gt;=240,2,IF(F1171&gt;=200,1,0)))+(IF(G1171="Yes",2,0))+(IF(H1171="High",2,IF(H1171="Moderate",1,0)))</f>
        <v>8</v>
      </c>
      <c r="J1171" s="7" t="str">
        <f aca="false">IF(I1171&gt;=8,"High",IF(I1171&gt;=4,"Medium","Low"))</f>
        <v>High</v>
      </c>
    </row>
    <row r="1172" customFormat="false" ht="15" hidden="false" customHeight="true" outlineLevel="0" collapsed="false">
      <c r="A1172" s="7" t="n">
        <f aca="false">'Raw Data'!A1172</f>
        <v>1117</v>
      </c>
      <c r="B1172" s="7" t="n">
        <f aca="false">'Raw Data'!B1172</f>
        <v>57</v>
      </c>
      <c r="C1172" s="7" t="str">
        <f aca="false">'Raw Data'!C1172</f>
        <v>Female</v>
      </c>
      <c r="D1172" s="7" t="str">
        <f aca="false">'Raw Data'!D1172</f>
        <v>Current</v>
      </c>
      <c r="E1172" s="7" t="str">
        <f aca="false">'Raw Data'!J1172</f>
        <v>Low</v>
      </c>
      <c r="F1172" s="7" t="n">
        <f aca="false">'Raw Data'!K1172</f>
        <v>271.8</v>
      </c>
      <c r="G1172" s="7" t="str">
        <f aca="false">'Raw Data'!L1172</f>
        <v>No</v>
      </c>
      <c r="H1172" s="7" t="str">
        <f aca="false">'Raw Data'!M1172</f>
        <v>High</v>
      </c>
      <c r="I1172" s="7" t="n">
        <f aca="false">(IF(D1172="Current",3,IF(D1172="Former",1,0)))+(IF(E1172="High",3,IF(E1172="Normal",1,0)))+(IF(F1172&gt;=240,2,IF(F1172&gt;=200,1,0)))+(IF(G1172="Yes",2,0))+(IF(H1172="High",2,IF(H1172="Moderate",1,0)))</f>
        <v>7</v>
      </c>
      <c r="J1172" s="7" t="str">
        <f aca="false">IF(I1172&gt;=8,"High",IF(I1172&gt;=4,"Medium","Low"))</f>
        <v>Medium</v>
      </c>
    </row>
    <row r="1173" customFormat="false" ht="15" hidden="false" customHeight="true" outlineLevel="0" collapsed="false">
      <c r="A1173" s="7" t="n">
        <f aca="false">'Raw Data'!A1173</f>
        <v>1135</v>
      </c>
      <c r="B1173" s="7" t="n">
        <f aca="false">'Raw Data'!B1173</f>
        <v>47</v>
      </c>
      <c r="C1173" s="7" t="str">
        <f aca="false">'Raw Data'!C1173</f>
        <v>Male</v>
      </c>
      <c r="D1173" s="7" t="str">
        <f aca="false">'Raw Data'!D1173</f>
        <v>Current</v>
      </c>
      <c r="E1173" s="7" t="str">
        <f aca="false">'Raw Data'!J1173</f>
        <v>Low</v>
      </c>
      <c r="F1173" s="7" t="n">
        <f aca="false">'Raw Data'!K1173</f>
        <v>293.6</v>
      </c>
      <c r="G1173" s="7" t="str">
        <f aca="false">'Raw Data'!L1173</f>
        <v>No</v>
      </c>
      <c r="H1173" s="7" t="str">
        <f aca="false">'Raw Data'!M1173</f>
        <v>Moderate</v>
      </c>
      <c r="I1173" s="7" t="n">
        <f aca="false">(IF(D1173="Current",3,IF(D1173="Former",1,0)))+(IF(E1173="High",3,IF(E1173="Normal",1,0)))+(IF(F1173&gt;=240,2,IF(F1173&gt;=200,1,0)))+(IF(G1173="Yes",2,0))+(IF(H1173="High",2,IF(H1173="Moderate",1,0)))</f>
        <v>6</v>
      </c>
      <c r="J1173" s="7" t="str">
        <f aca="false">IF(I1173&gt;=8,"High",IF(I1173&gt;=4,"Medium","Low"))</f>
        <v>Medium</v>
      </c>
    </row>
    <row r="1174" customFormat="false" ht="15" hidden="false" customHeight="true" outlineLevel="0" collapsed="false">
      <c r="A1174" s="7" t="n">
        <f aca="false">'Raw Data'!A1174</f>
        <v>1162</v>
      </c>
      <c r="B1174" s="7" t="n">
        <f aca="false">'Raw Data'!B1174</f>
        <v>48</v>
      </c>
      <c r="C1174" s="7" t="str">
        <f aca="false">'Raw Data'!C1174</f>
        <v>Male</v>
      </c>
      <c r="D1174" s="7" t="str">
        <f aca="false">'Raw Data'!D1174</f>
        <v>Current</v>
      </c>
      <c r="E1174" s="7" t="str">
        <f aca="false">'Raw Data'!J1174</f>
        <v>Low</v>
      </c>
      <c r="F1174" s="7" t="n">
        <f aca="false">'Raw Data'!K1174</f>
        <v>140.8</v>
      </c>
      <c r="G1174" s="7" t="str">
        <f aca="false">'Raw Data'!L1174</f>
        <v>Yes</v>
      </c>
      <c r="H1174" s="7" t="str">
        <f aca="false">'Raw Data'!M1174</f>
        <v>Moderate</v>
      </c>
      <c r="I1174" s="7" t="n">
        <f aca="false">(IF(D1174="Current",3,IF(D1174="Former",1,0)))+(IF(E1174="High",3,IF(E1174="Normal",1,0)))+(IF(F1174&gt;=240,2,IF(F1174&gt;=200,1,0)))+(IF(G1174="Yes",2,0))+(IF(H1174="High",2,IF(H1174="Moderate",1,0)))</f>
        <v>6</v>
      </c>
      <c r="J1174" s="7" t="str">
        <f aca="false">IF(I1174&gt;=8,"High",IF(I1174&gt;=4,"Medium","Low"))</f>
        <v>Medium</v>
      </c>
    </row>
    <row r="1175" customFormat="false" ht="15" hidden="false" customHeight="true" outlineLevel="0" collapsed="false">
      <c r="A1175" s="7" t="n">
        <f aca="false">'Raw Data'!A1175</f>
        <v>1174</v>
      </c>
      <c r="B1175" s="7" t="n">
        <f aca="false">'Raw Data'!B1175</f>
        <v>66</v>
      </c>
      <c r="C1175" s="7" t="str">
        <f aca="false">'Raw Data'!C1175</f>
        <v>Male</v>
      </c>
      <c r="D1175" s="7" t="str">
        <f aca="false">'Raw Data'!D1175</f>
        <v>Current</v>
      </c>
      <c r="E1175" s="7" t="str">
        <f aca="false">'Raw Data'!J1175</f>
        <v>Low</v>
      </c>
      <c r="F1175" s="7" t="n">
        <f aca="false">'Raw Data'!K1175</f>
        <v>280.7</v>
      </c>
      <c r="G1175" s="7" t="str">
        <f aca="false">'Raw Data'!L1175</f>
        <v>Yes</v>
      </c>
      <c r="H1175" s="7" t="str">
        <f aca="false">'Raw Data'!M1175</f>
        <v>High</v>
      </c>
      <c r="I1175" s="7" t="n">
        <f aca="false">(IF(D1175="Current",3,IF(D1175="Former",1,0)))+(IF(E1175="High",3,IF(E1175="Normal",1,0)))+(IF(F1175&gt;=240,2,IF(F1175&gt;=200,1,0)))+(IF(G1175="Yes",2,0))+(IF(H1175="High",2,IF(H1175="Moderate",1,0)))</f>
        <v>9</v>
      </c>
      <c r="J1175" s="7" t="str">
        <f aca="false">IF(I1175&gt;=8,"High",IF(I1175&gt;=4,"Medium","Low"))</f>
        <v>High</v>
      </c>
    </row>
    <row r="1176" customFormat="false" ht="15" hidden="false" customHeight="true" outlineLevel="0" collapsed="false">
      <c r="A1176" s="7" t="n">
        <f aca="false">'Raw Data'!A1176</f>
        <v>1183</v>
      </c>
      <c r="B1176" s="7" t="n">
        <f aca="false">'Raw Data'!B1176</f>
        <v>43</v>
      </c>
      <c r="C1176" s="7" t="str">
        <f aca="false">'Raw Data'!C1176</f>
        <v>Male</v>
      </c>
      <c r="D1176" s="7" t="str">
        <f aca="false">'Raw Data'!D1176</f>
        <v>Current</v>
      </c>
      <c r="E1176" s="7" t="str">
        <f aca="false">'Raw Data'!J1176</f>
        <v>Low</v>
      </c>
      <c r="F1176" s="7" t="n">
        <f aca="false">'Raw Data'!K1176</f>
        <v>122.2</v>
      </c>
      <c r="G1176" s="7" t="str">
        <f aca="false">'Raw Data'!L1176</f>
        <v>No</v>
      </c>
      <c r="H1176" s="7" t="str">
        <f aca="false">'Raw Data'!M1176</f>
        <v>High</v>
      </c>
      <c r="I1176" s="7" t="n">
        <f aca="false">(IF(D1176="Current",3,IF(D1176="Former",1,0)))+(IF(E1176="High",3,IF(E1176="Normal",1,0)))+(IF(F1176&gt;=240,2,IF(F1176&gt;=200,1,0)))+(IF(G1176="Yes",2,0))+(IF(H1176="High",2,IF(H1176="Moderate",1,0)))</f>
        <v>5</v>
      </c>
      <c r="J1176" s="7" t="str">
        <f aca="false">IF(I1176&gt;=8,"High",IF(I1176&gt;=4,"Medium","Low"))</f>
        <v>Medium</v>
      </c>
    </row>
    <row r="1177" customFormat="false" ht="15" hidden="false" customHeight="true" outlineLevel="0" collapsed="false">
      <c r="A1177" s="7" t="n">
        <f aca="false">'Raw Data'!A1177</f>
        <v>1195</v>
      </c>
      <c r="B1177" s="7" t="n">
        <f aca="false">'Raw Data'!B1177</f>
        <v>22</v>
      </c>
      <c r="C1177" s="7" t="str">
        <f aca="false">'Raw Data'!C1177</f>
        <v>Female</v>
      </c>
      <c r="D1177" s="7" t="str">
        <f aca="false">'Raw Data'!D1177</f>
        <v>Current</v>
      </c>
      <c r="E1177" s="7" t="str">
        <f aca="false">'Raw Data'!J1177</f>
        <v>Low</v>
      </c>
      <c r="F1177" s="7" t="n">
        <f aca="false">'Raw Data'!K1177</f>
        <v>148.4</v>
      </c>
      <c r="G1177" s="7" t="str">
        <f aca="false">'Raw Data'!L1177</f>
        <v>Yes</v>
      </c>
      <c r="H1177" s="7" t="str">
        <f aca="false">'Raw Data'!M1177</f>
        <v>Moderate</v>
      </c>
      <c r="I1177" s="7" t="n">
        <f aca="false">(IF(D1177="Current",3,IF(D1177="Former",1,0)))+(IF(E1177="High",3,IF(E1177="Normal",1,0)))+(IF(F1177&gt;=240,2,IF(F1177&gt;=200,1,0)))+(IF(G1177="Yes",2,0))+(IF(H1177="High",2,IF(H1177="Moderate",1,0)))</f>
        <v>6</v>
      </c>
      <c r="J1177" s="7" t="str">
        <f aca="false">IF(I1177&gt;=8,"High",IF(I1177&gt;=4,"Medium","Low"))</f>
        <v>Medium</v>
      </c>
    </row>
    <row r="1178" customFormat="false" ht="15" hidden="false" customHeight="true" outlineLevel="0" collapsed="false">
      <c r="A1178" s="7" t="n">
        <f aca="false">'Raw Data'!A1178</f>
        <v>1224</v>
      </c>
      <c r="B1178" s="7" t="n">
        <f aca="false">'Raw Data'!B1178</f>
        <v>42</v>
      </c>
      <c r="C1178" s="7" t="str">
        <f aca="false">'Raw Data'!C1178</f>
        <v>Male</v>
      </c>
      <c r="D1178" s="7" t="str">
        <f aca="false">'Raw Data'!D1178</f>
        <v>Current</v>
      </c>
      <c r="E1178" s="7" t="str">
        <f aca="false">'Raw Data'!J1178</f>
        <v>Low</v>
      </c>
      <c r="F1178" s="7" t="n">
        <f aca="false">'Raw Data'!K1178</f>
        <v>231</v>
      </c>
      <c r="G1178" s="7" t="str">
        <f aca="false">'Raw Data'!L1178</f>
        <v>Yes</v>
      </c>
      <c r="H1178" s="7" t="str">
        <f aca="false">'Raw Data'!M1178</f>
        <v>Moderate</v>
      </c>
      <c r="I1178" s="7" t="n">
        <f aca="false">(IF(D1178="Current",3,IF(D1178="Former",1,0)))+(IF(E1178="High",3,IF(E1178="Normal",1,0)))+(IF(F1178&gt;=240,2,IF(F1178&gt;=200,1,0)))+(IF(G1178="Yes",2,0))+(IF(H1178="High",2,IF(H1178="Moderate",1,0)))</f>
        <v>7</v>
      </c>
      <c r="J1178" s="7" t="str">
        <f aca="false">IF(I1178&gt;=8,"High",IF(I1178&gt;=4,"Medium","Low"))</f>
        <v>Medium</v>
      </c>
    </row>
    <row r="1179" customFormat="false" ht="15" hidden="false" customHeight="true" outlineLevel="0" collapsed="false">
      <c r="A1179" s="7" t="n">
        <f aca="false">'Raw Data'!A1179</f>
        <v>1270</v>
      </c>
      <c r="B1179" s="7" t="n">
        <f aca="false">'Raw Data'!B1179</f>
        <v>32</v>
      </c>
      <c r="C1179" s="7" t="str">
        <f aca="false">'Raw Data'!C1179</f>
        <v>Female</v>
      </c>
      <c r="D1179" s="7" t="str">
        <f aca="false">'Raw Data'!D1179</f>
        <v>Current</v>
      </c>
      <c r="E1179" s="7" t="str">
        <f aca="false">'Raw Data'!J1179</f>
        <v>Low</v>
      </c>
      <c r="F1179" s="7" t="n">
        <f aca="false">'Raw Data'!K1179</f>
        <v>207.9</v>
      </c>
      <c r="G1179" s="7" t="str">
        <f aca="false">'Raw Data'!L1179</f>
        <v>Yes</v>
      </c>
      <c r="H1179" s="7" t="str">
        <f aca="false">'Raw Data'!M1179</f>
        <v>Moderate</v>
      </c>
      <c r="I1179" s="7" t="n">
        <f aca="false">(IF(D1179="Current",3,IF(D1179="Former",1,0)))+(IF(E1179="High",3,IF(E1179="Normal",1,0)))+(IF(F1179&gt;=240,2,IF(F1179&gt;=200,1,0)))+(IF(G1179="Yes",2,0))+(IF(H1179="High",2,IF(H1179="Moderate",1,0)))</f>
        <v>7</v>
      </c>
      <c r="J1179" s="7" t="str">
        <f aca="false">IF(I1179&gt;=8,"High",IF(I1179&gt;=4,"Medium","Low"))</f>
        <v>Medium</v>
      </c>
    </row>
    <row r="1180" customFormat="false" ht="15" hidden="false" customHeight="true" outlineLevel="0" collapsed="false">
      <c r="A1180" s="7" t="n">
        <f aca="false">'Raw Data'!A1180</f>
        <v>1391</v>
      </c>
      <c r="B1180" s="7" t="n">
        <f aca="false">'Raw Data'!B1180</f>
        <v>50</v>
      </c>
      <c r="C1180" s="7" t="str">
        <f aca="false">'Raw Data'!C1180</f>
        <v>Male</v>
      </c>
      <c r="D1180" s="7" t="str">
        <f aca="false">'Raw Data'!D1180</f>
        <v>Current</v>
      </c>
      <c r="E1180" s="7" t="str">
        <f aca="false">'Raw Data'!J1180</f>
        <v>Low</v>
      </c>
      <c r="F1180" s="7" t="n">
        <f aca="false">'Raw Data'!K1180</f>
        <v>165.9</v>
      </c>
      <c r="G1180" s="7" t="str">
        <f aca="false">'Raw Data'!L1180</f>
        <v>No</v>
      </c>
      <c r="H1180" s="7" t="str">
        <f aca="false">'Raw Data'!M1180</f>
        <v>Moderate</v>
      </c>
      <c r="I1180" s="7" t="n">
        <f aca="false">(IF(D1180="Current",3,IF(D1180="Former",1,0)))+(IF(E1180="High",3,IF(E1180="Normal",1,0)))+(IF(F1180&gt;=240,2,IF(F1180&gt;=200,1,0)))+(IF(G1180="Yes",2,0))+(IF(H1180="High",2,IF(H1180="Moderate",1,0)))</f>
        <v>4</v>
      </c>
      <c r="J1180" s="7" t="str">
        <f aca="false">IF(I1180&gt;=8,"High",IF(I1180&gt;=4,"Medium","Low"))</f>
        <v>Medium</v>
      </c>
    </row>
    <row r="1181" customFormat="false" ht="15" hidden="false" customHeight="true" outlineLevel="0" collapsed="false">
      <c r="A1181" s="7" t="n">
        <f aca="false">'Raw Data'!A1181</f>
        <v>1394</v>
      </c>
      <c r="B1181" s="7" t="n">
        <f aca="false">'Raw Data'!B1181</f>
        <v>70</v>
      </c>
      <c r="C1181" s="7" t="str">
        <f aca="false">'Raw Data'!C1181</f>
        <v>Female</v>
      </c>
      <c r="D1181" s="7" t="str">
        <f aca="false">'Raw Data'!D1181</f>
        <v>Current</v>
      </c>
      <c r="E1181" s="7" t="str">
        <f aca="false">'Raw Data'!J1181</f>
        <v>Low</v>
      </c>
      <c r="F1181" s="7" t="n">
        <f aca="false">'Raw Data'!K1181</f>
        <v>237.1</v>
      </c>
      <c r="G1181" s="7" t="str">
        <f aca="false">'Raw Data'!L1181</f>
        <v>Yes</v>
      </c>
      <c r="H1181" s="7" t="str">
        <f aca="false">'Raw Data'!M1181</f>
        <v>Moderate</v>
      </c>
      <c r="I1181" s="7" t="n">
        <f aca="false">(IF(D1181="Current",3,IF(D1181="Former",1,0)))+(IF(E1181="High",3,IF(E1181="Normal",1,0)))+(IF(F1181&gt;=240,2,IF(F1181&gt;=200,1,0)))+(IF(G1181="Yes",2,0))+(IF(H1181="High",2,IF(H1181="Moderate",1,0)))</f>
        <v>7</v>
      </c>
      <c r="J1181" s="7" t="str">
        <f aca="false">IF(I1181&gt;=8,"High",IF(I1181&gt;=4,"Medium","Low"))</f>
        <v>Medium</v>
      </c>
    </row>
    <row r="1182" customFormat="false" ht="15" hidden="false" customHeight="true" outlineLevel="0" collapsed="false">
      <c r="A1182" s="7" t="n">
        <f aca="false">'Raw Data'!A1182</f>
        <v>1398</v>
      </c>
      <c r="B1182" s="7" t="n">
        <f aca="false">'Raw Data'!B1182</f>
        <v>85</v>
      </c>
      <c r="C1182" s="7" t="str">
        <f aca="false">'Raw Data'!C1182</f>
        <v>Male</v>
      </c>
      <c r="D1182" s="7" t="str">
        <f aca="false">'Raw Data'!D1182</f>
        <v>Current</v>
      </c>
      <c r="E1182" s="7" t="str">
        <f aca="false">'Raw Data'!J1182</f>
        <v>Low</v>
      </c>
      <c r="F1182" s="7" t="n">
        <f aca="false">'Raw Data'!K1182</f>
        <v>281.8</v>
      </c>
      <c r="G1182" s="7" t="str">
        <f aca="false">'Raw Data'!L1182</f>
        <v>No</v>
      </c>
      <c r="H1182" s="7" t="str">
        <f aca="false">'Raw Data'!M1182</f>
        <v>Moderate</v>
      </c>
      <c r="I1182" s="7" t="n">
        <f aca="false">(IF(D1182="Current",3,IF(D1182="Former",1,0)))+(IF(E1182="High",3,IF(E1182="Normal",1,0)))+(IF(F1182&gt;=240,2,IF(F1182&gt;=200,1,0)))+(IF(G1182="Yes",2,0))+(IF(H1182="High",2,IF(H1182="Moderate",1,0)))</f>
        <v>6</v>
      </c>
      <c r="J1182" s="7" t="str">
        <f aca="false">IF(I1182&gt;=8,"High",IF(I1182&gt;=4,"Medium","Low"))</f>
        <v>Medium</v>
      </c>
    </row>
    <row r="1183" customFormat="false" ht="15" hidden="false" customHeight="true" outlineLevel="0" collapsed="false">
      <c r="A1183" s="7" t="n">
        <f aca="false">'Raw Data'!A1183</f>
        <v>1422</v>
      </c>
      <c r="B1183" s="7" t="n">
        <f aca="false">'Raw Data'!B1183</f>
        <v>85</v>
      </c>
      <c r="C1183" s="7" t="str">
        <f aca="false">'Raw Data'!C1183</f>
        <v>Male</v>
      </c>
      <c r="D1183" s="7" t="str">
        <f aca="false">'Raw Data'!D1183</f>
        <v>Current</v>
      </c>
      <c r="E1183" s="7" t="str">
        <f aca="false">'Raw Data'!J1183</f>
        <v>Low</v>
      </c>
      <c r="F1183" s="7" t="n">
        <f aca="false">'Raw Data'!K1183</f>
        <v>292.6</v>
      </c>
      <c r="G1183" s="7" t="str">
        <f aca="false">'Raw Data'!L1183</f>
        <v>Yes</v>
      </c>
      <c r="H1183" s="7" t="str">
        <f aca="false">'Raw Data'!M1183</f>
        <v>High</v>
      </c>
      <c r="I1183" s="7" t="n">
        <f aca="false">(IF(D1183="Current",3,IF(D1183="Former",1,0)))+(IF(E1183="High",3,IF(E1183="Normal",1,0)))+(IF(F1183&gt;=240,2,IF(F1183&gt;=200,1,0)))+(IF(G1183="Yes",2,0))+(IF(H1183="High",2,IF(H1183="Moderate",1,0)))</f>
        <v>9</v>
      </c>
      <c r="J1183" s="7" t="str">
        <f aca="false">IF(I1183&gt;=8,"High",IF(I1183&gt;=4,"Medium","Low"))</f>
        <v>High</v>
      </c>
    </row>
    <row r="1184" customFormat="false" ht="15" hidden="false" customHeight="true" outlineLevel="0" collapsed="false">
      <c r="A1184" s="7" t="n">
        <f aca="false">'Raw Data'!A1184</f>
        <v>1447</v>
      </c>
      <c r="B1184" s="7" t="n">
        <f aca="false">'Raw Data'!B1184</f>
        <v>87</v>
      </c>
      <c r="C1184" s="7" t="str">
        <f aca="false">'Raw Data'!C1184</f>
        <v>Male</v>
      </c>
      <c r="D1184" s="7" t="str">
        <f aca="false">'Raw Data'!D1184</f>
        <v>Current</v>
      </c>
      <c r="E1184" s="7" t="str">
        <f aca="false">'Raw Data'!J1184</f>
        <v>Low</v>
      </c>
      <c r="F1184" s="7" t="n">
        <f aca="false">'Raw Data'!K1184</f>
        <v>253.3</v>
      </c>
      <c r="G1184" s="7" t="str">
        <f aca="false">'Raw Data'!L1184</f>
        <v>No</v>
      </c>
      <c r="H1184" s="7" t="str">
        <f aca="false">'Raw Data'!M1184</f>
        <v>High</v>
      </c>
      <c r="I1184" s="7" t="n">
        <f aca="false">(IF(D1184="Current",3,IF(D1184="Former",1,0)))+(IF(E1184="High",3,IF(E1184="Normal",1,0)))+(IF(F1184&gt;=240,2,IF(F1184&gt;=200,1,0)))+(IF(G1184="Yes",2,0))+(IF(H1184="High",2,IF(H1184="Moderate",1,0)))</f>
        <v>7</v>
      </c>
      <c r="J1184" s="7" t="str">
        <f aca="false">IF(I1184&gt;=8,"High",IF(I1184&gt;=4,"Medium","Low"))</f>
        <v>Medium</v>
      </c>
    </row>
    <row r="1185" customFormat="false" ht="15" hidden="false" customHeight="true" outlineLevel="0" collapsed="false">
      <c r="A1185" s="7" t="n">
        <f aca="false">'Raw Data'!A1185</f>
        <v>1503</v>
      </c>
      <c r="B1185" s="7" t="n">
        <f aca="false">'Raw Data'!B1185</f>
        <v>40</v>
      </c>
      <c r="C1185" s="7" t="str">
        <f aca="false">'Raw Data'!C1185</f>
        <v>Male</v>
      </c>
      <c r="D1185" s="7" t="str">
        <f aca="false">'Raw Data'!D1185</f>
        <v>Current</v>
      </c>
      <c r="E1185" s="7" t="str">
        <f aca="false">'Raw Data'!J1185</f>
        <v>Low</v>
      </c>
      <c r="F1185" s="7" t="n">
        <f aca="false">'Raw Data'!K1185</f>
        <v>286.4</v>
      </c>
      <c r="G1185" s="7" t="str">
        <f aca="false">'Raw Data'!L1185</f>
        <v>Yes</v>
      </c>
      <c r="H1185" s="7" t="str">
        <f aca="false">'Raw Data'!M1185</f>
        <v>Moderate</v>
      </c>
      <c r="I1185" s="7" t="n">
        <f aca="false">(IF(D1185="Current",3,IF(D1185="Former",1,0)))+(IF(E1185="High",3,IF(E1185="Normal",1,0)))+(IF(F1185&gt;=240,2,IF(F1185&gt;=200,1,0)))+(IF(G1185="Yes",2,0))+(IF(H1185="High",2,IF(H1185="Moderate",1,0)))</f>
        <v>8</v>
      </c>
      <c r="J1185" s="7" t="str">
        <f aca="false">IF(I1185&gt;=8,"High",IF(I1185&gt;=4,"Medium","Low"))</f>
        <v>High</v>
      </c>
    </row>
    <row r="1186" customFormat="false" ht="15" hidden="false" customHeight="true" outlineLevel="0" collapsed="false">
      <c r="A1186" s="7" t="n">
        <f aca="false">'Raw Data'!A1186</f>
        <v>1532</v>
      </c>
      <c r="B1186" s="7" t="n">
        <f aca="false">'Raw Data'!B1186</f>
        <v>79</v>
      </c>
      <c r="C1186" s="7" t="str">
        <f aca="false">'Raw Data'!C1186</f>
        <v>Male</v>
      </c>
      <c r="D1186" s="7" t="str">
        <f aca="false">'Raw Data'!D1186</f>
        <v>Current</v>
      </c>
      <c r="E1186" s="7" t="str">
        <f aca="false">'Raw Data'!J1186</f>
        <v>Low</v>
      </c>
      <c r="F1186" s="7" t="n">
        <f aca="false">'Raw Data'!K1186</f>
        <v>162</v>
      </c>
      <c r="G1186" s="7" t="str">
        <f aca="false">'Raw Data'!L1186</f>
        <v>No</v>
      </c>
      <c r="H1186" s="7" t="str">
        <f aca="false">'Raw Data'!M1186</f>
        <v>Moderate</v>
      </c>
      <c r="I1186" s="7" t="n">
        <f aca="false">(IF(D1186="Current",3,IF(D1186="Former",1,0)))+(IF(E1186="High",3,IF(E1186="Normal",1,0)))+(IF(F1186&gt;=240,2,IF(F1186&gt;=200,1,0)))+(IF(G1186="Yes",2,0))+(IF(H1186="High",2,IF(H1186="Moderate",1,0)))</f>
        <v>4</v>
      </c>
      <c r="J1186" s="7" t="str">
        <f aca="false">IF(I1186&gt;=8,"High",IF(I1186&gt;=4,"Medium","Low"))</f>
        <v>Medium</v>
      </c>
    </row>
    <row r="1187" customFormat="false" ht="15" hidden="false" customHeight="true" outlineLevel="0" collapsed="false">
      <c r="A1187" s="7" t="n">
        <f aca="false">'Raw Data'!A1187</f>
        <v>1581</v>
      </c>
      <c r="B1187" s="7" t="n">
        <f aca="false">'Raw Data'!B1187</f>
        <v>25</v>
      </c>
      <c r="C1187" s="7" t="str">
        <f aca="false">'Raw Data'!C1187</f>
        <v>Male</v>
      </c>
      <c r="D1187" s="7" t="str">
        <f aca="false">'Raw Data'!D1187</f>
        <v>Current</v>
      </c>
      <c r="E1187" s="7" t="str">
        <f aca="false">'Raw Data'!J1187</f>
        <v>Low</v>
      </c>
      <c r="F1187" s="7" t="n">
        <f aca="false">'Raw Data'!K1187</f>
        <v>208.9</v>
      </c>
      <c r="G1187" s="7" t="str">
        <f aca="false">'Raw Data'!L1187</f>
        <v>Yes</v>
      </c>
      <c r="H1187" s="7" t="str">
        <f aca="false">'Raw Data'!M1187</f>
        <v>Moderate</v>
      </c>
      <c r="I1187" s="7" t="n">
        <f aca="false">(IF(D1187="Current",3,IF(D1187="Former",1,0)))+(IF(E1187="High",3,IF(E1187="Normal",1,0)))+(IF(F1187&gt;=240,2,IF(F1187&gt;=200,1,0)))+(IF(G1187="Yes",2,0))+(IF(H1187="High",2,IF(H1187="Moderate",1,0)))</f>
        <v>7</v>
      </c>
      <c r="J1187" s="7" t="str">
        <f aca="false">IF(I1187&gt;=8,"High",IF(I1187&gt;=4,"Medium","Low"))</f>
        <v>Medium</v>
      </c>
    </row>
    <row r="1188" customFormat="false" ht="15" hidden="false" customHeight="true" outlineLevel="0" collapsed="false">
      <c r="A1188" s="7" t="n">
        <f aca="false">'Raw Data'!A1188</f>
        <v>1602</v>
      </c>
      <c r="B1188" s="7" t="n">
        <f aca="false">'Raw Data'!B1188</f>
        <v>80</v>
      </c>
      <c r="C1188" s="7" t="str">
        <f aca="false">'Raw Data'!C1188</f>
        <v>Female</v>
      </c>
      <c r="D1188" s="7" t="str">
        <f aca="false">'Raw Data'!D1188</f>
        <v>Current</v>
      </c>
      <c r="E1188" s="7" t="str">
        <f aca="false">'Raw Data'!J1188</f>
        <v>Low</v>
      </c>
      <c r="F1188" s="7" t="n">
        <f aca="false">'Raw Data'!K1188</f>
        <v>180.3</v>
      </c>
      <c r="G1188" s="7" t="str">
        <f aca="false">'Raw Data'!L1188</f>
        <v>No</v>
      </c>
      <c r="H1188" s="7" t="str">
        <f aca="false">'Raw Data'!M1188</f>
        <v>High</v>
      </c>
      <c r="I1188" s="7" t="n">
        <f aca="false">(IF(D1188="Current",3,IF(D1188="Former",1,0)))+(IF(E1188="High",3,IF(E1188="Normal",1,0)))+(IF(F1188&gt;=240,2,IF(F1188&gt;=200,1,0)))+(IF(G1188="Yes",2,0))+(IF(H1188="High",2,IF(H1188="Moderate",1,0)))</f>
        <v>5</v>
      </c>
      <c r="J1188" s="7" t="str">
        <f aca="false">IF(I1188&gt;=8,"High",IF(I1188&gt;=4,"Medium","Low"))</f>
        <v>Medium</v>
      </c>
    </row>
    <row r="1189" customFormat="false" ht="15" hidden="false" customHeight="true" outlineLevel="0" collapsed="false">
      <c r="A1189" s="7" t="n">
        <f aca="false">'Raw Data'!A1189</f>
        <v>1607</v>
      </c>
      <c r="B1189" s="7" t="n">
        <f aca="false">'Raw Data'!B1189</f>
        <v>18</v>
      </c>
      <c r="C1189" s="7" t="str">
        <f aca="false">'Raw Data'!C1189</f>
        <v>Female</v>
      </c>
      <c r="D1189" s="7" t="str">
        <f aca="false">'Raw Data'!D1189</f>
        <v>Current</v>
      </c>
      <c r="E1189" s="7" t="str">
        <f aca="false">'Raw Data'!J1189</f>
        <v>Low</v>
      </c>
      <c r="F1189" s="7" t="n">
        <f aca="false">'Raw Data'!K1189</f>
        <v>297.8</v>
      </c>
      <c r="G1189" s="7" t="str">
        <f aca="false">'Raw Data'!L1189</f>
        <v>No</v>
      </c>
      <c r="H1189" s="7" t="str">
        <f aca="false">'Raw Data'!M1189</f>
        <v>Moderate</v>
      </c>
      <c r="I1189" s="7" t="n">
        <f aca="false">(IF(D1189="Current",3,IF(D1189="Former",1,0)))+(IF(E1189="High",3,IF(E1189="Normal",1,0)))+(IF(F1189&gt;=240,2,IF(F1189&gt;=200,1,0)))+(IF(G1189="Yes",2,0))+(IF(H1189="High",2,IF(H1189="Moderate",1,0)))</f>
        <v>6</v>
      </c>
      <c r="J1189" s="7" t="str">
        <f aca="false">IF(I1189&gt;=8,"High",IF(I1189&gt;=4,"Medium","Low"))</f>
        <v>Medium</v>
      </c>
    </row>
    <row r="1190" customFormat="false" ht="15" hidden="false" customHeight="true" outlineLevel="0" collapsed="false">
      <c r="A1190" s="7" t="n">
        <f aca="false">'Raw Data'!A1190</f>
        <v>1621</v>
      </c>
      <c r="B1190" s="7" t="n">
        <f aca="false">'Raw Data'!B1190</f>
        <v>21</v>
      </c>
      <c r="C1190" s="7" t="str">
        <f aca="false">'Raw Data'!C1190</f>
        <v>Female</v>
      </c>
      <c r="D1190" s="7" t="str">
        <f aca="false">'Raw Data'!D1190</f>
        <v>Current</v>
      </c>
      <c r="E1190" s="7" t="str">
        <f aca="false">'Raw Data'!J1190</f>
        <v>Low</v>
      </c>
      <c r="F1190" s="7" t="n">
        <f aca="false">'Raw Data'!K1190</f>
        <v>182.8</v>
      </c>
      <c r="G1190" s="7" t="str">
        <f aca="false">'Raw Data'!L1190</f>
        <v>No</v>
      </c>
      <c r="H1190" s="7" t="str">
        <f aca="false">'Raw Data'!M1190</f>
        <v>High</v>
      </c>
      <c r="I1190" s="7" t="n">
        <f aca="false">(IF(D1190="Current",3,IF(D1190="Former",1,0)))+(IF(E1190="High",3,IF(E1190="Normal",1,0)))+(IF(F1190&gt;=240,2,IF(F1190&gt;=200,1,0)))+(IF(G1190="Yes",2,0))+(IF(H1190="High",2,IF(H1190="Moderate",1,0)))</f>
        <v>5</v>
      </c>
      <c r="J1190" s="7" t="str">
        <f aca="false">IF(I1190&gt;=8,"High",IF(I1190&gt;=4,"Medium","Low"))</f>
        <v>Medium</v>
      </c>
    </row>
    <row r="1191" customFormat="false" ht="15" hidden="false" customHeight="true" outlineLevel="0" collapsed="false">
      <c r="A1191" s="7" t="n">
        <f aca="false">'Raw Data'!A1191</f>
        <v>1704</v>
      </c>
      <c r="B1191" s="7" t="n">
        <f aca="false">'Raw Data'!B1191</f>
        <v>34</v>
      </c>
      <c r="C1191" s="7" t="str">
        <f aca="false">'Raw Data'!C1191</f>
        <v>Male</v>
      </c>
      <c r="D1191" s="7" t="str">
        <f aca="false">'Raw Data'!D1191</f>
        <v>Current</v>
      </c>
      <c r="E1191" s="7" t="str">
        <f aca="false">'Raw Data'!J1191</f>
        <v>Low</v>
      </c>
      <c r="F1191" s="7" t="n">
        <f aca="false">'Raw Data'!K1191</f>
        <v>228.4</v>
      </c>
      <c r="G1191" s="7" t="str">
        <f aca="false">'Raw Data'!L1191</f>
        <v>No</v>
      </c>
      <c r="H1191" s="7" t="str">
        <f aca="false">'Raw Data'!M1191</f>
        <v>Moderate</v>
      </c>
      <c r="I1191" s="7" t="n">
        <f aca="false">(IF(D1191="Current",3,IF(D1191="Former",1,0)))+(IF(E1191="High",3,IF(E1191="Normal",1,0)))+(IF(F1191&gt;=240,2,IF(F1191&gt;=200,1,0)))+(IF(G1191="Yes",2,0))+(IF(H1191="High",2,IF(H1191="Moderate",1,0)))</f>
        <v>5</v>
      </c>
      <c r="J1191" s="7" t="str">
        <f aca="false">IF(I1191&gt;=8,"High",IF(I1191&gt;=4,"Medium","Low"))</f>
        <v>Medium</v>
      </c>
    </row>
    <row r="1192" customFormat="false" ht="15" hidden="false" customHeight="true" outlineLevel="0" collapsed="false">
      <c r="A1192" s="7" t="n">
        <f aca="false">'Raw Data'!A1192</f>
        <v>1736</v>
      </c>
      <c r="B1192" s="7" t="n">
        <f aca="false">'Raw Data'!B1192</f>
        <v>33</v>
      </c>
      <c r="C1192" s="7" t="str">
        <f aca="false">'Raw Data'!C1192</f>
        <v>Female</v>
      </c>
      <c r="D1192" s="7" t="str">
        <f aca="false">'Raw Data'!D1192</f>
        <v>Current</v>
      </c>
      <c r="E1192" s="7" t="str">
        <f aca="false">'Raw Data'!J1192</f>
        <v>Low</v>
      </c>
      <c r="F1192" s="7" t="n">
        <f aca="false">'Raw Data'!K1192</f>
        <v>164.3</v>
      </c>
      <c r="G1192" s="7" t="str">
        <f aca="false">'Raw Data'!L1192</f>
        <v>Yes</v>
      </c>
      <c r="H1192" s="7" t="str">
        <f aca="false">'Raw Data'!M1192</f>
        <v>Moderate</v>
      </c>
      <c r="I1192" s="7" t="n">
        <f aca="false">(IF(D1192="Current",3,IF(D1192="Former",1,0)))+(IF(E1192="High",3,IF(E1192="Normal",1,0)))+(IF(F1192&gt;=240,2,IF(F1192&gt;=200,1,0)))+(IF(G1192="Yes",2,0))+(IF(H1192="High",2,IF(H1192="Moderate",1,0)))</f>
        <v>6</v>
      </c>
      <c r="J1192" s="7" t="str">
        <f aca="false">IF(I1192&gt;=8,"High",IF(I1192&gt;=4,"Medium","Low"))</f>
        <v>Medium</v>
      </c>
    </row>
    <row r="1193" customFormat="false" ht="15" hidden="false" customHeight="true" outlineLevel="0" collapsed="false">
      <c r="A1193" s="7" t="n">
        <f aca="false">'Raw Data'!A1193</f>
        <v>1766</v>
      </c>
      <c r="B1193" s="7" t="n">
        <f aca="false">'Raw Data'!B1193</f>
        <v>54</v>
      </c>
      <c r="C1193" s="7" t="str">
        <f aca="false">'Raw Data'!C1193</f>
        <v>Male</v>
      </c>
      <c r="D1193" s="7" t="str">
        <f aca="false">'Raw Data'!D1193</f>
        <v>Current</v>
      </c>
      <c r="E1193" s="7" t="str">
        <f aca="false">'Raw Data'!J1193</f>
        <v>Low</v>
      </c>
      <c r="F1193" s="7" t="n">
        <f aca="false">'Raw Data'!K1193</f>
        <v>274.3</v>
      </c>
      <c r="G1193" s="7" t="str">
        <f aca="false">'Raw Data'!L1193</f>
        <v>Yes</v>
      </c>
      <c r="H1193" s="7" t="str">
        <f aca="false">'Raw Data'!M1193</f>
        <v>Moderate</v>
      </c>
      <c r="I1193" s="7" t="n">
        <f aca="false">(IF(D1193="Current",3,IF(D1193="Former",1,0)))+(IF(E1193="High",3,IF(E1193="Normal",1,0)))+(IF(F1193&gt;=240,2,IF(F1193&gt;=200,1,0)))+(IF(G1193="Yes",2,0))+(IF(H1193="High",2,IF(H1193="Moderate",1,0)))</f>
        <v>8</v>
      </c>
      <c r="J1193" s="7" t="str">
        <f aca="false">IF(I1193&gt;=8,"High",IF(I1193&gt;=4,"Medium","Low"))</f>
        <v>High</v>
      </c>
    </row>
    <row r="1194" customFormat="false" ht="15" hidden="false" customHeight="true" outlineLevel="0" collapsed="false">
      <c r="A1194" s="7" t="n">
        <f aca="false">'Raw Data'!A1194</f>
        <v>1823</v>
      </c>
      <c r="B1194" s="7" t="n">
        <f aca="false">'Raw Data'!B1194</f>
        <v>46</v>
      </c>
      <c r="C1194" s="7" t="str">
        <f aca="false">'Raw Data'!C1194</f>
        <v>Male</v>
      </c>
      <c r="D1194" s="7" t="str">
        <f aca="false">'Raw Data'!D1194</f>
        <v>Current</v>
      </c>
      <c r="E1194" s="7" t="str">
        <f aca="false">'Raw Data'!J1194</f>
        <v>Low</v>
      </c>
      <c r="F1194" s="7" t="n">
        <f aca="false">'Raw Data'!K1194</f>
        <v>140.1</v>
      </c>
      <c r="G1194" s="7" t="str">
        <f aca="false">'Raw Data'!L1194</f>
        <v>No</v>
      </c>
      <c r="H1194" s="7" t="str">
        <f aca="false">'Raw Data'!M1194</f>
        <v>Moderate</v>
      </c>
      <c r="I1194" s="7" t="n">
        <f aca="false">(IF(D1194="Current",3,IF(D1194="Former",1,0)))+(IF(E1194="High",3,IF(E1194="Normal",1,0)))+(IF(F1194&gt;=240,2,IF(F1194&gt;=200,1,0)))+(IF(G1194="Yes",2,0))+(IF(H1194="High",2,IF(H1194="Moderate",1,0)))</f>
        <v>4</v>
      </c>
      <c r="J1194" s="7" t="str">
        <f aca="false">IF(I1194&gt;=8,"High",IF(I1194&gt;=4,"Medium","Low"))</f>
        <v>Medium</v>
      </c>
    </row>
    <row r="1195" customFormat="false" ht="15" hidden="false" customHeight="true" outlineLevel="0" collapsed="false">
      <c r="A1195" s="7" t="n">
        <f aca="false">'Raw Data'!A1195</f>
        <v>1848</v>
      </c>
      <c r="B1195" s="7" t="n">
        <f aca="false">'Raw Data'!B1195</f>
        <v>52</v>
      </c>
      <c r="C1195" s="7" t="str">
        <f aca="false">'Raw Data'!C1195</f>
        <v>Male</v>
      </c>
      <c r="D1195" s="7" t="str">
        <f aca="false">'Raw Data'!D1195</f>
        <v>Current</v>
      </c>
      <c r="E1195" s="7" t="str">
        <f aca="false">'Raw Data'!J1195</f>
        <v>Low</v>
      </c>
      <c r="F1195" s="7" t="n">
        <f aca="false">'Raw Data'!K1195</f>
        <v>125</v>
      </c>
      <c r="G1195" s="7" t="str">
        <f aca="false">'Raw Data'!L1195</f>
        <v>No</v>
      </c>
      <c r="H1195" s="7" t="str">
        <f aca="false">'Raw Data'!M1195</f>
        <v>Moderate</v>
      </c>
      <c r="I1195" s="7" t="n">
        <f aca="false">(IF(D1195="Current",3,IF(D1195="Former",1,0)))+(IF(E1195="High",3,IF(E1195="Normal",1,0)))+(IF(F1195&gt;=240,2,IF(F1195&gt;=200,1,0)))+(IF(G1195="Yes",2,0))+(IF(H1195="High",2,IF(H1195="Moderate",1,0)))</f>
        <v>4</v>
      </c>
      <c r="J1195" s="7" t="str">
        <f aca="false">IF(I1195&gt;=8,"High",IF(I1195&gt;=4,"Medium","Low"))</f>
        <v>Medium</v>
      </c>
    </row>
    <row r="1196" customFormat="false" ht="15" hidden="false" customHeight="true" outlineLevel="0" collapsed="false">
      <c r="A1196" s="7" t="n">
        <f aca="false">'Raw Data'!A1196</f>
        <v>1860</v>
      </c>
      <c r="B1196" s="7" t="n">
        <f aca="false">'Raw Data'!B1196</f>
        <v>60</v>
      </c>
      <c r="C1196" s="7" t="str">
        <f aca="false">'Raw Data'!C1196</f>
        <v>Male</v>
      </c>
      <c r="D1196" s="7" t="str">
        <f aca="false">'Raw Data'!D1196</f>
        <v>Current</v>
      </c>
      <c r="E1196" s="7" t="str">
        <f aca="false">'Raw Data'!J1196</f>
        <v>Low</v>
      </c>
      <c r="F1196" s="7" t="n">
        <f aca="false">'Raw Data'!K1196</f>
        <v>170</v>
      </c>
      <c r="G1196" s="7" t="str">
        <f aca="false">'Raw Data'!L1196</f>
        <v>No</v>
      </c>
      <c r="H1196" s="7" t="str">
        <f aca="false">'Raw Data'!M1196</f>
        <v>Moderate</v>
      </c>
      <c r="I1196" s="7" t="n">
        <f aca="false">(IF(D1196="Current",3,IF(D1196="Former",1,0)))+(IF(E1196="High",3,IF(E1196="Normal",1,0)))+(IF(F1196&gt;=240,2,IF(F1196&gt;=200,1,0)))+(IF(G1196="Yes",2,0))+(IF(H1196="High",2,IF(H1196="Moderate",1,0)))</f>
        <v>4</v>
      </c>
      <c r="J1196" s="7" t="str">
        <f aca="false">IF(I1196&gt;=8,"High",IF(I1196&gt;=4,"Medium","Low"))</f>
        <v>Medium</v>
      </c>
    </row>
    <row r="1197" customFormat="false" ht="15" hidden="false" customHeight="true" outlineLevel="0" collapsed="false">
      <c r="A1197" s="7" t="n">
        <f aca="false">'Raw Data'!A1197</f>
        <v>1921</v>
      </c>
      <c r="B1197" s="7" t="n">
        <f aca="false">'Raw Data'!B1197</f>
        <v>53</v>
      </c>
      <c r="C1197" s="7" t="str">
        <f aca="false">'Raw Data'!C1197</f>
        <v>Male</v>
      </c>
      <c r="D1197" s="7" t="str">
        <f aca="false">'Raw Data'!D1197</f>
        <v>Current</v>
      </c>
      <c r="E1197" s="7" t="str">
        <f aca="false">'Raw Data'!J1197</f>
        <v>Low</v>
      </c>
      <c r="F1197" s="7" t="n">
        <f aca="false">'Raw Data'!K1197</f>
        <v>197.2</v>
      </c>
      <c r="G1197" s="7" t="str">
        <f aca="false">'Raw Data'!L1197</f>
        <v>No</v>
      </c>
      <c r="H1197" s="7" t="str">
        <f aca="false">'Raw Data'!M1197</f>
        <v>High</v>
      </c>
      <c r="I1197" s="7" t="n">
        <f aca="false">(IF(D1197="Current",3,IF(D1197="Former",1,0)))+(IF(E1197="High",3,IF(E1197="Normal",1,0)))+(IF(F1197&gt;=240,2,IF(F1197&gt;=200,1,0)))+(IF(G1197="Yes",2,0))+(IF(H1197="High",2,IF(H1197="Moderate",1,0)))</f>
        <v>5</v>
      </c>
      <c r="J1197" s="7" t="str">
        <f aca="false">IF(I1197&gt;=8,"High",IF(I1197&gt;=4,"Medium","Low"))</f>
        <v>Medium</v>
      </c>
    </row>
    <row r="1198" customFormat="false" ht="15" hidden="false" customHeight="true" outlineLevel="0" collapsed="false">
      <c r="A1198" s="7" t="n">
        <f aca="false">'Raw Data'!A1198</f>
        <v>2007</v>
      </c>
      <c r="B1198" s="7" t="n">
        <f aca="false">'Raw Data'!B1198</f>
        <v>73</v>
      </c>
      <c r="C1198" s="7" t="str">
        <f aca="false">'Raw Data'!C1198</f>
        <v>Female</v>
      </c>
      <c r="D1198" s="7" t="str">
        <f aca="false">'Raw Data'!D1198</f>
        <v>Current</v>
      </c>
      <c r="E1198" s="7" t="str">
        <f aca="false">'Raw Data'!J1198</f>
        <v>Low</v>
      </c>
      <c r="F1198" s="7" t="n">
        <f aca="false">'Raw Data'!K1198</f>
        <v>221</v>
      </c>
      <c r="G1198" s="7" t="str">
        <f aca="false">'Raw Data'!L1198</f>
        <v>No</v>
      </c>
      <c r="H1198" s="7" t="str">
        <f aca="false">'Raw Data'!M1198</f>
        <v>High</v>
      </c>
      <c r="I1198" s="7" t="n">
        <f aca="false">(IF(D1198="Current",3,IF(D1198="Former",1,0)))+(IF(E1198="High",3,IF(E1198="Normal",1,0)))+(IF(F1198&gt;=240,2,IF(F1198&gt;=200,1,0)))+(IF(G1198="Yes",2,0))+(IF(H1198="High",2,IF(H1198="Moderate",1,0)))</f>
        <v>6</v>
      </c>
      <c r="J1198" s="7" t="str">
        <f aca="false">IF(I1198&gt;=8,"High",IF(I1198&gt;=4,"Medium","Low"))</f>
        <v>Medium</v>
      </c>
    </row>
    <row r="1199" customFormat="false" ht="15" hidden="false" customHeight="true" outlineLevel="0" collapsed="false">
      <c r="A1199" s="7" t="n">
        <f aca="false">'Raw Data'!A1199</f>
        <v>2016</v>
      </c>
      <c r="B1199" s="7" t="n">
        <f aca="false">'Raw Data'!B1199</f>
        <v>25</v>
      </c>
      <c r="C1199" s="7" t="str">
        <f aca="false">'Raw Data'!C1199</f>
        <v>Male</v>
      </c>
      <c r="D1199" s="7" t="str">
        <f aca="false">'Raw Data'!D1199</f>
        <v>Current</v>
      </c>
      <c r="E1199" s="7" t="str">
        <f aca="false">'Raw Data'!J1199</f>
        <v>Low</v>
      </c>
      <c r="F1199" s="7" t="n">
        <f aca="false">'Raw Data'!K1199</f>
        <v>296.4</v>
      </c>
      <c r="G1199" s="7" t="str">
        <f aca="false">'Raw Data'!L1199</f>
        <v>No</v>
      </c>
      <c r="H1199" s="7" t="str">
        <f aca="false">'Raw Data'!M1199</f>
        <v>Moderate</v>
      </c>
      <c r="I1199" s="7" t="n">
        <f aca="false">(IF(D1199="Current",3,IF(D1199="Former",1,0)))+(IF(E1199="High",3,IF(E1199="Normal",1,0)))+(IF(F1199&gt;=240,2,IF(F1199&gt;=200,1,0)))+(IF(G1199="Yes",2,0))+(IF(H1199="High",2,IF(H1199="Moderate",1,0)))</f>
        <v>6</v>
      </c>
      <c r="J1199" s="7" t="str">
        <f aca="false">IF(I1199&gt;=8,"High",IF(I1199&gt;=4,"Medium","Low"))</f>
        <v>Medium</v>
      </c>
    </row>
    <row r="1200" customFormat="false" ht="15" hidden="false" customHeight="true" outlineLevel="0" collapsed="false">
      <c r="A1200" s="7" t="n">
        <f aca="false">'Raw Data'!A1200</f>
        <v>2050</v>
      </c>
      <c r="B1200" s="7" t="n">
        <f aca="false">'Raw Data'!B1200</f>
        <v>61</v>
      </c>
      <c r="C1200" s="7" t="str">
        <f aca="false">'Raw Data'!C1200</f>
        <v>Female</v>
      </c>
      <c r="D1200" s="7" t="str">
        <f aca="false">'Raw Data'!D1200</f>
        <v>Current</v>
      </c>
      <c r="E1200" s="7" t="str">
        <f aca="false">'Raw Data'!J1200</f>
        <v>Low</v>
      </c>
      <c r="F1200" s="7" t="n">
        <f aca="false">'Raw Data'!K1200</f>
        <v>239.2</v>
      </c>
      <c r="G1200" s="7" t="str">
        <f aca="false">'Raw Data'!L1200</f>
        <v>No</v>
      </c>
      <c r="H1200" s="7" t="str">
        <f aca="false">'Raw Data'!M1200</f>
        <v>High</v>
      </c>
      <c r="I1200" s="7" t="n">
        <f aca="false">(IF(D1200="Current",3,IF(D1200="Former",1,0)))+(IF(E1200="High",3,IF(E1200="Normal",1,0)))+(IF(F1200&gt;=240,2,IF(F1200&gt;=200,1,0)))+(IF(G1200="Yes",2,0))+(IF(H1200="High",2,IF(H1200="Moderate",1,0)))</f>
        <v>6</v>
      </c>
      <c r="J1200" s="7" t="str">
        <f aca="false">IF(I1200&gt;=8,"High",IF(I1200&gt;=4,"Medium","Low"))</f>
        <v>Medium</v>
      </c>
    </row>
    <row r="1201" customFormat="false" ht="15" hidden="false" customHeight="true" outlineLevel="0" collapsed="false">
      <c r="A1201" s="7" t="n">
        <f aca="false">'Raw Data'!A1201</f>
        <v>2089</v>
      </c>
      <c r="B1201" s="7" t="n">
        <f aca="false">'Raw Data'!B1201</f>
        <v>88</v>
      </c>
      <c r="C1201" s="7" t="str">
        <f aca="false">'Raw Data'!C1201</f>
        <v>Male</v>
      </c>
      <c r="D1201" s="7" t="str">
        <f aca="false">'Raw Data'!D1201</f>
        <v>Current</v>
      </c>
      <c r="E1201" s="7" t="str">
        <f aca="false">'Raw Data'!J1201</f>
        <v>Low</v>
      </c>
      <c r="F1201" s="7" t="n">
        <f aca="false">'Raw Data'!K1201</f>
        <v>160</v>
      </c>
      <c r="G1201" s="7" t="str">
        <f aca="false">'Raw Data'!L1201</f>
        <v>No</v>
      </c>
      <c r="H1201" s="7" t="str">
        <f aca="false">'Raw Data'!M1201</f>
        <v>Moderate</v>
      </c>
      <c r="I1201" s="7" t="n">
        <f aca="false">(IF(D1201="Current",3,IF(D1201="Former",1,0)))+(IF(E1201="High",3,IF(E1201="Normal",1,0)))+(IF(F1201&gt;=240,2,IF(F1201&gt;=200,1,0)))+(IF(G1201="Yes",2,0))+(IF(H1201="High",2,IF(H1201="Moderate",1,0)))</f>
        <v>4</v>
      </c>
      <c r="J1201" s="7" t="str">
        <f aca="false">IF(I1201&gt;=8,"High",IF(I1201&gt;=4,"Medium","Low"))</f>
        <v>Medium</v>
      </c>
    </row>
    <row r="1202" customFormat="false" ht="15" hidden="false" customHeight="true" outlineLevel="0" collapsed="false">
      <c r="A1202" s="7" t="n">
        <f aca="false">'Raw Data'!A1202</f>
        <v>2121</v>
      </c>
      <c r="B1202" s="7" t="n">
        <f aca="false">'Raw Data'!B1202</f>
        <v>72</v>
      </c>
      <c r="C1202" s="7" t="str">
        <f aca="false">'Raw Data'!C1202</f>
        <v>Female</v>
      </c>
      <c r="D1202" s="7" t="str">
        <f aca="false">'Raw Data'!D1202</f>
        <v>Current</v>
      </c>
      <c r="E1202" s="7" t="str">
        <f aca="false">'Raw Data'!J1202</f>
        <v>Low</v>
      </c>
      <c r="F1202" s="7" t="n">
        <f aca="false">'Raw Data'!K1202</f>
        <v>242.9</v>
      </c>
      <c r="G1202" s="7" t="str">
        <f aca="false">'Raw Data'!L1202</f>
        <v>No</v>
      </c>
      <c r="H1202" s="7" t="str">
        <f aca="false">'Raw Data'!M1202</f>
        <v>High</v>
      </c>
      <c r="I1202" s="7" t="n">
        <f aca="false">(IF(D1202="Current",3,IF(D1202="Former",1,0)))+(IF(E1202="High",3,IF(E1202="Normal",1,0)))+(IF(F1202&gt;=240,2,IF(F1202&gt;=200,1,0)))+(IF(G1202="Yes",2,0))+(IF(H1202="High",2,IF(H1202="Moderate",1,0)))</f>
        <v>7</v>
      </c>
      <c r="J1202" s="7" t="str">
        <f aca="false">IF(I1202&gt;=8,"High",IF(I1202&gt;=4,"Medium","Low"))</f>
        <v>Medium</v>
      </c>
    </row>
    <row r="1203" customFormat="false" ht="15" hidden="false" customHeight="true" outlineLevel="0" collapsed="false">
      <c r="A1203" s="7" t="n">
        <f aca="false">'Raw Data'!A1203</f>
        <v>2162</v>
      </c>
      <c r="B1203" s="7" t="n">
        <f aca="false">'Raw Data'!B1203</f>
        <v>46</v>
      </c>
      <c r="C1203" s="7" t="str">
        <f aca="false">'Raw Data'!C1203</f>
        <v>Female</v>
      </c>
      <c r="D1203" s="7" t="str">
        <f aca="false">'Raw Data'!D1203</f>
        <v>Current</v>
      </c>
      <c r="E1203" s="7" t="str">
        <f aca="false">'Raw Data'!J1203</f>
        <v>Low</v>
      </c>
      <c r="F1203" s="7" t="n">
        <f aca="false">'Raw Data'!K1203</f>
        <v>121.6</v>
      </c>
      <c r="G1203" s="7" t="str">
        <f aca="false">'Raw Data'!L1203</f>
        <v>Yes</v>
      </c>
      <c r="H1203" s="7" t="str">
        <f aca="false">'Raw Data'!M1203</f>
        <v>High</v>
      </c>
      <c r="I1203" s="7" t="n">
        <f aca="false">(IF(D1203="Current",3,IF(D1203="Former",1,0)))+(IF(E1203="High",3,IF(E1203="Normal",1,0)))+(IF(F1203&gt;=240,2,IF(F1203&gt;=200,1,0)))+(IF(G1203="Yes",2,0))+(IF(H1203="High",2,IF(H1203="Moderate",1,0)))</f>
        <v>7</v>
      </c>
      <c r="J1203" s="7" t="str">
        <f aca="false">IF(I1203&gt;=8,"High",IF(I1203&gt;=4,"Medium","Low"))</f>
        <v>Medium</v>
      </c>
    </row>
    <row r="1204" customFormat="false" ht="15" hidden="false" customHeight="true" outlineLevel="0" collapsed="false">
      <c r="A1204" s="7" t="n">
        <f aca="false">'Raw Data'!A1204</f>
        <v>2176</v>
      </c>
      <c r="B1204" s="7" t="n">
        <f aca="false">'Raw Data'!B1204</f>
        <v>18</v>
      </c>
      <c r="C1204" s="7" t="str">
        <f aca="false">'Raw Data'!C1204</f>
        <v>Female</v>
      </c>
      <c r="D1204" s="7" t="str">
        <f aca="false">'Raw Data'!D1204</f>
        <v>Current</v>
      </c>
      <c r="E1204" s="7" t="str">
        <f aca="false">'Raw Data'!J1204</f>
        <v>Low</v>
      </c>
      <c r="F1204" s="7" t="n">
        <f aca="false">'Raw Data'!K1204</f>
        <v>213.7</v>
      </c>
      <c r="G1204" s="7" t="str">
        <f aca="false">'Raw Data'!L1204</f>
        <v>No</v>
      </c>
      <c r="H1204" s="7" t="str">
        <f aca="false">'Raw Data'!M1204</f>
        <v>Moderate</v>
      </c>
      <c r="I1204" s="7" t="n">
        <f aca="false">(IF(D1204="Current",3,IF(D1204="Former",1,0)))+(IF(E1204="High",3,IF(E1204="Normal",1,0)))+(IF(F1204&gt;=240,2,IF(F1204&gt;=200,1,0)))+(IF(G1204="Yes",2,0))+(IF(H1204="High",2,IF(H1204="Moderate",1,0)))</f>
        <v>5</v>
      </c>
      <c r="J1204" s="7" t="str">
        <f aca="false">IF(I1204&gt;=8,"High",IF(I1204&gt;=4,"Medium","Low"))</f>
        <v>Medium</v>
      </c>
    </row>
    <row r="1205" customFormat="false" ht="15" hidden="false" customHeight="true" outlineLevel="0" collapsed="false">
      <c r="A1205" s="7" t="n">
        <f aca="false">'Raw Data'!A1205</f>
        <v>2178</v>
      </c>
      <c r="B1205" s="7" t="n">
        <f aca="false">'Raw Data'!B1205</f>
        <v>76</v>
      </c>
      <c r="C1205" s="7" t="str">
        <f aca="false">'Raw Data'!C1205</f>
        <v>Female</v>
      </c>
      <c r="D1205" s="7" t="str">
        <f aca="false">'Raw Data'!D1205</f>
        <v>Current</v>
      </c>
      <c r="E1205" s="7" t="str">
        <f aca="false">'Raw Data'!J1205</f>
        <v>Low</v>
      </c>
      <c r="F1205" s="7" t="n">
        <f aca="false">'Raw Data'!K1205</f>
        <v>123.4</v>
      </c>
      <c r="G1205" s="7" t="str">
        <f aca="false">'Raw Data'!L1205</f>
        <v>No</v>
      </c>
      <c r="H1205" s="7" t="str">
        <f aca="false">'Raw Data'!M1205</f>
        <v>Moderate</v>
      </c>
      <c r="I1205" s="7" t="n">
        <f aca="false">(IF(D1205="Current",3,IF(D1205="Former",1,0)))+(IF(E1205="High",3,IF(E1205="Normal",1,0)))+(IF(F1205&gt;=240,2,IF(F1205&gt;=200,1,0)))+(IF(G1205="Yes",2,0))+(IF(H1205="High",2,IF(H1205="Moderate",1,0)))</f>
        <v>4</v>
      </c>
      <c r="J1205" s="7" t="str">
        <f aca="false">IF(I1205&gt;=8,"High",IF(I1205&gt;=4,"Medium","Low"))</f>
        <v>Medium</v>
      </c>
    </row>
    <row r="1206" customFormat="false" ht="15" hidden="false" customHeight="true" outlineLevel="0" collapsed="false">
      <c r="A1206" s="7" t="n">
        <f aca="false">'Raw Data'!A1206</f>
        <v>2187</v>
      </c>
      <c r="B1206" s="7" t="n">
        <f aca="false">'Raw Data'!B1206</f>
        <v>60</v>
      </c>
      <c r="C1206" s="7" t="str">
        <f aca="false">'Raw Data'!C1206</f>
        <v>Male</v>
      </c>
      <c r="D1206" s="7" t="str">
        <f aca="false">'Raw Data'!D1206</f>
        <v>Current</v>
      </c>
      <c r="E1206" s="7" t="str">
        <f aca="false">'Raw Data'!J1206</f>
        <v>Low</v>
      </c>
      <c r="F1206" s="7" t="n">
        <f aca="false">'Raw Data'!K1206</f>
        <v>297.1</v>
      </c>
      <c r="G1206" s="7" t="str">
        <f aca="false">'Raw Data'!L1206</f>
        <v>No</v>
      </c>
      <c r="H1206" s="7" t="str">
        <f aca="false">'Raw Data'!M1206</f>
        <v>Moderate</v>
      </c>
      <c r="I1206" s="7" t="n">
        <f aca="false">(IF(D1206="Current",3,IF(D1206="Former",1,0)))+(IF(E1206="High",3,IF(E1206="Normal",1,0)))+(IF(F1206&gt;=240,2,IF(F1206&gt;=200,1,0)))+(IF(G1206="Yes",2,0))+(IF(H1206="High",2,IF(H1206="Moderate",1,0)))</f>
        <v>6</v>
      </c>
      <c r="J1206" s="7" t="str">
        <f aca="false">IF(I1206&gt;=8,"High",IF(I1206&gt;=4,"Medium","Low"))</f>
        <v>Medium</v>
      </c>
    </row>
    <row r="1207" customFormat="false" ht="15" hidden="false" customHeight="true" outlineLevel="0" collapsed="false">
      <c r="A1207" s="7" t="n">
        <f aca="false">'Raw Data'!A1207</f>
        <v>2296</v>
      </c>
      <c r="B1207" s="7" t="n">
        <f aca="false">'Raw Data'!B1207</f>
        <v>57</v>
      </c>
      <c r="C1207" s="7" t="str">
        <f aca="false">'Raw Data'!C1207</f>
        <v>Female</v>
      </c>
      <c r="D1207" s="7" t="str">
        <f aca="false">'Raw Data'!D1207</f>
        <v>Current</v>
      </c>
      <c r="E1207" s="7" t="str">
        <f aca="false">'Raw Data'!J1207</f>
        <v>Low</v>
      </c>
      <c r="F1207" s="7" t="n">
        <f aca="false">'Raw Data'!K1207</f>
        <v>192.9</v>
      </c>
      <c r="G1207" s="7" t="str">
        <f aca="false">'Raw Data'!L1207</f>
        <v>No</v>
      </c>
      <c r="H1207" s="7" t="str">
        <f aca="false">'Raw Data'!M1207</f>
        <v>Moderate</v>
      </c>
      <c r="I1207" s="7" t="n">
        <f aca="false">(IF(D1207="Current",3,IF(D1207="Former",1,0)))+(IF(E1207="High",3,IF(E1207="Normal",1,0)))+(IF(F1207&gt;=240,2,IF(F1207&gt;=200,1,0)))+(IF(G1207="Yes",2,0))+(IF(H1207="High",2,IF(H1207="Moderate",1,0)))</f>
        <v>4</v>
      </c>
      <c r="J1207" s="7" t="str">
        <f aca="false">IF(I1207&gt;=8,"High",IF(I1207&gt;=4,"Medium","Low"))</f>
        <v>Medium</v>
      </c>
    </row>
    <row r="1208" customFormat="false" ht="15" hidden="false" customHeight="true" outlineLevel="0" collapsed="false">
      <c r="A1208" s="7" t="n">
        <f aca="false">'Raw Data'!A1208</f>
        <v>2367</v>
      </c>
      <c r="B1208" s="7" t="n">
        <f aca="false">'Raw Data'!B1208</f>
        <v>86</v>
      </c>
      <c r="C1208" s="7" t="str">
        <f aca="false">'Raw Data'!C1208</f>
        <v>Female</v>
      </c>
      <c r="D1208" s="7" t="str">
        <f aca="false">'Raw Data'!D1208</f>
        <v>Current</v>
      </c>
      <c r="E1208" s="7" t="str">
        <f aca="false">'Raw Data'!J1208</f>
        <v>Low</v>
      </c>
      <c r="F1208" s="7" t="n">
        <f aca="false">'Raw Data'!K1208</f>
        <v>205.5</v>
      </c>
      <c r="G1208" s="7" t="str">
        <f aca="false">'Raw Data'!L1208</f>
        <v>Yes</v>
      </c>
      <c r="H1208" s="7" t="str">
        <f aca="false">'Raw Data'!M1208</f>
        <v>Moderate</v>
      </c>
      <c r="I1208" s="7" t="n">
        <f aca="false">(IF(D1208="Current",3,IF(D1208="Former",1,0)))+(IF(E1208="High",3,IF(E1208="Normal",1,0)))+(IF(F1208&gt;=240,2,IF(F1208&gt;=200,1,0)))+(IF(G1208="Yes",2,0))+(IF(H1208="High",2,IF(H1208="Moderate",1,0)))</f>
        <v>7</v>
      </c>
      <c r="J1208" s="7" t="str">
        <f aca="false">IF(I1208&gt;=8,"High",IF(I1208&gt;=4,"Medium","Low"))</f>
        <v>Medium</v>
      </c>
    </row>
    <row r="1209" customFormat="false" ht="15" hidden="false" customHeight="true" outlineLevel="0" collapsed="false">
      <c r="A1209" s="7" t="n">
        <f aca="false">'Raw Data'!A1209</f>
        <v>2484</v>
      </c>
      <c r="B1209" s="7" t="n">
        <f aca="false">'Raw Data'!B1209</f>
        <v>77</v>
      </c>
      <c r="C1209" s="7" t="str">
        <f aca="false">'Raw Data'!C1209</f>
        <v>Female</v>
      </c>
      <c r="D1209" s="7" t="str">
        <f aca="false">'Raw Data'!D1209</f>
        <v>Current</v>
      </c>
      <c r="E1209" s="7" t="str">
        <f aca="false">'Raw Data'!J1209</f>
        <v>Low</v>
      </c>
      <c r="F1209" s="7" t="n">
        <f aca="false">'Raw Data'!K1209</f>
        <v>241.4</v>
      </c>
      <c r="G1209" s="7" t="str">
        <f aca="false">'Raw Data'!L1209</f>
        <v>No</v>
      </c>
      <c r="H1209" s="7" t="str">
        <f aca="false">'Raw Data'!M1209</f>
        <v>Moderate</v>
      </c>
      <c r="I1209" s="7" t="n">
        <f aca="false">(IF(D1209="Current",3,IF(D1209="Former",1,0)))+(IF(E1209="High",3,IF(E1209="Normal",1,0)))+(IF(F1209&gt;=240,2,IF(F1209&gt;=200,1,0)))+(IF(G1209="Yes",2,0))+(IF(H1209="High",2,IF(H1209="Moderate",1,0)))</f>
        <v>6</v>
      </c>
      <c r="J1209" s="7" t="str">
        <f aca="false">IF(I1209&gt;=8,"High",IF(I1209&gt;=4,"Medium","Low"))</f>
        <v>Medium</v>
      </c>
    </row>
    <row r="1210" customFormat="false" ht="15" hidden="false" customHeight="true" outlineLevel="0" collapsed="false">
      <c r="A1210" s="7" t="n">
        <f aca="false">'Raw Data'!A1210</f>
        <v>2487</v>
      </c>
      <c r="B1210" s="7" t="n">
        <f aca="false">'Raw Data'!B1210</f>
        <v>74</v>
      </c>
      <c r="C1210" s="7" t="str">
        <f aca="false">'Raw Data'!C1210</f>
        <v>Female</v>
      </c>
      <c r="D1210" s="7" t="str">
        <f aca="false">'Raw Data'!D1210</f>
        <v>Current</v>
      </c>
      <c r="E1210" s="7" t="str">
        <f aca="false">'Raw Data'!J1210</f>
        <v>Low</v>
      </c>
      <c r="F1210" s="7" t="n">
        <f aca="false">'Raw Data'!K1210</f>
        <v>294.3</v>
      </c>
      <c r="G1210" s="7" t="str">
        <f aca="false">'Raw Data'!L1210</f>
        <v>No</v>
      </c>
      <c r="H1210" s="7" t="str">
        <f aca="false">'Raw Data'!M1210</f>
        <v>Moderate</v>
      </c>
      <c r="I1210" s="7" t="n">
        <f aca="false">(IF(D1210="Current",3,IF(D1210="Former",1,0)))+(IF(E1210="High",3,IF(E1210="Normal",1,0)))+(IF(F1210&gt;=240,2,IF(F1210&gt;=200,1,0)))+(IF(G1210="Yes",2,0))+(IF(H1210="High",2,IF(H1210="Moderate",1,0)))</f>
        <v>6</v>
      </c>
      <c r="J1210" s="7" t="str">
        <f aca="false">IF(I1210&gt;=8,"High",IF(I1210&gt;=4,"Medium","Low"))</f>
        <v>Medium</v>
      </c>
    </row>
    <row r="1211" customFormat="false" ht="15" hidden="false" customHeight="true" outlineLevel="0" collapsed="false">
      <c r="A1211" s="7" t="n">
        <f aca="false">'Raw Data'!A1211</f>
        <v>2498</v>
      </c>
      <c r="B1211" s="7" t="n">
        <f aca="false">'Raw Data'!B1211</f>
        <v>43</v>
      </c>
      <c r="C1211" s="7" t="str">
        <f aca="false">'Raw Data'!C1211</f>
        <v>Male</v>
      </c>
      <c r="D1211" s="7" t="str">
        <f aca="false">'Raw Data'!D1211</f>
        <v>Current</v>
      </c>
      <c r="E1211" s="7" t="str">
        <f aca="false">'Raw Data'!J1211</f>
        <v>Low</v>
      </c>
      <c r="F1211" s="7" t="n">
        <f aca="false">'Raw Data'!K1211</f>
        <v>128.7</v>
      </c>
      <c r="G1211" s="7" t="str">
        <f aca="false">'Raw Data'!L1211</f>
        <v>No</v>
      </c>
      <c r="H1211" s="7" t="str">
        <f aca="false">'Raw Data'!M1211</f>
        <v>Moderate</v>
      </c>
      <c r="I1211" s="7" t="n">
        <f aca="false">(IF(D1211="Current",3,IF(D1211="Former",1,0)))+(IF(E1211="High",3,IF(E1211="Normal",1,0)))+(IF(F1211&gt;=240,2,IF(F1211&gt;=200,1,0)))+(IF(G1211="Yes",2,0))+(IF(H1211="High",2,IF(H1211="Moderate",1,0)))</f>
        <v>4</v>
      </c>
      <c r="J1211" s="7" t="str">
        <f aca="false">IF(I1211&gt;=8,"High",IF(I1211&gt;=4,"Medium","Low"))</f>
        <v>Medium</v>
      </c>
    </row>
    <row r="1212" customFormat="false" ht="15" hidden="false" customHeight="true" outlineLevel="0" collapsed="false">
      <c r="A1212" s="7" t="n">
        <f aca="false">'Raw Data'!A1212</f>
        <v>29</v>
      </c>
      <c r="B1212" s="7" t="n">
        <f aca="false">'Raw Data'!B1212</f>
        <v>32</v>
      </c>
      <c r="C1212" s="7" t="str">
        <f aca="false">'Raw Data'!C1212</f>
        <v>Female</v>
      </c>
      <c r="D1212" s="7" t="str">
        <f aca="false">'Raw Data'!D1212</f>
        <v>Current</v>
      </c>
      <c r="E1212" s="7" t="str">
        <f aca="false">'Raw Data'!J1212</f>
        <v>Low</v>
      </c>
      <c r="F1212" s="7" t="n">
        <f aca="false">'Raw Data'!K1212</f>
        <v>203.8</v>
      </c>
      <c r="G1212" s="7" t="str">
        <f aca="false">'Raw Data'!L1212</f>
        <v>No</v>
      </c>
      <c r="H1212" s="7" t="str">
        <f aca="false">'Raw Data'!M1212</f>
        <v>Low</v>
      </c>
      <c r="I1212" s="7" t="n">
        <f aca="false">(IF(D1212="Current",3,IF(D1212="Former",1,0)))+(IF(E1212="High",3,IF(E1212="Normal",1,0)))+(IF(F1212&gt;=240,2,IF(F1212&gt;=200,1,0)))+(IF(G1212="Yes",2,0))+(IF(H1212="High",2,IF(H1212="Moderate",1,0)))</f>
        <v>4</v>
      </c>
      <c r="J1212" s="7" t="str">
        <f aca="false">IF(I1212&gt;=8,"High",IF(I1212&gt;=4,"Medium","Low"))</f>
        <v>Medium</v>
      </c>
    </row>
    <row r="1213" customFormat="false" ht="15" hidden="false" customHeight="true" outlineLevel="0" collapsed="false">
      <c r="A1213" s="7" t="n">
        <f aca="false">'Raw Data'!A1213</f>
        <v>82</v>
      </c>
      <c r="B1213" s="7" t="n">
        <f aca="false">'Raw Data'!B1213</f>
        <v>18</v>
      </c>
      <c r="C1213" s="7" t="str">
        <f aca="false">'Raw Data'!C1213</f>
        <v>Male</v>
      </c>
      <c r="D1213" s="7" t="str">
        <f aca="false">'Raw Data'!D1213</f>
        <v>Current</v>
      </c>
      <c r="E1213" s="7" t="str">
        <f aca="false">'Raw Data'!J1213</f>
        <v>Low</v>
      </c>
      <c r="F1213" s="7" t="n">
        <f aca="false">'Raw Data'!K1213</f>
        <v>180.3</v>
      </c>
      <c r="G1213" s="7" t="str">
        <f aca="false">'Raw Data'!L1213</f>
        <v>No</v>
      </c>
      <c r="H1213" s="7" t="str">
        <f aca="false">'Raw Data'!M1213</f>
        <v>Low</v>
      </c>
      <c r="I1213" s="7" t="n">
        <f aca="false">(IF(D1213="Current",3,IF(D1213="Former",1,0)))+(IF(E1213="High",3,IF(E1213="Normal",1,0)))+(IF(F1213&gt;=240,2,IF(F1213&gt;=200,1,0)))+(IF(G1213="Yes",2,0))+(IF(H1213="High",2,IF(H1213="Moderate",1,0)))</f>
        <v>3</v>
      </c>
      <c r="J1213" s="7" t="str">
        <f aca="false">IF(I1213&gt;=8,"High",IF(I1213&gt;=4,"Medium","Low"))</f>
        <v>Low</v>
      </c>
    </row>
    <row r="1214" customFormat="false" ht="15" hidden="false" customHeight="true" outlineLevel="0" collapsed="false">
      <c r="A1214" s="7" t="n">
        <f aca="false">'Raw Data'!A1214</f>
        <v>90</v>
      </c>
      <c r="B1214" s="7" t="n">
        <f aca="false">'Raw Data'!B1214</f>
        <v>49</v>
      </c>
      <c r="C1214" s="7" t="str">
        <f aca="false">'Raw Data'!C1214</f>
        <v>Female</v>
      </c>
      <c r="D1214" s="7" t="str">
        <f aca="false">'Raw Data'!D1214</f>
        <v>Current</v>
      </c>
      <c r="E1214" s="7" t="str">
        <f aca="false">'Raw Data'!J1214</f>
        <v>Low</v>
      </c>
      <c r="F1214" s="7" t="n">
        <f aca="false">'Raw Data'!K1214</f>
        <v>193.2</v>
      </c>
      <c r="G1214" s="7" t="str">
        <f aca="false">'Raw Data'!L1214</f>
        <v>No</v>
      </c>
      <c r="H1214" s="7" t="str">
        <f aca="false">'Raw Data'!M1214</f>
        <v>Low</v>
      </c>
      <c r="I1214" s="7" t="n">
        <f aca="false">(IF(D1214="Current",3,IF(D1214="Former",1,0)))+(IF(E1214="High",3,IF(E1214="Normal",1,0)))+(IF(F1214&gt;=240,2,IF(F1214&gt;=200,1,0)))+(IF(G1214="Yes",2,0))+(IF(H1214="High",2,IF(H1214="Moderate",1,0)))</f>
        <v>3</v>
      </c>
      <c r="J1214" s="7" t="str">
        <f aca="false">IF(I1214&gt;=8,"High",IF(I1214&gt;=4,"Medium","Low"))</f>
        <v>Low</v>
      </c>
    </row>
    <row r="1215" customFormat="false" ht="15" hidden="false" customHeight="true" outlineLevel="0" collapsed="false">
      <c r="A1215" s="7" t="n">
        <f aca="false">'Raw Data'!A1215</f>
        <v>116</v>
      </c>
      <c r="B1215" s="7" t="n">
        <f aca="false">'Raw Data'!B1215</f>
        <v>59</v>
      </c>
      <c r="C1215" s="7" t="str">
        <f aca="false">'Raw Data'!C1215</f>
        <v>Female</v>
      </c>
      <c r="D1215" s="7" t="str">
        <f aca="false">'Raw Data'!D1215</f>
        <v>Current</v>
      </c>
      <c r="E1215" s="7" t="str">
        <f aca="false">'Raw Data'!J1215</f>
        <v>Low</v>
      </c>
      <c r="F1215" s="7" t="n">
        <f aca="false">'Raw Data'!K1215</f>
        <v>220.1</v>
      </c>
      <c r="G1215" s="7" t="str">
        <f aca="false">'Raw Data'!L1215</f>
        <v>No</v>
      </c>
      <c r="H1215" s="7" t="str">
        <f aca="false">'Raw Data'!M1215</f>
        <v>Low</v>
      </c>
      <c r="I1215" s="7" t="n">
        <f aca="false">(IF(D1215="Current",3,IF(D1215="Former",1,0)))+(IF(E1215="High",3,IF(E1215="Normal",1,0)))+(IF(F1215&gt;=240,2,IF(F1215&gt;=200,1,0)))+(IF(G1215="Yes",2,0))+(IF(H1215="High",2,IF(H1215="Moderate",1,0)))</f>
        <v>4</v>
      </c>
      <c r="J1215" s="7" t="str">
        <f aca="false">IF(I1215&gt;=8,"High",IF(I1215&gt;=4,"Medium","Low"))</f>
        <v>Medium</v>
      </c>
    </row>
    <row r="1216" customFormat="false" ht="15" hidden="false" customHeight="true" outlineLevel="0" collapsed="false">
      <c r="A1216" s="7" t="n">
        <f aca="false">'Raw Data'!A1216</f>
        <v>188</v>
      </c>
      <c r="B1216" s="7" t="n">
        <f aca="false">'Raw Data'!B1216</f>
        <v>46</v>
      </c>
      <c r="C1216" s="7" t="str">
        <f aca="false">'Raw Data'!C1216</f>
        <v>Male</v>
      </c>
      <c r="D1216" s="7" t="str">
        <f aca="false">'Raw Data'!D1216</f>
        <v>Current</v>
      </c>
      <c r="E1216" s="7" t="str">
        <f aca="false">'Raw Data'!J1216</f>
        <v>Low</v>
      </c>
      <c r="F1216" s="7" t="n">
        <f aca="false">'Raw Data'!K1216</f>
        <v>293.7</v>
      </c>
      <c r="G1216" s="7" t="str">
        <f aca="false">'Raw Data'!L1216</f>
        <v>No</v>
      </c>
      <c r="H1216" s="7" t="str">
        <f aca="false">'Raw Data'!M1216</f>
        <v>Low</v>
      </c>
      <c r="I1216" s="7" t="n">
        <f aca="false">(IF(D1216="Current",3,IF(D1216="Former",1,0)))+(IF(E1216="High",3,IF(E1216="Normal",1,0)))+(IF(F1216&gt;=240,2,IF(F1216&gt;=200,1,0)))+(IF(G1216="Yes",2,0))+(IF(H1216="High",2,IF(H1216="Moderate",1,0)))</f>
        <v>5</v>
      </c>
      <c r="J1216" s="7" t="str">
        <f aca="false">IF(I1216&gt;=8,"High",IF(I1216&gt;=4,"Medium","Low"))</f>
        <v>Medium</v>
      </c>
    </row>
    <row r="1217" customFormat="false" ht="15" hidden="false" customHeight="true" outlineLevel="0" collapsed="false">
      <c r="A1217" s="7" t="n">
        <f aca="false">'Raw Data'!A1217</f>
        <v>198</v>
      </c>
      <c r="B1217" s="7" t="n">
        <f aca="false">'Raw Data'!B1217</f>
        <v>86</v>
      </c>
      <c r="C1217" s="7" t="str">
        <f aca="false">'Raw Data'!C1217</f>
        <v>Male</v>
      </c>
      <c r="D1217" s="7" t="str">
        <f aca="false">'Raw Data'!D1217</f>
        <v>Current</v>
      </c>
      <c r="E1217" s="7" t="str">
        <f aca="false">'Raw Data'!J1217</f>
        <v>Low</v>
      </c>
      <c r="F1217" s="7" t="n">
        <f aca="false">'Raw Data'!K1217</f>
        <v>124.4</v>
      </c>
      <c r="G1217" s="7" t="str">
        <f aca="false">'Raw Data'!L1217</f>
        <v>No</v>
      </c>
      <c r="H1217" s="7" t="str">
        <f aca="false">'Raw Data'!M1217</f>
        <v>Low</v>
      </c>
      <c r="I1217" s="7" t="n">
        <f aca="false">(IF(D1217="Current",3,IF(D1217="Former",1,0)))+(IF(E1217="High",3,IF(E1217="Normal",1,0)))+(IF(F1217&gt;=240,2,IF(F1217&gt;=200,1,0)))+(IF(G1217="Yes",2,0))+(IF(H1217="High",2,IF(H1217="Moderate",1,0)))</f>
        <v>3</v>
      </c>
      <c r="J1217" s="7" t="str">
        <f aca="false">IF(I1217&gt;=8,"High",IF(I1217&gt;=4,"Medium","Low"))</f>
        <v>Low</v>
      </c>
    </row>
    <row r="1218" customFormat="false" ht="15" hidden="false" customHeight="true" outlineLevel="0" collapsed="false">
      <c r="A1218" s="7" t="n">
        <f aca="false">'Raw Data'!A1218</f>
        <v>207</v>
      </c>
      <c r="B1218" s="7" t="n">
        <f aca="false">'Raw Data'!B1218</f>
        <v>33</v>
      </c>
      <c r="C1218" s="7" t="str">
        <f aca="false">'Raw Data'!C1218</f>
        <v>Female</v>
      </c>
      <c r="D1218" s="7" t="str">
        <f aca="false">'Raw Data'!D1218</f>
        <v>Current</v>
      </c>
      <c r="E1218" s="7" t="str">
        <f aca="false">'Raw Data'!J1218</f>
        <v>Low</v>
      </c>
      <c r="F1218" s="7" t="n">
        <f aca="false">'Raw Data'!K1218</f>
        <v>212.3</v>
      </c>
      <c r="G1218" s="7" t="str">
        <f aca="false">'Raw Data'!L1218</f>
        <v>No</v>
      </c>
      <c r="H1218" s="7" t="str">
        <f aca="false">'Raw Data'!M1218</f>
        <v>Low</v>
      </c>
      <c r="I1218" s="7" t="n">
        <f aca="false">(IF(D1218="Current",3,IF(D1218="Former",1,0)))+(IF(E1218="High",3,IF(E1218="Normal",1,0)))+(IF(F1218&gt;=240,2,IF(F1218&gt;=200,1,0)))+(IF(G1218="Yes",2,0))+(IF(H1218="High",2,IF(H1218="Moderate",1,0)))</f>
        <v>4</v>
      </c>
      <c r="J1218" s="7" t="str">
        <f aca="false">IF(I1218&gt;=8,"High",IF(I1218&gt;=4,"Medium","Low"))</f>
        <v>Medium</v>
      </c>
    </row>
    <row r="1219" customFormat="false" ht="15" hidden="false" customHeight="true" outlineLevel="0" collapsed="false">
      <c r="A1219" s="7" t="n">
        <f aca="false">'Raw Data'!A1219</f>
        <v>214</v>
      </c>
      <c r="B1219" s="7" t="n">
        <f aca="false">'Raw Data'!B1219</f>
        <v>80</v>
      </c>
      <c r="C1219" s="7" t="str">
        <f aca="false">'Raw Data'!C1219</f>
        <v>Male</v>
      </c>
      <c r="D1219" s="7" t="str">
        <f aca="false">'Raw Data'!D1219</f>
        <v>Current</v>
      </c>
      <c r="E1219" s="7" t="str">
        <f aca="false">'Raw Data'!J1219</f>
        <v>Low</v>
      </c>
      <c r="F1219" s="7" t="n">
        <f aca="false">'Raw Data'!K1219</f>
        <v>278.7</v>
      </c>
      <c r="G1219" s="7" t="str">
        <f aca="false">'Raw Data'!L1219</f>
        <v>No</v>
      </c>
      <c r="H1219" s="7" t="str">
        <f aca="false">'Raw Data'!M1219</f>
        <v>Low</v>
      </c>
      <c r="I1219" s="7" t="n">
        <f aca="false">(IF(D1219="Current",3,IF(D1219="Former",1,0)))+(IF(E1219="High",3,IF(E1219="Normal",1,0)))+(IF(F1219&gt;=240,2,IF(F1219&gt;=200,1,0)))+(IF(G1219="Yes",2,0))+(IF(H1219="High",2,IF(H1219="Moderate",1,0)))</f>
        <v>5</v>
      </c>
      <c r="J1219" s="7" t="str">
        <f aca="false">IF(I1219&gt;=8,"High",IF(I1219&gt;=4,"Medium","Low"))</f>
        <v>Medium</v>
      </c>
    </row>
    <row r="1220" customFormat="false" ht="15" hidden="false" customHeight="true" outlineLevel="0" collapsed="false">
      <c r="A1220" s="7" t="n">
        <f aca="false">'Raw Data'!A1220</f>
        <v>244</v>
      </c>
      <c r="B1220" s="7" t="n">
        <f aca="false">'Raw Data'!B1220</f>
        <v>67</v>
      </c>
      <c r="C1220" s="7" t="str">
        <f aca="false">'Raw Data'!C1220</f>
        <v>Male</v>
      </c>
      <c r="D1220" s="7" t="str">
        <f aca="false">'Raw Data'!D1220</f>
        <v>Current</v>
      </c>
      <c r="E1220" s="7" t="str">
        <f aca="false">'Raw Data'!J1220</f>
        <v>Low</v>
      </c>
      <c r="F1220" s="7" t="n">
        <f aca="false">'Raw Data'!K1220</f>
        <v>157.6</v>
      </c>
      <c r="G1220" s="7" t="str">
        <f aca="false">'Raw Data'!L1220</f>
        <v>No</v>
      </c>
      <c r="H1220" s="7" t="str">
        <f aca="false">'Raw Data'!M1220</f>
        <v>Low</v>
      </c>
      <c r="I1220" s="7" t="n">
        <f aca="false">(IF(D1220="Current",3,IF(D1220="Former",1,0)))+(IF(E1220="High",3,IF(E1220="Normal",1,0)))+(IF(F1220&gt;=240,2,IF(F1220&gt;=200,1,0)))+(IF(G1220="Yes",2,0))+(IF(H1220="High",2,IF(H1220="Moderate",1,0)))</f>
        <v>3</v>
      </c>
      <c r="J1220" s="7" t="str">
        <f aca="false">IF(I1220&gt;=8,"High",IF(I1220&gt;=4,"Medium","Low"))</f>
        <v>Low</v>
      </c>
    </row>
    <row r="1221" customFormat="false" ht="15" hidden="false" customHeight="true" outlineLevel="0" collapsed="false">
      <c r="A1221" s="7" t="n">
        <f aca="false">'Raw Data'!A1221</f>
        <v>269</v>
      </c>
      <c r="B1221" s="7" t="n">
        <f aca="false">'Raw Data'!B1221</f>
        <v>62</v>
      </c>
      <c r="C1221" s="7" t="str">
        <f aca="false">'Raw Data'!C1221</f>
        <v>Male</v>
      </c>
      <c r="D1221" s="7" t="str">
        <f aca="false">'Raw Data'!D1221</f>
        <v>Current</v>
      </c>
      <c r="E1221" s="7" t="str">
        <f aca="false">'Raw Data'!J1221</f>
        <v>Low</v>
      </c>
      <c r="F1221" s="7" t="n">
        <f aca="false">'Raw Data'!K1221</f>
        <v>252.7</v>
      </c>
      <c r="G1221" s="7" t="str">
        <f aca="false">'Raw Data'!L1221</f>
        <v>No</v>
      </c>
      <c r="H1221" s="7" t="str">
        <f aca="false">'Raw Data'!M1221</f>
        <v>Low</v>
      </c>
      <c r="I1221" s="7" t="n">
        <f aca="false">(IF(D1221="Current",3,IF(D1221="Former",1,0)))+(IF(E1221="High",3,IF(E1221="Normal",1,0)))+(IF(F1221&gt;=240,2,IF(F1221&gt;=200,1,0)))+(IF(G1221="Yes",2,0))+(IF(H1221="High",2,IF(H1221="Moderate",1,0)))</f>
        <v>5</v>
      </c>
      <c r="J1221" s="7" t="str">
        <f aca="false">IF(I1221&gt;=8,"High",IF(I1221&gt;=4,"Medium","Low"))</f>
        <v>Medium</v>
      </c>
    </row>
    <row r="1222" customFormat="false" ht="15" hidden="false" customHeight="true" outlineLevel="0" collapsed="false">
      <c r="A1222" s="7" t="n">
        <f aca="false">'Raw Data'!A1222</f>
        <v>297</v>
      </c>
      <c r="B1222" s="7" t="n">
        <f aca="false">'Raw Data'!B1222</f>
        <v>83</v>
      </c>
      <c r="C1222" s="7" t="str">
        <f aca="false">'Raw Data'!C1222</f>
        <v>Female</v>
      </c>
      <c r="D1222" s="7" t="str">
        <f aca="false">'Raw Data'!D1222</f>
        <v>Current</v>
      </c>
      <c r="E1222" s="7" t="str">
        <f aca="false">'Raw Data'!J1222</f>
        <v>Low</v>
      </c>
      <c r="F1222" s="7" t="n">
        <f aca="false">'Raw Data'!K1222</f>
        <v>273.1</v>
      </c>
      <c r="G1222" s="7" t="str">
        <f aca="false">'Raw Data'!L1222</f>
        <v>No</v>
      </c>
      <c r="H1222" s="7" t="str">
        <f aca="false">'Raw Data'!M1222</f>
        <v>Low</v>
      </c>
      <c r="I1222" s="7" t="n">
        <f aca="false">(IF(D1222="Current",3,IF(D1222="Former",1,0)))+(IF(E1222="High",3,IF(E1222="Normal",1,0)))+(IF(F1222&gt;=240,2,IF(F1222&gt;=200,1,0)))+(IF(G1222="Yes",2,0))+(IF(H1222="High",2,IF(H1222="Moderate",1,0)))</f>
        <v>5</v>
      </c>
      <c r="J1222" s="7" t="str">
        <f aca="false">IF(I1222&gt;=8,"High",IF(I1222&gt;=4,"Medium","Low"))</f>
        <v>Medium</v>
      </c>
    </row>
    <row r="1223" customFormat="false" ht="15" hidden="false" customHeight="true" outlineLevel="0" collapsed="false">
      <c r="A1223" s="7" t="n">
        <f aca="false">'Raw Data'!A1223</f>
        <v>318</v>
      </c>
      <c r="B1223" s="7" t="n">
        <f aca="false">'Raw Data'!B1223</f>
        <v>75</v>
      </c>
      <c r="C1223" s="7" t="str">
        <f aca="false">'Raw Data'!C1223</f>
        <v>Male</v>
      </c>
      <c r="D1223" s="7" t="str">
        <f aca="false">'Raw Data'!D1223</f>
        <v>Current</v>
      </c>
      <c r="E1223" s="7" t="str">
        <f aca="false">'Raw Data'!J1223</f>
        <v>Low</v>
      </c>
      <c r="F1223" s="7" t="n">
        <f aca="false">'Raw Data'!K1223</f>
        <v>208.4</v>
      </c>
      <c r="G1223" s="7" t="str">
        <f aca="false">'Raw Data'!L1223</f>
        <v>No</v>
      </c>
      <c r="H1223" s="7" t="str">
        <f aca="false">'Raw Data'!M1223</f>
        <v>Low</v>
      </c>
      <c r="I1223" s="7" t="n">
        <f aca="false">(IF(D1223="Current",3,IF(D1223="Former",1,0)))+(IF(E1223="High",3,IF(E1223="Normal",1,0)))+(IF(F1223&gt;=240,2,IF(F1223&gt;=200,1,0)))+(IF(G1223="Yes",2,0))+(IF(H1223="High",2,IF(H1223="Moderate",1,0)))</f>
        <v>4</v>
      </c>
      <c r="J1223" s="7" t="str">
        <f aca="false">IF(I1223&gt;=8,"High",IF(I1223&gt;=4,"Medium","Low"))</f>
        <v>Medium</v>
      </c>
    </row>
    <row r="1224" customFormat="false" ht="15" hidden="false" customHeight="true" outlineLevel="0" collapsed="false">
      <c r="A1224" s="7" t="n">
        <f aca="false">'Raw Data'!A1224</f>
        <v>356</v>
      </c>
      <c r="B1224" s="7" t="n">
        <f aca="false">'Raw Data'!B1224</f>
        <v>19</v>
      </c>
      <c r="C1224" s="7" t="str">
        <f aca="false">'Raw Data'!C1224</f>
        <v>Male</v>
      </c>
      <c r="D1224" s="7" t="str">
        <f aca="false">'Raw Data'!D1224</f>
        <v>Current</v>
      </c>
      <c r="E1224" s="7" t="str">
        <f aca="false">'Raw Data'!J1224</f>
        <v>Low</v>
      </c>
      <c r="F1224" s="7" t="n">
        <f aca="false">'Raw Data'!K1224</f>
        <v>224.5</v>
      </c>
      <c r="G1224" s="7" t="str">
        <f aca="false">'Raw Data'!L1224</f>
        <v>No</v>
      </c>
      <c r="H1224" s="7" t="str">
        <f aca="false">'Raw Data'!M1224</f>
        <v>Low</v>
      </c>
      <c r="I1224" s="7" t="n">
        <f aca="false">(IF(D1224="Current",3,IF(D1224="Former",1,0)))+(IF(E1224="High",3,IF(E1224="Normal",1,0)))+(IF(F1224&gt;=240,2,IF(F1224&gt;=200,1,0)))+(IF(G1224="Yes",2,0))+(IF(H1224="High",2,IF(H1224="Moderate",1,0)))</f>
        <v>4</v>
      </c>
      <c r="J1224" s="7" t="str">
        <f aca="false">IF(I1224&gt;=8,"High",IF(I1224&gt;=4,"Medium","Low"))</f>
        <v>Medium</v>
      </c>
    </row>
    <row r="1225" customFormat="false" ht="15" hidden="false" customHeight="true" outlineLevel="0" collapsed="false">
      <c r="A1225" s="7" t="n">
        <f aca="false">'Raw Data'!A1225</f>
        <v>367</v>
      </c>
      <c r="B1225" s="7" t="n">
        <f aca="false">'Raw Data'!B1225</f>
        <v>47</v>
      </c>
      <c r="C1225" s="7" t="str">
        <f aca="false">'Raw Data'!C1225</f>
        <v>Male</v>
      </c>
      <c r="D1225" s="7" t="str">
        <f aca="false">'Raw Data'!D1225</f>
        <v>Current</v>
      </c>
      <c r="E1225" s="7" t="str">
        <f aca="false">'Raw Data'!J1225</f>
        <v>Low</v>
      </c>
      <c r="F1225" s="7" t="n">
        <f aca="false">'Raw Data'!K1225</f>
        <v>124.5</v>
      </c>
      <c r="G1225" s="7" t="str">
        <f aca="false">'Raw Data'!L1225</f>
        <v>No</v>
      </c>
      <c r="H1225" s="7" t="str">
        <f aca="false">'Raw Data'!M1225</f>
        <v>Low</v>
      </c>
      <c r="I1225" s="7" t="n">
        <f aca="false">(IF(D1225="Current",3,IF(D1225="Former",1,0)))+(IF(E1225="High",3,IF(E1225="Normal",1,0)))+(IF(F1225&gt;=240,2,IF(F1225&gt;=200,1,0)))+(IF(G1225="Yes",2,0))+(IF(H1225="High",2,IF(H1225="Moderate",1,0)))</f>
        <v>3</v>
      </c>
      <c r="J1225" s="7" t="str">
        <f aca="false">IF(I1225&gt;=8,"High",IF(I1225&gt;=4,"Medium","Low"))</f>
        <v>Low</v>
      </c>
    </row>
    <row r="1226" customFormat="false" ht="15" hidden="false" customHeight="true" outlineLevel="0" collapsed="false">
      <c r="A1226" s="7" t="n">
        <f aca="false">'Raw Data'!A1226</f>
        <v>453</v>
      </c>
      <c r="B1226" s="7" t="n">
        <f aca="false">'Raw Data'!B1226</f>
        <v>33</v>
      </c>
      <c r="C1226" s="7" t="str">
        <f aca="false">'Raw Data'!C1226</f>
        <v>Female</v>
      </c>
      <c r="D1226" s="7" t="str">
        <f aca="false">'Raw Data'!D1226</f>
        <v>Current</v>
      </c>
      <c r="E1226" s="7" t="str">
        <f aca="false">'Raw Data'!J1226</f>
        <v>Low</v>
      </c>
      <c r="F1226" s="7" t="n">
        <f aca="false">'Raw Data'!K1226</f>
        <v>152.6</v>
      </c>
      <c r="G1226" s="7" t="str">
        <f aca="false">'Raw Data'!L1226</f>
        <v>No</v>
      </c>
      <c r="H1226" s="7" t="str">
        <f aca="false">'Raw Data'!M1226</f>
        <v>Low</v>
      </c>
      <c r="I1226" s="7" t="n">
        <f aca="false">(IF(D1226="Current",3,IF(D1226="Former",1,0)))+(IF(E1226="High",3,IF(E1226="Normal",1,0)))+(IF(F1226&gt;=240,2,IF(F1226&gt;=200,1,0)))+(IF(G1226="Yes",2,0))+(IF(H1226="High",2,IF(H1226="Moderate",1,0)))</f>
        <v>3</v>
      </c>
      <c r="J1226" s="7" t="str">
        <f aca="false">IF(I1226&gt;=8,"High",IF(I1226&gt;=4,"Medium","Low"))</f>
        <v>Low</v>
      </c>
    </row>
    <row r="1227" customFormat="false" ht="15" hidden="false" customHeight="true" outlineLevel="0" collapsed="false">
      <c r="A1227" s="7" t="n">
        <f aca="false">'Raw Data'!A1227</f>
        <v>461</v>
      </c>
      <c r="B1227" s="7" t="n">
        <f aca="false">'Raw Data'!B1227</f>
        <v>85</v>
      </c>
      <c r="C1227" s="7" t="str">
        <f aca="false">'Raw Data'!C1227</f>
        <v>Male</v>
      </c>
      <c r="D1227" s="7" t="str">
        <f aca="false">'Raw Data'!D1227</f>
        <v>Current</v>
      </c>
      <c r="E1227" s="7" t="str">
        <f aca="false">'Raw Data'!J1227</f>
        <v>Low</v>
      </c>
      <c r="F1227" s="7" t="n">
        <f aca="false">'Raw Data'!K1227</f>
        <v>238.4</v>
      </c>
      <c r="G1227" s="7" t="str">
        <f aca="false">'Raw Data'!L1227</f>
        <v>No</v>
      </c>
      <c r="H1227" s="7" t="str">
        <f aca="false">'Raw Data'!M1227</f>
        <v>Low</v>
      </c>
      <c r="I1227" s="7" t="n">
        <f aca="false">(IF(D1227="Current",3,IF(D1227="Former",1,0)))+(IF(E1227="High",3,IF(E1227="Normal",1,0)))+(IF(F1227&gt;=240,2,IF(F1227&gt;=200,1,0)))+(IF(G1227="Yes",2,0))+(IF(H1227="High",2,IF(H1227="Moderate",1,0)))</f>
        <v>4</v>
      </c>
      <c r="J1227" s="7" t="str">
        <f aca="false">IF(I1227&gt;=8,"High",IF(I1227&gt;=4,"Medium","Low"))</f>
        <v>Medium</v>
      </c>
    </row>
    <row r="1228" customFormat="false" ht="15" hidden="false" customHeight="true" outlineLevel="0" collapsed="false">
      <c r="A1228" s="7" t="n">
        <f aca="false">'Raw Data'!A1228</f>
        <v>478</v>
      </c>
      <c r="B1228" s="7" t="n">
        <f aca="false">'Raw Data'!B1228</f>
        <v>71</v>
      </c>
      <c r="C1228" s="7" t="str">
        <f aca="false">'Raw Data'!C1228</f>
        <v>Male</v>
      </c>
      <c r="D1228" s="7" t="str">
        <f aca="false">'Raw Data'!D1228</f>
        <v>Current</v>
      </c>
      <c r="E1228" s="7" t="str">
        <f aca="false">'Raw Data'!J1228</f>
        <v>Low</v>
      </c>
      <c r="F1228" s="7" t="n">
        <f aca="false">'Raw Data'!K1228</f>
        <v>220</v>
      </c>
      <c r="G1228" s="7" t="str">
        <f aca="false">'Raw Data'!L1228</f>
        <v>Yes</v>
      </c>
      <c r="H1228" s="7" t="str">
        <f aca="false">'Raw Data'!M1228</f>
        <v>Low</v>
      </c>
      <c r="I1228" s="7" t="n">
        <f aca="false">(IF(D1228="Current",3,IF(D1228="Former",1,0)))+(IF(E1228="High",3,IF(E1228="Normal",1,0)))+(IF(F1228&gt;=240,2,IF(F1228&gt;=200,1,0)))+(IF(G1228="Yes",2,0))+(IF(H1228="High",2,IF(H1228="Moderate",1,0)))</f>
        <v>6</v>
      </c>
      <c r="J1228" s="7" t="str">
        <f aca="false">IF(I1228&gt;=8,"High",IF(I1228&gt;=4,"Medium","Low"))</f>
        <v>Medium</v>
      </c>
    </row>
    <row r="1229" customFormat="false" ht="15" hidden="false" customHeight="true" outlineLevel="0" collapsed="false">
      <c r="A1229" s="7" t="n">
        <f aca="false">'Raw Data'!A1229</f>
        <v>510</v>
      </c>
      <c r="B1229" s="7" t="n">
        <f aca="false">'Raw Data'!B1229</f>
        <v>69</v>
      </c>
      <c r="C1229" s="7" t="str">
        <f aca="false">'Raw Data'!C1229</f>
        <v>Female</v>
      </c>
      <c r="D1229" s="7" t="str">
        <f aca="false">'Raw Data'!D1229</f>
        <v>Current</v>
      </c>
      <c r="E1229" s="7" t="str">
        <f aca="false">'Raw Data'!J1229</f>
        <v>Low</v>
      </c>
      <c r="F1229" s="7" t="n">
        <f aca="false">'Raw Data'!K1229</f>
        <v>129.5</v>
      </c>
      <c r="G1229" s="7" t="str">
        <f aca="false">'Raw Data'!L1229</f>
        <v>No</v>
      </c>
      <c r="H1229" s="7" t="str">
        <f aca="false">'Raw Data'!M1229</f>
        <v>Low</v>
      </c>
      <c r="I1229" s="7" t="n">
        <f aca="false">(IF(D1229="Current",3,IF(D1229="Former",1,0)))+(IF(E1229="High",3,IF(E1229="Normal",1,0)))+(IF(F1229&gt;=240,2,IF(F1229&gt;=200,1,0)))+(IF(G1229="Yes",2,0))+(IF(H1229="High",2,IF(H1229="Moderate",1,0)))</f>
        <v>3</v>
      </c>
      <c r="J1229" s="7" t="str">
        <f aca="false">IF(I1229&gt;=8,"High",IF(I1229&gt;=4,"Medium","Low"))</f>
        <v>Low</v>
      </c>
    </row>
    <row r="1230" customFormat="false" ht="15" hidden="false" customHeight="true" outlineLevel="0" collapsed="false">
      <c r="A1230" s="7" t="n">
        <f aca="false">'Raw Data'!A1230</f>
        <v>551</v>
      </c>
      <c r="B1230" s="7" t="n">
        <f aca="false">'Raw Data'!B1230</f>
        <v>48</v>
      </c>
      <c r="C1230" s="7" t="str">
        <f aca="false">'Raw Data'!C1230</f>
        <v>Male</v>
      </c>
      <c r="D1230" s="7" t="str">
        <f aca="false">'Raw Data'!D1230</f>
        <v>Current</v>
      </c>
      <c r="E1230" s="7" t="str">
        <f aca="false">'Raw Data'!J1230</f>
        <v>Low</v>
      </c>
      <c r="F1230" s="7" t="n">
        <f aca="false">'Raw Data'!K1230</f>
        <v>210.7</v>
      </c>
      <c r="G1230" s="7" t="str">
        <f aca="false">'Raw Data'!L1230</f>
        <v>No</v>
      </c>
      <c r="H1230" s="7" t="str">
        <f aca="false">'Raw Data'!M1230</f>
        <v>Low</v>
      </c>
      <c r="I1230" s="7" t="n">
        <f aca="false">(IF(D1230="Current",3,IF(D1230="Former",1,0)))+(IF(E1230="High",3,IF(E1230="Normal",1,0)))+(IF(F1230&gt;=240,2,IF(F1230&gt;=200,1,0)))+(IF(G1230="Yes",2,0))+(IF(H1230="High",2,IF(H1230="Moderate",1,0)))</f>
        <v>4</v>
      </c>
      <c r="J1230" s="7" t="str">
        <f aca="false">IF(I1230&gt;=8,"High",IF(I1230&gt;=4,"Medium","Low"))</f>
        <v>Medium</v>
      </c>
    </row>
    <row r="1231" customFormat="false" ht="15" hidden="false" customHeight="true" outlineLevel="0" collapsed="false">
      <c r="A1231" s="7" t="n">
        <f aca="false">'Raw Data'!A1231</f>
        <v>606</v>
      </c>
      <c r="B1231" s="7" t="n">
        <f aca="false">'Raw Data'!B1231</f>
        <v>21</v>
      </c>
      <c r="C1231" s="7" t="str">
        <f aca="false">'Raw Data'!C1231</f>
        <v>Female</v>
      </c>
      <c r="D1231" s="7" t="str">
        <f aca="false">'Raw Data'!D1231</f>
        <v>Current</v>
      </c>
      <c r="E1231" s="7" t="str">
        <f aca="false">'Raw Data'!J1231</f>
        <v>Low</v>
      </c>
      <c r="F1231" s="7" t="n">
        <f aca="false">'Raw Data'!K1231</f>
        <v>246.1</v>
      </c>
      <c r="G1231" s="7" t="str">
        <f aca="false">'Raw Data'!L1231</f>
        <v>No</v>
      </c>
      <c r="H1231" s="7" t="str">
        <f aca="false">'Raw Data'!M1231</f>
        <v>Low</v>
      </c>
      <c r="I1231" s="7" t="n">
        <f aca="false">(IF(D1231="Current",3,IF(D1231="Former",1,0)))+(IF(E1231="High",3,IF(E1231="Normal",1,0)))+(IF(F1231&gt;=240,2,IF(F1231&gt;=200,1,0)))+(IF(G1231="Yes",2,0))+(IF(H1231="High",2,IF(H1231="Moderate",1,0)))</f>
        <v>5</v>
      </c>
      <c r="J1231" s="7" t="str">
        <f aca="false">IF(I1231&gt;=8,"High",IF(I1231&gt;=4,"Medium","Low"))</f>
        <v>Medium</v>
      </c>
    </row>
    <row r="1232" customFormat="false" ht="15" hidden="false" customHeight="true" outlineLevel="0" collapsed="false">
      <c r="A1232" s="7" t="n">
        <f aca="false">'Raw Data'!A1232</f>
        <v>675</v>
      </c>
      <c r="B1232" s="7" t="n">
        <f aca="false">'Raw Data'!B1232</f>
        <v>54</v>
      </c>
      <c r="C1232" s="7" t="str">
        <f aca="false">'Raw Data'!C1232</f>
        <v>Male</v>
      </c>
      <c r="D1232" s="7" t="str">
        <f aca="false">'Raw Data'!D1232</f>
        <v>Current</v>
      </c>
      <c r="E1232" s="7" t="str">
        <f aca="false">'Raw Data'!J1232</f>
        <v>Low</v>
      </c>
      <c r="F1232" s="7" t="n">
        <f aca="false">'Raw Data'!K1232</f>
        <v>218.9</v>
      </c>
      <c r="G1232" s="7" t="str">
        <f aca="false">'Raw Data'!L1232</f>
        <v>No</v>
      </c>
      <c r="H1232" s="7" t="str">
        <f aca="false">'Raw Data'!M1232</f>
        <v>Low</v>
      </c>
      <c r="I1232" s="7" t="n">
        <f aca="false">(IF(D1232="Current",3,IF(D1232="Former",1,0)))+(IF(E1232="High",3,IF(E1232="Normal",1,0)))+(IF(F1232&gt;=240,2,IF(F1232&gt;=200,1,0)))+(IF(G1232="Yes",2,0))+(IF(H1232="High",2,IF(H1232="Moderate",1,0)))</f>
        <v>4</v>
      </c>
      <c r="J1232" s="7" t="str">
        <f aca="false">IF(I1232&gt;=8,"High",IF(I1232&gt;=4,"Medium","Low"))</f>
        <v>Medium</v>
      </c>
    </row>
    <row r="1233" customFormat="false" ht="15" hidden="false" customHeight="true" outlineLevel="0" collapsed="false">
      <c r="A1233" s="7" t="n">
        <f aca="false">'Raw Data'!A1233</f>
        <v>705</v>
      </c>
      <c r="B1233" s="7" t="n">
        <f aca="false">'Raw Data'!B1233</f>
        <v>80</v>
      </c>
      <c r="C1233" s="7" t="str">
        <f aca="false">'Raw Data'!C1233</f>
        <v>Male</v>
      </c>
      <c r="D1233" s="7" t="str">
        <f aca="false">'Raw Data'!D1233</f>
        <v>Current</v>
      </c>
      <c r="E1233" s="7" t="str">
        <f aca="false">'Raw Data'!J1233</f>
        <v>Low</v>
      </c>
      <c r="F1233" s="7" t="n">
        <f aca="false">'Raw Data'!K1233</f>
        <v>251.9</v>
      </c>
      <c r="G1233" s="7" t="str">
        <f aca="false">'Raw Data'!L1233</f>
        <v>No</v>
      </c>
      <c r="H1233" s="7" t="str">
        <f aca="false">'Raw Data'!M1233</f>
        <v>Low</v>
      </c>
      <c r="I1233" s="7" t="n">
        <f aca="false">(IF(D1233="Current",3,IF(D1233="Former",1,0)))+(IF(E1233="High",3,IF(E1233="Normal",1,0)))+(IF(F1233&gt;=240,2,IF(F1233&gt;=200,1,0)))+(IF(G1233="Yes",2,0))+(IF(H1233="High",2,IF(H1233="Moderate",1,0)))</f>
        <v>5</v>
      </c>
      <c r="J1233" s="7" t="str">
        <f aca="false">IF(I1233&gt;=8,"High",IF(I1233&gt;=4,"Medium","Low"))</f>
        <v>Medium</v>
      </c>
    </row>
    <row r="1234" customFormat="false" ht="15" hidden="false" customHeight="true" outlineLevel="0" collapsed="false">
      <c r="A1234" s="7" t="n">
        <f aca="false">'Raw Data'!A1234</f>
        <v>734</v>
      </c>
      <c r="B1234" s="7" t="n">
        <f aca="false">'Raw Data'!B1234</f>
        <v>67</v>
      </c>
      <c r="C1234" s="7" t="str">
        <f aca="false">'Raw Data'!C1234</f>
        <v>Male</v>
      </c>
      <c r="D1234" s="7" t="str">
        <f aca="false">'Raw Data'!D1234</f>
        <v>Current</v>
      </c>
      <c r="E1234" s="7" t="str">
        <f aca="false">'Raw Data'!J1234</f>
        <v>Low</v>
      </c>
      <c r="F1234" s="7" t="n">
        <f aca="false">'Raw Data'!K1234</f>
        <v>294</v>
      </c>
      <c r="G1234" s="7" t="str">
        <f aca="false">'Raw Data'!L1234</f>
        <v>No</v>
      </c>
      <c r="H1234" s="7" t="str">
        <f aca="false">'Raw Data'!M1234</f>
        <v>Low</v>
      </c>
      <c r="I1234" s="7" t="n">
        <f aca="false">(IF(D1234="Current",3,IF(D1234="Former",1,0)))+(IF(E1234="High",3,IF(E1234="Normal",1,0)))+(IF(F1234&gt;=240,2,IF(F1234&gt;=200,1,0)))+(IF(G1234="Yes",2,0))+(IF(H1234="High",2,IF(H1234="Moderate",1,0)))</f>
        <v>5</v>
      </c>
      <c r="J1234" s="7" t="str">
        <f aca="false">IF(I1234&gt;=8,"High",IF(I1234&gt;=4,"Medium","Low"))</f>
        <v>Medium</v>
      </c>
    </row>
    <row r="1235" customFormat="false" ht="15" hidden="false" customHeight="true" outlineLevel="0" collapsed="false">
      <c r="A1235" s="7" t="n">
        <f aca="false">'Raw Data'!A1235</f>
        <v>774</v>
      </c>
      <c r="B1235" s="7" t="n">
        <f aca="false">'Raw Data'!B1235</f>
        <v>31</v>
      </c>
      <c r="C1235" s="7" t="str">
        <f aca="false">'Raw Data'!C1235</f>
        <v>Female</v>
      </c>
      <c r="D1235" s="7" t="str">
        <f aca="false">'Raw Data'!D1235</f>
        <v>Current</v>
      </c>
      <c r="E1235" s="7" t="str">
        <f aca="false">'Raw Data'!J1235</f>
        <v>Low</v>
      </c>
      <c r="F1235" s="7" t="n">
        <f aca="false">'Raw Data'!K1235</f>
        <v>206.3</v>
      </c>
      <c r="G1235" s="7" t="str">
        <f aca="false">'Raw Data'!L1235</f>
        <v>Yes</v>
      </c>
      <c r="H1235" s="7" t="str">
        <f aca="false">'Raw Data'!M1235</f>
        <v>Low</v>
      </c>
      <c r="I1235" s="7" t="n">
        <f aca="false">(IF(D1235="Current",3,IF(D1235="Former",1,0)))+(IF(E1235="High",3,IF(E1235="Normal",1,0)))+(IF(F1235&gt;=240,2,IF(F1235&gt;=200,1,0)))+(IF(G1235="Yes",2,0))+(IF(H1235="High",2,IF(H1235="Moderate",1,0)))</f>
        <v>6</v>
      </c>
      <c r="J1235" s="7" t="str">
        <f aca="false">IF(I1235&gt;=8,"High",IF(I1235&gt;=4,"Medium","Low"))</f>
        <v>Medium</v>
      </c>
    </row>
    <row r="1236" customFormat="false" ht="15" hidden="false" customHeight="true" outlineLevel="0" collapsed="false">
      <c r="A1236" s="7" t="n">
        <f aca="false">'Raw Data'!A1236</f>
        <v>811</v>
      </c>
      <c r="B1236" s="7" t="n">
        <f aca="false">'Raw Data'!B1236</f>
        <v>66</v>
      </c>
      <c r="C1236" s="7" t="str">
        <f aca="false">'Raw Data'!C1236</f>
        <v>Female</v>
      </c>
      <c r="D1236" s="7" t="str">
        <f aca="false">'Raw Data'!D1236</f>
        <v>Current</v>
      </c>
      <c r="E1236" s="7" t="str">
        <f aca="false">'Raw Data'!J1236</f>
        <v>Low</v>
      </c>
      <c r="F1236" s="7" t="n">
        <f aca="false">'Raw Data'!K1236</f>
        <v>248.8</v>
      </c>
      <c r="G1236" s="7" t="str">
        <f aca="false">'Raw Data'!L1236</f>
        <v>Yes</v>
      </c>
      <c r="H1236" s="7" t="str">
        <f aca="false">'Raw Data'!M1236</f>
        <v>Low</v>
      </c>
      <c r="I1236" s="7" t="n">
        <f aca="false">(IF(D1236="Current",3,IF(D1236="Former",1,0)))+(IF(E1236="High",3,IF(E1236="Normal",1,0)))+(IF(F1236&gt;=240,2,IF(F1236&gt;=200,1,0)))+(IF(G1236="Yes",2,0))+(IF(H1236="High",2,IF(H1236="Moderate",1,0)))</f>
        <v>7</v>
      </c>
      <c r="J1236" s="7" t="str">
        <f aca="false">IF(I1236&gt;=8,"High",IF(I1236&gt;=4,"Medium","Low"))</f>
        <v>Medium</v>
      </c>
    </row>
    <row r="1237" customFormat="false" ht="15" hidden="false" customHeight="true" outlineLevel="0" collapsed="false">
      <c r="A1237" s="7" t="n">
        <f aca="false">'Raw Data'!A1237</f>
        <v>840</v>
      </c>
      <c r="B1237" s="7" t="n">
        <f aca="false">'Raw Data'!B1237</f>
        <v>29</v>
      </c>
      <c r="C1237" s="7" t="str">
        <f aca="false">'Raw Data'!C1237</f>
        <v>Female</v>
      </c>
      <c r="D1237" s="7" t="str">
        <f aca="false">'Raw Data'!D1237</f>
        <v>Current</v>
      </c>
      <c r="E1237" s="7" t="str">
        <f aca="false">'Raw Data'!J1237</f>
        <v>Low</v>
      </c>
      <c r="F1237" s="7" t="n">
        <f aca="false">'Raw Data'!K1237</f>
        <v>148.5</v>
      </c>
      <c r="G1237" s="7" t="str">
        <f aca="false">'Raw Data'!L1237</f>
        <v>No</v>
      </c>
      <c r="H1237" s="7" t="str">
        <f aca="false">'Raw Data'!M1237</f>
        <v>Low</v>
      </c>
      <c r="I1237" s="7" t="n">
        <f aca="false">(IF(D1237="Current",3,IF(D1237="Former",1,0)))+(IF(E1237="High",3,IF(E1237="Normal",1,0)))+(IF(F1237&gt;=240,2,IF(F1237&gt;=200,1,0)))+(IF(G1237="Yes",2,0))+(IF(H1237="High",2,IF(H1237="Moderate",1,0)))</f>
        <v>3</v>
      </c>
      <c r="J1237" s="7" t="str">
        <f aca="false">IF(I1237&gt;=8,"High",IF(I1237&gt;=4,"Medium","Low"))</f>
        <v>Low</v>
      </c>
    </row>
    <row r="1238" customFormat="false" ht="15" hidden="false" customHeight="true" outlineLevel="0" collapsed="false">
      <c r="A1238" s="7" t="n">
        <f aca="false">'Raw Data'!A1238</f>
        <v>928</v>
      </c>
      <c r="B1238" s="7" t="n">
        <f aca="false">'Raw Data'!B1238</f>
        <v>28</v>
      </c>
      <c r="C1238" s="7" t="str">
        <f aca="false">'Raw Data'!C1238</f>
        <v>Female</v>
      </c>
      <c r="D1238" s="7" t="str">
        <f aca="false">'Raw Data'!D1238</f>
        <v>Current</v>
      </c>
      <c r="E1238" s="7" t="str">
        <f aca="false">'Raw Data'!J1238</f>
        <v>Low</v>
      </c>
      <c r="F1238" s="7" t="n">
        <f aca="false">'Raw Data'!K1238</f>
        <v>271.4</v>
      </c>
      <c r="G1238" s="7" t="str">
        <f aca="false">'Raw Data'!L1238</f>
        <v>No</v>
      </c>
      <c r="H1238" s="7" t="str">
        <f aca="false">'Raw Data'!M1238</f>
        <v>Low</v>
      </c>
      <c r="I1238" s="7" t="n">
        <f aca="false">(IF(D1238="Current",3,IF(D1238="Former",1,0)))+(IF(E1238="High",3,IF(E1238="Normal",1,0)))+(IF(F1238&gt;=240,2,IF(F1238&gt;=200,1,0)))+(IF(G1238="Yes",2,0))+(IF(H1238="High",2,IF(H1238="Moderate",1,0)))</f>
        <v>5</v>
      </c>
      <c r="J1238" s="7" t="str">
        <f aca="false">IF(I1238&gt;=8,"High",IF(I1238&gt;=4,"Medium","Low"))</f>
        <v>Medium</v>
      </c>
    </row>
    <row r="1239" customFormat="false" ht="15" hidden="false" customHeight="true" outlineLevel="0" collapsed="false">
      <c r="A1239" s="7" t="n">
        <f aca="false">'Raw Data'!A1239</f>
        <v>943</v>
      </c>
      <c r="B1239" s="7" t="n">
        <f aca="false">'Raw Data'!B1239</f>
        <v>24</v>
      </c>
      <c r="C1239" s="7" t="str">
        <f aca="false">'Raw Data'!C1239</f>
        <v>Female</v>
      </c>
      <c r="D1239" s="7" t="str">
        <f aca="false">'Raw Data'!D1239</f>
        <v>Current</v>
      </c>
      <c r="E1239" s="7" t="str">
        <f aca="false">'Raw Data'!J1239</f>
        <v>Low</v>
      </c>
      <c r="F1239" s="7" t="n">
        <f aca="false">'Raw Data'!K1239</f>
        <v>224.4</v>
      </c>
      <c r="G1239" s="7" t="str">
        <f aca="false">'Raw Data'!L1239</f>
        <v>No</v>
      </c>
      <c r="H1239" s="7" t="str">
        <f aca="false">'Raw Data'!M1239</f>
        <v>Low</v>
      </c>
      <c r="I1239" s="7" t="n">
        <f aca="false">(IF(D1239="Current",3,IF(D1239="Former",1,0)))+(IF(E1239="High",3,IF(E1239="Normal",1,0)))+(IF(F1239&gt;=240,2,IF(F1239&gt;=200,1,0)))+(IF(G1239="Yes",2,0))+(IF(H1239="High",2,IF(H1239="Moderate",1,0)))</f>
        <v>4</v>
      </c>
      <c r="J1239" s="7" t="str">
        <f aca="false">IF(I1239&gt;=8,"High",IF(I1239&gt;=4,"Medium","Low"))</f>
        <v>Medium</v>
      </c>
    </row>
    <row r="1240" customFormat="false" ht="15" hidden="false" customHeight="true" outlineLevel="0" collapsed="false">
      <c r="A1240" s="7" t="n">
        <f aca="false">'Raw Data'!A1240</f>
        <v>988</v>
      </c>
      <c r="B1240" s="7" t="n">
        <f aca="false">'Raw Data'!B1240</f>
        <v>19</v>
      </c>
      <c r="C1240" s="7" t="str">
        <f aca="false">'Raw Data'!C1240</f>
        <v>Female</v>
      </c>
      <c r="D1240" s="7" t="str">
        <f aca="false">'Raw Data'!D1240</f>
        <v>Current</v>
      </c>
      <c r="E1240" s="7" t="str">
        <f aca="false">'Raw Data'!J1240</f>
        <v>Low</v>
      </c>
      <c r="F1240" s="7" t="n">
        <f aca="false">'Raw Data'!K1240</f>
        <v>122.7</v>
      </c>
      <c r="G1240" s="7" t="str">
        <f aca="false">'Raw Data'!L1240</f>
        <v>No</v>
      </c>
      <c r="H1240" s="7" t="str">
        <f aca="false">'Raw Data'!M1240</f>
        <v>Low</v>
      </c>
      <c r="I1240" s="7" t="n">
        <f aca="false">(IF(D1240="Current",3,IF(D1240="Former",1,0)))+(IF(E1240="High",3,IF(E1240="Normal",1,0)))+(IF(F1240&gt;=240,2,IF(F1240&gt;=200,1,0)))+(IF(G1240="Yes",2,0))+(IF(H1240="High",2,IF(H1240="Moderate",1,0)))</f>
        <v>3</v>
      </c>
      <c r="J1240" s="7" t="str">
        <f aca="false">IF(I1240&gt;=8,"High",IF(I1240&gt;=4,"Medium","Low"))</f>
        <v>Low</v>
      </c>
    </row>
    <row r="1241" customFormat="false" ht="15" hidden="false" customHeight="true" outlineLevel="0" collapsed="false">
      <c r="A1241" s="7" t="n">
        <f aca="false">'Raw Data'!A1241</f>
        <v>1070</v>
      </c>
      <c r="B1241" s="7" t="n">
        <f aca="false">'Raw Data'!B1241</f>
        <v>45</v>
      </c>
      <c r="C1241" s="7" t="str">
        <f aca="false">'Raw Data'!C1241</f>
        <v>Female</v>
      </c>
      <c r="D1241" s="7" t="str">
        <f aca="false">'Raw Data'!D1241</f>
        <v>Current</v>
      </c>
      <c r="E1241" s="7" t="str">
        <f aca="false">'Raw Data'!J1241</f>
        <v>Low</v>
      </c>
      <c r="F1241" s="7" t="n">
        <f aca="false">'Raw Data'!K1241</f>
        <v>167.5</v>
      </c>
      <c r="G1241" s="7" t="str">
        <f aca="false">'Raw Data'!L1241</f>
        <v>Yes</v>
      </c>
      <c r="H1241" s="7" t="str">
        <f aca="false">'Raw Data'!M1241</f>
        <v>Low</v>
      </c>
      <c r="I1241" s="7" t="n">
        <f aca="false">(IF(D1241="Current",3,IF(D1241="Former",1,0)))+(IF(E1241="High",3,IF(E1241="Normal",1,0)))+(IF(F1241&gt;=240,2,IF(F1241&gt;=200,1,0)))+(IF(G1241="Yes",2,0))+(IF(H1241="High",2,IF(H1241="Moderate",1,0)))</f>
        <v>5</v>
      </c>
      <c r="J1241" s="7" t="str">
        <f aca="false">IF(I1241&gt;=8,"High",IF(I1241&gt;=4,"Medium","Low"))</f>
        <v>Medium</v>
      </c>
    </row>
    <row r="1242" customFormat="false" ht="15" hidden="false" customHeight="true" outlineLevel="0" collapsed="false">
      <c r="A1242" s="7" t="n">
        <f aca="false">'Raw Data'!A1242</f>
        <v>1127</v>
      </c>
      <c r="B1242" s="7" t="n">
        <f aca="false">'Raw Data'!B1242</f>
        <v>71</v>
      </c>
      <c r="C1242" s="7" t="str">
        <f aca="false">'Raw Data'!C1242</f>
        <v>Female</v>
      </c>
      <c r="D1242" s="7" t="str">
        <f aca="false">'Raw Data'!D1242</f>
        <v>Current</v>
      </c>
      <c r="E1242" s="7" t="str">
        <f aca="false">'Raw Data'!J1242</f>
        <v>Low</v>
      </c>
      <c r="F1242" s="7" t="n">
        <f aca="false">'Raw Data'!K1242</f>
        <v>145</v>
      </c>
      <c r="G1242" s="7" t="str">
        <f aca="false">'Raw Data'!L1242</f>
        <v>No</v>
      </c>
      <c r="H1242" s="7" t="str">
        <f aca="false">'Raw Data'!M1242</f>
        <v>Low</v>
      </c>
      <c r="I1242" s="7" t="n">
        <f aca="false">(IF(D1242="Current",3,IF(D1242="Former",1,0)))+(IF(E1242="High",3,IF(E1242="Normal",1,0)))+(IF(F1242&gt;=240,2,IF(F1242&gt;=200,1,0)))+(IF(G1242="Yes",2,0))+(IF(H1242="High",2,IF(H1242="Moderate",1,0)))</f>
        <v>3</v>
      </c>
      <c r="J1242" s="7" t="str">
        <f aca="false">IF(I1242&gt;=8,"High",IF(I1242&gt;=4,"Medium","Low"))</f>
        <v>Low</v>
      </c>
    </row>
    <row r="1243" customFormat="false" ht="15" hidden="false" customHeight="true" outlineLevel="0" collapsed="false">
      <c r="A1243" s="7" t="n">
        <f aca="false">'Raw Data'!A1243</f>
        <v>1141</v>
      </c>
      <c r="B1243" s="7" t="n">
        <f aca="false">'Raw Data'!B1243</f>
        <v>24</v>
      </c>
      <c r="C1243" s="7" t="str">
        <f aca="false">'Raw Data'!C1243</f>
        <v>Male</v>
      </c>
      <c r="D1243" s="7" t="str">
        <f aca="false">'Raw Data'!D1243</f>
        <v>Current</v>
      </c>
      <c r="E1243" s="7" t="str">
        <f aca="false">'Raw Data'!J1243</f>
        <v>Low</v>
      </c>
      <c r="F1243" s="7" t="n">
        <f aca="false">'Raw Data'!K1243</f>
        <v>268.1</v>
      </c>
      <c r="G1243" s="7" t="str">
        <f aca="false">'Raw Data'!L1243</f>
        <v>No</v>
      </c>
      <c r="H1243" s="7" t="str">
        <f aca="false">'Raw Data'!M1243</f>
        <v>Low</v>
      </c>
      <c r="I1243" s="7" t="n">
        <f aca="false">(IF(D1243="Current",3,IF(D1243="Former",1,0)))+(IF(E1243="High",3,IF(E1243="Normal",1,0)))+(IF(F1243&gt;=240,2,IF(F1243&gt;=200,1,0)))+(IF(G1243="Yes",2,0))+(IF(H1243="High",2,IF(H1243="Moderate",1,0)))</f>
        <v>5</v>
      </c>
      <c r="J1243" s="7" t="str">
        <f aca="false">IF(I1243&gt;=8,"High",IF(I1243&gt;=4,"Medium","Low"))</f>
        <v>Medium</v>
      </c>
    </row>
    <row r="1244" customFormat="false" ht="15" hidden="false" customHeight="true" outlineLevel="0" collapsed="false">
      <c r="A1244" s="7" t="n">
        <f aca="false">'Raw Data'!A1244</f>
        <v>1153</v>
      </c>
      <c r="B1244" s="7" t="n">
        <f aca="false">'Raw Data'!B1244</f>
        <v>60</v>
      </c>
      <c r="C1244" s="7" t="str">
        <f aca="false">'Raw Data'!C1244</f>
        <v>Female</v>
      </c>
      <c r="D1244" s="7" t="str">
        <f aca="false">'Raw Data'!D1244</f>
        <v>Current</v>
      </c>
      <c r="E1244" s="7" t="str">
        <f aca="false">'Raw Data'!J1244</f>
        <v>Low</v>
      </c>
      <c r="F1244" s="7" t="n">
        <f aca="false">'Raw Data'!K1244</f>
        <v>261</v>
      </c>
      <c r="G1244" s="7" t="str">
        <f aca="false">'Raw Data'!L1244</f>
        <v>No</v>
      </c>
      <c r="H1244" s="7" t="str">
        <f aca="false">'Raw Data'!M1244</f>
        <v>Low</v>
      </c>
      <c r="I1244" s="7" t="n">
        <f aca="false">(IF(D1244="Current",3,IF(D1244="Former",1,0)))+(IF(E1244="High",3,IF(E1244="Normal",1,0)))+(IF(F1244&gt;=240,2,IF(F1244&gt;=200,1,0)))+(IF(G1244="Yes",2,0))+(IF(H1244="High",2,IF(H1244="Moderate",1,0)))</f>
        <v>5</v>
      </c>
      <c r="J1244" s="7" t="str">
        <f aca="false">IF(I1244&gt;=8,"High",IF(I1244&gt;=4,"Medium","Low"))</f>
        <v>Medium</v>
      </c>
    </row>
    <row r="1245" customFormat="false" ht="15" hidden="false" customHeight="true" outlineLevel="0" collapsed="false">
      <c r="A1245" s="7" t="n">
        <f aca="false">'Raw Data'!A1245</f>
        <v>1194</v>
      </c>
      <c r="B1245" s="7" t="n">
        <f aca="false">'Raw Data'!B1245</f>
        <v>57</v>
      </c>
      <c r="C1245" s="7" t="str">
        <f aca="false">'Raw Data'!C1245</f>
        <v>Male</v>
      </c>
      <c r="D1245" s="7" t="str">
        <f aca="false">'Raw Data'!D1245</f>
        <v>Current</v>
      </c>
      <c r="E1245" s="7" t="str">
        <f aca="false">'Raw Data'!J1245</f>
        <v>Low</v>
      </c>
      <c r="F1245" s="7" t="n">
        <f aca="false">'Raw Data'!K1245</f>
        <v>243.1</v>
      </c>
      <c r="G1245" s="7" t="str">
        <f aca="false">'Raw Data'!L1245</f>
        <v>Yes</v>
      </c>
      <c r="H1245" s="7" t="str">
        <f aca="false">'Raw Data'!M1245</f>
        <v>Low</v>
      </c>
      <c r="I1245" s="7" t="n">
        <f aca="false">(IF(D1245="Current",3,IF(D1245="Former",1,0)))+(IF(E1245="High",3,IF(E1245="Normal",1,0)))+(IF(F1245&gt;=240,2,IF(F1245&gt;=200,1,0)))+(IF(G1245="Yes",2,0))+(IF(H1245="High",2,IF(H1245="Moderate",1,0)))</f>
        <v>7</v>
      </c>
      <c r="J1245" s="7" t="str">
        <f aca="false">IF(I1245&gt;=8,"High",IF(I1245&gt;=4,"Medium","Low"))</f>
        <v>Medium</v>
      </c>
    </row>
    <row r="1246" customFormat="false" ht="15" hidden="false" customHeight="true" outlineLevel="0" collapsed="false">
      <c r="A1246" s="7" t="n">
        <f aca="false">'Raw Data'!A1246</f>
        <v>1373</v>
      </c>
      <c r="B1246" s="7" t="n">
        <f aca="false">'Raw Data'!B1246</f>
        <v>76</v>
      </c>
      <c r="C1246" s="7" t="str">
        <f aca="false">'Raw Data'!C1246</f>
        <v>Female</v>
      </c>
      <c r="D1246" s="7" t="str">
        <f aca="false">'Raw Data'!D1246</f>
        <v>Current</v>
      </c>
      <c r="E1246" s="7" t="str">
        <f aca="false">'Raw Data'!J1246</f>
        <v>Low</v>
      </c>
      <c r="F1246" s="7" t="n">
        <f aca="false">'Raw Data'!K1246</f>
        <v>203.6</v>
      </c>
      <c r="G1246" s="7" t="str">
        <f aca="false">'Raw Data'!L1246</f>
        <v>No</v>
      </c>
      <c r="H1246" s="7" t="str">
        <f aca="false">'Raw Data'!M1246</f>
        <v>Low</v>
      </c>
      <c r="I1246" s="7" t="n">
        <f aca="false">(IF(D1246="Current",3,IF(D1246="Former",1,0)))+(IF(E1246="High",3,IF(E1246="Normal",1,0)))+(IF(F1246&gt;=240,2,IF(F1246&gt;=200,1,0)))+(IF(G1246="Yes",2,0))+(IF(H1246="High",2,IF(H1246="Moderate",1,0)))</f>
        <v>4</v>
      </c>
      <c r="J1246" s="7" t="str">
        <f aca="false">IF(I1246&gt;=8,"High",IF(I1246&gt;=4,"Medium","Low"))</f>
        <v>Medium</v>
      </c>
    </row>
    <row r="1247" customFormat="false" ht="15" hidden="false" customHeight="true" outlineLevel="0" collapsed="false">
      <c r="A1247" s="7" t="n">
        <f aca="false">'Raw Data'!A1247</f>
        <v>1381</v>
      </c>
      <c r="B1247" s="7" t="n">
        <f aca="false">'Raw Data'!B1247</f>
        <v>31</v>
      </c>
      <c r="C1247" s="7" t="str">
        <f aca="false">'Raw Data'!C1247</f>
        <v>Female</v>
      </c>
      <c r="D1247" s="7" t="str">
        <f aca="false">'Raw Data'!D1247</f>
        <v>Current</v>
      </c>
      <c r="E1247" s="7" t="str">
        <f aca="false">'Raw Data'!J1247</f>
        <v>Low</v>
      </c>
      <c r="F1247" s="7" t="n">
        <f aca="false">'Raw Data'!K1247</f>
        <v>126.6</v>
      </c>
      <c r="G1247" s="7" t="str">
        <f aca="false">'Raw Data'!L1247</f>
        <v>No</v>
      </c>
      <c r="H1247" s="7" t="str">
        <f aca="false">'Raw Data'!M1247</f>
        <v>Low</v>
      </c>
      <c r="I1247" s="7" t="n">
        <f aca="false">(IF(D1247="Current",3,IF(D1247="Former",1,0)))+(IF(E1247="High",3,IF(E1247="Normal",1,0)))+(IF(F1247&gt;=240,2,IF(F1247&gt;=200,1,0)))+(IF(G1247="Yes",2,0))+(IF(H1247="High",2,IF(H1247="Moderate",1,0)))</f>
        <v>3</v>
      </c>
      <c r="J1247" s="7" t="str">
        <f aca="false">IF(I1247&gt;=8,"High",IF(I1247&gt;=4,"Medium","Low"))</f>
        <v>Low</v>
      </c>
    </row>
    <row r="1248" customFormat="false" ht="15" hidden="false" customHeight="true" outlineLevel="0" collapsed="false">
      <c r="A1248" s="7" t="n">
        <f aca="false">'Raw Data'!A1248</f>
        <v>1400</v>
      </c>
      <c r="B1248" s="7" t="n">
        <f aca="false">'Raw Data'!B1248</f>
        <v>18</v>
      </c>
      <c r="C1248" s="7" t="str">
        <f aca="false">'Raw Data'!C1248</f>
        <v>Male</v>
      </c>
      <c r="D1248" s="7" t="str">
        <f aca="false">'Raw Data'!D1248</f>
        <v>Current</v>
      </c>
      <c r="E1248" s="7" t="str">
        <f aca="false">'Raw Data'!J1248</f>
        <v>Low</v>
      </c>
      <c r="F1248" s="7" t="n">
        <f aca="false">'Raw Data'!K1248</f>
        <v>185</v>
      </c>
      <c r="G1248" s="7" t="str">
        <f aca="false">'Raw Data'!L1248</f>
        <v>No</v>
      </c>
      <c r="H1248" s="7" t="str">
        <f aca="false">'Raw Data'!M1248</f>
        <v>Low</v>
      </c>
      <c r="I1248" s="7" t="n">
        <f aca="false">(IF(D1248="Current",3,IF(D1248="Former",1,0)))+(IF(E1248="High",3,IF(E1248="Normal",1,0)))+(IF(F1248&gt;=240,2,IF(F1248&gt;=200,1,0)))+(IF(G1248="Yes",2,0))+(IF(H1248="High",2,IF(H1248="Moderate",1,0)))</f>
        <v>3</v>
      </c>
      <c r="J1248" s="7" t="str">
        <f aca="false">IF(I1248&gt;=8,"High",IF(I1248&gt;=4,"Medium","Low"))</f>
        <v>Low</v>
      </c>
    </row>
    <row r="1249" customFormat="false" ht="15" hidden="false" customHeight="true" outlineLevel="0" collapsed="false">
      <c r="A1249" s="7" t="n">
        <f aca="false">'Raw Data'!A1249</f>
        <v>1412</v>
      </c>
      <c r="B1249" s="7" t="n">
        <f aca="false">'Raw Data'!B1249</f>
        <v>20</v>
      </c>
      <c r="C1249" s="7" t="str">
        <f aca="false">'Raw Data'!C1249</f>
        <v>Female</v>
      </c>
      <c r="D1249" s="7" t="str">
        <f aca="false">'Raw Data'!D1249</f>
        <v>Current</v>
      </c>
      <c r="E1249" s="7" t="str">
        <f aca="false">'Raw Data'!J1249</f>
        <v>Low</v>
      </c>
      <c r="F1249" s="7" t="n">
        <f aca="false">'Raw Data'!K1249</f>
        <v>174.5</v>
      </c>
      <c r="G1249" s="7" t="str">
        <f aca="false">'Raw Data'!L1249</f>
        <v>No</v>
      </c>
      <c r="H1249" s="7" t="str">
        <f aca="false">'Raw Data'!M1249</f>
        <v>Low</v>
      </c>
      <c r="I1249" s="7" t="n">
        <f aca="false">(IF(D1249="Current",3,IF(D1249="Former",1,0)))+(IF(E1249="High",3,IF(E1249="Normal",1,0)))+(IF(F1249&gt;=240,2,IF(F1249&gt;=200,1,0)))+(IF(G1249="Yes",2,0))+(IF(H1249="High",2,IF(H1249="Moderate",1,0)))</f>
        <v>3</v>
      </c>
      <c r="J1249" s="7" t="str">
        <f aca="false">IF(I1249&gt;=8,"High",IF(I1249&gt;=4,"Medium","Low"))</f>
        <v>Low</v>
      </c>
    </row>
    <row r="1250" customFormat="false" ht="15" hidden="false" customHeight="true" outlineLevel="0" collapsed="false">
      <c r="A1250" s="7" t="n">
        <f aca="false">'Raw Data'!A1250</f>
        <v>1420</v>
      </c>
      <c r="B1250" s="7" t="n">
        <f aca="false">'Raw Data'!B1250</f>
        <v>53</v>
      </c>
      <c r="C1250" s="7" t="str">
        <f aca="false">'Raw Data'!C1250</f>
        <v>Male</v>
      </c>
      <c r="D1250" s="7" t="str">
        <f aca="false">'Raw Data'!D1250</f>
        <v>Current</v>
      </c>
      <c r="E1250" s="7" t="str">
        <f aca="false">'Raw Data'!J1250</f>
        <v>Low</v>
      </c>
      <c r="F1250" s="7" t="n">
        <f aca="false">'Raw Data'!K1250</f>
        <v>208.1</v>
      </c>
      <c r="G1250" s="7" t="str">
        <f aca="false">'Raw Data'!L1250</f>
        <v>No</v>
      </c>
      <c r="H1250" s="7" t="str">
        <f aca="false">'Raw Data'!M1250</f>
        <v>Low</v>
      </c>
      <c r="I1250" s="7" t="n">
        <f aca="false">(IF(D1250="Current",3,IF(D1250="Former",1,0)))+(IF(E1250="High",3,IF(E1250="Normal",1,0)))+(IF(F1250&gt;=240,2,IF(F1250&gt;=200,1,0)))+(IF(G1250="Yes",2,0))+(IF(H1250="High",2,IF(H1250="Moderate",1,0)))</f>
        <v>4</v>
      </c>
      <c r="J1250" s="7" t="str">
        <f aca="false">IF(I1250&gt;=8,"High",IF(I1250&gt;=4,"Medium","Low"))</f>
        <v>Medium</v>
      </c>
    </row>
    <row r="1251" customFormat="false" ht="15" hidden="false" customHeight="true" outlineLevel="0" collapsed="false">
      <c r="A1251" s="7" t="n">
        <f aca="false">'Raw Data'!A1251</f>
        <v>1439</v>
      </c>
      <c r="B1251" s="7" t="n">
        <f aca="false">'Raw Data'!B1251</f>
        <v>83</v>
      </c>
      <c r="C1251" s="7" t="str">
        <f aca="false">'Raw Data'!C1251</f>
        <v>Male</v>
      </c>
      <c r="D1251" s="7" t="str">
        <f aca="false">'Raw Data'!D1251</f>
        <v>Current</v>
      </c>
      <c r="E1251" s="7" t="str">
        <f aca="false">'Raw Data'!J1251</f>
        <v>Low</v>
      </c>
      <c r="F1251" s="7" t="n">
        <f aca="false">'Raw Data'!K1251</f>
        <v>239</v>
      </c>
      <c r="G1251" s="7" t="str">
        <f aca="false">'Raw Data'!L1251</f>
        <v>No</v>
      </c>
      <c r="H1251" s="7" t="str">
        <f aca="false">'Raw Data'!M1251</f>
        <v>Low</v>
      </c>
      <c r="I1251" s="7" t="n">
        <f aca="false">(IF(D1251="Current",3,IF(D1251="Former",1,0)))+(IF(E1251="High",3,IF(E1251="Normal",1,0)))+(IF(F1251&gt;=240,2,IF(F1251&gt;=200,1,0)))+(IF(G1251="Yes",2,0))+(IF(H1251="High",2,IF(H1251="Moderate",1,0)))</f>
        <v>4</v>
      </c>
      <c r="J1251" s="7" t="str">
        <f aca="false">IF(I1251&gt;=8,"High",IF(I1251&gt;=4,"Medium","Low"))</f>
        <v>Medium</v>
      </c>
    </row>
    <row r="1252" customFormat="false" ht="15" hidden="false" customHeight="true" outlineLevel="0" collapsed="false">
      <c r="A1252" s="7" t="n">
        <f aca="false">'Raw Data'!A1252</f>
        <v>1512</v>
      </c>
      <c r="B1252" s="7" t="n">
        <f aca="false">'Raw Data'!B1252</f>
        <v>81</v>
      </c>
      <c r="C1252" s="7" t="str">
        <f aca="false">'Raw Data'!C1252</f>
        <v>Female</v>
      </c>
      <c r="D1252" s="7" t="str">
        <f aca="false">'Raw Data'!D1252</f>
        <v>Current</v>
      </c>
      <c r="E1252" s="7" t="str">
        <f aca="false">'Raw Data'!J1252</f>
        <v>Low</v>
      </c>
      <c r="F1252" s="7" t="n">
        <f aca="false">'Raw Data'!K1252</f>
        <v>207.3</v>
      </c>
      <c r="G1252" s="7" t="str">
        <f aca="false">'Raw Data'!L1252</f>
        <v>No</v>
      </c>
      <c r="H1252" s="7" t="str">
        <f aca="false">'Raw Data'!M1252</f>
        <v>Low</v>
      </c>
      <c r="I1252" s="7" t="n">
        <f aca="false">(IF(D1252="Current",3,IF(D1252="Former",1,0)))+(IF(E1252="High",3,IF(E1252="Normal",1,0)))+(IF(F1252&gt;=240,2,IF(F1252&gt;=200,1,0)))+(IF(G1252="Yes",2,0))+(IF(H1252="High",2,IF(H1252="Moderate",1,0)))</f>
        <v>4</v>
      </c>
      <c r="J1252" s="7" t="str">
        <f aca="false">IF(I1252&gt;=8,"High",IF(I1252&gt;=4,"Medium","Low"))</f>
        <v>Medium</v>
      </c>
    </row>
    <row r="1253" customFormat="false" ht="15" hidden="false" customHeight="true" outlineLevel="0" collapsed="false">
      <c r="A1253" s="7" t="n">
        <f aca="false">'Raw Data'!A1253</f>
        <v>1641</v>
      </c>
      <c r="B1253" s="7" t="n">
        <f aca="false">'Raw Data'!B1253</f>
        <v>85</v>
      </c>
      <c r="C1253" s="7" t="str">
        <f aca="false">'Raw Data'!C1253</f>
        <v>Male</v>
      </c>
      <c r="D1253" s="7" t="str">
        <f aca="false">'Raw Data'!D1253</f>
        <v>Current</v>
      </c>
      <c r="E1253" s="7" t="str">
        <f aca="false">'Raw Data'!J1253</f>
        <v>Low</v>
      </c>
      <c r="F1253" s="7" t="n">
        <f aca="false">'Raw Data'!K1253</f>
        <v>272.1</v>
      </c>
      <c r="G1253" s="7" t="str">
        <f aca="false">'Raw Data'!L1253</f>
        <v>No</v>
      </c>
      <c r="H1253" s="7" t="str">
        <f aca="false">'Raw Data'!M1253</f>
        <v>Low</v>
      </c>
      <c r="I1253" s="7" t="n">
        <f aca="false">(IF(D1253="Current",3,IF(D1253="Former",1,0)))+(IF(E1253="High",3,IF(E1253="Normal",1,0)))+(IF(F1253&gt;=240,2,IF(F1253&gt;=200,1,0)))+(IF(G1253="Yes",2,0))+(IF(H1253="High",2,IF(H1253="Moderate",1,0)))</f>
        <v>5</v>
      </c>
      <c r="J1253" s="7" t="str">
        <f aca="false">IF(I1253&gt;=8,"High",IF(I1253&gt;=4,"Medium","Low"))</f>
        <v>Medium</v>
      </c>
    </row>
    <row r="1254" customFormat="false" ht="15" hidden="false" customHeight="true" outlineLevel="0" collapsed="false">
      <c r="A1254" s="7" t="n">
        <f aca="false">'Raw Data'!A1254</f>
        <v>1677</v>
      </c>
      <c r="B1254" s="7" t="n">
        <f aca="false">'Raw Data'!B1254</f>
        <v>67</v>
      </c>
      <c r="C1254" s="7" t="str">
        <f aca="false">'Raw Data'!C1254</f>
        <v>Female</v>
      </c>
      <c r="D1254" s="7" t="str">
        <f aca="false">'Raw Data'!D1254</f>
        <v>Current</v>
      </c>
      <c r="E1254" s="7" t="str">
        <f aca="false">'Raw Data'!J1254</f>
        <v>Low</v>
      </c>
      <c r="F1254" s="7" t="n">
        <f aca="false">'Raw Data'!K1254</f>
        <v>265.5</v>
      </c>
      <c r="G1254" s="7" t="str">
        <f aca="false">'Raw Data'!L1254</f>
        <v>No</v>
      </c>
      <c r="H1254" s="7" t="str">
        <f aca="false">'Raw Data'!M1254</f>
        <v>Low</v>
      </c>
      <c r="I1254" s="7" t="n">
        <f aca="false">(IF(D1254="Current",3,IF(D1254="Former",1,0)))+(IF(E1254="High",3,IF(E1254="Normal",1,0)))+(IF(F1254&gt;=240,2,IF(F1254&gt;=200,1,0)))+(IF(G1254="Yes",2,0))+(IF(H1254="High",2,IF(H1254="Moderate",1,0)))</f>
        <v>5</v>
      </c>
      <c r="J1254" s="7" t="str">
        <f aca="false">IF(I1254&gt;=8,"High",IF(I1254&gt;=4,"Medium","Low"))</f>
        <v>Medium</v>
      </c>
    </row>
    <row r="1255" customFormat="false" ht="15" hidden="false" customHeight="true" outlineLevel="0" collapsed="false">
      <c r="A1255" s="7" t="n">
        <f aca="false">'Raw Data'!A1255</f>
        <v>1694</v>
      </c>
      <c r="B1255" s="7" t="n">
        <f aca="false">'Raw Data'!B1255</f>
        <v>22</v>
      </c>
      <c r="C1255" s="7" t="str">
        <f aca="false">'Raw Data'!C1255</f>
        <v>Female</v>
      </c>
      <c r="D1255" s="7" t="str">
        <f aca="false">'Raw Data'!D1255</f>
        <v>Current</v>
      </c>
      <c r="E1255" s="7" t="str">
        <f aca="false">'Raw Data'!J1255</f>
        <v>Low</v>
      </c>
      <c r="F1255" s="7" t="n">
        <f aca="false">'Raw Data'!K1255</f>
        <v>252.2</v>
      </c>
      <c r="G1255" s="7" t="str">
        <f aca="false">'Raw Data'!L1255</f>
        <v>No</v>
      </c>
      <c r="H1255" s="7" t="str">
        <f aca="false">'Raw Data'!M1255</f>
        <v>Low</v>
      </c>
      <c r="I1255" s="7" t="n">
        <f aca="false">(IF(D1255="Current",3,IF(D1255="Former",1,0)))+(IF(E1255="High",3,IF(E1255="Normal",1,0)))+(IF(F1255&gt;=240,2,IF(F1255&gt;=200,1,0)))+(IF(G1255="Yes",2,0))+(IF(H1255="High",2,IF(H1255="Moderate",1,0)))</f>
        <v>5</v>
      </c>
      <c r="J1255" s="7" t="str">
        <f aca="false">IF(I1255&gt;=8,"High",IF(I1255&gt;=4,"Medium","Low"))</f>
        <v>Medium</v>
      </c>
    </row>
    <row r="1256" customFormat="false" ht="15" hidden="false" customHeight="true" outlineLevel="0" collapsed="false">
      <c r="A1256" s="7" t="n">
        <f aca="false">'Raw Data'!A1256</f>
        <v>1716</v>
      </c>
      <c r="B1256" s="7" t="n">
        <f aca="false">'Raw Data'!B1256</f>
        <v>78</v>
      </c>
      <c r="C1256" s="7" t="str">
        <f aca="false">'Raw Data'!C1256</f>
        <v>Male</v>
      </c>
      <c r="D1256" s="7" t="str">
        <f aca="false">'Raw Data'!D1256</f>
        <v>Current</v>
      </c>
      <c r="E1256" s="7" t="str">
        <f aca="false">'Raw Data'!J1256</f>
        <v>Low</v>
      </c>
      <c r="F1256" s="7" t="n">
        <f aca="false">'Raw Data'!K1256</f>
        <v>199.3</v>
      </c>
      <c r="G1256" s="7" t="str">
        <f aca="false">'Raw Data'!L1256</f>
        <v>No</v>
      </c>
      <c r="H1256" s="7" t="str">
        <f aca="false">'Raw Data'!M1256</f>
        <v>Low</v>
      </c>
      <c r="I1256" s="7" t="n">
        <f aca="false">(IF(D1256="Current",3,IF(D1256="Former",1,0)))+(IF(E1256="High",3,IF(E1256="Normal",1,0)))+(IF(F1256&gt;=240,2,IF(F1256&gt;=200,1,0)))+(IF(G1256="Yes",2,0))+(IF(H1256="High",2,IF(H1256="Moderate",1,0)))</f>
        <v>3</v>
      </c>
      <c r="J1256" s="7" t="str">
        <f aca="false">IF(I1256&gt;=8,"High",IF(I1256&gt;=4,"Medium","Low"))</f>
        <v>Low</v>
      </c>
    </row>
    <row r="1257" customFormat="false" ht="15" hidden="false" customHeight="true" outlineLevel="0" collapsed="false">
      <c r="A1257" s="7" t="n">
        <f aca="false">'Raw Data'!A1257</f>
        <v>1720</v>
      </c>
      <c r="B1257" s="7" t="n">
        <f aca="false">'Raw Data'!B1257</f>
        <v>78</v>
      </c>
      <c r="C1257" s="7" t="str">
        <f aca="false">'Raw Data'!C1257</f>
        <v>Male</v>
      </c>
      <c r="D1257" s="7" t="str">
        <f aca="false">'Raw Data'!D1257</f>
        <v>Current</v>
      </c>
      <c r="E1257" s="7" t="str">
        <f aca="false">'Raw Data'!J1257</f>
        <v>Low</v>
      </c>
      <c r="F1257" s="7" t="n">
        <f aca="false">'Raw Data'!K1257</f>
        <v>242.4</v>
      </c>
      <c r="G1257" s="7" t="str">
        <f aca="false">'Raw Data'!L1257</f>
        <v>Yes</v>
      </c>
      <c r="H1257" s="7" t="str">
        <f aca="false">'Raw Data'!M1257</f>
        <v>Low</v>
      </c>
      <c r="I1257" s="7" t="n">
        <f aca="false">(IF(D1257="Current",3,IF(D1257="Former",1,0)))+(IF(E1257="High",3,IF(E1257="Normal",1,0)))+(IF(F1257&gt;=240,2,IF(F1257&gt;=200,1,0)))+(IF(G1257="Yes",2,0))+(IF(H1257="High",2,IF(H1257="Moderate",1,0)))</f>
        <v>7</v>
      </c>
      <c r="J1257" s="7" t="str">
        <f aca="false">IF(I1257&gt;=8,"High",IF(I1257&gt;=4,"Medium","Low"))</f>
        <v>Medium</v>
      </c>
    </row>
    <row r="1258" customFormat="false" ht="15" hidden="false" customHeight="true" outlineLevel="0" collapsed="false">
      <c r="A1258" s="7" t="n">
        <f aca="false">'Raw Data'!A1258</f>
        <v>1721</v>
      </c>
      <c r="B1258" s="7" t="n">
        <f aca="false">'Raw Data'!B1258</f>
        <v>74</v>
      </c>
      <c r="C1258" s="7" t="str">
        <f aca="false">'Raw Data'!C1258</f>
        <v>Female</v>
      </c>
      <c r="D1258" s="7" t="str">
        <f aca="false">'Raw Data'!D1258</f>
        <v>Current</v>
      </c>
      <c r="E1258" s="7" t="str">
        <f aca="false">'Raw Data'!J1258</f>
        <v>Low</v>
      </c>
      <c r="F1258" s="7" t="n">
        <f aca="false">'Raw Data'!K1258</f>
        <v>249.1</v>
      </c>
      <c r="G1258" s="7" t="str">
        <f aca="false">'Raw Data'!L1258</f>
        <v>No</v>
      </c>
      <c r="H1258" s="7" t="str">
        <f aca="false">'Raw Data'!M1258</f>
        <v>Low</v>
      </c>
      <c r="I1258" s="7" t="n">
        <f aca="false">(IF(D1258="Current",3,IF(D1258="Former",1,0)))+(IF(E1258="High",3,IF(E1258="Normal",1,0)))+(IF(F1258&gt;=240,2,IF(F1258&gt;=200,1,0)))+(IF(G1258="Yes",2,0))+(IF(H1258="High",2,IF(H1258="Moderate",1,0)))</f>
        <v>5</v>
      </c>
      <c r="J1258" s="7" t="str">
        <f aca="false">IF(I1258&gt;=8,"High",IF(I1258&gt;=4,"Medium","Low"))</f>
        <v>Medium</v>
      </c>
    </row>
    <row r="1259" customFormat="false" ht="15" hidden="false" customHeight="true" outlineLevel="0" collapsed="false">
      <c r="A1259" s="7" t="n">
        <f aca="false">'Raw Data'!A1259</f>
        <v>1743</v>
      </c>
      <c r="B1259" s="7" t="n">
        <f aca="false">'Raw Data'!B1259</f>
        <v>59</v>
      </c>
      <c r="C1259" s="7" t="str">
        <f aca="false">'Raw Data'!C1259</f>
        <v>Male</v>
      </c>
      <c r="D1259" s="7" t="str">
        <f aca="false">'Raw Data'!D1259</f>
        <v>Current</v>
      </c>
      <c r="E1259" s="7" t="str">
        <f aca="false">'Raw Data'!J1259</f>
        <v>Low</v>
      </c>
      <c r="F1259" s="7" t="n">
        <f aca="false">'Raw Data'!K1259</f>
        <v>204.9</v>
      </c>
      <c r="G1259" s="7" t="str">
        <f aca="false">'Raw Data'!L1259</f>
        <v>Yes</v>
      </c>
      <c r="H1259" s="7" t="str">
        <f aca="false">'Raw Data'!M1259</f>
        <v>Low</v>
      </c>
      <c r="I1259" s="7" t="n">
        <f aca="false">(IF(D1259="Current",3,IF(D1259="Former",1,0)))+(IF(E1259="High",3,IF(E1259="Normal",1,0)))+(IF(F1259&gt;=240,2,IF(F1259&gt;=200,1,0)))+(IF(G1259="Yes",2,0))+(IF(H1259="High",2,IF(H1259="Moderate",1,0)))</f>
        <v>6</v>
      </c>
      <c r="J1259" s="7" t="str">
        <f aca="false">IF(I1259&gt;=8,"High",IF(I1259&gt;=4,"Medium","Low"))</f>
        <v>Medium</v>
      </c>
    </row>
    <row r="1260" customFormat="false" ht="15" hidden="false" customHeight="true" outlineLevel="0" collapsed="false">
      <c r="A1260" s="7" t="n">
        <f aca="false">'Raw Data'!A1260</f>
        <v>1757</v>
      </c>
      <c r="B1260" s="7" t="n">
        <f aca="false">'Raw Data'!B1260</f>
        <v>60</v>
      </c>
      <c r="C1260" s="7" t="str">
        <f aca="false">'Raw Data'!C1260</f>
        <v>Female</v>
      </c>
      <c r="D1260" s="7" t="str">
        <f aca="false">'Raw Data'!D1260</f>
        <v>Current</v>
      </c>
      <c r="E1260" s="7" t="str">
        <f aca="false">'Raw Data'!J1260</f>
        <v>Low</v>
      </c>
      <c r="F1260" s="7" t="n">
        <f aca="false">'Raw Data'!K1260</f>
        <v>157.3</v>
      </c>
      <c r="G1260" s="7" t="str">
        <f aca="false">'Raw Data'!L1260</f>
        <v>No</v>
      </c>
      <c r="H1260" s="7" t="str">
        <f aca="false">'Raw Data'!M1260</f>
        <v>Low</v>
      </c>
      <c r="I1260" s="7" t="n">
        <f aca="false">(IF(D1260="Current",3,IF(D1260="Former",1,0)))+(IF(E1260="High",3,IF(E1260="Normal",1,0)))+(IF(F1260&gt;=240,2,IF(F1260&gt;=200,1,0)))+(IF(G1260="Yes",2,0))+(IF(H1260="High",2,IF(H1260="Moderate",1,0)))</f>
        <v>3</v>
      </c>
      <c r="J1260" s="7" t="str">
        <f aca="false">IF(I1260&gt;=8,"High",IF(I1260&gt;=4,"Medium","Low"))</f>
        <v>Low</v>
      </c>
    </row>
    <row r="1261" customFormat="false" ht="15" hidden="false" customHeight="true" outlineLevel="0" collapsed="false">
      <c r="A1261" s="7" t="n">
        <f aca="false">'Raw Data'!A1261</f>
        <v>1762</v>
      </c>
      <c r="B1261" s="7" t="n">
        <f aca="false">'Raw Data'!B1261</f>
        <v>22</v>
      </c>
      <c r="C1261" s="7" t="str">
        <f aca="false">'Raw Data'!C1261</f>
        <v>Male</v>
      </c>
      <c r="D1261" s="7" t="str">
        <f aca="false">'Raw Data'!D1261</f>
        <v>Current</v>
      </c>
      <c r="E1261" s="7" t="str">
        <f aca="false">'Raw Data'!J1261</f>
        <v>Low</v>
      </c>
      <c r="F1261" s="7" t="n">
        <f aca="false">'Raw Data'!K1261</f>
        <v>270.9</v>
      </c>
      <c r="G1261" s="7" t="str">
        <f aca="false">'Raw Data'!L1261</f>
        <v>No</v>
      </c>
      <c r="H1261" s="7" t="str">
        <f aca="false">'Raw Data'!M1261</f>
        <v>Low</v>
      </c>
      <c r="I1261" s="7" t="n">
        <f aca="false">(IF(D1261="Current",3,IF(D1261="Former",1,0)))+(IF(E1261="High",3,IF(E1261="Normal",1,0)))+(IF(F1261&gt;=240,2,IF(F1261&gt;=200,1,0)))+(IF(G1261="Yes",2,0))+(IF(H1261="High",2,IF(H1261="Moderate",1,0)))</f>
        <v>5</v>
      </c>
      <c r="J1261" s="7" t="str">
        <f aca="false">IF(I1261&gt;=8,"High",IF(I1261&gt;=4,"Medium","Low"))</f>
        <v>Medium</v>
      </c>
    </row>
    <row r="1262" customFormat="false" ht="15" hidden="false" customHeight="true" outlineLevel="0" collapsed="false">
      <c r="A1262" s="7" t="n">
        <f aca="false">'Raw Data'!A1262</f>
        <v>1813</v>
      </c>
      <c r="B1262" s="7" t="n">
        <f aca="false">'Raw Data'!B1262</f>
        <v>50</v>
      </c>
      <c r="C1262" s="7" t="str">
        <f aca="false">'Raw Data'!C1262</f>
        <v>Male</v>
      </c>
      <c r="D1262" s="7" t="str">
        <f aca="false">'Raw Data'!D1262</f>
        <v>Current</v>
      </c>
      <c r="E1262" s="7" t="str">
        <f aca="false">'Raw Data'!J1262</f>
        <v>Low</v>
      </c>
      <c r="F1262" s="7" t="n">
        <f aca="false">'Raw Data'!K1262</f>
        <v>133.8</v>
      </c>
      <c r="G1262" s="7" t="str">
        <f aca="false">'Raw Data'!L1262</f>
        <v>No</v>
      </c>
      <c r="H1262" s="7" t="str">
        <f aca="false">'Raw Data'!M1262</f>
        <v>Low</v>
      </c>
      <c r="I1262" s="7" t="n">
        <f aca="false">(IF(D1262="Current",3,IF(D1262="Former",1,0)))+(IF(E1262="High",3,IF(E1262="Normal",1,0)))+(IF(F1262&gt;=240,2,IF(F1262&gt;=200,1,0)))+(IF(G1262="Yes",2,0))+(IF(H1262="High",2,IF(H1262="Moderate",1,0)))</f>
        <v>3</v>
      </c>
      <c r="J1262" s="7" t="str">
        <f aca="false">IF(I1262&gt;=8,"High",IF(I1262&gt;=4,"Medium","Low"))</f>
        <v>Low</v>
      </c>
    </row>
    <row r="1263" customFormat="false" ht="15" hidden="false" customHeight="true" outlineLevel="0" collapsed="false">
      <c r="A1263" s="7" t="n">
        <f aca="false">'Raw Data'!A1263</f>
        <v>1867</v>
      </c>
      <c r="B1263" s="7" t="n">
        <f aca="false">'Raw Data'!B1263</f>
        <v>53</v>
      </c>
      <c r="C1263" s="7" t="str">
        <f aca="false">'Raw Data'!C1263</f>
        <v>Female</v>
      </c>
      <c r="D1263" s="7" t="str">
        <f aca="false">'Raw Data'!D1263</f>
        <v>Current</v>
      </c>
      <c r="E1263" s="7" t="str">
        <f aca="false">'Raw Data'!J1263</f>
        <v>Low</v>
      </c>
      <c r="F1263" s="7" t="n">
        <f aca="false">'Raw Data'!K1263</f>
        <v>244.5</v>
      </c>
      <c r="G1263" s="7" t="str">
        <f aca="false">'Raw Data'!L1263</f>
        <v>No</v>
      </c>
      <c r="H1263" s="7" t="str">
        <f aca="false">'Raw Data'!M1263</f>
        <v>Low</v>
      </c>
      <c r="I1263" s="7" t="n">
        <f aca="false">(IF(D1263="Current",3,IF(D1263="Former",1,0)))+(IF(E1263="High",3,IF(E1263="Normal",1,0)))+(IF(F1263&gt;=240,2,IF(F1263&gt;=200,1,0)))+(IF(G1263="Yes",2,0))+(IF(H1263="High",2,IF(H1263="Moderate",1,0)))</f>
        <v>5</v>
      </c>
      <c r="J1263" s="7" t="str">
        <f aca="false">IF(I1263&gt;=8,"High",IF(I1263&gt;=4,"Medium","Low"))</f>
        <v>Medium</v>
      </c>
    </row>
    <row r="1264" customFormat="false" ht="15" hidden="false" customHeight="true" outlineLevel="0" collapsed="false">
      <c r="A1264" s="7" t="n">
        <f aca="false">'Raw Data'!A1264</f>
        <v>1910</v>
      </c>
      <c r="B1264" s="7" t="n">
        <f aca="false">'Raw Data'!B1264</f>
        <v>78</v>
      </c>
      <c r="C1264" s="7" t="str">
        <f aca="false">'Raw Data'!C1264</f>
        <v>Female</v>
      </c>
      <c r="D1264" s="7" t="str">
        <f aca="false">'Raw Data'!D1264</f>
        <v>Current</v>
      </c>
      <c r="E1264" s="7" t="str">
        <f aca="false">'Raw Data'!J1264</f>
        <v>Low</v>
      </c>
      <c r="F1264" s="7" t="n">
        <f aca="false">'Raw Data'!K1264</f>
        <v>132.3</v>
      </c>
      <c r="G1264" s="7" t="str">
        <f aca="false">'Raw Data'!L1264</f>
        <v>No</v>
      </c>
      <c r="H1264" s="7" t="str">
        <f aca="false">'Raw Data'!M1264</f>
        <v>Low</v>
      </c>
      <c r="I1264" s="7" t="n">
        <f aca="false">(IF(D1264="Current",3,IF(D1264="Former",1,0)))+(IF(E1264="High",3,IF(E1264="Normal",1,0)))+(IF(F1264&gt;=240,2,IF(F1264&gt;=200,1,0)))+(IF(G1264="Yes",2,0))+(IF(H1264="High",2,IF(H1264="Moderate",1,0)))</f>
        <v>3</v>
      </c>
      <c r="J1264" s="7" t="str">
        <f aca="false">IF(I1264&gt;=8,"High",IF(I1264&gt;=4,"Medium","Low"))</f>
        <v>Low</v>
      </c>
    </row>
    <row r="1265" customFormat="false" ht="15" hidden="false" customHeight="true" outlineLevel="0" collapsed="false">
      <c r="A1265" s="7" t="n">
        <f aca="false">'Raw Data'!A1265</f>
        <v>1917</v>
      </c>
      <c r="B1265" s="7" t="n">
        <f aca="false">'Raw Data'!B1265</f>
        <v>57</v>
      </c>
      <c r="C1265" s="7" t="str">
        <f aca="false">'Raw Data'!C1265</f>
        <v>Male</v>
      </c>
      <c r="D1265" s="7" t="str">
        <f aca="false">'Raw Data'!D1265</f>
        <v>Current</v>
      </c>
      <c r="E1265" s="7" t="str">
        <f aca="false">'Raw Data'!J1265</f>
        <v>Low</v>
      </c>
      <c r="F1265" s="7" t="n">
        <f aca="false">'Raw Data'!K1265</f>
        <v>264.4</v>
      </c>
      <c r="G1265" s="7" t="str">
        <f aca="false">'Raw Data'!L1265</f>
        <v>No</v>
      </c>
      <c r="H1265" s="7" t="str">
        <f aca="false">'Raw Data'!M1265</f>
        <v>Low</v>
      </c>
      <c r="I1265" s="7" t="n">
        <f aca="false">(IF(D1265="Current",3,IF(D1265="Former",1,0)))+(IF(E1265="High",3,IF(E1265="Normal",1,0)))+(IF(F1265&gt;=240,2,IF(F1265&gt;=200,1,0)))+(IF(G1265="Yes",2,0))+(IF(H1265="High",2,IF(H1265="Moderate",1,0)))</f>
        <v>5</v>
      </c>
      <c r="J1265" s="7" t="str">
        <f aca="false">IF(I1265&gt;=8,"High",IF(I1265&gt;=4,"Medium","Low"))</f>
        <v>Medium</v>
      </c>
    </row>
    <row r="1266" customFormat="false" ht="15" hidden="false" customHeight="true" outlineLevel="0" collapsed="false">
      <c r="A1266" s="7" t="n">
        <f aca="false">'Raw Data'!A1266</f>
        <v>1940</v>
      </c>
      <c r="B1266" s="7" t="n">
        <f aca="false">'Raw Data'!B1266</f>
        <v>25</v>
      </c>
      <c r="C1266" s="7" t="str">
        <f aca="false">'Raw Data'!C1266</f>
        <v>Male</v>
      </c>
      <c r="D1266" s="7" t="str">
        <f aca="false">'Raw Data'!D1266</f>
        <v>Current</v>
      </c>
      <c r="E1266" s="7" t="str">
        <f aca="false">'Raw Data'!J1266</f>
        <v>Low</v>
      </c>
      <c r="F1266" s="7" t="n">
        <f aca="false">'Raw Data'!K1266</f>
        <v>135.6</v>
      </c>
      <c r="G1266" s="7" t="str">
        <f aca="false">'Raw Data'!L1266</f>
        <v>No</v>
      </c>
      <c r="H1266" s="7" t="str">
        <f aca="false">'Raw Data'!M1266</f>
        <v>Low</v>
      </c>
      <c r="I1266" s="7" t="n">
        <f aca="false">(IF(D1266="Current",3,IF(D1266="Former",1,0)))+(IF(E1266="High",3,IF(E1266="Normal",1,0)))+(IF(F1266&gt;=240,2,IF(F1266&gt;=200,1,0)))+(IF(G1266="Yes",2,0))+(IF(H1266="High",2,IF(H1266="Moderate",1,0)))</f>
        <v>3</v>
      </c>
      <c r="J1266" s="7" t="str">
        <f aca="false">IF(I1266&gt;=8,"High",IF(I1266&gt;=4,"Medium","Low"))</f>
        <v>Low</v>
      </c>
    </row>
    <row r="1267" customFormat="false" ht="15" hidden="false" customHeight="true" outlineLevel="0" collapsed="false">
      <c r="A1267" s="7" t="n">
        <f aca="false">'Raw Data'!A1267</f>
        <v>1996</v>
      </c>
      <c r="B1267" s="7" t="n">
        <f aca="false">'Raw Data'!B1267</f>
        <v>62</v>
      </c>
      <c r="C1267" s="7" t="str">
        <f aca="false">'Raw Data'!C1267</f>
        <v>Female</v>
      </c>
      <c r="D1267" s="7" t="str">
        <f aca="false">'Raw Data'!D1267</f>
        <v>Current</v>
      </c>
      <c r="E1267" s="7" t="str">
        <f aca="false">'Raw Data'!J1267</f>
        <v>Low</v>
      </c>
      <c r="F1267" s="7" t="n">
        <f aca="false">'Raw Data'!K1267</f>
        <v>244.1</v>
      </c>
      <c r="G1267" s="7" t="str">
        <f aca="false">'Raw Data'!L1267</f>
        <v>No</v>
      </c>
      <c r="H1267" s="7" t="str">
        <f aca="false">'Raw Data'!M1267</f>
        <v>Low</v>
      </c>
      <c r="I1267" s="7" t="n">
        <f aca="false">(IF(D1267="Current",3,IF(D1267="Former",1,0)))+(IF(E1267="High",3,IF(E1267="Normal",1,0)))+(IF(F1267&gt;=240,2,IF(F1267&gt;=200,1,0)))+(IF(G1267="Yes",2,0))+(IF(H1267="High",2,IF(H1267="Moderate",1,0)))</f>
        <v>5</v>
      </c>
      <c r="J1267" s="7" t="str">
        <f aca="false">IF(I1267&gt;=8,"High",IF(I1267&gt;=4,"Medium","Low"))</f>
        <v>Medium</v>
      </c>
    </row>
    <row r="1268" customFormat="false" ht="15" hidden="false" customHeight="true" outlineLevel="0" collapsed="false">
      <c r="A1268" s="7" t="n">
        <f aca="false">'Raw Data'!A1268</f>
        <v>2013</v>
      </c>
      <c r="B1268" s="7" t="n">
        <f aca="false">'Raw Data'!B1268</f>
        <v>22</v>
      </c>
      <c r="C1268" s="7" t="str">
        <f aca="false">'Raw Data'!C1268</f>
        <v>Male</v>
      </c>
      <c r="D1268" s="7" t="str">
        <f aca="false">'Raw Data'!D1268</f>
        <v>Current</v>
      </c>
      <c r="E1268" s="7" t="str">
        <f aca="false">'Raw Data'!J1268</f>
        <v>Low</v>
      </c>
      <c r="F1268" s="7" t="n">
        <f aca="false">'Raw Data'!K1268</f>
        <v>171.2</v>
      </c>
      <c r="G1268" s="7" t="str">
        <f aca="false">'Raw Data'!L1268</f>
        <v>No</v>
      </c>
      <c r="H1268" s="7" t="str">
        <f aca="false">'Raw Data'!M1268</f>
        <v>Low</v>
      </c>
      <c r="I1268" s="7" t="n">
        <f aca="false">(IF(D1268="Current",3,IF(D1268="Former",1,0)))+(IF(E1268="High",3,IF(E1268="Normal",1,0)))+(IF(F1268&gt;=240,2,IF(F1268&gt;=200,1,0)))+(IF(G1268="Yes",2,0))+(IF(H1268="High",2,IF(H1268="Moderate",1,0)))</f>
        <v>3</v>
      </c>
      <c r="J1268" s="7" t="str">
        <f aca="false">IF(I1268&gt;=8,"High",IF(I1268&gt;=4,"Medium","Low"))</f>
        <v>Low</v>
      </c>
    </row>
    <row r="1269" customFormat="false" ht="15" hidden="false" customHeight="true" outlineLevel="0" collapsed="false">
      <c r="A1269" s="7" t="n">
        <f aca="false">'Raw Data'!A1269</f>
        <v>2019</v>
      </c>
      <c r="B1269" s="7" t="n">
        <f aca="false">'Raw Data'!B1269</f>
        <v>37</v>
      </c>
      <c r="C1269" s="7" t="str">
        <f aca="false">'Raw Data'!C1269</f>
        <v>Female</v>
      </c>
      <c r="D1269" s="7" t="str">
        <f aca="false">'Raw Data'!D1269</f>
        <v>Current</v>
      </c>
      <c r="E1269" s="7" t="str">
        <f aca="false">'Raw Data'!J1269</f>
        <v>Low</v>
      </c>
      <c r="F1269" s="7" t="n">
        <f aca="false">'Raw Data'!K1269</f>
        <v>160.1</v>
      </c>
      <c r="G1269" s="7" t="str">
        <f aca="false">'Raw Data'!L1269</f>
        <v>No</v>
      </c>
      <c r="H1269" s="7" t="str">
        <f aca="false">'Raw Data'!M1269</f>
        <v>Low</v>
      </c>
      <c r="I1269" s="7" t="n">
        <f aca="false">(IF(D1269="Current",3,IF(D1269="Former",1,0)))+(IF(E1269="High",3,IF(E1269="Normal",1,0)))+(IF(F1269&gt;=240,2,IF(F1269&gt;=200,1,0)))+(IF(G1269="Yes",2,0))+(IF(H1269="High",2,IF(H1269="Moderate",1,0)))</f>
        <v>3</v>
      </c>
      <c r="J1269" s="7" t="str">
        <f aca="false">IF(I1269&gt;=8,"High",IF(I1269&gt;=4,"Medium","Low"))</f>
        <v>Low</v>
      </c>
    </row>
    <row r="1270" customFormat="false" ht="15" hidden="false" customHeight="true" outlineLevel="0" collapsed="false">
      <c r="A1270" s="7" t="n">
        <f aca="false">'Raw Data'!A1270</f>
        <v>2046</v>
      </c>
      <c r="B1270" s="7" t="n">
        <f aca="false">'Raw Data'!B1270</f>
        <v>19</v>
      </c>
      <c r="C1270" s="7" t="str">
        <f aca="false">'Raw Data'!C1270</f>
        <v>Female</v>
      </c>
      <c r="D1270" s="7" t="str">
        <f aca="false">'Raw Data'!D1270</f>
        <v>Current</v>
      </c>
      <c r="E1270" s="7" t="str">
        <f aca="false">'Raw Data'!J1270</f>
        <v>Low</v>
      </c>
      <c r="F1270" s="7" t="n">
        <f aca="false">'Raw Data'!K1270</f>
        <v>217.9</v>
      </c>
      <c r="G1270" s="7" t="str">
        <f aca="false">'Raw Data'!L1270</f>
        <v>No</v>
      </c>
      <c r="H1270" s="7" t="str">
        <f aca="false">'Raw Data'!M1270</f>
        <v>Low</v>
      </c>
      <c r="I1270" s="7" t="n">
        <f aca="false">(IF(D1270="Current",3,IF(D1270="Former",1,0)))+(IF(E1270="High",3,IF(E1270="Normal",1,0)))+(IF(F1270&gt;=240,2,IF(F1270&gt;=200,1,0)))+(IF(G1270="Yes",2,0))+(IF(H1270="High",2,IF(H1270="Moderate",1,0)))</f>
        <v>4</v>
      </c>
      <c r="J1270" s="7" t="str">
        <f aca="false">IF(I1270&gt;=8,"High",IF(I1270&gt;=4,"Medium","Low"))</f>
        <v>Medium</v>
      </c>
    </row>
    <row r="1271" customFormat="false" ht="15" hidden="false" customHeight="true" outlineLevel="0" collapsed="false">
      <c r="A1271" s="7" t="n">
        <f aca="false">'Raw Data'!A1271</f>
        <v>2122</v>
      </c>
      <c r="B1271" s="7" t="n">
        <f aca="false">'Raw Data'!B1271</f>
        <v>58</v>
      </c>
      <c r="C1271" s="7" t="str">
        <f aca="false">'Raw Data'!C1271</f>
        <v>Female</v>
      </c>
      <c r="D1271" s="7" t="str">
        <f aca="false">'Raw Data'!D1271</f>
        <v>Current</v>
      </c>
      <c r="E1271" s="7" t="str">
        <f aca="false">'Raw Data'!J1271</f>
        <v>Low</v>
      </c>
      <c r="F1271" s="7" t="n">
        <f aca="false">'Raw Data'!K1271</f>
        <v>236.6</v>
      </c>
      <c r="G1271" s="7" t="str">
        <f aca="false">'Raw Data'!L1271</f>
        <v>No</v>
      </c>
      <c r="H1271" s="7" t="str">
        <f aca="false">'Raw Data'!M1271</f>
        <v>Low</v>
      </c>
      <c r="I1271" s="7" t="n">
        <f aca="false">(IF(D1271="Current",3,IF(D1271="Former",1,0)))+(IF(E1271="High",3,IF(E1271="Normal",1,0)))+(IF(F1271&gt;=240,2,IF(F1271&gt;=200,1,0)))+(IF(G1271="Yes",2,0))+(IF(H1271="High",2,IF(H1271="Moderate",1,0)))</f>
        <v>4</v>
      </c>
      <c r="J1271" s="7" t="str">
        <f aca="false">IF(I1271&gt;=8,"High",IF(I1271&gt;=4,"Medium","Low"))</f>
        <v>Medium</v>
      </c>
    </row>
    <row r="1272" customFormat="false" ht="15" hidden="false" customHeight="true" outlineLevel="0" collapsed="false">
      <c r="A1272" s="7" t="n">
        <f aca="false">'Raw Data'!A1272</f>
        <v>2166</v>
      </c>
      <c r="B1272" s="7" t="n">
        <f aca="false">'Raw Data'!B1272</f>
        <v>77</v>
      </c>
      <c r="C1272" s="7" t="str">
        <f aca="false">'Raw Data'!C1272</f>
        <v>Female</v>
      </c>
      <c r="D1272" s="7" t="str">
        <f aca="false">'Raw Data'!D1272</f>
        <v>Current</v>
      </c>
      <c r="E1272" s="7" t="str">
        <f aca="false">'Raw Data'!J1272</f>
        <v>Low</v>
      </c>
      <c r="F1272" s="7" t="n">
        <f aca="false">'Raw Data'!K1272</f>
        <v>203.9</v>
      </c>
      <c r="G1272" s="7" t="str">
        <f aca="false">'Raw Data'!L1272</f>
        <v>No</v>
      </c>
      <c r="H1272" s="7" t="str">
        <f aca="false">'Raw Data'!M1272</f>
        <v>Low</v>
      </c>
      <c r="I1272" s="7" t="n">
        <f aca="false">(IF(D1272="Current",3,IF(D1272="Former",1,0)))+(IF(E1272="High",3,IF(E1272="Normal",1,0)))+(IF(F1272&gt;=240,2,IF(F1272&gt;=200,1,0)))+(IF(G1272="Yes",2,0))+(IF(H1272="High",2,IF(H1272="Moderate",1,0)))</f>
        <v>4</v>
      </c>
      <c r="J1272" s="7" t="str">
        <f aca="false">IF(I1272&gt;=8,"High",IF(I1272&gt;=4,"Medium","Low"))</f>
        <v>Medium</v>
      </c>
    </row>
    <row r="1273" customFormat="false" ht="15" hidden="false" customHeight="true" outlineLevel="0" collapsed="false">
      <c r="A1273" s="7" t="n">
        <f aca="false">'Raw Data'!A1273</f>
        <v>2209</v>
      </c>
      <c r="B1273" s="7" t="n">
        <f aca="false">'Raw Data'!B1273</f>
        <v>47</v>
      </c>
      <c r="C1273" s="7" t="str">
        <f aca="false">'Raw Data'!C1273</f>
        <v>Male</v>
      </c>
      <c r="D1273" s="7" t="str">
        <f aca="false">'Raw Data'!D1273</f>
        <v>Current</v>
      </c>
      <c r="E1273" s="7" t="str">
        <f aca="false">'Raw Data'!J1273</f>
        <v>Low</v>
      </c>
      <c r="F1273" s="7" t="n">
        <f aca="false">'Raw Data'!K1273</f>
        <v>186.9</v>
      </c>
      <c r="G1273" s="7" t="str">
        <f aca="false">'Raw Data'!L1273</f>
        <v>No</v>
      </c>
      <c r="H1273" s="7" t="str">
        <f aca="false">'Raw Data'!M1273</f>
        <v>Low</v>
      </c>
      <c r="I1273" s="7" t="n">
        <f aca="false">(IF(D1273="Current",3,IF(D1273="Former",1,0)))+(IF(E1273="High",3,IF(E1273="Normal",1,0)))+(IF(F1273&gt;=240,2,IF(F1273&gt;=200,1,0)))+(IF(G1273="Yes",2,0))+(IF(H1273="High",2,IF(H1273="Moderate",1,0)))</f>
        <v>3</v>
      </c>
      <c r="J1273" s="7" t="str">
        <f aca="false">IF(I1273&gt;=8,"High",IF(I1273&gt;=4,"Medium","Low"))</f>
        <v>Low</v>
      </c>
    </row>
    <row r="1274" customFormat="false" ht="15" hidden="false" customHeight="true" outlineLevel="0" collapsed="false">
      <c r="A1274" s="7" t="n">
        <f aca="false">'Raw Data'!A1274</f>
        <v>2288</v>
      </c>
      <c r="B1274" s="7" t="n">
        <f aca="false">'Raw Data'!B1274</f>
        <v>47</v>
      </c>
      <c r="C1274" s="7" t="str">
        <f aca="false">'Raw Data'!C1274</f>
        <v>Female</v>
      </c>
      <c r="D1274" s="7" t="str">
        <f aca="false">'Raw Data'!D1274</f>
        <v>Current</v>
      </c>
      <c r="E1274" s="7" t="str">
        <f aca="false">'Raw Data'!J1274</f>
        <v>Low</v>
      </c>
      <c r="F1274" s="7" t="n">
        <f aca="false">'Raw Data'!K1274</f>
        <v>279</v>
      </c>
      <c r="G1274" s="7" t="str">
        <f aca="false">'Raw Data'!L1274</f>
        <v>No</v>
      </c>
      <c r="H1274" s="7" t="str">
        <f aca="false">'Raw Data'!M1274</f>
        <v>Low</v>
      </c>
      <c r="I1274" s="7" t="n">
        <f aca="false">(IF(D1274="Current",3,IF(D1274="Former",1,0)))+(IF(E1274="High",3,IF(E1274="Normal",1,0)))+(IF(F1274&gt;=240,2,IF(F1274&gt;=200,1,0)))+(IF(G1274="Yes",2,0))+(IF(H1274="High",2,IF(H1274="Moderate",1,0)))</f>
        <v>5</v>
      </c>
      <c r="J1274" s="7" t="str">
        <f aca="false">IF(I1274&gt;=8,"High",IF(I1274&gt;=4,"Medium","Low"))</f>
        <v>Medium</v>
      </c>
    </row>
    <row r="1275" customFormat="false" ht="15" hidden="false" customHeight="true" outlineLevel="0" collapsed="false">
      <c r="A1275" s="7" t="n">
        <f aca="false">'Raw Data'!A1275</f>
        <v>2298</v>
      </c>
      <c r="B1275" s="7" t="n">
        <f aca="false">'Raw Data'!B1275</f>
        <v>68</v>
      </c>
      <c r="C1275" s="7" t="str">
        <f aca="false">'Raw Data'!C1275</f>
        <v>Female</v>
      </c>
      <c r="D1275" s="7" t="str">
        <f aca="false">'Raw Data'!D1275</f>
        <v>Current</v>
      </c>
      <c r="E1275" s="7" t="str">
        <f aca="false">'Raw Data'!J1275</f>
        <v>Low</v>
      </c>
      <c r="F1275" s="7" t="n">
        <f aca="false">'Raw Data'!K1275</f>
        <v>192.2</v>
      </c>
      <c r="G1275" s="7" t="str">
        <f aca="false">'Raw Data'!L1275</f>
        <v>No</v>
      </c>
      <c r="H1275" s="7" t="str">
        <f aca="false">'Raw Data'!M1275</f>
        <v>Low</v>
      </c>
      <c r="I1275" s="7" t="n">
        <f aca="false">(IF(D1275="Current",3,IF(D1275="Former",1,0)))+(IF(E1275="High",3,IF(E1275="Normal",1,0)))+(IF(F1275&gt;=240,2,IF(F1275&gt;=200,1,0)))+(IF(G1275="Yes",2,0))+(IF(H1275="High",2,IF(H1275="Moderate",1,0)))</f>
        <v>3</v>
      </c>
      <c r="J1275" s="7" t="str">
        <f aca="false">IF(I1275&gt;=8,"High",IF(I1275&gt;=4,"Medium","Low"))</f>
        <v>Low</v>
      </c>
    </row>
    <row r="1276" customFormat="false" ht="15" hidden="false" customHeight="true" outlineLevel="0" collapsed="false">
      <c r="A1276" s="7" t="n">
        <f aca="false">'Raw Data'!A1276</f>
        <v>2316</v>
      </c>
      <c r="B1276" s="7" t="n">
        <f aca="false">'Raw Data'!B1276</f>
        <v>71</v>
      </c>
      <c r="C1276" s="7" t="str">
        <f aca="false">'Raw Data'!C1276</f>
        <v>Female</v>
      </c>
      <c r="D1276" s="7" t="str">
        <f aca="false">'Raw Data'!D1276</f>
        <v>Current</v>
      </c>
      <c r="E1276" s="7" t="str">
        <f aca="false">'Raw Data'!J1276</f>
        <v>Low</v>
      </c>
      <c r="F1276" s="7" t="n">
        <f aca="false">'Raw Data'!K1276</f>
        <v>232.8</v>
      </c>
      <c r="G1276" s="7" t="str">
        <f aca="false">'Raw Data'!L1276</f>
        <v>No</v>
      </c>
      <c r="H1276" s="7" t="str">
        <f aca="false">'Raw Data'!M1276</f>
        <v>Low</v>
      </c>
      <c r="I1276" s="7" t="n">
        <f aca="false">(IF(D1276="Current",3,IF(D1276="Former",1,0)))+(IF(E1276="High",3,IF(E1276="Normal",1,0)))+(IF(F1276&gt;=240,2,IF(F1276&gt;=200,1,0)))+(IF(G1276="Yes",2,0))+(IF(H1276="High",2,IF(H1276="Moderate",1,0)))</f>
        <v>4</v>
      </c>
      <c r="J1276" s="7" t="str">
        <f aca="false">IF(I1276&gt;=8,"High",IF(I1276&gt;=4,"Medium","Low"))</f>
        <v>Medium</v>
      </c>
    </row>
    <row r="1277" customFormat="false" ht="15" hidden="false" customHeight="true" outlineLevel="0" collapsed="false">
      <c r="A1277" s="7" t="n">
        <f aca="false">'Raw Data'!A1277</f>
        <v>2325</v>
      </c>
      <c r="B1277" s="7" t="n">
        <f aca="false">'Raw Data'!B1277</f>
        <v>75</v>
      </c>
      <c r="C1277" s="7" t="str">
        <f aca="false">'Raw Data'!C1277</f>
        <v>Male</v>
      </c>
      <c r="D1277" s="7" t="str">
        <f aca="false">'Raw Data'!D1277</f>
        <v>Current</v>
      </c>
      <c r="E1277" s="7" t="str">
        <f aca="false">'Raw Data'!J1277</f>
        <v>Low</v>
      </c>
      <c r="F1277" s="7" t="n">
        <f aca="false">'Raw Data'!K1277</f>
        <v>146.8</v>
      </c>
      <c r="G1277" s="7" t="str">
        <f aca="false">'Raw Data'!L1277</f>
        <v>No</v>
      </c>
      <c r="H1277" s="7" t="str">
        <f aca="false">'Raw Data'!M1277</f>
        <v>Low</v>
      </c>
      <c r="I1277" s="7" t="n">
        <f aca="false">(IF(D1277="Current",3,IF(D1277="Former",1,0)))+(IF(E1277="High",3,IF(E1277="Normal",1,0)))+(IF(F1277&gt;=240,2,IF(F1277&gt;=200,1,0)))+(IF(G1277="Yes",2,0))+(IF(H1277="High",2,IF(H1277="Moderate",1,0)))</f>
        <v>3</v>
      </c>
      <c r="J1277" s="7" t="str">
        <f aca="false">IF(I1277&gt;=8,"High",IF(I1277&gt;=4,"Medium","Low"))</f>
        <v>Low</v>
      </c>
    </row>
    <row r="1278" customFormat="false" ht="15" hidden="false" customHeight="true" outlineLevel="0" collapsed="false">
      <c r="A1278" s="7" t="n">
        <f aca="false">'Raw Data'!A1278</f>
        <v>2380</v>
      </c>
      <c r="B1278" s="7" t="n">
        <f aca="false">'Raw Data'!B1278</f>
        <v>36</v>
      </c>
      <c r="C1278" s="7" t="str">
        <f aca="false">'Raw Data'!C1278</f>
        <v>Female</v>
      </c>
      <c r="D1278" s="7" t="str">
        <f aca="false">'Raw Data'!D1278</f>
        <v>Current</v>
      </c>
      <c r="E1278" s="7" t="str">
        <f aca="false">'Raw Data'!J1278</f>
        <v>Low</v>
      </c>
      <c r="F1278" s="7" t="n">
        <f aca="false">'Raw Data'!K1278</f>
        <v>258.3</v>
      </c>
      <c r="G1278" s="7" t="str">
        <f aca="false">'Raw Data'!L1278</f>
        <v>No</v>
      </c>
      <c r="H1278" s="7" t="str">
        <f aca="false">'Raw Data'!M1278</f>
        <v>Low</v>
      </c>
      <c r="I1278" s="7" t="n">
        <f aca="false">(IF(D1278="Current",3,IF(D1278="Former",1,0)))+(IF(E1278="High",3,IF(E1278="Normal",1,0)))+(IF(F1278&gt;=240,2,IF(F1278&gt;=200,1,0)))+(IF(G1278="Yes",2,0))+(IF(H1278="High",2,IF(H1278="Moderate",1,0)))</f>
        <v>5</v>
      </c>
      <c r="J1278" s="7" t="str">
        <f aca="false">IF(I1278&gt;=8,"High",IF(I1278&gt;=4,"Medium","Low"))</f>
        <v>Medium</v>
      </c>
    </row>
    <row r="1279" customFormat="false" ht="15" hidden="false" customHeight="true" outlineLevel="0" collapsed="false">
      <c r="A1279" s="7" t="n">
        <f aca="false">'Raw Data'!A1279</f>
        <v>2403</v>
      </c>
      <c r="B1279" s="7" t="n">
        <f aca="false">'Raw Data'!B1279</f>
        <v>20</v>
      </c>
      <c r="C1279" s="7" t="str">
        <f aca="false">'Raw Data'!C1279</f>
        <v>Male</v>
      </c>
      <c r="D1279" s="7" t="str">
        <f aca="false">'Raw Data'!D1279</f>
        <v>Current</v>
      </c>
      <c r="E1279" s="7" t="str">
        <f aca="false">'Raw Data'!J1279</f>
        <v>Low</v>
      </c>
      <c r="F1279" s="7" t="n">
        <f aca="false">'Raw Data'!K1279</f>
        <v>212.2</v>
      </c>
      <c r="G1279" s="7" t="str">
        <f aca="false">'Raw Data'!L1279</f>
        <v>No</v>
      </c>
      <c r="H1279" s="7" t="str">
        <f aca="false">'Raw Data'!M1279</f>
        <v>Low</v>
      </c>
      <c r="I1279" s="7" t="n">
        <f aca="false">(IF(D1279="Current",3,IF(D1279="Former",1,0)))+(IF(E1279="High",3,IF(E1279="Normal",1,0)))+(IF(F1279&gt;=240,2,IF(F1279&gt;=200,1,0)))+(IF(G1279="Yes",2,0))+(IF(H1279="High",2,IF(H1279="Moderate",1,0)))</f>
        <v>4</v>
      </c>
      <c r="J1279" s="7" t="str">
        <f aca="false">IF(I1279&gt;=8,"High",IF(I1279&gt;=4,"Medium","Low"))</f>
        <v>Medium</v>
      </c>
    </row>
    <row r="1280" customFormat="false" ht="15" hidden="false" customHeight="true" outlineLevel="0" collapsed="false">
      <c r="A1280" s="7" t="n">
        <f aca="false">'Raw Data'!A1280</f>
        <v>2422</v>
      </c>
      <c r="B1280" s="7" t="n">
        <f aca="false">'Raw Data'!B1280</f>
        <v>47</v>
      </c>
      <c r="C1280" s="7" t="str">
        <f aca="false">'Raw Data'!C1280</f>
        <v>Female</v>
      </c>
      <c r="D1280" s="7" t="str">
        <f aca="false">'Raw Data'!D1280</f>
        <v>Current</v>
      </c>
      <c r="E1280" s="7" t="str">
        <f aca="false">'Raw Data'!J1280</f>
        <v>Low</v>
      </c>
      <c r="F1280" s="7" t="n">
        <f aca="false">'Raw Data'!K1280</f>
        <v>156</v>
      </c>
      <c r="G1280" s="7" t="str">
        <f aca="false">'Raw Data'!L1280</f>
        <v>No</v>
      </c>
      <c r="H1280" s="7" t="str">
        <f aca="false">'Raw Data'!M1280</f>
        <v>Low</v>
      </c>
      <c r="I1280" s="7" t="n">
        <f aca="false">(IF(D1280="Current",3,IF(D1280="Former",1,0)))+(IF(E1280="High",3,IF(E1280="Normal",1,0)))+(IF(F1280&gt;=240,2,IF(F1280&gt;=200,1,0)))+(IF(G1280="Yes",2,0))+(IF(H1280="High",2,IF(H1280="Moderate",1,0)))</f>
        <v>3</v>
      </c>
      <c r="J1280" s="7" t="str">
        <f aca="false">IF(I1280&gt;=8,"High",IF(I1280&gt;=4,"Medium","Low"))</f>
        <v>Low</v>
      </c>
    </row>
    <row r="1281" customFormat="false" ht="15" hidden="false" customHeight="true" outlineLevel="0" collapsed="false">
      <c r="A1281" s="7" t="n">
        <f aca="false">'Raw Data'!A1281</f>
        <v>22</v>
      </c>
      <c r="B1281" s="7" t="n">
        <f aca="false">'Raw Data'!B1281</f>
        <v>58</v>
      </c>
      <c r="C1281" s="7" t="str">
        <f aca="false">'Raw Data'!C1281</f>
        <v>Female</v>
      </c>
      <c r="D1281" s="7" t="str">
        <f aca="false">'Raw Data'!D1281</f>
        <v>Former</v>
      </c>
      <c r="E1281" s="7" t="str">
        <f aca="false">'Raw Data'!J1281</f>
        <v>Low</v>
      </c>
      <c r="F1281" s="7" t="n">
        <f aca="false">'Raw Data'!K1281</f>
        <v>186</v>
      </c>
      <c r="G1281" s="7" t="str">
        <f aca="false">'Raw Data'!L1281</f>
        <v>No</v>
      </c>
      <c r="H1281" s="7" t="str">
        <f aca="false">'Raw Data'!M1281</f>
        <v>Moderate</v>
      </c>
      <c r="I1281" s="7" t="n">
        <f aca="false">(IF(D1281="Current",3,IF(D1281="Former",1,0)))+(IF(E1281="High",3,IF(E1281="Normal",1,0)))+(IF(F1281&gt;=240,2,IF(F1281&gt;=200,1,0)))+(IF(G1281="Yes",2,0))+(IF(H1281="High",2,IF(H1281="Moderate",1,0)))</f>
        <v>2</v>
      </c>
      <c r="J1281" s="7" t="str">
        <f aca="false">IF(I1281&gt;=8,"High",IF(I1281&gt;=4,"Medium","Low"))</f>
        <v>Low</v>
      </c>
    </row>
    <row r="1282" customFormat="false" ht="15" hidden="false" customHeight="true" outlineLevel="0" collapsed="false">
      <c r="A1282" s="7" t="n">
        <f aca="false">'Raw Data'!A1282</f>
        <v>37</v>
      </c>
      <c r="B1282" s="7" t="n">
        <f aca="false">'Raw Data'!B1282</f>
        <v>29</v>
      </c>
      <c r="C1282" s="7" t="str">
        <f aca="false">'Raw Data'!C1282</f>
        <v>Male</v>
      </c>
      <c r="D1282" s="7" t="str">
        <f aca="false">'Raw Data'!D1282</f>
        <v>Former</v>
      </c>
      <c r="E1282" s="7" t="str">
        <f aca="false">'Raw Data'!J1282</f>
        <v>Low</v>
      </c>
      <c r="F1282" s="7" t="n">
        <f aca="false">'Raw Data'!K1282</f>
        <v>132.5</v>
      </c>
      <c r="G1282" s="7" t="str">
        <f aca="false">'Raw Data'!L1282</f>
        <v>Yes</v>
      </c>
      <c r="H1282" s="7" t="str">
        <f aca="false">'Raw Data'!M1282</f>
        <v>Low</v>
      </c>
      <c r="I1282" s="7" t="n">
        <f aca="false">(IF(D1282="Current",3,IF(D1282="Former",1,0)))+(IF(E1282="High",3,IF(E1282="Normal",1,0)))+(IF(F1282&gt;=240,2,IF(F1282&gt;=200,1,0)))+(IF(G1282="Yes",2,0))+(IF(H1282="High",2,IF(H1282="Moderate",1,0)))</f>
        <v>3</v>
      </c>
      <c r="J1282" s="7" t="str">
        <f aca="false">IF(I1282&gt;=8,"High",IF(I1282&gt;=4,"Medium","Low"))</f>
        <v>Low</v>
      </c>
    </row>
    <row r="1283" customFormat="false" ht="15" hidden="false" customHeight="true" outlineLevel="0" collapsed="false">
      <c r="A1283" s="7" t="n">
        <f aca="false">'Raw Data'!A1283</f>
        <v>41</v>
      </c>
      <c r="B1283" s="7" t="n">
        <f aca="false">'Raw Data'!B1283</f>
        <v>36</v>
      </c>
      <c r="C1283" s="7" t="str">
        <f aca="false">'Raw Data'!C1283</f>
        <v>Male</v>
      </c>
      <c r="D1283" s="7" t="str">
        <f aca="false">'Raw Data'!D1283</f>
        <v>Former</v>
      </c>
      <c r="E1283" s="7" t="str">
        <f aca="false">'Raw Data'!J1283</f>
        <v>Low</v>
      </c>
      <c r="F1283" s="7" t="n">
        <f aca="false">'Raw Data'!K1283</f>
        <v>177.5</v>
      </c>
      <c r="G1283" s="7" t="str">
        <f aca="false">'Raw Data'!L1283</f>
        <v>No</v>
      </c>
      <c r="H1283" s="7" t="str">
        <f aca="false">'Raw Data'!M1283</f>
        <v>High</v>
      </c>
      <c r="I1283" s="7" t="n">
        <f aca="false">(IF(D1283="Current",3,IF(D1283="Former",1,0)))+(IF(E1283="High",3,IF(E1283="Normal",1,0)))+(IF(F1283&gt;=240,2,IF(F1283&gt;=200,1,0)))+(IF(G1283="Yes",2,0))+(IF(H1283="High",2,IF(H1283="Moderate",1,0)))</f>
        <v>3</v>
      </c>
      <c r="J1283" s="7" t="str">
        <f aca="false">IF(I1283&gt;=8,"High",IF(I1283&gt;=4,"Medium","Low"))</f>
        <v>Low</v>
      </c>
    </row>
    <row r="1284" customFormat="false" ht="15" hidden="false" customHeight="true" outlineLevel="0" collapsed="false">
      <c r="A1284" s="7" t="n">
        <f aca="false">'Raw Data'!A1284</f>
        <v>43</v>
      </c>
      <c r="B1284" s="7" t="n">
        <f aca="false">'Raw Data'!B1284</f>
        <v>22</v>
      </c>
      <c r="C1284" s="7" t="str">
        <f aca="false">'Raw Data'!C1284</f>
        <v>Male</v>
      </c>
      <c r="D1284" s="7" t="str">
        <f aca="false">'Raw Data'!D1284</f>
        <v>Former</v>
      </c>
      <c r="E1284" s="7" t="str">
        <f aca="false">'Raw Data'!J1284</f>
        <v>Low</v>
      </c>
      <c r="F1284" s="7" t="n">
        <f aca="false">'Raw Data'!K1284</f>
        <v>257.1</v>
      </c>
      <c r="G1284" s="7" t="str">
        <f aca="false">'Raw Data'!L1284</f>
        <v>No</v>
      </c>
      <c r="H1284" s="7" t="str">
        <f aca="false">'Raw Data'!M1284</f>
        <v>Low</v>
      </c>
      <c r="I1284" s="7" t="n">
        <f aca="false">(IF(D1284="Current",3,IF(D1284="Former",1,0)))+(IF(E1284="High",3,IF(E1284="Normal",1,0)))+(IF(F1284&gt;=240,2,IF(F1284&gt;=200,1,0)))+(IF(G1284="Yes",2,0))+(IF(H1284="High",2,IF(H1284="Moderate",1,0)))</f>
        <v>3</v>
      </c>
      <c r="J1284" s="7" t="str">
        <f aca="false">IF(I1284&gt;=8,"High",IF(I1284&gt;=4,"Medium","Low"))</f>
        <v>Low</v>
      </c>
    </row>
    <row r="1285" customFormat="false" ht="15" hidden="false" customHeight="true" outlineLevel="0" collapsed="false">
      <c r="A1285" s="7" t="n">
        <f aca="false">'Raw Data'!A1285</f>
        <v>60</v>
      </c>
      <c r="B1285" s="7" t="n">
        <f aca="false">'Raw Data'!B1285</f>
        <v>68</v>
      </c>
      <c r="C1285" s="7" t="str">
        <f aca="false">'Raw Data'!C1285</f>
        <v>Male</v>
      </c>
      <c r="D1285" s="7" t="str">
        <f aca="false">'Raw Data'!D1285</f>
        <v>Former</v>
      </c>
      <c r="E1285" s="7" t="str">
        <f aca="false">'Raw Data'!J1285</f>
        <v>Low</v>
      </c>
      <c r="F1285" s="7" t="n">
        <f aca="false">'Raw Data'!K1285</f>
        <v>136</v>
      </c>
      <c r="G1285" s="7" t="str">
        <f aca="false">'Raw Data'!L1285</f>
        <v>Yes</v>
      </c>
      <c r="H1285" s="7" t="str">
        <f aca="false">'Raw Data'!M1285</f>
        <v>Low</v>
      </c>
      <c r="I1285" s="7" t="n">
        <f aca="false">(IF(D1285="Current",3,IF(D1285="Former",1,0)))+(IF(E1285="High",3,IF(E1285="Normal",1,0)))+(IF(F1285&gt;=240,2,IF(F1285&gt;=200,1,0)))+(IF(G1285="Yes",2,0))+(IF(H1285="High",2,IF(H1285="Moderate",1,0)))</f>
        <v>3</v>
      </c>
      <c r="J1285" s="7" t="str">
        <f aca="false">IF(I1285&gt;=8,"High",IF(I1285&gt;=4,"Medium","Low"))</f>
        <v>Low</v>
      </c>
    </row>
    <row r="1286" customFormat="false" ht="15" hidden="false" customHeight="true" outlineLevel="0" collapsed="false">
      <c r="A1286" s="7" t="n">
        <f aca="false">'Raw Data'!A1286</f>
        <v>71</v>
      </c>
      <c r="B1286" s="7" t="n">
        <f aca="false">'Raw Data'!B1286</f>
        <v>19</v>
      </c>
      <c r="C1286" s="7" t="str">
        <f aca="false">'Raw Data'!C1286</f>
        <v>Male</v>
      </c>
      <c r="D1286" s="7" t="str">
        <f aca="false">'Raw Data'!D1286</f>
        <v>Former</v>
      </c>
      <c r="E1286" s="7" t="str">
        <f aca="false">'Raw Data'!J1286</f>
        <v>Low</v>
      </c>
      <c r="F1286" s="7" t="n">
        <f aca="false">'Raw Data'!K1286</f>
        <v>141</v>
      </c>
      <c r="G1286" s="7" t="str">
        <f aca="false">'Raw Data'!L1286</f>
        <v>No</v>
      </c>
      <c r="H1286" s="7" t="str">
        <f aca="false">'Raw Data'!M1286</f>
        <v>Moderate</v>
      </c>
      <c r="I1286" s="7" t="n">
        <f aca="false">(IF(D1286="Current",3,IF(D1286="Former",1,0)))+(IF(E1286="High",3,IF(E1286="Normal",1,0)))+(IF(F1286&gt;=240,2,IF(F1286&gt;=200,1,0)))+(IF(G1286="Yes",2,0))+(IF(H1286="High",2,IF(H1286="Moderate",1,0)))</f>
        <v>2</v>
      </c>
      <c r="J1286" s="7" t="str">
        <f aca="false">IF(I1286&gt;=8,"High",IF(I1286&gt;=4,"Medium","Low"))</f>
        <v>Low</v>
      </c>
    </row>
    <row r="1287" customFormat="false" ht="15" hidden="false" customHeight="true" outlineLevel="0" collapsed="false">
      <c r="A1287" s="7" t="n">
        <f aca="false">'Raw Data'!A1287</f>
        <v>75</v>
      </c>
      <c r="B1287" s="7" t="n">
        <f aca="false">'Raw Data'!B1287</f>
        <v>83</v>
      </c>
      <c r="C1287" s="7" t="str">
        <f aca="false">'Raw Data'!C1287</f>
        <v>Female</v>
      </c>
      <c r="D1287" s="7" t="str">
        <f aca="false">'Raw Data'!D1287</f>
        <v>Former</v>
      </c>
      <c r="E1287" s="7" t="str">
        <f aca="false">'Raw Data'!J1287</f>
        <v>Low</v>
      </c>
      <c r="F1287" s="7" t="n">
        <f aca="false">'Raw Data'!K1287</f>
        <v>289.2</v>
      </c>
      <c r="G1287" s="7" t="str">
        <f aca="false">'Raw Data'!L1287</f>
        <v>No</v>
      </c>
      <c r="H1287" s="7" t="str">
        <f aca="false">'Raw Data'!M1287</f>
        <v>Low</v>
      </c>
      <c r="I1287" s="7" t="n">
        <f aca="false">(IF(D1287="Current",3,IF(D1287="Former",1,0)))+(IF(E1287="High",3,IF(E1287="Normal",1,0)))+(IF(F1287&gt;=240,2,IF(F1287&gt;=200,1,0)))+(IF(G1287="Yes",2,0))+(IF(H1287="High",2,IF(H1287="Moderate",1,0)))</f>
        <v>3</v>
      </c>
      <c r="J1287" s="7" t="str">
        <f aca="false">IF(I1287&gt;=8,"High",IF(I1287&gt;=4,"Medium","Low"))</f>
        <v>Low</v>
      </c>
    </row>
    <row r="1288" customFormat="false" ht="15" hidden="false" customHeight="true" outlineLevel="0" collapsed="false">
      <c r="A1288" s="7" t="n">
        <f aca="false">'Raw Data'!A1288</f>
        <v>100</v>
      </c>
      <c r="B1288" s="7" t="n">
        <f aca="false">'Raw Data'!B1288</f>
        <v>29</v>
      </c>
      <c r="C1288" s="7" t="str">
        <f aca="false">'Raw Data'!C1288</f>
        <v>Male</v>
      </c>
      <c r="D1288" s="7" t="str">
        <f aca="false">'Raw Data'!D1288</f>
        <v>Former</v>
      </c>
      <c r="E1288" s="7" t="str">
        <f aca="false">'Raw Data'!J1288</f>
        <v>Low</v>
      </c>
      <c r="F1288" s="7" t="n">
        <f aca="false">'Raw Data'!K1288</f>
        <v>291</v>
      </c>
      <c r="G1288" s="7" t="str">
        <f aca="false">'Raw Data'!L1288</f>
        <v>No</v>
      </c>
      <c r="H1288" s="7" t="str">
        <f aca="false">'Raw Data'!M1288</f>
        <v>Low</v>
      </c>
      <c r="I1288" s="7" t="n">
        <f aca="false">(IF(D1288="Current",3,IF(D1288="Former",1,0)))+(IF(E1288="High",3,IF(E1288="Normal",1,0)))+(IF(F1288&gt;=240,2,IF(F1288&gt;=200,1,0)))+(IF(G1288="Yes",2,0))+(IF(H1288="High",2,IF(H1288="Moderate",1,0)))</f>
        <v>3</v>
      </c>
      <c r="J1288" s="7" t="str">
        <f aca="false">IF(I1288&gt;=8,"High",IF(I1288&gt;=4,"Medium","Low"))</f>
        <v>Low</v>
      </c>
    </row>
    <row r="1289" customFormat="false" ht="15" hidden="false" customHeight="true" outlineLevel="0" collapsed="false">
      <c r="A1289" s="7" t="n">
        <f aca="false">'Raw Data'!A1289</f>
        <v>113</v>
      </c>
      <c r="B1289" s="7" t="n">
        <f aca="false">'Raw Data'!B1289</f>
        <v>55</v>
      </c>
      <c r="C1289" s="7" t="str">
        <f aca="false">'Raw Data'!C1289</f>
        <v>Female</v>
      </c>
      <c r="D1289" s="7" t="str">
        <f aca="false">'Raw Data'!D1289</f>
        <v>Former</v>
      </c>
      <c r="E1289" s="7" t="str">
        <f aca="false">'Raw Data'!J1289</f>
        <v>Low</v>
      </c>
      <c r="F1289" s="7" t="n">
        <f aca="false">'Raw Data'!K1289</f>
        <v>159.6</v>
      </c>
      <c r="G1289" s="7" t="str">
        <f aca="false">'Raw Data'!L1289</f>
        <v>No</v>
      </c>
      <c r="H1289" s="7" t="str">
        <f aca="false">'Raw Data'!M1289</f>
        <v>Low</v>
      </c>
      <c r="I1289" s="7" t="n">
        <f aca="false">(IF(D1289="Current",3,IF(D1289="Former",1,0)))+(IF(E1289="High",3,IF(E1289="Normal",1,0)))+(IF(F1289&gt;=240,2,IF(F1289&gt;=200,1,0)))+(IF(G1289="Yes",2,0))+(IF(H1289="High",2,IF(H1289="Moderate",1,0)))</f>
        <v>1</v>
      </c>
      <c r="J1289" s="7" t="str">
        <f aca="false">IF(I1289&gt;=8,"High",IF(I1289&gt;=4,"Medium","Low"))</f>
        <v>Low</v>
      </c>
    </row>
    <row r="1290" customFormat="false" ht="15" hidden="false" customHeight="true" outlineLevel="0" collapsed="false">
      <c r="A1290" s="7" t="n">
        <f aca="false">'Raw Data'!A1290</f>
        <v>129</v>
      </c>
      <c r="B1290" s="7" t="n">
        <f aca="false">'Raw Data'!B1290</f>
        <v>57</v>
      </c>
      <c r="C1290" s="7" t="str">
        <f aca="false">'Raw Data'!C1290</f>
        <v>Female</v>
      </c>
      <c r="D1290" s="7" t="str">
        <f aca="false">'Raw Data'!D1290</f>
        <v>Former</v>
      </c>
      <c r="E1290" s="7" t="str">
        <f aca="false">'Raw Data'!J1290</f>
        <v>Low</v>
      </c>
      <c r="F1290" s="7" t="n">
        <f aca="false">'Raw Data'!K1290</f>
        <v>183.1</v>
      </c>
      <c r="G1290" s="7" t="str">
        <f aca="false">'Raw Data'!L1290</f>
        <v>Yes</v>
      </c>
      <c r="H1290" s="7" t="str">
        <f aca="false">'Raw Data'!M1290</f>
        <v>Low</v>
      </c>
      <c r="I1290" s="7" t="n">
        <f aca="false">(IF(D1290="Current",3,IF(D1290="Former",1,0)))+(IF(E1290="High",3,IF(E1290="Normal",1,0)))+(IF(F1290&gt;=240,2,IF(F1290&gt;=200,1,0)))+(IF(G1290="Yes",2,0))+(IF(H1290="High",2,IF(H1290="Moderate",1,0)))</f>
        <v>3</v>
      </c>
      <c r="J1290" s="7" t="str">
        <f aca="false">IF(I1290&gt;=8,"High",IF(I1290&gt;=4,"Medium","Low"))</f>
        <v>Low</v>
      </c>
    </row>
    <row r="1291" customFormat="false" ht="15" hidden="false" customHeight="true" outlineLevel="0" collapsed="false">
      <c r="A1291" s="7" t="n">
        <f aca="false">'Raw Data'!A1291</f>
        <v>172</v>
      </c>
      <c r="B1291" s="7" t="n">
        <f aca="false">'Raw Data'!B1291</f>
        <v>19</v>
      </c>
      <c r="C1291" s="7" t="str">
        <f aca="false">'Raw Data'!C1291</f>
        <v>Female</v>
      </c>
      <c r="D1291" s="7" t="str">
        <f aca="false">'Raw Data'!D1291</f>
        <v>Former</v>
      </c>
      <c r="E1291" s="7" t="str">
        <f aca="false">'Raw Data'!J1291</f>
        <v>Low</v>
      </c>
      <c r="F1291" s="7" t="n">
        <f aca="false">'Raw Data'!K1291</f>
        <v>158.1</v>
      </c>
      <c r="G1291" s="7" t="str">
        <f aca="false">'Raw Data'!L1291</f>
        <v>No</v>
      </c>
      <c r="H1291" s="7" t="str">
        <f aca="false">'Raw Data'!M1291</f>
        <v>Moderate</v>
      </c>
      <c r="I1291" s="7" t="n">
        <f aca="false">(IF(D1291="Current",3,IF(D1291="Former",1,0)))+(IF(E1291="High",3,IF(E1291="Normal",1,0)))+(IF(F1291&gt;=240,2,IF(F1291&gt;=200,1,0)))+(IF(G1291="Yes",2,0))+(IF(H1291="High",2,IF(H1291="Moderate",1,0)))</f>
        <v>2</v>
      </c>
      <c r="J1291" s="7" t="str">
        <f aca="false">IF(I1291&gt;=8,"High",IF(I1291&gt;=4,"Medium","Low"))</f>
        <v>Low</v>
      </c>
    </row>
    <row r="1292" customFormat="false" ht="15" hidden="false" customHeight="true" outlineLevel="0" collapsed="false">
      <c r="A1292" s="7" t="n">
        <f aca="false">'Raw Data'!A1292</f>
        <v>173</v>
      </c>
      <c r="B1292" s="7" t="n">
        <f aca="false">'Raw Data'!B1292</f>
        <v>26</v>
      </c>
      <c r="C1292" s="7" t="str">
        <f aca="false">'Raw Data'!C1292</f>
        <v>Male</v>
      </c>
      <c r="D1292" s="7" t="str">
        <f aca="false">'Raw Data'!D1292</f>
        <v>Former</v>
      </c>
      <c r="E1292" s="7" t="str">
        <f aca="false">'Raw Data'!J1292</f>
        <v>Low</v>
      </c>
      <c r="F1292" s="7" t="n">
        <f aca="false">'Raw Data'!K1292</f>
        <v>244.6</v>
      </c>
      <c r="G1292" s="7" t="str">
        <f aca="false">'Raw Data'!L1292</f>
        <v>Yes</v>
      </c>
      <c r="H1292" s="7" t="str">
        <f aca="false">'Raw Data'!M1292</f>
        <v>Moderate</v>
      </c>
      <c r="I1292" s="7" t="n">
        <f aca="false">(IF(D1292="Current",3,IF(D1292="Former",1,0)))+(IF(E1292="High",3,IF(E1292="Normal",1,0)))+(IF(F1292&gt;=240,2,IF(F1292&gt;=200,1,0)))+(IF(G1292="Yes",2,0))+(IF(H1292="High",2,IF(H1292="Moderate",1,0)))</f>
        <v>6</v>
      </c>
      <c r="J1292" s="7" t="str">
        <f aca="false">IF(I1292&gt;=8,"High",IF(I1292&gt;=4,"Medium","Low"))</f>
        <v>Medium</v>
      </c>
    </row>
    <row r="1293" customFormat="false" ht="15" hidden="false" customHeight="true" outlineLevel="0" collapsed="false">
      <c r="A1293" s="7" t="n">
        <f aca="false">'Raw Data'!A1293</f>
        <v>176</v>
      </c>
      <c r="B1293" s="7" t="n">
        <f aca="false">'Raw Data'!B1293</f>
        <v>82</v>
      </c>
      <c r="C1293" s="7" t="str">
        <f aca="false">'Raw Data'!C1293</f>
        <v>Male</v>
      </c>
      <c r="D1293" s="7" t="str">
        <f aca="false">'Raw Data'!D1293</f>
        <v>Former</v>
      </c>
      <c r="E1293" s="7" t="str">
        <f aca="false">'Raw Data'!J1293</f>
        <v>Low</v>
      </c>
      <c r="F1293" s="7" t="n">
        <f aca="false">'Raw Data'!K1293</f>
        <v>131.6</v>
      </c>
      <c r="G1293" s="7" t="str">
        <f aca="false">'Raw Data'!L1293</f>
        <v>Yes</v>
      </c>
      <c r="H1293" s="7" t="str">
        <f aca="false">'Raw Data'!M1293</f>
        <v>Low</v>
      </c>
      <c r="I1293" s="7" t="n">
        <f aca="false">(IF(D1293="Current",3,IF(D1293="Former",1,0)))+(IF(E1293="High",3,IF(E1293="Normal",1,0)))+(IF(F1293&gt;=240,2,IF(F1293&gt;=200,1,0)))+(IF(G1293="Yes",2,0))+(IF(H1293="High",2,IF(H1293="Moderate",1,0)))</f>
        <v>3</v>
      </c>
      <c r="J1293" s="7" t="str">
        <f aca="false">IF(I1293&gt;=8,"High",IF(I1293&gt;=4,"Medium","Low"))</f>
        <v>Low</v>
      </c>
    </row>
    <row r="1294" customFormat="false" ht="15" hidden="false" customHeight="true" outlineLevel="0" collapsed="false">
      <c r="A1294" s="7" t="n">
        <f aca="false">'Raw Data'!A1294</f>
        <v>200</v>
      </c>
      <c r="B1294" s="7" t="n">
        <f aca="false">'Raw Data'!B1294</f>
        <v>21</v>
      </c>
      <c r="C1294" s="7" t="str">
        <f aca="false">'Raw Data'!C1294</f>
        <v>Female</v>
      </c>
      <c r="D1294" s="7" t="str">
        <f aca="false">'Raw Data'!D1294</f>
        <v>Former</v>
      </c>
      <c r="E1294" s="7" t="str">
        <f aca="false">'Raw Data'!J1294</f>
        <v>Low</v>
      </c>
      <c r="F1294" s="7" t="n">
        <f aca="false">'Raw Data'!K1294</f>
        <v>130.3</v>
      </c>
      <c r="G1294" s="7" t="str">
        <f aca="false">'Raw Data'!L1294</f>
        <v>Yes</v>
      </c>
      <c r="H1294" s="7" t="str">
        <f aca="false">'Raw Data'!M1294</f>
        <v>Low</v>
      </c>
      <c r="I1294" s="7" t="n">
        <f aca="false">(IF(D1294="Current",3,IF(D1294="Former",1,0)))+(IF(E1294="High",3,IF(E1294="Normal",1,0)))+(IF(F1294&gt;=240,2,IF(F1294&gt;=200,1,0)))+(IF(G1294="Yes",2,0))+(IF(H1294="High",2,IF(H1294="Moderate",1,0)))</f>
        <v>3</v>
      </c>
      <c r="J1294" s="7" t="str">
        <f aca="false">IF(I1294&gt;=8,"High",IF(I1294&gt;=4,"Medium","Low"))</f>
        <v>Low</v>
      </c>
    </row>
    <row r="1295" customFormat="false" ht="15" hidden="false" customHeight="true" outlineLevel="0" collapsed="false">
      <c r="A1295" s="7" t="n">
        <f aca="false">'Raw Data'!A1295</f>
        <v>203</v>
      </c>
      <c r="B1295" s="7" t="n">
        <f aca="false">'Raw Data'!B1295</f>
        <v>50</v>
      </c>
      <c r="C1295" s="7" t="str">
        <f aca="false">'Raw Data'!C1295</f>
        <v>Male</v>
      </c>
      <c r="D1295" s="7" t="str">
        <f aca="false">'Raw Data'!D1295</f>
        <v>Former</v>
      </c>
      <c r="E1295" s="7" t="str">
        <f aca="false">'Raw Data'!J1295</f>
        <v>Low</v>
      </c>
      <c r="F1295" s="7" t="n">
        <f aca="false">'Raw Data'!K1295</f>
        <v>278.8</v>
      </c>
      <c r="G1295" s="7" t="str">
        <f aca="false">'Raw Data'!L1295</f>
        <v>No</v>
      </c>
      <c r="H1295" s="7" t="str">
        <f aca="false">'Raw Data'!M1295</f>
        <v>Moderate</v>
      </c>
      <c r="I1295" s="7" t="n">
        <f aca="false">(IF(D1295="Current",3,IF(D1295="Former",1,0)))+(IF(E1295="High",3,IF(E1295="Normal",1,0)))+(IF(F1295&gt;=240,2,IF(F1295&gt;=200,1,0)))+(IF(G1295="Yes",2,0))+(IF(H1295="High",2,IF(H1295="Moderate",1,0)))</f>
        <v>4</v>
      </c>
      <c r="J1295" s="7" t="str">
        <f aca="false">IF(I1295&gt;=8,"High",IF(I1295&gt;=4,"Medium","Low"))</f>
        <v>Medium</v>
      </c>
    </row>
    <row r="1296" customFormat="false" ht="15" hidden="false" customHeight="true" outlineLevel="0" collapsed="false">
      <c r="A1296" s="7" t="n">
        <f aca="false">'Raw Data'!A1296</f>
        <v>227</v>
      </c>
      <c r="B1296" s="7" t="n">
        <f aca="false">'Raw Data'!B1296</f>
        <v>84</v>
      </c>
      <c r="C1296" s="7" t="str">
        <f aca="false">'Raw Data'!C1296</f>
        <v>Female</v>
      </c>
      <c r="D1296" s="7" t="str">
        <f aca="false">'Raw Data'!D1296</f>
        <v>Former</v>
      </c>
      <c r="E1296" s="7" t="str">
        <f aca="false">'Raw Data'!J1296</f>
        <v>Low</v>
      </c>
      <c r="F1296" s="7" t="n">
        <f aca="false">'Raw Data'!K1296</f>
        <v>276.3</v>
      </c>
      <c r="G1296" s="7" t="str">
        <f aca="false">'Raw Data'!L1296</f>
        <v>Yes</v>
      </c>
      <c r="H1296" s="7" t="str">
        <f aca="false">'Raw Data'!M1296</f>
        <v>High</v>
      </c>
      <c r="I1296" s="7" t="n">
        <f aca="false">(IF(D1296="Current",3,IF(D1296="Former",1,0)))+(IF(E1296="High",3,IF(E1296="Normal",1,0)))+(IF(F1296&gt;=240,2,IF(F1296&gt;=200,1,0)))+(IF(G1296="Yes",2,0))+(IF(H1296="High",2,IF(H1296="Moderate",1,0)))</f>
        <v>7</v>
      </c>
      <c r="J1296" s="7" t="str">
        <f aca="false">IF(I1296&gt;=8,"High",IF(I1296&gt;=4,"Medium","Low"))</f>
        <v>Medium</v>
      </c>
    </row>
    <row r="1297" customFormat="false" ht="15" hidden="false" customHeight="true" outlineLevel="0" collapsed="false">
      <c r="A1297" s="7" t="n">
        <f aca="false">'Raw Data'!A1297</f>
        <v>236</v>
      </c>
      <c r="B1297" s="7" t="n">
        <f aca="false">'Raw Data'!B1297</f>
        <v>83</v>
      </c>
      <c r="C1297" s="7" t="str">
        <f aca="false">'Raw Data'!C1297</f>
        <v>Female</v>
      </c>
      <c r="D1297" s="7" t="str">
        <f aca="false">'Raw Data'!D1297</f>
        <v>Former</v>
      </c>
      <c r="E1297" s="7" t="str">
        <f aca="false">'Raw Data'!J1297</f>
        <v>Low</v>
      </c>
      <c r="F1297" s="7" t="n">
        <f aca="false">'Raw Data'!K1297</f>
        <v>195.4</v>
      </c>
      <c r="G1297" s="7" t="str">
        <f aca="false">'Raw Data'!L1297</f>
        <v>No</v>
      </c>
      <c r="H1297" s="7" t="str">
        <f aca="false">'Raw Data'!M1297</f>
        <v>Low</v>
      </c>
      <c r="I1297" s="7" t="n">
        <f aca="false">(IF(D1297="Current",3,IF(D1297="Former",1,0)))+(IF(E1297="High",3,IF(E1297="Normal",1,0)))+(IF(F1297&gt;=240,2,IF(F1297&gt;=200,1,0)))+(IF(G1297="Yes",2,0))+(IF(H1297="High",2,IF(H1297="Moderate",1,0)))</f>
        <v>1</v>
      </c>
      <c r="J1297" s="7" t="str">
        <f aca="false">IF(I1297&gt;=8,"High",IF(I1297&gt;=4,"Medium","Low"))</f>
        <v>Low</v>
      </c>
    </row>
    <row r="1298" customFormat="false" ht="15" hidden="false" customHeight="true" outlineLevel="0" collapsed="false">
      <c r="A1298" s="7" t="n">
        <f aca="false">'Raw Data'!A1298</f>
        <v>270</v>
      </c>
      <c r="B1298" s="7" t="n">
        <f aca="false">'Raw Data'!B1298</f>
        <v>38</v>
      </c>
      <c r="C1298" s="7" t="str">
        <f aca="false">'Raw Data'!C1298</f>
        <v>Female</v>
      </c>
      <c r="D1298" s="7" t="str">
        <f aca="false">'Raw Data'!D1298</f>
        <v>Former</v>
      </c>
      <c r="E1298" s="7" t="str">
        <f aca="false">'Raw Data'!J1298</f>
        <v>Low</v>
      </c>
      <c r="F1298" s="7" t="n">
        <f aca="false">'Raw Data'!K1298</f>
        <v>212.9</v>
      </c>
      <c r="G1298" s="7" t="str">
        <f aca="false">'Raw Data'!L1298</f>
        <v>Yes</v>
      </c>
      <c r="H1298" s="7" t="str">
        <f aca="false">'Raw Data'!M1298</f>
        <v>Moderate</v>
      </c>
      <c r="I1298" s="7" t="n">
        <f aca="false">(IF(D1298="Current",3,IF(D1298="Former",1,0)))+(IF(E1298="High",3,IF(E1298="Normal",1,0)))+(IF(F1298&gt;=240,2,IF(F1298&gt;=200,1,0)))+(IF(G1298="Yes",2,0))+(IF(H1298="High",2,IF(H1298="Moderate",1,0)))</f>
        <v>5</v>
      </c>
      <c r="J1298" s="7" t="str">
        <f aca="false">IF(I1298&gt;=8,"High",IF(I1298&gt;=4,"Medium","Low"))</f>
        <v>Medium</v>
      </c>
    </row>
    <row r="1299" customFormat="false" ht="15" hidden="false" customHeight="true" outlineLevel="0" collapsed="false">
      <c r="A1299" s="7" t="n">
        <f aca="false">'Raw Data'!A1299</f>
        <v>276</v>
      </c>
      <c r="B1299" s="7" t="n">
        <f aca="false">'Raw Data'!B1299</f>
        <v>22</v>
      </c>
      <c r="C1299" s="7" t="str">
        <f aca="false">'Raw Data'!C1299</f>
        <v>Female</v>
      </c>
      <c r="D1299" s="7" t="str">
        <f aca="false">'Raw Data'!D1299</f>
        <v>Former</v>
      </c>
      <c r="E1299" s="7" t="str">
        <f aca="false">'Raw Data'!J1299</f>
        <v>Low</v>
      </c>
      <c r="F1299" s="7" t="n">
        <f aca="false">'Raw Data'!K1299</f>
        <v>185.8</v>
      </c>
      <c r="G1299" s="7" t="str">
        <f aca="false">'Raw Data'!L1299</f>
        <v>Yes</v>
      </c>
      <c r="H1299" s="7" t="str">
        <f aca="false">'Raw Data'!M1299</f>
        <v>Low</v>
      </c>
      <c r="I1299" s="7" t="n">
        <f aca="false">(IF(D1299="Current",3,IF(D1299="Former",1,0)))+(IF(E1299="High",3,IF(E1299="Normal",1,0)))+(IF(F1299&gt;=240,2,IF(F1299&gt;=200,1,0)))+(IF(G1299="Yes",2,0))+(IF(H1299="High",2,IF(H1299="Moderate",1,0)))</f>
        <v>3</v>
      </c>
      <c r="J1299" s="7" t="str">
        <f aca="false">IF(I1299&gt;=8,"High",IF(I1299&gt;=4,"Medium","Low"))</f>
        <v>Low</v>
      </c>
    </row>
    <row r="1300" customFormat="false" ht="15" hidden="false" customHeight="true" outlineLevel="0" collapsed="false">
      <c r="A1300" s="7" t="n">
        <f aca="false">'Raw Data'!A1300</f>
        <v>324</v>
      </c>
      <c r="B1300" s="7" t="n">
        <f aca="false">'Raw Data'!B1300</f>
        <v>49</v>
      </c>
      <c r="C1300" s="7" t="str">
        <f aca="false">'Raw Data'!C1300</f>
        <v>Female</v>
      </c>
      <c r="D1300" s="7" t="str">
        <f aca="false">'Raw Data'!D1300</f>
        <v>Former</v>
      </c>
      <c r="E1300" s="7" t="str">
        <f aca="false">'Raw Data'!J1300</f>
        <v>Low</v>
      </c>
      <c r="F1300" s="7" t="n">
        <f aca="false">'Raw Data'!K1300</f>
        <v>160</v>
      </c>
      <c r="G1300" s="7" t="str">
        <f aca="false">'Raw Data'!L1300</f>
        <v>No</v>
      </c>
      <c r="H1300" s="7" t="str">
        <f aca="false">'Raw Data'!M1300</f>
        <v>Moderate</v>
      </c>
      <c r="I1300" s="7" t="n">
        <f aca="false">(IF(D1300="Current",3,IF(D1300="Former",1,0)))+(IF(E1300="High",3,IF(E1300="Normal",1,0)))+(IF(F1300&gt;=240,2,IF(F1300&gt;=200,1,0)))+(IF(G1300="Yes",2,0))+(IF(H1300="High",2,IF(H1300="Moderate",1,0)))</f>
        <v>2</v>
      </c>
      <c r="J1300" s="7" t="str">
        <f aca="false">IF(I1300&gt;=8,"High",IF(I1300&gt;=4,"Medium","Low"))</f>
        <v>Low</v>
      </c>
    </row>
    <row r="1301" customFormat="false" ht="15" hidden="false" customHeight="true" outlineLevel="0" collapsed="false">
      <c r="A1301" s="7" t="n">
        <f aca="false">'Raw Data'!A1301</f>
        <v>332</v>
      </c>
      <c r="B1301" s="7" t="n">
        <f aca="false">'Raw Data'!B1301</f>
        <v>81</v>
      </c>
      <c r="C1301" s="7" t="str">
        <f aca="false">'Raw Data'!C1301</f>
        <v>Male</v>
      </c>
      <c r="D1301" s="7" t="str">
        <f aca="false">'Raw Data'!D1301</f>
        <v>Former</v>
      </c>
      <c r="E1301" s="7" t="str">
        <f aca="false">'Raw Data'!J1301</f>
        <v>Low</v>
      </c>
      <c r="F1301" s="7" t="n">
        <f aca="false">'Raw Data'!K1301</f>
        <v>251.3</v>
      </c>
      <c r="G1301" s="7" t="str">
        <f aca="false">'Raw Data'!L1301</f>
        <v>No</v>
      </c>
      <c r="H1301" s="7" t="str">
        <f aca="false">'Raw Data'!M1301</f>
        <v>Moderate</v>
      </c>
      <c r="I1301" s="7" t="n">
        <f aca="false">(IF(D1301="Current",3,IF(D1301="Former",1,0)))+(IF(E1301="High",3,IF(E1301="Normal",1,0)))+(IF(F1301&gt;=240,2,IF(F1301&gt;=200,1,0)))+(IF(G1301="Yes",2,0))+(IF(H1301="High",2,IF(H1301="Moderate",1,0)))</f>
        <v>4</v>
      </c>
      <c r="J1301" s="7" t="str">
        <f aca="false">IF(I1301&gt;=8,"High",IF(I1301&gt;=4,"Medium","Low"))</f>
        <v>Medium</v>
      </c>
    </row>
    <row r="1302" customFormat="false" ht="15" hidden="false" customHeight="true" outlineLevel="0" collapsed="false">
      <c r="A1302" s="7" t="n">
        <f aca="false">'Raw Data'!A1302</f>
        <v>347</v>
      </c>
      <c r="B1302" s="7" t="n">
        <f aca="false">'Raw Data'!B1302</f>
        <v>39</v>
      </c>
      <c r="C1302" s="7" t="str">
        <f aca="false">'Raw Data'!C1302</f>
        <v>Male</v>
      </c>
      <c r="D1302" s="7" t="str">
        <f aca="false">'Raw Data'!D1302</f>
        <v>Former</v>
      </c>
      <c r="E1302" s="7" t="str">
        <f aca="false">'Raw Data'!J1302</f>
        <v>Low</v>
      </c>
      <c r="F1302" s="7" t="n">
        <f aca="false">'Raw Data'!K1302</f>
        <v>246.9</v>
      </c>
      <c r="G1302" s="7" t="str">
        <f aca="false">'Raw Data'!L1302</f>
        <v>No</v>
      </c>
      <c r="H1302" s="7" t="str">
        <f aca="false">'Raw Data'!M1302</f>
        <v>Moderate</v>
      </c>
      <c r="I1302" s="7" t="n">
        <f aca="false">(IF(D1302="Current",3,IF(D1302="Former",1,0)))+(IF(E1302="High",3,IF(E1302="Normal",1,0)))+(IF(F1302&gt;=240,2,IF(F1302&gt;=200,1,0)))+(IF(G1302="Yes",2,0))+(IF(H1302="High",2,IF(H1302="Moderate",1,0)))</f>
        <v>4</v>
      </c>
      <c r="J1302" s="7" t="str">
        <f aca="false">IF(I1302&gt;=8,"High",IF(I1302&gt;=4,"Medium","Low"))</f>
        <v>Medium</v>
      </c>
    </row>
    <row r="1303" customFormat="false" ht="15" hidden="false" customHeight="true" outlineLevel="0" collapsed="false">
      <c r="A1303" s="7" t="n">
        <f aca="false">'Raw Data'!A1303</f>
        <v>365</v>
      </c>
      <c r="B1303" s="7" t="n">
        <f aca="false">'Raw Data'!B1303</f>
        <v>30</v>
      </c>
      <c r="C1303" s="7" t="str">
        <f aca="false">'Raw Data'!C1303</f>
        <v>Male</v>
      </c>
      <c r="D1303" s="7" t="str">
        <f aca="false">'Raw Data'!D1303</f>
        <v>Former</v>
      </c>
      <c r="E1303" s="7" t="str">
        <f aca="false">'Raw Data'!J1303</f>
        <v>Low</v>
      </c>
      <c r="F1303" s="7" t="n">
        <f aca="false">'Raw Data'!K1303</f>
        <v>207.7</v>
      </c>
      <c r="G1303" s="7" t="str">
        <f aca="false">'Raw Data'!L1303</f>
        <v>No</v>
      </c>
      <c r="H1303" s="7" t="str">
        <f aca="false">'Raw Data'!M1303</f>
        <v>Moderate</v>
      </c>
      <c r="I1303" s="7" t="n">
        <f aca="false">(IF(D1303="Current",3,IF(D1303="Former",1,0)))+(IF(E1303="High",3,IF(E1303="Normal",1,0)))+(IF(F1303&gt;=240,2,IF(F1303&gt;=200,1,0)))+(IF(G1303="Yes",2,0))+(IF(H1303="High",2,IF(H1303="Moderate",1,0)))</f>
        <v>3</v>
      </c>
      <c r="J1303" s="7" t="str">
        <f aca="false">IF(I1303&gt;=8,"High",IF(I1303&gt;=4,"Medium","Low"))</f>
        <v>Low</v>
      </c>
    </row>
    <row r="1304" customFormat="false" ht="15" hidden="false" customHeight="true" outlineLevel="0" collapsed="false">
      <c r="A1304" s="7" t="n">
        <f aca="false">'Raw Data'!A1304</f>
        <v>388</v>
      </c>
      <c r="B1304" s="7" t="n">
        <f aca="false">'Raw Data'!B1304</f>
        <v>85</v>
      </c>
      <c r="C1304" s="7" t="str">
        <f aca="false">'Raw Data'!C1304</f>
        <v>Female</v>
      </c>
      <c r="D1304" s="7" t="str">
        <f aca="false">'Raw Data'!D1304</f>
        <v>Former</v>
      </c>
      <c r="E1304" s="7" t="str">
        <f aca="false">'Raw Data'!J1304</f>
        <v>Low</v>
      </c>
      <c r="F1304" s="7" t="n">
        <f aca="false">'Raw Data'!K1304</f>
        <v>159.6</v>
      </c>
      <c r="G1304" s="7" t="str">
        <f aca="false">'Raw Data'!L1304</f>
        <v>No</v>
      </c>
      <c r="H1304" s="7" t="str">
        <f aca="false">'Raw Data'!M1304</f>
        <v>Moderate</v>
      </c>
      <c r="I1304" s="7" t="n">
        <f aca="false">(IF(D1304="Current",3,IF(D1304="Former",1,0)))+(IF(E1304="High",3,IF(E1304="Normal",1,0)))+(IF(F1304&gt;=240,2,IF(F1304&gt;=200,1,0)))+(IF(G1304="Yes",2,0))+(IF(H1304="High",2,IF(H1304="Moderate",1,0)))</f>
        <v>2</v>
      </c>
      <c r="J1304" s="7" t="str">
        <f aca="false">IF(I1304&gt;=8,"High",IF(I1304&gt;=4,"Medium","Low"))</f>
        <v>Low</v>
      </c>
    </row>
    <row r="1305" customFormat="false" ht="15" hidden="false" customHeight="true" outlineLevel="0" collapsed="false">
      <c r="A1305" s="7" t="n">
        <f aca="false">'Raw Data'!A1305</f>
        <v>401</v>
      </c>
      <c r="B1305" s="7" t="n">
        <f aca="false">'Raw Data'!B1305</f>
        <v>38</v>
      </c>
      <c r="C1305" s="7" t="str">
        <f aca="false">'Raw Data'!C1305</f>
        <v>Female</v>
      </c>
      <c r="D1305" s="7" t="str">
        <f aca="false">'Raw Data'!D1305</f>
        <v>Former</v>
      </c>
      <c r="E1305" s="7" t="str">
        <f aca="false">'Raw Data'!J1305</f>
        <v>Low</v>
      </c>
      <c r="F1305" s="7" t="n">
        <f aca="false">'Raw Data'!K1305</f>
        <v>168.3</v>
      </c>
      <c r="G1305" s="7" t="str">
        <f aca="false">'Raw Data'!L1305</f>
        <v>No</v>
      </c>
      <c r="H1305" s="7" t="str">
        <f aca="false">'Raw Data'!M1305</f>
        <v>Low</v>
      </c>
      <c r="I1305" s="7" t="n">
        <f aca="false">(IF(D1305="Current",3,IF(D1305="Former",1,0)))+(IF(E1305="High",3,IF(E1305="Normal",1,0)))+(IF(F1305&gt;=240,2,IF(F1305&gt;=200,1,0)))+(IF(G1305="Yes",2,0))+(IF(H1305="High",2,IF(H1305="Moderate",1,0)))</f>
        <v>1</v>
      </c>
      <c r="J1305" s="7" t="str">
        <f aca="false">IF(I1305&gt;=8,"High",IF(I1305&gt;=4,"Medium","Low"))</f>
        <v>Low</v>
      </c>
    </row>
    <row r="1306" customFormat="false" ht="15" hidden="false" customHeight="true" outlineLevel="0" collapsed="false">
      <c r="A1306" s="7" t="n">
        <f aca="false">'Raw Data'!A1306</f>
        <v>422</v>
      </c>
      <c r="B1306" s="7" t="n">
        <f aca="false">'Raw Data'!B1306</f>
        <v>68</v>
      </c>
      <c r="C1306" s="7" t="str">
        <f aca="false">'Raw Data'!C1306</f>
        <v>Female</v>
      </c>
      <c r="D1306" s="7" t="str">
        <f aca="false">'Raw Data'!D1306</f>
        <v>Former</v>
      </c>
      <c r="E1306" s="7" t="str">
        <f aca="false">'Raw Data'!J1306</f>
        <v>Low</v>
      </c>
      <c r="F1306" s="7" t="n">
        <f aca="false">'Raw Data'!K1306</f>
        <v>209.7</v>
      </c>
      <c r="G1306" s="7" t="str">
        <f aca="false">'Raw Data'!L1306</f>
        <v>No</v>
      </c>
      <c r="H1306" s="7" t="str">
        <f aca="false">'Raw Data'!M1306</f>
        <v>Low</v>
      </c>
      <c r="I1306" s="7" t="n">
        <f aca="false">(IF(D1306="Current",3,IF(D1306="Former",1,0)))+(IF(E1306="High",3,IF(E1306="Normal",1,0)))+(IF(F1306&gt;=240,2,IF(F1306&gt;=200,1,0)))+(IF(G1306="Yes",2,0))+(IF(H1306="High",2,IF(H1306="Moderate",1,0)))</f>
        <v>2</v>
      </c>
      <c r="J1306" s="7" t="str">
        <f aca="false">IF(I1306&gt;=8,"High",IF(I1306&gt;=4,"Medium","Low"))</f>
        <v>Low</v>
      </c>
    </row>
    <row r="1307" customFormat="false" ht="15" hidden="false" customHeight="true" outlineLevel="0" collapsed="false">
      <c r="A1307" s="7" t="n">
        <f aca="false">'Raw Data'!A1307</f>
        <v>497</v>
      </c>
      <c r="B1307" s="7" t="n">
        <f aca="false">'Raw Data'!B1307</f>
        <v>60</v>
      </c>
      <c r="C1307" s="7" t="str">
        <f aca="false">'Raw Data'!C1307</f>
        <v>Female</v>
      </c>
      <c r="D1307" s="7" t="str">
        <f aca="false">'Raw Data'!D1307</f>
        <v>Former</v>
      </c>
      <c r="E1307" s="7" t="str">
        <f aca="false">'Raw Data'!J1307</f>
        <v>Low</v>
      </c>
      <c r="F1307" s="7" t="n">
        <f aca="false">'Raw Data'!K1307</f>
        <v>188.5</v>
      </c>
      <c r="G1307" s="7" t="str">
        <f aca="false">'Raw Data'!L1307</f>
        <v>Yes</v>
      </c>
      <c r="H1307" s="7" t="str">
        <f aca="false">'Raw Data'!M1307</f>
        <v>Moderate</v>
      </c>
      <c r="I1307" s="7" t="n">
        <f aca="false">(IF(D1307="Current",3,IF(D1307="Former",1,0)))+(IF(E1307="High",3,IF(E1307="Normal",1,0)))+(IF(F1307&gt;=240,2,IF(F1307&gt;=200,1,0)))+(IF(G1307="Yes",2,0))+(IF(H1307="High",2,IF(H1307="Moderate",1,0)))</f>
        <v>4</v>
      </c>
      <c r="J1307" s="7" t="str">
        <f aca="false">IF(I1307&gt;=8,"High",IF(I1307&gt;=4,"Medium","Low"))</f>
        <v>Medium</v>
      </c>
    </row>
    <row r="1308" customFormat="false" ht="15" hidden="false" customHeight="true" outlineLevel="0" collapsed="false">
      <c r="A1308" s="7" t="n">
        <f aca="false">'Raw Data'!A1308</f>
        <v>561</v>
      </c>
      <c r="B1308" s="7" t="n">
        <f aca="false">'Raw Data'!B1308</f>
        <v>43</v>
      </c>
      <c r="C1308" s="7" t="str">
        <f aca="false">'Raw Data'!C1308</f>
        <v>Female</v>
      </c>
      <c r="D1308" s="7" t="str">
        <f aca="false">'Raw Data'!D1308</f>
        <v>Former</v>
      </c>
      <c r="E1308" s="7" t="str">
        <f aca="false">'Raw Data'!J1308</f>
        <v>Low</v>
      </c>
      <c r="F1308" s="7" t="n">
        <f aca="false">'Raw Data'!K1308</f>
        <v>227.6</v>
      </c>
      <c r="G1308" s="7" t="str">
        <f aca="false">'Raw Data'!L1308</f>
        <v>No</v>
      </c>
      <c r="H1308" s="7" t="str">
        <f aca="false">'Raw Data'!M1308</f>
        <v>High</v>
      </c>
      <c r="I1308" s="7" t="n">
        <f aca="false">(IF(D1308="Current",3,IF(D1308="Former",1,0)))+(IF(E1308="High",3,IF(E1308="Normal",1,0)))+(IF(F1308&gt;=240,2,IF(F1308&gt;=200,1,0)))+(IF(G1308="Yes",2,0))+(IF(H1308="High",2,IF(H1308="Moderate",1,0)))</f>
        <v>4</v>
      </c>
      <c r="J1308" s="7" t="str">
        <f aca="false">IF(I1308&gt;=8,"High",IF(I1308&gt;=4,"Medium","Low"))</f>
        <v>Medium</v>
      </c>
    </row>
    <row r="1309" customFormat="false" ht="15" hidden="false" customHeight="true" outlineLevel="0" collapsed="false">
      <c r="A1309" s="7" t="n">
        <f aca="false">'Raw Data'!A1309</f>
        <v>566</v>
      </c>
      <c r="B1309" s="7" t="n">
        <f aca="false">'Raw Data'!B1309</f>
        <v>22</v>
      </c>
      <c r="C1309" s="7" t="str">
        <f aca="false">'Raw Data'!C1309</f>
        <v>Female</v>
      </c>
      <c r="D1309" s="7" t="str">
        <f aca="false">'Raw Data'!D1309</f>
        <v>Former</v>
      </c>
      <c r="E1309" s="7" t="str">
        <f aca="false">'Raw Data'!J1309</f>
        <v>Low</v>
      </c>
      <c r="F1309" s="7" t="n">
        <f aca="false">'Raw Data'!K1309</f>
        <v>241.7</v>
      </c>
      <c r="G1309" s="7" t="str">
        <f aca="false">'Raw Data'!L1309</f>
        <v>No</v>
      </c>
      <c r="H1309" s="7" t="str">
        <f aca="false">'Raw Data'!M1309</f>
        <v>High</v>
      </c>
      <c r="I1309" s="7" t="n">
        <f aca="false">(IF(D1309="Current",3,IF(D1309="Former",1,0)))+(IF(E1309="High",3,IF(E1309="Normal",1,0)))+(IF(F1309&gt;=240,2,IF(F1309&gt;=200,1,0)))+(IF(G1309="Yes",2,0))+(IF(H1309="High",2,IF(H1309="Moderate",1,0)))</f>
        <v>5</v>
      </c>
      <c r="J1309" s="7" t="str">
        <f aca="false">IF(I1309&gt;=8,"High",IF(I1309&gt;=4,"Medium","Low"))</f>
        <v>Medium</v>
      </c>
    </row>
    <row r="1310" customFormat="false" ht="15" hidden="false" customHeight="true" outlineLevel="0" collapsed="false">
      <c r="A1310" s="7" t="n">
        <f aca="false">'Raw Data'!A1310</f>
        <v>592</v>
      </c>
      <c r="B1310" s="7" t="n">
        <f aca="false">'Raw Data'!B1310</f>
        <v>39</v>
      </c>
      <c r="C1310" s="7" t="str">
        <f aca="false">'Raw Data'!C1310</f>
        <v>Male</v>
      </c>
      <c r="D1310" s="7" t="str">
        <f aca="false">'Raw Data'!D1310</f>
        <v>Former</v>
      </c>
      <c r="E1310" s="7" t="str">
        <f aca="false">'Raw Data'!J1310</f>
        <v>Low</v>
      </c>
      <c r="F1310" s="7" t="n">
        <f aca="false">'Raw Data'!K1310</f>
        <v>174.4</v>
      </c>
      <c r="G1310" s="7" t="str">
        <f aca="false">'Raw Data'!L1310</f>
        <v>Yes</v>
      </c>
      <c r="H1310" s="7" t="str">
        <f aca="false">'Raw Data'!M1310</f>
        <v>Low</v>
      </c>
      <c r="I1310" s="7" t="n">
        <f aca="false">(IF(D1310="Current",3,IF(D1310="Former",1,0)))+(IF(E1310="High",3,IF(E1310="Normal",1,0)))+(IF(F1310&gt;=240,2,IF(F1310&gt;=200,1,0)))+(IF(G1310="Yes",2,0))+(IF(H1310="High",2,IF(H1310="Moderate",1,0)))</f>
        <v>3</v>
      </c>
      <c r="J1310" s="7" t="str">
        <f aca="false">IF(I1310&gt;=8,"High",IF(I1310&gt;=4,"Medium","Low"))</f>
        <v>Low</v>
      </c>
    </row>
    <row r="1311" customFormat="false" ht="15" hidden="false" customHeight="true" outlineLevel="0" collapsed="false">
      <c r="A1311" s="7" t="n">
        <f aca="false">'Raw Data'!A1311</f>
        <v>616</v>
      </c>
      <c r="B1311" s="7" t="n">
        <f aca="false">'Raw Data'!B1311</f>
        <v>76</v>
      </c>
      <c r="C1311" s="7" t="str">
        <f aca="false">'Raw Data'!C1311</f>
        <v>Female</v>
      </c>
      <c r="D1311" s="7" t="str">
        <f aca="false">'Raw Data'!D1311</f>
        <v>Former</v>
      </c>
      <c r="E1311" s="7" t="str">
        <f aca="false">'Raw Data'!J1311</f>
        <v>Low</v>
      </c>
      <c r="F1311" s="7" t="n">
        <f aca="false">'Raw Data'!K1311</f>
        <v>277.7</v>
      </c>
      <c r="G1311" s="7" t="str">
        <f aca="false">'Raw Data'!L1311</f>
        <v>No</v>
      </c>
      <c r="H1311" s="7" t="str">
        <f aca="false">'Raw Data'!M1311</f>
        <v>Low</v>
      </c>
      <c r="I1311" s="7" t="n">
        <f aca="false">(IF(D1311="Current",3,IF(D1311="Former",1,0)))+(IF(E1311="High",3,IF(E1311="Normal",1,0)))+(IF(F1311&gt;=240,2,IF(F1311&gt;=200,1,0)))+(IF(G1311="Yes",2,0))+(IF(H1311="High",2,IF(H1311="Moderate",1,0)))</f>
        <v>3</v>
      </c>
      <c r="J1311" s="7" t="str">
        <f aca="false">IF(I1311&gt;=8,"High",IF(I1311&gt;=4,"Medium","Low"))</f>
        <v>Low</v>
      </c>
    </row>
    <row r="1312" customFormat="false" ht="15" hidden="false" customHeight="true" outlineLevel="0" collapsed="false">
      <c r="A1312" s="7" t="n">
        <f aca="false">'Raw Data'!A1312</f>
        <v>617</v>
      </c>
      <c r="B1312" s="7" t="n">
        <f aca="false">'Raw Data'!B1312</f>
        <v>26</v>
      </c>
      <c r="C1312" s="7" t="str">
        <f aca="false">'Raw Data'!C1312</f>
        <v>Male</v>
      </c>
      <c r="D1312" s="7" t="str">
        <f aca="false">'Raw Data'!D1312</f>
        <v>Former</v>
      </c>
      <c r="E1312" s="7" t="str">
        <f aca="false">'Raw Data'!J1312</f>
        <v>Low</v>
      </c>
      <c r="F1312" s="7" t="n">
        <f aca="false">'Raw Data'!K1312</f>
        <v>131.3</v>
      </c>
      <c r="G1312" s="7" t="str">
        <f aca="false">'Raw Data'!L1312</f>
        <v>Yes</v>
      </c>
      <c r="H1312" s="7" t="str">
        <f aca="false">'Raw Data'!M1312</f>
        <v>Low</v>
      </c>
      <c r="I1312" s="7" t="n">
        <f aca="false">(IF(D1312="Current",3,IF(D1312="Former",1,0)))+(IF(E1312="High",3,IF(E1312="Normal",1,0)))+(IF(F1312&gt;=240,2,IF(F1312&gt;=200,1,0)))+(IF(G1312="Yes",2,0))+(IF(H1312="High",2,IF(H1312="Moderate",1,0)))</f>
        <v>3</v>
      </c>
      <c r="J1312" s="7" t="str">
        <f aca="false">IF(I1312&gt;=8,"High",IF(I1312&gt;=4,"Medium","Low"))</f>
        <v>Low</v>
      </c>
    </row>
    <row r="1313" customFormat="false" ht="15" hidden="false" customHeight="true" outlineLevel="0" collapsed="false">
      <c r="A1313" s="7" t="n">
        <f aca="false">'Raw Data'!A1313</f>
        <v>640</v>
      </c>
      <c r="B1313" s="7" t="n">
        <f aca="false">'Raw Data'!B1313</f>
        <v>42</v>
      </c>
      <c r="C1313" s="7" t="str">
        <f aca="false">'Raw Data'!C1313</f>
        <v>Male</v>
      </c>
      <c r="D1313" s="7" t="str">
        <f aca="false">'Raw Data'!D1313</f>
        <v>Former</v>
      </c>
      <c r="E1313" s="7" t="str">
        <f aca="false">'Raw Data'!J1313</f>
        <v>Low</v>
      </c>
      <c r="F1313" s="7" t="n">
        <f aca="false">'Raw Data'!K1313</f>
        <v>139.1</v>
      </c>
      <c r="G1313" s="7" t="str">
        <f aca="false">'Raw Data'!L1313</f>
        <v>Yes</v>
      </c>
      <c r="H1313" s="7" t="str">
        <f aca="false">'Raw Data'!M1313</f>
        <v>Moderate</v>
      </c>
      <c r="I1313" s="7" t="n">
        <f aca="false">(IF(D1313="Current",3,IF(D1313="Former",1,0)))+(IF(E1313="High",3,IF(E1313="Normal",1,0)))+(IF(F1313&gt;=240,2,IF(F1313&gt;=200,1,0)))+(IF(G1313="Yes",2,0))+(IF(H1313="High",2,IF(H1313="Moderate",1,0)))</f>
        <v>4</v>
      </c>
      <c r="J1313" s="7" t="str">
        <f aca="false">IF(I1313&gt;=8,"High",IF(I1313&gt;=4,"Medium","Low"))</f>
        <v>Medium</v>
      </c>
    </row>
    <row r="1314" customFormat="false" ht="15" hidden="false" customHeight="true" outlineLevel="0" collapsed="false">
      <c r="A1314" s="7" t="n">
        <f aca="false">'Raw Data'!A1314</f>
        <v>666</v>
      </c>
      <c r="B1314" s="7" t="n">
        <f aca="false">'Raw Data'!B1314</f>
        <v>77</v>
      </c>
      <c r="C1314" s="7" t="str">
        <f aca="false">'Raw Data'!C1314</f>
        <v>Female</v>
      </c>
      <c r="D1314" s="7" t="str">
        <f aca="false">'Raw Data'!D1314</f>
        <v>Former</v>
      </c>
      <c r="E1314" s="7" t="str">
        <f aca="false">'Raw Data'!J1314</f>
        <v>Low</v>
      </c>
      <c r="F1314" s="7" t="n">
        <f aca="false">'Raw Data'!K1314</f>
        <v>209.6</v>
      </c>
      <c r="G1314" s="7" t="str">
        <f aca="false">'Raw Data'!L1314</f>
        <v>Yes</v>
      </c>
      <c r="H1314" s="7" t="str">
        <f aca="false">'Raw Data'!M1314</f>
        <v>Moderate</v>
      </c>
      <c r="I1314" s="7" t="n">
        <f aca="false">(IF(D1314="Current",3,IF(D1314="Former",1,0)))+(IF(E1314="High",3,IF(E1314="Normal",1,0)))+(IF(F1314&gt;=240,2,IF(F1314&gt;=200,1,0)))+(IF(G1314="Yes",2,0))+(IF(H1314="High",2,IF(H1314="Moderate",1,0)))</f>
        <v>5</v>
      </c>
      <c r="J1314" s="7" t="str">
        <f aca="false">IF(I1314&gt;=8,"High",IF(I1314&gt;=4,"Medium","Low"))</f>
        <v>Medium</v>
      </c>
    </row>
    <row r="1315" customFormat="false" ht="15" hidden="false" customHeight="true" outlineLevel="0" collapsed="false">
      <c r="A1315" s="7" t="n">
        <f aca="false">'Raw Data'!A1315</f>
        <v>687</v>
      </c>
      <c r="B1315" s="7" t="n">
        <f aca="false">'Raw Data'!B1315</f>
        <v>37</v>
      </c>
      <c r="C1315" s="7" t="str">
        <f aca="false">'Raw Data'!C1315</f>
        <v>Male</v>
      </c>
      <c r="D1315" s="7" t="str">
        <f aca="false">'Raw Data'!D1315</f>
        <v>Former</v>
      </c>
      <c r="E1315" s="7" t="str">
        <f aca="false">'Raw Data'!J1315</f>
        <v>Low</v>
      </c>
      <c r="F1315" s="7" t="n">
        <f aca="false">'Raw Data'!K1315</f>
        <v>283.7</v>
      </c>
      <c r="G1315" s="7" t="str">
        <f aca="false">'Raw Data'!L1315</f>
        <v>Yes</v>
      </c>
      <c r="H1315" s="7" t="str">
        <f aca="false">'Raw Data'!M1315</f>
        <v>Low</v>
      </c>
      <c r="I1315" s="7" t="n">
        <f aca="false">(IF(D1315="Current",3,IF(D1315="Former",1,0)))+(IF(E1315="High",3,IF(E1315="Normal",1,0)))+(IF(F1315&gt;=240,2,IF(F1315&gt;=200,1,0)))+(IF(G1315="Yes",2,0))+(IF(H1315="High",2,IF(H1315="Moderate",1,0)))</f>
        <v>5</v>
      </c>
      <c r="J1315" s="7" t="str">
        <f aca="false">IF(I1315&gt;=8,"High",IF(I1315&gt;=4,"Medium","Low"))</f>
        <v>Medium</v>
      </c>
    </row>
    <row r="1316" customFormat="false" ht="15" hidden="false" customHeight="true" outlineLevel="0" collapsed="false">
      <c r="A1316" s="7" t="n">
        <f aca="false">'Raw Data'!A1316</f>
        <v>701</v>
      </c>
      <c r="B1316" s="7" t="n">
        <f aca="false">'Raw Data'!B1316</f>
        <v>63</v>
      </c>
      <c r="C1316" s="7" t="str">
        <f aca="false">'Raw Data'!C1316</f>
        <v>Male</v>
      </c>
      <c r="D1316" s="7" t="str">
        <f aca="false">'Raw Data'!D1316</f>
        <v>Former</v>
      </c>
      <c r="E1316" s="7" t="str">
        <f aca="false">'Raw Data'!J1316</f>
        <v>Low</v>
      </c>
      <c r="F1316" s="7" t="n">
        <f aca="false">'Raw Data'!K1316</f>
        <v>264.9</v>
      </c>
      <c r="G1316" s="7" t="str">
        <f aca="false">'Raw Data'!L1316</f>
        <v>No</v>
      </c>
      <c r="H1316" s="7" t="str">
        <f aca="false">'Raw Data'!M1316</f>
        <v>High</v>
      </c>
      <c r="I1316" s="7" t="n">
        <f aca="false">(IF(D1316="Current",3,IF(D1316="Former",1,0)))+(IF(E1316="High",3,IF(E1316="Normal",1,0)))+(IF(F1316&gt;=240,2,IF(F1316&gt;=200,1,0)))+(IF(G1316="Yes",2,0))+(IF(H1316="High",2,IF(H1316="Moderate",1,0)))</f>
        <v>5</v>
      </c>
      <c r="J1316" s="7" t="str">
        <f aca="false">IF(I1316&gt;=8,"High",IF(I1316&gt;=4,"Medium","Low"))</f>
        <v>Medium</v>
      </c>
    </row>
    <row r="1317" customFormat="false" ht="15" hidden="false" customHeight="true" outlineLevel="0" collapsed="false">
      <c r="A1317" s="7" t="n">
        <f aca="false">'Raw Data'!A1317</f>
        <v>741</v>
      </c>
      <c r="B1317" s="7" t="n">
        <f aca="false">'Raw Data'!B1317</f>
        <v>60</v>
      </c>
      <c r="C1317" s="7" t="str">
        <f aca="false">'Raw Data'!C1317</f>
        <v>Female</v>
      </c>
      <c r="D1317" s="7" t="str">
        <f aca="false">'Raw Data'!D1317</f>
        <v>Former</v>
      </c>
      <c r="E1317" s="7" t="str">
        <f aca="false">'Raw Data'!J1317</f>
        <v>Low</v>
      </c>
      <c r="F1317" s="7" t="n">
        <f aca="false">'Raw Data'!K1317</f>
        <v>185.3</v>
      </c>
      <c r="G1317" s="7" t="str">
        <f aca="false">'Raw Data'!L1317</f>
        <v>Yes</v>
      </c>
      <c r="H1317" s="7" t="str">
        <f aca="false">'Raw Data'!M1317</f>
        <v>Moderate</v>
      </c>
      <c r="I1317" s="7" t="n">
        <f aca="false">(IF(D1317="Current",3,IF(D1317="Former",1,0)))+(IF(E1317="High",3,IF(E1317="Normal",1,0)))+(IF(F1317&gt;=240,2,IF(F1317&gt;=200,1,0)))+(IF(G1317="Yes",2,0))+(IF(H1317="High",2,IF(H1317="Moderate",1,0)))</f>
        <v>4</v>
      </c>
      <c r="J1317" s="7" t="str">
        <f aca="false">IF(I1317&gt;=8,"High",IF(I1317&gt;=4,"Medium","Low"))</f>
        <v>Medium</v>
      </c>
    </row>
    <row r="1318" customFormat="false" ht="15" hidden="false" customHeight="true" outlineLevel="0" collapsed="false">
      <c r="A1318" s="7" t="n">
        <f aca="false">'Raw Data'!A1318</f>
        <v>742</v>
      </c>
      <c r="B1318" s="7" t="n">
        <f aca="false">'Raw Data'!B1318</f>
        <v>78</v>
      </c>
      <c r="C1318" s="7" t="str">
        <f aca="false">'Raw Data'!C1318</f>
        <v>Male</v>
      </c>
      <c r="D1318" s="7" t="str">
        <f aca="false">'Raw Data'!D1318</f>
        <v>Former</v>
      </c>
      <c r="E1318" s="7" t="str">
        <f aca="false">'Raw Data'!J1318</f>
        <v>Low</v>
      </c>
      <c r="F1318" s="7" t="n">
        <f aca="false">'Raw Data'!K1318</f>
        <v>295.7</v>
      </c>
      <c r="G1318" s="7" t="str">
        <f aca="false">'Raw Data'!L1318</f>
        <v>Yes</v>
      </c>
      <c r="H1318" s="7" t="str">
        <f aca="false">'Raw Data'!M1318</f>
        <v>Low</v>
      </c>
      <c r="I1318" s="7" t="n">
        <f aca="false">(IF(D1318="Current",3,IF(D1318="Former",1,0)))+(IF(E1318="High",3,IF(E1318="Normal",1,0)))+(IF(F1318&gt;=240,2,IF(F1318&gt;=200,1,0)))+(IF(G1318="Yes",2,0))+(IF(H1318="High",2,IF(H1318="Moderate",1,0)))</f>
        <v>5</v>
      </c>
      <c r="J1318" s="7" t="str">
        <f aca="false">IF(I1318&gt;=8,"High",IF(I1318&gt;=4,"Medium","Low"))</f>
        <v>Medium</v>
      </c>
    </row>
    <row r="1319" customFormat="false" ht="15" hidden="false" customHeight="true" outlineLevel="0" collapsed="false">
      <c r="A1319" s="7" t="n">
        <f aca="false">'Raw Data'!A1319</f>
        <v>743</v>
      </c>
      <c r="B1319" s="7" t="n">
        <f aca="false">'Raw Data'!B1319</f>
        <v>64</v>
      </c>
      <c r="C1319" s="7" t="str">
        <f aca="false">'Raw Data'!C1319</f>
        <v>Female</v>
      </c>
      <c r="D1319" s="7" t="str">
        <f aca="false">'Raw Data'!D1319</f>
        <v>Former</v>
      </c>
      <c r="E1319" s="7" t="str">
        <f aca="false">'Raw Data'!J1319</f>
        <v>Low</v>
      </c>
      <c r="F1319" s="7" t="n">
        <f aca="false">'Raw Data'!K1319</f>
        <v>123.3</v>
      </c>
      <c r="G1319" s="7" t="str">
        <f aca="false">'Raw Data'!L1319</f>
        <v>No</v>
      </c>
      <c r="H1319" s="7" t="str">
        <f aca="false">'Raw Data'!M1319</f>
        <v>Low</v>
      </c>
      <c r="I1319" s="7" t="n">
        <f aca="false">(IF(D1319="Current",3,IF(D1319="Former",1,0)))+(IF(E1319="High",3,IF(E1319="Normal",1,0)))+(IF(F1319&gt;=240,2,IF(F1319&gt;=200,1,0)))+(IF(G1319="Yes",2,0))+(IF(H1319="High",2,IF(H1319="Moderate",1,0)))</f>
        <v>1</v>
      </c>
      <c r="J1319" s="7" t="str">
        <f aca="false">IF(I1319&gt;=8,"High",IF(I1319&gt;=4,"Medium","Low"))</f>
        <v>Low</v>
      </c>
    </row>
    <row r="1320" customFormat="false" ht="15" hidden="false" customHeight="true" outlineLevel="0" collapsed="false">
      <c r="A1320" s="7" t="n">
        <f aca="false">'Raw Data'!A1320</f>
        <v>769</v>
      </c>
      <c r="B1320" s="7" t="n">
        <f aca="false">'Raw Data'!B1320</f>
        <v>60</v>
      </c>
      <c r="C1320" s="7" t="str">
        <f aca="false">'Raw Data'!C1320</f>
        <v>Male</v>
      </c>
      <c r="D1320" s="7" t="str">
        <f aca="false">'Raw Data'!D1320</f>
        <v>Former</v>
      </c>
      <c r="E1320" s="7" t="str">
        <f aca="false">'Raw Data'!J1320</f>
        <v>Low</v>
      </c>
      <c r="F1320" s="7" t="n">
        <f aca="false">'Raw Data'!K1320</f>
        <v>249.8</v>
      </c>
      <c r="G1320" s="7" t="str">
        <f aca="false">'Raw Data'!L1320</f>
        <v>Yes</v>
      </c>
      <c r="H1320" s="7" t="str">
        <f aca="false">'Raw Data'!M1320</f>
        <v>Moderate</v>
      </c>
      <c r="I1320" s="7" t="n">
        <f aca="false">(IF(D1320="Current",3,IF(D1320="Former",1,0)))+(IF(E1320="High",3,IF(E1320="Normal",1,0)))+(IF(F1320&gt;=240,2,IF(F1320&gt;=200,1,0)))+(IF(G1320="Yes",2,0))+(IF(H1320="High",2,IF(H1320="Moderate",1,0)))</f>
        <v>6</v>
      </c>
      <c r="J1320" s="7" t="str">
        <f aca="false">IF(I1320&gt;=8,"High",IF(I1320&gt;=4,"Medium","Low"))</f>
        <v>Medium</v>
      </c>
    </row>
    <row r="1321" customFormat="false" ht="15" hidden="false" customHeight="true" outlineLevel="0" collapsed="false">
      <c r="A1321" s="7" t="n">
        <f aca="false">'Raw Data'!A1321</f>
        <v>817</v>
      </c>
      <c r="B1321" s="7" t="n">
        <f aca="false">'Raw Data'!B1321</f>
        <v>85</v>
      </c>
      <c r="C1321" s="7" t="str">
        <f aca="false">'Raw Data'!C1321</f>
        <v>Male</v>
      </c>
      <c r="D1321" s="7" t="str">
        <f aca="false">'Raw Data'!D1321</f>
        <v>Former</v>
      </c>
      <c r="E1321" s="7" t="str">
        <f aca="false">'Raw Data'!J1321</f>
        <v>Low</v>
      </c>
      <c r="F1321" s="7" t="n">
        <f aca="false">'Raw Data'!K1321</f>
        <v>213.6</v>
      </c>
      <c r="G1321" s="7" t="str">
        <f aca="false">'Raw Data'!L1321</f>
        <v>No</v>
      </c>
      <c r="H1321" s="7" t="str">
        <f aca="false">'Raw Data'!M1321</f>
        <v>Moderate</v>
      </c>
      <c r="I1321" s="7" t="n">
        <f aca="false">(IF(D1321="Current",3,IF(D1321="Former",1,0)))+(IF(E1321="High",3,IF(E1321="Normal",1,0)))+(IF(F1321&gt;=240,2,IF(F1321&gt;=200,1,0)))+(IF(G1321="Yes",2,0))+(IF(H1321="High",2,IF(H1321="Moderate",1,0)))</f>
        <v>3</v>
      </c>
      <c r="J1321" s="7" t="str">
        <f aca="false">IF(I1321&gt;=8,"High",IF(I1321&gt;=4,"Medium","Low"))</f>
        <v>Low</v>
      </c>
    </row>
    <row r="1322" customFormat="false" ht="15" hidden="false" customHeight="true" outlineLevel="0" collapsed="false">
      <c r="A1322" s="7" t="n">
        <f aca="false">'Raw Data'!A1322</f>
        <v>842</v>
      </c>
      <c r="B1322" s="7" t="n">
        <f aca="false">'Raw Data'!B1322</f>
        <v>47</v>
      </c>
      <c r="C1322" s="7" t="str">
        <f aca="false">'Raw Data'!C1322</f>
        <v>Female</v>
      </c>
      <c r="D1322" s="7" t="str">
        <f aca="false">'Raw Data'!D1322</f>
        <v>Former</v>
      </c>
      <c r="E1322" s="7" t="str">
        <f aca="false">'Raw Data'!J1322</f>
        <v>Low</v>
      </c>
      <c r="F1322" s="7" t="n">
        <f aca="false">'Raw Data'!K1322</f>
        <v>181.3</v>
      </c>
      <c r="G1322" s="7" t="str">
        <f aca="false">'Raw Data'!L1322</f>
        <v>No</v>
      </c>
      <c r="H1322" s="7" t="str">
        <f aca="false">'Raw Data'!M1322</f>
        <v>Moderate</v>
      </c>
      <c r="I1322" s="7" t="n">
        <f aca="false">(IF(D1322="Current",3,IF(D1322="Former",1,0)))+(IF(E1322="High",3,IF(E1322="Normal",1,0)))+(IF(F1322&gt;=240,2,IF(F1322&gt;=200,1,0)))+(IF(G1322="Yes",2,0))+(IF(H1322="High",2,IF(H1322="Moderate",1,0)))</f>
        <v>2</v>
      </c>
      <c r="J1322" s="7" t="str">
        <f aca="false">IF(I1322&gt;=8,"High",IF(I1322&gt;=4,"Medium","Low"))</f>
        <v>Low</v>
      </c>
    </row>
    <row r="1323" customFormat="false" ht="15" hidden="false" customHeight="true" outlineLevel="0" collapsed="false">
      <c r="A1323" s="7" t="n">
        <f aca="false">'Raw Data'!A1323</f>
        <v>848</v>
      </c>
      <c r="B1323" s="7" t="n">
        <f aca="false">'Raw Data'!B1323</f>
        <v>44</v>
      </c>
      <c r="C1323" s="7" t="str">
        <f aca="false">'Raw Data'!C1323</f>
        <v>Male</v>
      </c>
      <c r="D1323" s="7" t="str">
        <f aca="false">'Raw Data'!D1323</f>
        <v>Former</v>
      </c>
      <c r="E1323" s="7" t="str">
        <f aca="false">'Raw Data'!J1323</f>
        <v>Low</v>
      </c>
      <c r="F1323" s="7" t="n">
        <f aca="false">'Raw Data'!K1323</f>
        <v>244</v>
      </c>
      <c r="G1323" s="7" t="str">
        <f aca="false">'Raw Data'!L1323</f>
        <v>No</v>
      </c>
      <c r="H1323" s="7" t="str">
        <f aca="false">'Raw Data'!M1323</f>
        <v>High</v>
      </c>
      <c r="I1323" s="7" t="n">
        <f aca="false">(IF(D1323="Current",3,IF(D1323="Former",1,0)))+(IF(E1323="High",3,IF(E1323="Normal",1,0)))+(IF(F1323&gt;=240,2,IF(F1323&gt;=200,1,0)))+(IF(G1323="Yes",2,0))+(IF(H1323="High",2,IF(H1323="Moderate",1,0)))</f>
        <v>5</v>
      </c>
      <c r="J1323" s="7" t="str">
        <f aca="false">IF(I1323&gt;=8,"High",IF(I1323&gt;=4,"Medium","Low"))</f>
        <v>Medium</v>
      </c>
    </row>
    <row r="1324" customFormat="false" ht="15" hidden="false" customHeight="true" outlineLevel="0" collapsed="false">
      <c r="A1324" s="7" t="n">
        <f aca="false">'Raw Data'!A1324</f>
        <v>913</v>
      </c>
      <c r="B1324" s="7" t="n">
        <f aca="false">'Raw Data'!B1324</f>
        <v>71</v>
      </c>
      <c r="C1324" s="7" t="str">
        <f aca="false">'Raw Data'!C1324</f>
        <v>Female</v>
      </c>
      <c r="D1324" s="7" t="str">
        <f aca="false">'Raw Data'!D1324</f>
        <v>Former</v>
      </c>
      <c r="E1324" s="7" t="str">
        <f aca="false">'Raw Data'!J1324</f>
        <v>Low</v>
      </c>
      <c r="F1324" s="7" t="n">
        <f aca="false">'Raw Data'!K1324</f>
        <v>288.6</v>
      </c>
      <c r="G1324" s="7" t="str">
        <f aca="false">'Raw Data'!L1324</f>
        <v>No</v>
      </c>
      <c r="H1324" s="7" t="str">
        <f aca="false">'Raw Data'!M1324</f>
        <v>Moderate</v>
      </c>
      <c r="I1324" s="7" t="n">
        <f aca="false">(IF(D1324="Current",3,IF(D1324="Former",1,0)))+(IF(E1324="High",3,IF(E1324="Normal",1,0)))+(IF(F1324&gt;=240,2,IF(F1324&gt;=200,1,0)))+(IF(G1324="Yes",2,0))+(IF(H1324="High",2,IF(H1324="Moderate",1,0)))</f>
        <v>4</v>
      </c>
      <c r="J1324" s="7" t="str">
        <f aca="false">IF(I1324&gt;=8,"High",IF(I1324&gt;=4,"Medium","Low"))</f>
        <v>Medium</v>
      </c>
    </row>
    <row r="1325" customFormat="false" ht="15" hidden="false" customHeight="true" outlineLevel="0" collapsed="false">
      <c r="A1325" s="7" t="n">
        <f aca="false">'Raw Data'!A1325</f>
        <v>932</v>
      </c>
      <c r="B1325" s="7" t="n">
        <f aca="false">'Raw Data'!B1325</f>
        <v>73</v>
      </c>
      <c r="C1325" s="7" t="str">
        <f aca="false">'Raw Data'!C1325</f>
        <v>Male</v>
      </c>
      <c r="D1325" s="7" t="str">
        <f aca="false">'Raw Data'!D1325</f>
        <v>Former</v>
      </c>
      <c r="E1325" s="7" t="str">
        <f aca="false">'Raw Data'!J1325</f>
        <v>Low</v>
      </c>
      <c r="F1325" s="7" t="n">
        <f aca="false">'Raw Data'!K1325</f>
        <v>134.4</v>
      </c>
      <c r="G1325" s="7" t="str">
        <f aca="false">'Raw Data'!L1325</f>
        <v>No</v>
      </c>
      <c r="H1325" s="7" t="str">
        <f aca="false">'Raw Data'!M1325</f>
        <v>High</v>
      </c>
      <c r="I1325" s="7" t="n">
        <f aca="false">(IF(D1325="Current",3,IF(D1325="Former",1,0)))+(IF(E1325="High",3,IF(E1325="Normal",1,0)))+(IF(F1325&gt;=240,2,IF(F1325&gt;=200,1,0)))+(IF(G1325="Yes",2,0))+(IF(H1325="High",2,IF(H1325="Moderate",1,0)))</f>
        <v>3</v>
      </c>
      <c r="J1325" s="7" t="str">
        <f aca="false">IF(I1325&gt;=8,"High",IF(I1325&gt;=4,"Medium","Low"))</f>
        <v>Low</v>
      </c>
    </row>
    <row r="1326" customFormat="false" ht="15" hidden="false" customHeight="true" outlineLevel="0" collapsed="false">
      <c r="A1326" s="7" t="n">
        <f aca="false">'Raw Data'!A1326</f>
        <v>934</v>
      </c>
      <c r="B1326" s="7" t="n">
        <f aca="false">'Raw Data'!B1326</f>
        <v>74</v>
      </c>
      <c r="C1326" s="7" t="str">
        <f aca="false">'Raw Data'!C1326</f>
        <v>Male</v>
      </c>
      <c r="D1326" s="7" t="str">
        <f aca="false">'Raw Data'!D1326</f>
        <v>Former</v>
      </c>
      <c r="E1326" s="7" t="str">
        <f aca="false">'Raw Data'!J1326</f>
        <v>Low</v>
      </c>
      <c r="F1326" s="7" t="n">
        <f aca="false">'Raw Data'!K1326</f>
        <v>124.7</v>
      </c>
      <c r="G1326" s="7" t="str">
        <f aca="false">'Raw Data'!L1326</f>
        <v>No</v>
      </c>
      <c r="H1326" s="7" t="str">
        <f aca="false">'Raw Data'!M1326</f>
        <v>Low</v>
      </c>
      <c r="I1326" s="7" t="n">
        <f aca="false">(IF(D1326="Current",3,IF(D1326="Former",1,0)))+(IF(E1326="High",3,IF(E1326="Normal",1,0)))+(IF(F1326&gt;=240,2,IF(F1326&gt;=200,1,0)))+(IF(G1326="Yes",2,0))+(IF(H1326="High",2,IF(H1326="Moderate",1,0)))</f>
        <v>1</v>
      </c>
      <c r="J1326" s="7" t="str">
        <f aca="false">IF(I1326&gt;=8,"High",IF(I1326&gt;=4,"Medium","Low"))</f>
        <v>Low</v>
      </c>
    </row>
    <row r="1327" customFormat="false" ht="15" hidden="false" customHeight="true" outlineLevel="0" collapsed="false">
      <c r="A1327" s="7" t="n">
        <f aca="false">'Raw Data'!A1327</f>
        <v>955</v>
      </c>
      <c r="B1327" s="7" t="n">
        <f aca="false">'Raw Data'!B1327</f>
        <v>29</v>
      </c>
      <c r="C1327" s="7" t="str">
        <f aca="false">'Raw Data'!C1327</f>
        <v>Male</v>
      </c>
      <c r="D1327" s="7" t="str">
        <f aca="false">'Raw Data'!D1327</f>
        <v>Former</v>
      </c>
      <c r="E1327" s="7" t="str">
        <f aca="false">'Raw Data'!J1327</f>
        <v>Low</v>
      </c>
      <c r="F1327" s="7" t="n">
        <f aca="false">'Raw Data'!K1327</f>
        <v>127.1</v>
      </c>
      <c r="G1327" s="7" t="str">
        <f aca="false">'Raw Data'!L1327</f>
        <v>No</v>
      </c>
      <c r="H1327" s="7" t="str">
        <f aca="false">'Raw Data'!M1327</f>
        <v>Low</v>
      </c>
      <c r="I1327" s="7" t="n">
        <f aca="false">(IF(D1327="Current",3,IF(D1327="Former",1,0)))+(IF(E1327="High",3,IF(E1327="Normal",1,0)))+(IF(F1327&gt;=240,2,IF(F1327&gt;=200,1,0)))+(IF(G1327="Yes",2,0))+(IF(H1327="High",2,IF(H1327="Moderate",1,0)))</f>
        <v>1</v>
      </c>
      <c r="J1327" s="7" t="str">
        <f aca="false">IF(I1327&gt;=8,"High",IF(I1327&gt;=4,"Medium","Low"))</f>
        <v>Low</v>
      </c>
    </row>
    <row r="1328" customFormat="false" ht="15" hidden="false" customHeight="true" outlineLevel="0" collapsed="false">
      <c r="A1328" s="7" t="n">
        <f aca="false">'Raw Data'!A1328</f>
        <v>975</v>
      </c>
      <c r="B1328" s="7" t="n">
        <f aca="false">'Raw Data'!B1328</f>
        <v>53</v>
      </c>
      <c r="C1328" s="7" t="str">
        <f aca="false">'Raw Data'!C1328</f>
        <v>Male</v>
      </c>
      <c r="D1328" s="7" t="str">
        <f aca="false">'Raw Data'!D1328</f>
        <v>Former</v>
      </c>
      <c r="E1328" s="7" t="str">
        <f aca="false">'Raw Data'!J1328</f>
        <v>Low</v>
      </c>
      <c r="F1328" s="7" t="n">
        <f aca="false">'Raw Data'!K1328</f>
        <v>211.1</v>
      </c>
      <c r="G1328" s="7" t="str">
        <f aca="false">'Raw Data'!L1328</f>
        <v>No</v>
      </c>
      <c r="H1328" s="7" t="str">
        <f aca="false">'Raw Data'!M1328</f>
        <v>High</v>
      </c>
      <c r="I1328" s="7" t="n">
        <f aca="false">(IF(D1328="Current",3,IF(D1328="Former",1,0)))+(IF(E1328="High",3,IF(E1328="Normal",1,0)))+(IF(F1328&gt;=240,2,IF(F1328&gt;=200,1,0)))+(IF(G1328="Yes",2,0))+(IF(H1328="High",2,IF(H1328="Moderate",1,0)))</f>
        <v>4</v>
      </c>
      <c r="J1328" s="7" t="str">
        <f aca="false">IF(I1328&gt;=8,"High",IF(I1328&gt;=4,"Medium","Low"))</f>
        <v>Medium</v>
      </c>
    </row>
    <row r="1329" customFormat="false" ht="15" hidden="false" customHeight="true" outlineLevel="0" collapsed="false">
      <c r="A1329" s="7" t="n">
        <f aca="false">'Raw Data'!A1329</f>
        <v>986</v>
      </c>
      <c r="B1329" s="7" t="n">
        <f aca="false">'Raw Data'!B1329</f>
        <v>60</v>
      </c>
      <c r="C1329" s="7" t="str">
        <f aca="false">'Raw Data'!C1329</f>
        <v>Male</v>
      </c>
      <c r="D1329" s="7" t="str">
        <f aca="false">'Raw Data'!D1329</f>
        <v>Former</v>
      </c>
      <c r="E1329" s="7" t="str">
        <f aca="false">'Raw Data'!J1329</f>
        <v>Low</v>
      </c>
      <c r="F1329" s="7" t="n">
        <f aca="false">'Raw Data'!K1329</f>
        <v>172.8</v>
      </c>
      <c r="G1329" s="7" t="str">
        <f aca="false">'Raw Data'!L1329</f>
        <v>No</v>
      </c>
      <c r="H1329" s="7" t="str">
        <f aca="false">'Raw Data'!M1329</f>
        <v>Moderate</v>
      </c>
      <c r="I1329" s="7" t="n">
        <f aca="false">(IF(D1329="Current",3,IF(D1329="Former",1,0)))+(IF(E1329="High",3,IF(E1329="Normal",1,0)))+(IF(F1329&gt;=240,2,IF(F1329&gt;=200,1,0)))+(IF(G1329="Yes",2,0))+(IF(H1329="High",2,IF(H1329="Moderate",1,0)))</f>
        <v>2</v>
      </c>
      <c r="J1329" s="7" t="str">
        <f aca="false">IF(I1329&gt;=8,"High",IF(I1329&gt;=4,"Medium","Low"))</f>
        <v>Low</v>
      </c>
    </row>
    <row r="1330" customFormat="false" ht="15" hidden="false" customHeight="true" outlineLevel="0" collapsed="false">
      <c r="A1330" s="7" t="n">
        <f aca="false">'Raw Data'!A1330</f>
        <v>1015</v>
      </c>
      <c r="B1330" s="7" t="n">
        <f aca="false">'Raw Data'!B1330</f>
        <v>35</v>
      </c>
      <c r="C1330" s="7" t="str">
        <f aca="false">'Raw Data'!C1330</f>
        <v>Female</v>
      </c>
      <c r="D1330" s="7" t="str">
        <f aca="false">'Raw Data'!D1330</f>
        <v>Former</v>
      </c>
      <c r="E1330" s="7" t="str">
        <f aca="false">'Raw Data'!J1330</f>
        <v>Low</v>
      </c>
      <c r="F1330" s="7" t="n">
        <f aca="false">'Raw Data'!K1330</f>
        <v>164.9</v>
      </c>
      <c r="G1330" s="7" t="str">
        <f aca="false">'Raw Data'!L1330</f>
        <v>No</v>
      </c>
      <c r="H1330" s="7" t="str">
        <f aca="false">'Raw Data'!M1330</f>
        <v>Moderate</v>
      </c>
      <c r="I1330" s="7" t="n">
        <f aca="false">(IF(D1330="Current",3,IF(D1330="Former",1,0)))+(IF(E1330="High",3,IF(E1330="Normal",1,0)))+(IF(F1330&gt;=240,2,IF(F1330&gt;=200,1,0)))+(IF(G1330="Yes",2,0))+(IF(H1330="High",2,IF(H1330="Moderate",1,0)))</f>
        <v>2</v>
      </c>
      <c r="J1330" s="7" t="str">
        <f aca="false">IF(I1330&gt;=8,"High",IF(I1330&gt;=4,"Medium","Low"))</f>
        <v>Low</v>
      </c>
    </row>
    <row r="1331" customFormat="false" ht="15" hidden="false" customHeight="true" outlineLevel="0" collapsed="false">
      <c r="A1331" s="7" t="n">
        <f aca="false">'Raw Data'!A1331</f>
        <v>1029</v>
      </c>
      <c r="B1331" s="7" t="n">
        <f aca="false">'Raw Data'!B1331</f>
        <v>30</v>
      </c>
      <c r="C1331" s="7" t="str">
        <f aca="false">'Raw Data'!C1331</f>
        <v>Male</v>
      </c>
      <c r="D1331" s="7" t="str">
        <f aca="false">'Raw Data'!D1331</f>
        <v>Former</v>
      </c>
      <c r="E1331" s="7" t="str">
        <f aca="false">'Raw Data'!J1331</f>
        <v>Low</v>
      </c>
      <c r="F1331" s="7" t="n">
        <f aca="false">'Raw Data'!K1331</f>
        <v>291.8</v>
      </c>
      <c r="G1331" s="7" t="str">
        <f aca="false">'Raw Data'!L1331</f>
        <v>No</v>
      </c>
      <c r="H1331" s="7" t="str">
        <f aca="false">'Raw Data'!M1331</f>
        <v>Low</v>
      </c>
      <c r="I1331" s="7" t="n">
        <f aca="false">(IF(D1331="Current",3,IF(D1331="Former",1,0)))+(IF(E1331="High",3,IF(E1331="Normal",1,0)))+(IF(F1331&gt;=240,2,IF(F1331&gt;=200,1,0)))+(IF(G1331="Yes",2,0))+(IF(H1331="High",2,IF(H1331="Moderate",1,0)))</f>
        <v>3</v>
      </c>
      <c r="J1331" s="7" t="str">
        <f aca="false">IF(I1331&gt;=8,"High",IF(I1331&gt;=4,"Medium","Low"))</f>
        <v>Low</v>
      </c>
    </row>
    <row r="1332" customFormat="false" ht="15" hidden="false" customHeight="true" outlineLevel="0" collapsed="false">
      <c r="A1332" s="7" t="n">
        <f aca="false">'Raw Data'!A1332</f>
        <v>1038</v>
      </c>
      <c r="B1332" s="7" t="n">
        <f aca="false">'Raw Data'!B1332</f>
        <v>55</v>
      </c>
      <c r="C1332" s="7" t="str">
        <f aca="false">'Raw Data'!C1332</f>
        <v>Female</v>
      </c>
      <c r="D1332" s="7" t="str">
        <f aca="false">'Raw Data'!D1332</f>
        <v>Former</v>
      </c>
      <c r="E1332" s="7" t="str">
        <f aca="false">'Raw Data'!J1332</f>
        <v>Low</v>
      </c>
      <c r="F1332" s="7" t="n">
        <f aca="false">'Raw Data'!K1332</f>
        <v>188.4</v>
      </c>
      <c r="G1332" s="7" t="str">
        <f aca="false">'Raw Data'!L1332</f>
        <v>No</v>
      </c>
      <c r="H1332" s="7" t="str">
        <f aca="false">'Raw Data'!M1332</f>
        <v>Low</v>
      </c>
      <c r="I1332" s="7" t="n">
        <f aca="false">(IF(D1332="Current",3,IF(D1332="Former",1,0)))+(IF(E1332="High",3,IF(E1332="Normal",1,0)))+(IF(F1332&gt;=240,2,IF(F1332&gt;=200,1,0)))+(IF(G1332="Yes",2,0))+(IF(H1332="High",2,IF(H1332="Moderate",1,0)))</f>
        <v>1</v>
      </c>
      <c r="J1332" s="7" t="str">
        <f aca="false">IF(I1332&gt;=8,"High",IF(I1332&gt;=4,"Medium","Low"))</f>
        <v>Low</v>
      </c>
    </row>
    <row r="1333" customFormat="false" ht="15" hidden="false" customHeight="true" outlineLevel="0" collapsed="false">
      <c r="A1333" s="7" t="n">
        <f aca="false">'Raw Data'!A1333</f>
        <v>1039</v>
      </c>
      <c r="B1333" s="7" t="n">
        <f aca="false">'Raw Data'!B1333</f>
        <v>58</v>
      </c>
      <c r="C1333" s="7" t="str">
        <f aca="false">'Raw Data'!C1333</f>
        <v>Male</v>
      </c>
      <c r="D1333" s="7" t="str">
        <f aca="false">'Raw Data'!D1333</f>
        <v>Former</v>
      </c>
      <c r="E1333" s="7" t="str">
        <f aca="false">'Raw Data'!J1333</f>
        <v>Low</v>
      </c>
      <c r="F1333" s="7" t="n">
        <f aca="false">'Raw Data'!K1333</f>
        <v>212.4</v>
      </c>
      <c r="G1333" s="7" t="str">
        <f aca="false">'Raw Data'!L1333</f>
        <v>No</v>
      </c>
      <c r="H1333" s="7" t="str">
        <f aca="false">'Raw Data'!M1333</f>
        <v>Moderate</v>
      </c>
      <c r="I1333" s="7" t="n">
        <f aca="false">(IF(D1333="Current",3,IF(D1333="Former",1,0)))+(IF(E1333="High",3,IF(E1333="Normal",1,0)))+(IF(F1333&gt;=240,2,IF(F1333&gt;=200,1,0)))+(IF(G1333="Yes",2,0))+(IF(H1333="High",2,IF(H1333="Moderate",1,0)))</f>
        <v>3</v>
      </c>
      <c r="J1333" s="7" t="str">
        <f aca="false">IF(I1333&gt;=8,"High",IF(I1333&gt;=4,"Medium","Low"))</f>
        <v>Low</v>
      </c>
    </row>
    <row r="1334" customFormat="false" ht="15" hidden="false" customHeight="true" outlineLevel="0" collapsed="false">
      <c r="A1334" s="7" t="n">
        <f aca="false">'Raw Data'!A1334</f>
        <v>1051</v>
      </c>
      <c r="B1334" s="7" t="n">
        <f aca="false">'Raw Data'!B1334</f>
        <v>39</v>
      </c>
      <c r="C1334" s="7" t="str">
        <f aca="false">'Raw Data'!C1334</f>
        <v>Female</v>
      </c>
      <c r="D1334" s="7" t="str">
        <f aca="false">'Raw Data'!D1334</f>
        <v>Former</v>
      </c>
      <c r="E1334" s="7" t="str">
        <f aca="false">'Raw Data'!J1334</f>
        <v>Low</v>
      </c>
      <c r="F1334" s="7" t="n">
        <f aca="false">'Raw Data'!K1334</f>
        <v>215.7</v>
      </c>
      <c r="G1334" s="7" t="str">
        <f aca="false">'Raw Data'!L1334</f>
        <v>Yes</v>
      </c>
      <c r="H1334" s="7" t="str">
        <f aca="false">'Raw Data'!M1334</f>
        <v>Moderate</v>
      </c>
      <c r="I1334" s="7" t="n">
        <f aca="false">(IF(D1334="Current",3,IF(D1334="Former",1,0)))+(IF(E1334="High",3,IF(E1334="Normal",1,0)))+(IF(F1334&gt;=240,2,IF(F1334&gt;=200,1,0)))+(IF(G1334="Yes",2,0))+(IF(H1334="High",2,IF(H1334="Moderate",1,0)))</f>
        <v>5</v>
      </c>
      <c r="J1334" s="7" t="str">
        <f aca="false">IF(I1334&gt;=8,"High",IF(I1334&gt;=4,"Medium","Low"))</f>
        <v>Medium</v>
      </c>
    </row>
    <row r="1335" customFormat="false" ht="15" hidden="false" customHeight="true" outlineLevel="0" collapsed="false">
      <c r="A1335" s="7" t="n">
        <f aca="false">'Raw Data'!A1335</f>
        <v>1068</v>
      </c>
      <c r="B1335" s="7" t="n">
        <f aca="false">'Raw Data'!B1335</f>
        <v>24</v>
      </c>
      <c r="C1335" s="7" t="str">
        <f aca="false">'Raw Data'!C1335</f>
        <v>Female</v>
      </c>
      <c r="D1335" s="7" t="str">
        <f aca="false">'Raw Data'!D1335</f>
        <v>Former</v>
      </c>
      <c r="E1335" s="7" t="str">
        <f aca="false">'Raw Data'!J1335</f>
        <v>Low</v>
      </c>
      <c r="F1335" s="7" t="n">
        <f aca="false">'Raw Data'!K1335</f>
        <v>286.4</v>
      </c>
      <c r="G1335" s="7" t="str">
        <f aca="false">'Raw Data'!L1335</f>
        <v>Yes</v>
      </c>
      <c r="H1335" s="7" t="str">
        <f aca="false">'Raw Data'!M1335</f>
        <v>Low</v>
      </c>
      <c r="I1335" s="7" t="n">
        <f aca="false">(IF(D1335="Current",3,IF(D1335="Former",1,0)))+(IF(E1335="High",3,IF(E1335="Normal",1,0)))+(IF(F1335&gt;=240,2,IF(F1335&gt;=200,1,0)))+(IF(G1335="Yes",2,0))+(IF(H1335="High",2,IF(H1335="Moderate",1,0)))</f>
        <v>5</v>
      </c>
      <c r="J1335" s="7" t="str">
        <f aca="false">IF(I1335&gt;=8,"High",IF(I1335&gt;=4,"Medium","Low"))</f>
        <v>Medium</v>
      </c>
    </row>
    <row r="1336" customFormat="false" ht="15" hidden="false" customHeight="true" outlineLevel="0" collapsed="false">
      <c r="A1336" s="7" t="n">
        <f aca="false">'Raw Data'!A1336</f>
        <v>1083</v>
      </c>
      <c r="B1336" s="7" t="n">
        <f aca="false">'Raw Data'!B1336</f>
        <v>62</v>
      </c>
      <c r="C1336" s="7" t="str">
        <f aca="false">'Raw Data'!C1336</f>
        <v>Male</v>
      </c>
      <c r="D1336" s="7" t="str">
        <f aca="false">'Raw Data'!D1336</f>
        <v>Former</v>
      </c>
      <c r="E1336" s="7" t="str">
        <f aca="false">'Raw Data'!J1336</f>
        <v>Low</v>
      </c>
      <c r="F1336" s="7" t="n">
        <f aca="false">'Raw Data'!K1336</f>
        <v>293.1</v>
      </c>
      <c r="G1336" s="7" t="str">
        <f aca="false">'Raw Data'!L1336</f>
        <v>No</v>
      </c>
      <c r="H1336" s="7" t="str">
        <f aca="false">'Raw Data'!M1336</f>
        <v>Moderate</v>
      </c>
      <c r="I1336" s="7" t="n">
        <f aca="false">(IF(D1336="Current",3,IF(D1336="Former",1,0)))+(IF(E1336="High",3,IF(E1336="Normal",1,0)))+(IF(F1336&gt;=240,2,IF(F1336&gt;=200,1,0)))+(IF(G1336="Yes",2,0))+(IF(H1336="High",2,IF(H1336="Moderate",1,0)))</f>
        <v>4</v>
      </c>
      <c r="J1336" s="7" t="str">
        <f aca="false">IF(I1336&gt;=8,"High",IF(I1336&gt;=4,"Medium","Low"))</f>
        <v>Medium</v>
      </c>
    </row>
    <row r="1337" customFormat="false" ht="15" hidden="false" customHeight="true" outlineLevel="0" collapsed="false">
      <c r="A1337" s="7" t="n">
        <f aca="false">'Raw Data'!A1337</f>
        <v>1118</v>
      </c>
      <c r="B1337" s="7" t="n">
        <f aca="false">'Raw Data'!B1337</f>
        <v>28</v>
      </c>
      <c r="C1337" s="7" t="str">
        <f aca="false">'Raw Data'!C1337</f>
        <v>Female</v>
      </c>
      <c r="D1337" s="7" t="str">
        <f aca="false">'Raw Data'!D1337</f>
        <v>Former</v>
      </c>
      <c r="E1337" s="7" t="str">
        <f aca="false">'Raw Data'!J1337</f>
        <v>Low</v>
      </c>
      <c r="F1337" s="7" t="n">
        <f aca="false">'Raw Data'!K1337</f>
        <v>234.1</v>
      </c>
      <c r="G1337" s="7" t="str">
        <f aca="false">'Raw Data'!L1337</f>
        <v>No</v>
      </c>
      <c r="H1337" s="7" t="str">
        <f aca="false">'Raw Data'!M1337</f>
        <v>Low</v>
      </c>
      <c r="I1337" s="7" t="n">
        <f aca="false">(IF(D1337="Current",3,IF(D1337="Former",1,0)))+(IF(E1337="High",3,IF(E1337="Normal",1,0)))+(IF(F1337&gt;=240,2,IF(F1337&gt;=200,1,0)))+(IF(G1337="Yes",2,0))+(IF(H1337="High",2,IF(H1337="Moderate",1,0)))</f>
        <v>2</v>
      </c>
      <c r="J1337" s="7" t="str">
        <f aca="false">IF(I1337&gt;=8,"High",IF(I1337&gt;=4,"Medium","Low"))</f>
        <v>Low</v>
      </c>
    </row>
    <row r="1338" customFormat="false" ht="15" hidden="false" customHeight="true" outlineLevel="0" collapsed="false">
      <c r="A1338" s="7" t="n">
        <f aca="false">'Raw Data'!A1338</f>
        <v>1128</v>
      </c>
      <c r="B1338" s="7" t="n">
        <f aca="false">'Raw Data'!B1338</f>
        <v>79</v>
      </c>
      <c r="C1338" s="7" t="str">
        <f aca="false">'Raw Data'!C1338</f>
        <v>Female</v>
      </c>
      <c r="D1338" s="7" t="str">
        <f aca="false">'Raw Data'!D1338</f>
        <v>Former</v>
      </c>
      <c r="E1338" s="7" t="str">
        <f aca="false">'Raw Data'!J1338</f>
        <v>Low</v>
      </c>
      <c r="F1338" s="7" t="n">
        <f aca="false">'Raw Data'!K1338</f>
        <v>278.3</v>
      </c>
      <c r="G1338" s="7" t="str">
        <f aca="false">'Raw Data'!L1338</f>
        <v>Yes</v>
      </c>
      <c r="H1338" s="7" t="str">
        <f aca="false">'Raw Data'!M1338</f>
        <v>High</v>
      </c>
      <c r="I1338" s="7" t="n">
        <f aca="false">(IF(D1338="Current",3,IF(D1338="Former",1,0)))+(IF(E1338="High",3,IF(E1338="Normal",1,0)))+(IF(F1338&gt;=240,2,IF(F1338&gt;=200,1,0)))+(IF(G1338="Yes",2,0))+(IF(H1338="High",2,IF(H1338="Moderate",1,0)))</f>
        <v>7</v>
      </c>
      <c r="J1338" s="7" t="str">
        <f aca="false">IF(I1338&gt;=8,"High",IF(I1338&gt;=4,"Medium","Low"))</f>
        <v>Medium</v>
      </c>
    </row>
    <row r="1339" customFormat="false" ht="15" hidden="false" customHeight="true" outlineLevel="0" collapsed="false">
      <c r="A1339" s="7" t="n">
        <f aca="false">'Raw Data'!A1339</f>
        <v>1130</v>
      </c>
      <c r="B1339" s="7" t="n">
        <f aca="false">'Raw Data'!B1339</f>
        <v>58</v>
      </c>
      <c r="C1339" s="7" t="str">
        <f aca="false">'Raw Data'!C1339</f>
        <v>Female</v>
      </c>
      <c r="D1339" s="7" t="str">
        <f aca="false">'Raw Data'!D1339</f>
        <v>Former</v>
      </c>
      <c r="E1339" s="7" t="str">
        <f aca="false">'Raw Data'!J1339</f>
        <v>Low</v>
      </c>
      <c r="F1339" s="7" t="n">
        <f aca="false">'Raw Data'!K1339</f>
        <v>250.4</v>
      </c>
      <c r="G1339" s="7" t="str">
        <f aca="false">'Raw Data'!L1339</f>
        <v>No</v>
      </c>
      <c r="H1339" s="7" t="str">
        <f aca="false">'Raw Data'!M1339</f>
        <v>Low</v>
      </c>
      <c r="I1339" s="7" t="n">
        <f aca="false">(IF(D1339="Current",3,IF(D1339="Former",1,0)))+(IF(E1339="High",3,IF(E1339="Normal",1,0)))+(IF(F1339&gt;=240,2,IF(F1339&gt;=200,1,0)))+(IF(G1339="Yes",2,0))+(IF(H1339="High",2,IF(H1339="Moderate",1,0)))</f>
        <v>3</v>
      </c>
      <c r="J1339" s="7" t="str">
        <f aca="false">IF(I1339&gt;=8,"High",IF(I1339&gt;=4,"Medium","Low"))</f>
        <v>Low</v>
      </c>
    </row>
    <row r="1340" customFormat="false" ht="15" hidden="false" customHeight="true" outlineLevel="0" collapsed="false">
      <c r="A1340" s="7" t="n">
        <f aca="false">'Raw Data'!A1340</f>
        <v>1163</v>
      </c>
      <c r="B1340" s="7" t="n">
        <f aca="false">'Raw Data'!B1340</f>
        <v>33</v>
      </c>
      <c r="C1340" s="7" t="str">
        <f aca="false">'Raw Data'!C1340</f>
        <v>Female</v>
      </c>
      <c r="D1340" s="7" t="str">
        <f aca="false">'Raw Data'!D1340</f>
        <v>Former</v>
      </c>
      <c r="E1340" s="7" t="str">
        <f aca="false">'Raw Data'!J1340</f>
        <v>Low</v>
      </c>
      <c r="F1340" s="7" t="n">
        <f aca="false">'Raw Data'!K1340</f>
        <v>245.9</v>
      </c>
      <c r="G1340" s="7" t="str">
        <f aca="false">'Raw Data'!L1340</f>
        <v>Yes</v>
      </c>
      <c r="H1340" s="7" t="str">
        <f aca="false">'Raw Data'!M1340</f>
        <v>High</v>
      </c>
      <c r="I1340" s="7" t="n">
        <f aca="false">(IF(D1340="Current",3,IF(D1340="Former",1,0)))+(IF(E1340="High",3,IF(E1340="Normal",1,0)))+(IF(F1340&gt;=240,2,IF(F1340&gt;=200,1,0)))+(IF(G1340="Yes",2,0))+(IF(H1340="High",2,IF(H1340="Moderate",1,0)))</f>
        <v>7</v>
      </c>
      <c r="J1340" s="7" t="str">
        <f aca="false">IF(I1340&gt;=8,"High",IF(I1340&gt;=4,"Medium","Low"))</f>
        <v>Medium</v>
      </c>
    </row>
    <row r="1341" customFormat="false" ht="15" hidden="false" customHeight="true" outlineLevel="0" collapsed="false">
      <c r="A1341" s="7" t="n">
        <f aca="false">'Raw Data'!A1341</f>
        <v>1167</v>
      </c>
      <c r="B1341" s="7" t="n">
        <f aca="false">'Raw Data'!B1341</f>
        <v>18</v>
      </c>
      <c r="C1341" s="7" t="str">
        <f aca="false">'Raw Data'!C1341</f>
        <v>Male</v>
      </c>
      <c r="D1341" s="7" t="str">
        <f aca="false">'Raw Data'!D1341</f>
        <v>Former</v>
      </c>
      <c r="E1341" s="7" t="str">
        <f aca="false">'Raw Data'!J1341</f>
        <v>Low</v>
      </c>
      <c r="F1341" s="7" t="n">
        <f aca="false">'Raw Data'!K1341</f>
        <v>140.9</v>
      </c>
      <c r="G1341" s="7" t="str">
        <f aca="false">'Raw Data'!L1341</f>
        <v>No</v>
      </c>
      <c r="H1341" s="7" t="str">
        <f aca="false">'Raw Data'!M1341</f>
        <v>Low</v>
      </c>
      <c r="I1341" s="7" t="n">
        <f aca="false">(IF(D1341="Current",3,IF(D1341="Former",1,0)))+(IF(E1341="High",3,IF(E1341="Normal",1,0)))+(IF(F1341&gt;=240,2,IF(F1341&gt;=200,1,0)))+(IF(G1341="Yes",2,0))+(IF(H1341="High",2,IF(H1341="Moderate",1,0)))</f>
        <v>1</v>
      </c>
      <c r="J1341" s="7" t="str">
        <f aca="false">IF(I1341&gt;=8,"High",IF(I1341&gt;=4,"Medium","Low"))</f>
        <v>Low</v>
      </c>
    </row>
    <row r="1342" customFormat="false" ht="15" hidden="false" customHeight="true" outlineLevel="0" collapsed="false">
      <c r="A1342" s="7" t="n">
        <f aca="false">'Raw Data'!A1342</f>
        <v>1172</v>
      </c>
      <c r="B1342" s="7" t="n">
        <f aca="false">'Raw Data'!B1342</f>
        <v>43</v>
      </c>
      <c r="C1342" s="7" t="str">
        <f aca="false">'Raw Data'!C1342</f>
        <v>Female</v>
      </c>
      <c r="D1342" s="7" t="str">
        <f aca="false">'Raw Data'!D1342</f>
        <v>Former</v>
      </c>
      <c r="E1342" s="7" t="str">
        <f aca="false">'Raw Data'!J1342</f>
        <v>Low</v>
      </c>
      <c r="F1342" s="7" t="n">
        <f aca="false">'Raw Data'!K1342</f>
        <v>295.3</v>
      </c>
      <c r="G1342" s="7" t="str">
        <f aca="false">'Raw Data'!L1342</f>
        <v>Yes</v>
      </c>
      <c r="H1342" s="7" t="str">
        <f aca="false">'Raw Data'!M1342</f>
        <v>Moderate</v>
      </c>
      <c r="I1342" s="7" t="n">
        <f aca="false">(IF(D1342="Current",3,IF(D1342="Former",1,0)))+(IF(E1342="High",3,IF(E1342="Normal",1,0)))+(IF(F1342&gt;=240,2,IF(F1342&gt;=200,1,0)))+(IF(G1342="Yes",2,0))+(IF(H1342="High",2,IF(H1342="Moderate",1,0)))</f>
        <v>6</v>
      </c>
      <c r="J1342" s="7" t="str">
        <f aca="false">IF(I1342&gt;=8,"High",IF(I1342&gt;=4,"Medium","Low"))</f>
        <v>Medium</v>
      </c>
    </row>
    <row r="1343" customFormat="false" ht="15" hidden="false" customHeight="true" outlineLevel="0" collapsed="false">
      <c r="A1343" s="7" t="n">
        <f aca="false">'Raw Data'!A1343</f>
        <v>1205</v>
      </c>
      <c r="B1343" s="7" t="n">
        <f aca="false">'Raw Data'!B1343</f>
        <v>63</v>
      </c>
      <c r="C1343" s="7" t="str">
        <f aca="false">'Raw Data'!C1343</f>
        <v>Male</v>
      </c>
      <c r="D1343" s="7" t="str">
        <f aca="false">'Raw Data'!D1343</f>
        <v>Former</v>
      </c>
      <c r="E1343" s="7" t="str">
        <f aca="false">'Raw Data'!J1343</f>
        <v>Low</v>
      </c>
      <c r="F1343" s="7" t="n">
        <f aca="false">'Raw Data'!K1343</f>
        <v>223.5</v>
      </c>
      <c r="G1343" s="7" t="str">
        <f aca="false">'Raw Data'!L1343</f>
        <v>Yes</v>
      </c>
      <c r="H1343" s="7" t="str">
        <f aca="false">'Raw Data'!M1343</f>
        <v>Low</v>
      </c>
      <c r="I1343" s="7" t="n">
        <f aca="false">(IF(D1343="Current",3,IF(D1343="Former",1,0)))+(IF(E1343="High",3,IF(E1343="Normal",1,0)))+(IF(F1343&gt;=240,2,IF(F1343&gt;=200,1,0)))+(IF(G1343="Yes",2,0))+(IF(H1343="High",2,IF(H1343="Moderate",1,0)))</f>
        <v>4</v>
      </c>
      <c r="J1343" s="7" t="str">
        <f aca="false">IF(I1343&gt;=8,"High",IF(I1343&gt;=4,"Medium","Low"))</f>
        <v>Medium</v>
      </c>
    </row>
    <row r="1344" customFormat="false" ht="15" hidden="false" customHeight="true" outlineLevel="0" collapsed="false">
      <c r="A1344" s="7" t="n">
        <f aca="false">'Raw Data'!A1344</f>
        <v>1208</v>
      </c>
      <c r="B1344" s="7" t="n">
        <f aca="false">'Raw Data'!B1344</f>
        <v>67</v>
      </c>
      <c r="C1344" s="7" t="str">
        <f aca="false">'Raw Data'!C1344</f>
        <v>Female</v>
      </c>
      <c r="D1344" s="7" t="str">
        <f aca="false">'Raw Data'!D1344</f>
        <v>Former</v>
      </c>
      <c r="E1344" s="7" t="str">
        <f aca="false">'Raw Data'!J1344</f>
        <v>Low</v>
      </c>
      <c r="F1344" s="7" t="n">
        <f aca="false">'Raw Data'!K1344</f>
        <v>199.3</v>
      </c>
      <c r="G1344" s="7" t="str">
        <f aca="false">'Raw Data'!L1344</f>
        <v>Yes</v>
      </c>
      <c r="H1344" s="7" t="str">
        <f aca="false">'Raw Data'!M1344</f>
        <v>Moderate</v>
      </c>
      <c r="I1344" s="7" t="n">
        <f aca="false">(IF(D1344="Current",3,IF(D1344="Former",1,0)))+(IF(E1344="High",3,IF(E1344="Normal",1,0)))+(IF(F1344&gt;=240,2,IF(F1344&gt;=200,1,0)))+(IF(G1344="Yes",2,0))+(IF(H1344="High",2,IF(H1344="Moderate",1,0)))</f>
        <v>4</v>
      </c>
      <c r="J1344" s="7" t="str">
        <f aca="false">IF(I1344&gt;=8,"High",IF(I1344&gt;=4,"Medium","Low"))</f>
        <v>Medium</v>
      </c>
    </row>
    <row r="1345" customFormat="false" ht="15" hidden="false" customHeight="true" outlineLevel="0" collapsed="false">
      <c r="A1345" s="7" t="n">
        <f aca="false">'Raw Data'!A1345</f>
        <v>1230</v>
      </c>
      <c r="B1345" s="7" t="n">
        <f aca="false">'Raw Data'!B1345</f>
        <v>44</v>
      </c>
      <c r="C1345" s="7" t="str">
        <f aca="false">'Raw Data'!C1345</f>
        <v>Female</v>
      </c>
      <c r="D1345" s="7" t="str">
        <f aca="false">'Raw Data'!D1345</f>
        <v>Former</v>
      </c>
      <c r="E1345" s="7" t="str">
        <f aca="false">'Raw Data'!J1345</f>
        <v>Low</v>
      </c>
      <c r="F1345" s="7" t="n">
        <f aca="false">'Raw Data'!K1345</f>
        <v>267.6</v>
      </c>
      <c r="G1345" s="7" t="str">
        <f aca="false">'Raw Data'!L1345</f>
        <v>No</v>
      </c>
      <c r="H1345" s="7" t="str">
        <f aca="false">'Raw Data'!M1345</f>
        <v>High</v>
      </c>
      <c r="I1345" s="7" t="n">
        <f aca="false">(IF(D1345="Current",3,IF(D1345="Former",1,0)))+(IF(E1345="High",3,IF(E1345="Normal",1,0)))+(IF(F1345&gt;=240,2,IF(F1345&gt;=200,1,0)))+(IF(G1345="Yes",2,0))+(IF(H1345="High",2,IF(H1345="Moderate",1,0)))</f>
        <v>5</v>
      </c>
      <c r="J1345" s="7" t="str">
        <f aca="false">IF(I1345&gt;=8,"High",IF(I1345&gt;=4,"Medium","Low"))</f>
        <v>Medium</v>
      </c>
    </row>
    <row r="1346" customFormat="false" ht="15" hidden="false" customHeight="true" outlineLevel="0" collapsed="false">
      <c r="A1346" s="7" t="n">
        <f aca="false">'Raw Data'!A1346</f>
        <v>1234</v>
      </c>
      <c r="B1346" s="7" t="n">
        <f aca="false">'Raw Data'!B1346</f>
        <v>82</v>
      </c>
      <c r="C1346" s="7" t="str">
        <f aca="false">'Raw Data'!C1346</f>
        <v>Male</v>
      </c>
      <c r="D1346" s="7" t="str">
        <f aca="false">'Raw Data'!D1346</f>
        <v>Former</v>
      </c>
      <c r="E1346" s="7" t="str">
        <f aca="false">'Raw Data'!J1346</f>
        <v>Low</v>
      </c>
      <c r="F1346" s="7" t="n">
        <f aca="false">'Raw Data'!K1346</f>
        <v>121</v>
      </c>
      <c r="G1346" s="7" t="str">
        <f aca="false">'Raw Data'!L1346</f>
        <v>Yes</v>
      </c>
      <c r="H1346" s="7" t="str">
        <f aca="false">'Raw Data'!M1346</f>
        <v>High</v>
      </c>
      <c r="I1346" s="7" t="n">
        <f aca="false">(IF(D1346="Current",3,IF(D1346="Former",1,0)))+(IF(E1346="High",3,IF(E1346="Normal",1,0)))+(IF(F1346&gt;=240,2,IF(F1346&gt;=200,1,0)))+(IF(G1346="Yes",2,0))+(IF(H1346="High",2,IF(H1346="Moderate",1,0)))</f>
        <v>5</v>
      </c>
      <c r="J1346" s="7" t="str">
        <f aca="false">IF(I1346&gt;=8,"High",IF(I1346&gt;=4,"Medium","Low"))</f>
        <v>Medium</v>
      </c>
    </row>
    <row r="1347" customFormat="false" ht="15" hidden="false" customHeight="true" outlineLevel="0" collapsed="false">
      <c r="A1347" s="7" t="n">
        <f aca="false">'Raw Data'!A1347</f>
        <v>1261</v>
      </c>
      <c r="B1347" s="7" t="n">
        <f aca="false">'Raw Data'!B1347</f>
        <v>37</v>
      </c>
      <c r="C1347" s="7" t="str">
        <f aca="false">'Raw Data'!C1347</f>
        <v>Female</v>
      </c>
      <c r="D1347" s="7" t="str">
        <f aca="false">'Raw Data'!D1347</f>
        <v>Former</v>
      </c>
      <c r="E1347" s="7" t="str">
        <f aca="false">'Raw Data'!J1347</f>
        <v>Low</v>
      </c>
      <c r="F1347" s="7" t="n">
        <f aca="false">'Raw Data'!K1347</f>
        <v>252.9</v>
      </c>
      <c r="G1347" s="7" t="str">
        <f aca="false">'Raw Data'!L1347</f>
        <v>No</v>
      </c>
      <c r="H1347" s="7" t="str">
        <f aca="false">'Raw Data'!M1347</f>
        <v>High</v>
      </c>
      <c r="I1347" s="7" t="n">
        <f aca="false">(IF(D1347="Current",3,IF(D1347="Former",1,0)))+(IF(E1347="High",3,IF(E1347="Normal",1,0)))+(IF(F1347&gt;=240,2,IF(F1347&gt;=200,1,0)))+(IF(G1347="Yes",2,0))+(IF(H1347="High",2,IF(H1347="Moderate",1,0)))</f>
        <v>5</v>
      </c>
      <c r="J1347" s="7" t="str">
        <f aca="false">IF(I1347&gt;=8,"High",IF(I1347&gt;=4,"Medium","Low"))</f>
        <v>Medium</v>
      </c>
    </row>
    <row r="1348" customFormat="false" ht="15" hidden="false" customHeight="true" outlineLevel="0" collapsed="false">
      <c r="A1348" s="7" t="n">
        <f aca="false">'Raw Data'!A1348</f>
        <v>1267</v>
      </c>
      <c r="B1348" s="7" t="n">
        <f aca="false">'Raw Data'!B1348</f>
        <v>60</v>
      </c>
      <c r="C1348" s="7" t="str">
        <f aca="false">'Raw Data'!C1348</f>
        <v>Male</v>
      </c>
      <c r="D1348" s="7" t="str">
        <f aca="false">'Raw Data'!D1348</f>
        <v>Former</v>
      </c>
      <c r="E1348" s="7" t="str">
        <f aca="false">'Raw Data'!J1348</f>
        <v>Low</v>
      </c>
      <c r="F1348" s="7" t="n">
        <f aca="false">'Raw Data'!K1348</f>
        <v>137</v>
      </c>
      <c r="G1348" s="7" t="str">
        <f aca="false">'Raw Data'!L1348</f>
        <v>No</v>
      </c>
      <c r="H1348" s="7" t="str">
        <f aca="false">'Raw Data'!M1348</f>
        <v>Low</v>
      </c>
      <c r="I1348" s="7" t="n">
        <f aca="false">(IF(D1348="Current",3,IF(D1348="Former",1,0)))+(IF(E1348="High",3,IF(E1348="Normal",1,0)))+(IF(F1348&gt;=240,2,IF(F1348&gt;=200,1,0)))+(IF(G1348="Yes",2,0))+(IF(H1348="High",2,IF(H1348="Moderate",1,0)))</f>
        <v>1</v>
      </c>
      <c r="J1348" s="7" t="str">
        <f aca="false">IF(I1348&gt;=8,"High",IF(I1348&gt;=4,"Medium","Low"))</f>
        <v>Low</v>
      </c>
    </row>
    <row r="1349" customFormat="false" ht="15" hidden="false" customHeight="true" outlineLevel="0" collapsed="false">
      <c r="A1349" s="7" t="n">
        <f aca="false">'Raw Data'!A1349</f>
        <v>1289</v>
      </c>
      <c r="B1349" s="7" t="n">
        <f aca="false">'Raw Data'!B1349</f>
        <v>34</v>
      </c>
      <c r="C1349" s="7" t="str">
        <f aca="false">'Raw Data'!C1349</f>
        <v>Female</v>
      </c>
      <c r="D1349" s="7" t="str">
        <f aca="false">'Raw Data'!D1349</f>
        <v>Former</v>
      </c>
      <c r="E1349" s="7" t="str">
        <f aca="false">'Raw Data'!J1349</f>
        <v>Low</v>
      </c>
      <c r="F1349" s="7" t="n">
        <f aca="false">'Raw Data'!K1349</f>
        <v>138</v>
      </c>
      <c r="G1349" s="7" t="str">
        <f aca="false">'Raw Data'!L1349</f>
        <v>No</v>
      </c>
      <c r="H1349" s="7" t="str">
        <f aca="false">'Raw Data'!M1349</f>
        <v>Low</v>
      </c>
      <c r="I1349" s="7" t="n">
        <f aca="false">(IF(D1349="Current",3,IF(D1349="Former",1,0)))+(IF(E1349="High",3,IF(E1349="Normal",1,0)))+(IF(F1349&gt;=240,2,IF(F1349&gt;=200,1,0)))+(IF(G1349="Yes",2,0))+(IF(H1349="High",2,IF(H1349="Moderate",1,0)))</f>
        <v>1</v>
      </c>
      <c r="J1349" s="7" t="str">
        <f aca="false">IF(I1349&gt;=8,"High",IF(I1349&gt;=4,"Medium","Low"))</f>
        <v>Low</v>
      </c>
    </row>
    <row r="1350" customFormat="false" ht="15" hidden="false" customHeight="true" outlineLevel="0" collapsed="false">
      <c r="A1350" s="7" t="n">
        <f aca="false">'Raw Data'!A1350</f>
        <v>1317</v>
      </c>
      <c r="B1350" s="7" t="n">
        <f aca="false">'Raw Data'!B1350</f>
        <v>73</v>
      </c>
      <c r="C1350" s="7" t="str">
        <f aca="false">'Raw Data'!C1350</f>
        <v>Female</v>
      </c>
      <c r="D1350" s="7" t="str">
        <f aca="false">'Raw Data'!D1350</f>
        <v>Former</v>
      </c>
      <c r="E1350" s="7" t="str">
        <f aca="false">'Raw Data'!J1350</f>
        <v>Low</v>
      </c>
      <c r="F1350" s="7" t="n">
        <f aca="false">'Raw Data'!K1350</f>
        <v>191.2</v>
      </c>
      <c r="G1350" s="7" t="str">
        <f aca="false">'Raw Data'!L1350</f>
        <v>Yes</v>
      </c>
      <c r="H1350" s="7" t="str">
        <f aca="false">'Raw Data'!M1350</f>
        <v>Moderate</v>
      </c>
      <c r="I1350" s="7" t="n">
        <f aca="false">(IF(D1350="Current",3,IF(D1350="Former",1,0)))+(IF(E1350="High",3,IF(E1350="Normal",1,0)))+(IF(F1350&gt;=240,2,IF(F1350&gt;=200,1,0)))+(IF(G1350="Yes",2,0))+(IF(H1350="High",2,IF(H1350="Moderate",1,0)))</f>
        <v>4</v>
      </c>
      <c r="J1350" s="7" t="str">
        <f aca="false">IF(I1350&gt;=8,"High",IF(I1350&gt;=4,"Medium","Low"))</f>
        <v>Medium</v>
      </c>
    </row>
    <row r="1351" customFormat="false" ht="15" hidden="false" customHeight="true" outlineLevel="0" collapsed="false">
      <c r="A1351" s="7" t="n">
        <f aca="false">'Raw Data'!A1351</f>
        <v>1352</v>
      </c>
      <c r="B1351" s="7" t="n">
        <f aca="false">'Raw Data'!B1351</f>
        <v>44</v>
      </c>
      <c r="C1351" s="7" t="str">
        <f aca="false">'Raw Data'!C1351</f>
        <v>Female</v>
      </c>
      <c r="D1351" s="7" t="str">
        <f aca="false">'Raw Data'!D1351</f>
        <v>Former</v>
      </c>
      <c r="E1351" s="7" t="str">
        <f aca="false">'Raw Data'!J1351</f>
        <v>Low</v>
      </c>
      <c r="F1351" s="7" t="n">
        <f aca="false">'Raw Data'!K1351</f>
        <v>149.1</v>
      </c>
      <c r="G1351" s="7" t="str">
        <f aca="false">'Raw Data'!L1351</f>
        <v>Yes</v>
      </c>
      <c r="H1351" s="7" t="str">
        <f aca="false">'Raw Data'!M1351</f>
        <v>Moderate</v>
      </c>
      <c r="I1351" s="7" t="n">
        <f aca="false">(IF(D1351="Current",3,IF(D1351="Former",1,0)))+(IF(E1351="High",3,IF(E1351="Normal",1,0)))+(IF(F1351&gt;=240,2,IF(F1351&gt;=200,1,0)))+(IF(G1351="Yes",2,0))+(IF(H1351="High",2,IF(H1351="Moderate",1,0)))</f>
        <v>4</v>
      </c>
      <c r="J1351" s="7" t="str">
        <f aca="false">IF(I1351&gt;=8,"High",IF(I1351&gt;=4,"Medium","Low"))</f>
        <v>Medium</v>
      </c>
    </row>
    <row r="1352" customFormat="false" ht="15" hidden="false" customHeight="true" outlineLevel="0" collapsed="false">
      <c r="A1352" s="7" t="n">
        <f aca="false">'Raw Data'!A1352</f>
        <v>1359</v>
      </c>
      <c r="B1352" s="7" t="n">
        <f aca="false">'Raw Data'!B1352</f>
        <v>57</v>
      </c>
      <c r="C1352" s="7" t="str">
        <f aca="false">'Raw Data'!C1352</f>
        <v>Male</v>
      </c>
      <c r="D1352" s="7" t="str">
        <f aca="false">'Raw Data'!D1352</f>
        <v>Former</v>
      </c>
      <c r="E1352" s="7" t="str">
        <f aca="false">'Raw Data'!J1352</f>
        <v>Low</v>
      </c>
      <c r="F1352" s="7" t="n">
        <f aca="false">'Raw Data'!K1352</f>
        <v>144</v>
      </c>
      <c r="G1352" s="7" t="str">
        <f aca="false">'Raw Data'!L1352</f>
        <v>Yes</v>
      </c>
      <c r="H1352" s="7" t="str">
        <f aca="false">'Raw Data'!M1352</f>
        <v>Moderate</v>
      </c>
      <c r="I1352" s="7" t="n">
        <f aca="false">(IF(D1352="Current",3,IF(D1352="Former",1,0)))+(IF(E1352="High",3,IF(E1352="Normal",1,0)))+(IF(F1352&gt;=240,2,IF(F1352&gt;=200,1,0)))+(IF(G1352="Yes",2,0))+(IF(H1352="High",2,IF(H1352="Moderate",1,0)))</f>
        <v>4</v>
      </c>
      <c r="J1352" s="7" t="str">
        <f aca="false">IF(I1352&gt;=8,"High",IF(I1352&gt;=4,"Medium","Low"))</f>
        <v>Medium</v>
      </c>
    </row>
    <row r="1353" customFormat="false" ht="15" hidden="false" customHeight="true" outlineLevel="0" collapsed="false">
      <c r="A1353" s="7" t="n">
        <f aca="false">'Raw Data'!A1353</f>
        <v>1390</v>
      </c>
      <c r="B1353" s="7" t="n">
        <f aca="false">'Raw Data'!B1353</f>
        <v>71</v>
      </c>
      <c r="C1353" s="7" t="str">
        <f aca="false">'Raw Data'!C1353</f>
        <v>Female</v>
      </c>
      <c r="D1353" s="7" t="str">
        <f aca="false">'Raw Data'!D1353</f>
        <v>Former</v>
      </c>
      <c r="E1353" s="7" t="str">
        <f aca="false">'Raw Data'!J1353</f>
        <v>Low</v>
      </c>
      <c r="F1353" s="7" t="n">
        <f aca="false">'Raw Data'!K1353</f>
        <v>199.2</v>
      </c>
      <c r="G1353" s="7" t="str">
        <f aca="false">'Raw Data'!L1353</f>
        <v>Yes</v>
      </c>
      <c r="H1353" s="7" t="str">
        <f aca="false">'Raw Data'!M1353</f>
        <v>Moderate</v>
      </c>
      <c r="I1353" s="7" t="n">
        <f aca="false">(IF(D1353="Current",3,IF(D1353="Former",1,0)))+(IF(E1353="High",3,IF(E1353="Normal",1,0)))+(IF(F1353&gt;=240,2,IF(F1353&gt;=200,1,0)))+(IF(G1353="Yes",2,0))+(IF(H1353="High",2,IF(H1353="Moderate",1,0)))</f>
        <v>4</v>
      </c>
      <c r="J1353" s="7" t="str">
        <f aca="false">IF(I1353&gt;=8,"High",IF(I1353&gt;=4,"Medium","Low"))</f>
        <v>Medium</v>
      </c>
    </row>
    <row r="1354" customFormat="false" ht="15" hidden="false" customHeight="true" outlineLevel="0" collapsed="false">
      <c r="A1354" s="7" t="n">
        <f aca="false">'Raw Data'!A1354</f>
        <v>1404</v>
      </c>
      <c r="B1354" s="7" t="n">
        <f aca="false">'Raw Data'!B1354</f>
        <v>84</v>
      </c>
      <c r="C1354" s="7" t="str">
        <f aca="false">'Raw Data'!C1354</f>
        <v>Female</v>
      </c>
      <c r="D1354" s="7" t="str">
        <f aca="false">'Raw Data'!D1354</f>
        <v>Former</v>
      </c>
      <c r="E1354" s="7" t="str">
        <f aca="false">'Raw Data'!J1354</f>
        <v>Low</v>
      </c>
      <c r="F1354" s="7" t="n">
        <f aca="false">'Raw Data'!K1354</f>
        <v>154.3</v>
      </c>
      <c r="G1354" s="7" t="str">
        <f aca="false">'Raw Data'!L1354</f>
        <v>No</v>
      </c>
      <c r="H1354" s="7" t="str">
        <f aca="false">'Raw Data'!M1354</f>
        <v>Low</v>
      </c>
      <c r="I1354" s="7" t="n">
        <f aca="false">(IF(D1354="Current",3,IF(D1354="Former",1,0)))+(IF(E1354="High",3,IF(E1354="Normal",1,0)))+(IF(F1354&gt;=240,2,IF(F1354&gt;=200,1,0)))+(IF(G1354="Yes",2,0))+(IF(H1354="High",2,IF(H1354="Moderate",1,0)))</f>
        <v>1</v>
      </c>
      <c r="J1354" s="7" t="str">
        <f aca="false">IF(I1354&gt;=8,"High",IF(I1354&gt;=4,"Medium","Low"))</f>
        <v>Low</v>
      </c>
    </row>
    <row r="1355" customFormat="false" ht="15" hidden="false" customHeight="true" outlineLevel="0" collapsed="false">
      <c r="A1355" s="7" t="n">
        <f aca="false">'Raw Data'!A1355</f>
        <v>1405</v>
      </c>
      <c r="B1355" s="7" t="n">
        <f aca="false">'Raw Data'!B1355</f>
        <v>63</v>
      </c>
      <c r="C1355" s="7" t="str">
        <f aca="false">'Raw Data'!C1355</f>
        <v>Female</v>
      </c>
      <c r="D1355" s="7" t="str">
        <f aca="false">'Raw Data'!D1355</f>
        <v>Former</v>
      </c>
      <c r="E1355" s="7" t="str">
        <f aca="false">'Raw Data'!J1355</f>
        <v>Low</v>
      </c>
      <c r="F1355" s="7" t="n">
        <f aca="false">'Raw Data'!K1355</f>
        <v>232.8</v>
      </c>
      <c r="G1355" s="7" t="str">
        <f aca="false">'Raw Data'!L1355</f>
        <v>Yes</v>
      </c>
      <c r="H1355" s="7" t="str">
        <f aca="false">'Raw Data'!M1355</f>
        <v>Low</v>
      </c>
      <c r="I1355" s="7" t="n">
        <f aca="false">(IF(D1355="Current",3,IF(D1355="Former",1,0)))+(IF(E1355="High",3,IF(E1355="Normal",1,0)))+(IF(F1355&gt;=240,2,IF(F1355&gt;=200,1,0)))+(IF(G1355="Yes",2,0))+(IF(H1355="High",2,IF(H1355="Moderate",1,0)))</f>
        <v>4</v>
      </c>
      <c r="J1355" s="7" t="str">
        <f aca="false">IF(I1355&gt;=8,"High",IF(I1355&gt;=4,"Medium","Low"))</f>
        <v>Medium</v>
      </c>
    </row>
    <row r="1356" customFormat="false" ht="15" hidden="false" customHeight="true" outlineLevel="0" collapsed="false">
      <c r="A1356" s="7" t="n">
        <f aca="false">'Raw Data'!A1356</f>
        <v>1424</v>
      </c>
      <c r="B1356" s="7" t="n">
        <f aca="false">'Raw Data'!B1356</f>
        <v>51</v>
      </c>
      <c r="C1356" s="7" t="str">
        <f aca="false">'Raw Data'!C1356</f>
        <v>Female</v>
      </c>
      <c r="D1356" s="7" t="str">
        <f aca="false">'Raw Data'!D1356</f>
        <v>Former</v>
      </c>
      <c r="E1356" s="7" t="str">
        <f aca="false">'Raw Data'!J1356</f>
        <v>Low</v>
      </c>
      <c r="F1356" s="7" t="n">
        <f aca="false">'Raw Data'!K1356</f>
        <v>246.9</v>
      </c>
      <c r="G1356" s="7" t="str">
        <f aca="false">'Raw Data'!L1356</f>
        <v>Yes</v>
      </c>
      <c r="H1356" s="7" t="str">
        <f aca="false">'Raw Data'!M1356</f>
        <v>High</v>
      </c>
      <c r="I1356" s="7" t="n">
        <f aca="false">(IF(D1356="Current",3,IF(D1356="Former",1,0)))+(IF(E1356="High",3,IF(E1356="Normal",1,0)))+(IF(F1356&gt;=240,2,IF(F1356&gt;=200,1,0)))+(IF(G1356="Yes",2,0))+(IF(H1356="High",2,IF(H1356="Moderate",1,0)))</f>
        <v>7</v>
      </c>
      <c r="J1356" s="7" t="str">
        <f aca="false">IF(I1356&gt;=8,"High",IF(I1356&gt;=4,"Medium","Low"))</f>
        <v>Medium</v>
      </c>
    </row>
    <row r="1357" customFormat="false" ht="15" hidden="false" customHeight="true" outlineLevel="0" collapsed="false">
      <c r="A1357" s="7" t="n">
        <f aca="false">'Raw Data'!A1357</f>
        <v>1434</v>
      </c>
      <c r="B1357" s="7" t="n">
        <f aca="false">'Raw Data'!B1357</f>
        <v>34</v>
      </c>
      <c r="C1357" s="7" t="str">
        <f aca="false">'Raw Data'!C1357</f>
        <v>Female</v>
      </c>
      <c r="D1357" s="7" t="str">
        <f aca="false">'Raw Data'!D1357</f>
        <v>Former</v>
      </c>
      <c r="E1357" s="7" t="str">
        <f aca="false">'Raw Data'!J1357</f>
        <v>Low</v>
      </c>
      <c r="F1357" s="7" t="n">
        <f aca="false">'Raw Data'!K1357</f>
        <v>144.9</v>
      </c>
      <c r="G1357" s="7" t="str">
        <f aca="false">'Raw Data'!L1357</f>
        <v>Yes</v>
      </c>
      <c r="H1357" s="7" t="str">
        <f aca="false">'Raw Data'!M1357</f>
        <v>Low</v>
      </c>
      <c r="I1357" s="7" t="n">
        <f aca="false">(IF(D1357="Current",3,IF(D1357="Former",1,0)))+(IF(E1357="High",3,IF(E1357="Normal",1,0)))+(IF(F1357&gt;=240,2,IF(F1357&gt;=200,1,0)))+(IF(G1357="Yes",2,0))+(IF(H1357="High",2,IF(H1357="Moderate",1,0)))</f>
        <v>3</v>
      </c>
      <c r="J1357" s="7" t="str">
        <f aca="false">IF(I1357&gt;=8,"High",IF(I1357&gt;=4,"Medium","Low"))</f>
        <v>Low</v>
      </c>
    </row>
    <row r="1358" customFormat="false" ht="15" hidden="false" customHeight="true" outlineLevel="0" collapsed="false">
      <c r="A1358" s="7" t="n">
        <f aca="false">'Raw Data'!A1358</f>
        <v>1461</v>
      </c>
      <c r="B1358" s="7" t="n">
        <f aca="false">'Raw Data'!B1358</f>
        <v>76</v>
      </c>
      <c r="C1358" s="7" t="str">
        <f aca="false">'Raw Data'!C1358</f>
        <v>Male</v>
      </c>
      <c r="D1358" s="7" t="str">
        <f aca="false">'Raw Data'!D1358</f>
        <v>Former</v>
      </c>
      <c r="E1358" s="7" t="str">
        <f aca="false">'Raw Data'!J1358</f>
        <v>Low</v>
      </c>
      <c r="F1358" s="7" t="n">
        <f aca="false">'Raw Data'!K1358</f>
        <v>165.6</v>
      </c>
      <c r="G1358" s="7" t="str">
        <f aca="false">'Raw Data'!L1358</f>
        <v>Yes</v>
      </c>
      <c r="H1358" s="7" t="str">
        <f aca="false">'Raw Data'!M1358</f>
        <v>Low</v>
      </c>
      <c r="I1358" s="7" t="n">
        <f aca="false">(IF(D1358="Current",3,IF(D1358="Former",1,0)))+(IF(E1358="High",3,IF(E1358="Normal",1,0)))+(IF(F1358&gt;=240,2,IF(F1358&gt;=200,1,0)))+(IF(G1358="Yes",2,0))+(IF(H1358="High",2,IF(H1358="Moderate",1,0)))</f>
        <v>3</v>
      </c>
      <c r="J1358" s="7" t="str">
        <f aca="false">IF(I1358&gt;=8,"High",IF(I1358&gt;=4,"Medium","Low"))</f>
        <v>Low</v>
      </c>
    </row>
    <row r="1359" customFormat="false" ht="15" hidden="false" customHeight="true" outlineLevel="0" collapsed="false">
      <c r="A1359" s="7" t="n">
        <f aca="false">'Raw Data'!A1359</f>
        <v>1482</v>
      </c>
      <c r="B1359" s="7" t="n">
        <f aca="false">'Raw Data'!B1359</f>
        <v>54</v>
      </c>
      <c r="C1359" s="7" t="str">
        <f aca="false">'Raw Data'!C1359</f>
        <v>Female</v>
      </c>
      <c r="D1359" s="7" t="str">
        <f aca="false">'Raw Data'!D1359</f>
        <v>Former</v>
      </c>
      <c r="E1359" s="7" t="str">
        <f aca="false">'Raw Data'!J1359</f>
        <v>Low</v>
      </c>
      <c r="F1359" s="7" t="n">
        <f aca="false">'Raw Data'!K1359</f>
        <v>142.9</v>
      </c>
      <c r="G1359" s="7" t="str">
        <f aca="false">'Raw Data'!L1359</f>
        <v>Yes</v>
      </c>
      <c r="H1359" s="7" t="str">
        <f aca="false">'Raw Data'!M1359</f>
        <v>High</v>
      </c>
      <c r="I1359" s="7" t="n">
        <f aca="false">(IF(D1359="Current",3,IF(D1359="Former",1,0)))+(IF(E1359="High",3,IF(E1359="Normal",1,0)))+(IF(F1359&gt;=240,2,IF(F1359&gt;=200,1,0)))+(IF(G1359="Yes",2,0))+(IF(H1359="High",2,IF(H1359="Moderate",1,0)))</f>
        <v>5</v>
      </c>
      <c r="J1359" s="7" t="str">
        <f aca="false">IF(I1359&gt;=8,"High",IF(I1359&gt;=4,"Medium","Low"))</f>
        <v>Medium</v>
      </c>
    </row>
    <row r="1360" customFormat="false" ht="15" hidden="false" customHeight="true" outlineLevel="0" collapsed="false">
      <c r="A1360" s="7" t="n">
        <f aca="false">'Raw Data'!A1360</f>
        <v>1514</v>
      </c>
      <c r="B1360" s="7" t="n">
        <f aca="false">'Raw Data'!B1360</f>
        <v>50</v>
      </c>
      <c r="C1360" s="7" t="str">
        <f aca="false">'Raw Data'!C1360</f>
        <v>Female</v>
      </c>
      <c r="D1360" s="7" t="str">
        <f aca="false">'Raw Data'!D1360</f>
        <v>Former</v>
      </c>
      <c r="E1360" s="7" t="str">
        <f aca="false">'Raw Data'!J1360</f>
        <v>Low</v>
      </c>
      <c r="F1360" s="7" t="n">
        <f aca="false">'Raw Data'!K1360</f>
        <v>258.7</v>
      </c>
      <c r="G1360" s="7" t="str">
        <f aca="false">'Raw Data'!L1360</f>
        <v>Yes</v>
      </c>
      <c r="H1360" s="7" t="str">
        <f aca="false">'Raw Data'!M1360</f>
        <v>Low</v>
      </c>
      <c r="I1360" s="7" t="n">
        <f aca="false">(IF(D1360="Current",3,IF(D1360="Former",1,0)))+(IF(E1360="High",3,IF(E1360="Normal",1,0)))+(IF(F1360&gt;=240,2,IF(F1360&gt;=200,1,0)))+(IF(G1360="Yes",2,0))+(IF(H1360="High",2,IF(H1360="Moderate",1,0)))</f>
        <v>5</v>
      </c>
      <c r="J1360" s="7" t="str">
        <f aca="false">IF(I1360&gt;=8,"High",IF(I1360&gt;=4,"Medium","Low"))</f>
        <v>Medium</v>
      </c>
    </row>
    <row r="1361" customFormat="false" ht="15" hidden="false" customHeight="true" outlineLevel="0" collapsed="false">
      <c r="A1361" s="7" t="n">
        <f aca="false">'Raw Data'!A1361</f>
        <v>1545</v>
      </c>
      <c r="B1361" s="7" t="n">
        <f aca="false">'Raw Data'!B1361</f>
        <v>89</v>
      </c>
      <c r="C1361" s="7" t="str">
        <f aca="false">'Raw Data'!C1361</f>
        <v>Male</v>
      </c>
      <c r="D1361" s="7" t="str">
        <f aca="false">'Raw Data'!D1361</f>
        <v>Former</v>
      </c>
      <c r="E1361" s="7" t="str">
        <f aca="false">'Raw Data'!J1361</f>
        <v>Low</v>
      </c>
      <c r="F1361" s="7" t="n">
        <f aca="false">'Raw Data'!K1361</f>
        <v>275.2</v>
      </c>
      <c r="G1361" s="7" t="str">
        <f aca="false">'Raw Data'!L1361</f>
        <v>Yes</v>
      </c>
      <c r="H1361" s="7" t="str">
        <f aca="false">'Raw Data'!M1361</f>
        <v>Moderate</v>
      </c>
      <c r="I1361" s="7" t="n">
        <f aca="false">(IF(D1361="Current",3,IF(D1361="Former",1,0)))+(IF(E1361="High",3,IF(E1361="Normal",1,0)))+(IF(F1361&gt;=240,2,IF(F1361&gt;=200,1,0)))+(IF(G1361="Yes",2,0))+(IF(H1361="High",2,IF(H1361="Moderate",1,0)))</f>
        <v>6</v>
      </c>
      <c r="J1361" s="7" t="str">
        <f aca="false">IF(I1361&gt;=8,"High",IF(I1361&gt;=4,"Medium","Low"))</f>
        <v>Medium</v>
      </c>
    </row>
    <row r="1362" customFormat="false" ht="15" hidden="false" customHeight="true" outlineLevel="0" collapsed="false">
      <c r="A1362" s="7" t="n">
        <f aca="false">'Raw Data'!A1362</f>
        <v>1569</v>
      </c>
      <c r="B1362" s="7" t="n">
        <f aca="false">'Raw Data'!B1362</f>
        <v>56</v>
      </c>
      <c r="C1362" s="7" t="str">
        <f aca="false">'Raw Data'!C1362</f>
        <v>Male</v>
      </c>
      <c r="D1362" s="7" t="str">
        <f aca="false">'Raw Data'!D1362</f>
        <v>Former</v>
      </c>
      <c r="E1362" s="7" t="str">
        <f aca="false">'Raw Data'!J1362</f>
        <v>Low</v>
      </c>
      <c r="F1362" s="7" t="n">
        <f aca="false">'Raw Data'!K1362</f>
        <v>156.2</v>
      </c>
      <c r="G1362" s="7" t="str">
        <f aca="false">'Raw Data'!L1362</f>
        <v>No</v>
      </c>
      <c r="H1362" s="7" t="str">
        <f aca="false">'Raw Data'!M1362</f>
        <v>Low</v>
      </c>
      <c r="I1362" s="7" t="n">
        <f aca="false">(IF(D1362="Current",3,IF(D1362="Former",1,0)))+(IF(E1362="High",3,IF(E1362="Normal",1,0)))+(IF(F1362&gt;=240,2,IF(F1362&gt;=200,1,0)))+(IF(G1362="Yes",2,0))+(IF(H1362="High",2,IF(H1362="Moderate",1,0)))</f>
        <v>1</v>
      </c>
      <c r="J1362" s="7" t="str">
        <f aca="false">IF(I1362&gt;=8,"High",IF(I1362&gt;=4,"Medium","Low"))</f>
        <v>Low</v>
      </c>
    </row>
    <row r="1363" customFormat="false" ht="15" hidden="false" customHeight="true" outlineLevel="0" collapsed="false">
      <c r="A1363" s="7" t="n">
        <f aca="false">'Raw Data'!A1363</f>
        <v>1571</v>
      </c>
      <c r="B1363" s="7" t="n">
        <f aca="false">'Raw Data'!B1363</f>
        <v>35</v>
      </c>
      <c r="C1363" s="7" t="str">
        <f aca="false">'Raw Data'!C1363</f>
        <v>Male</v>
      </c>
      <c r="D1363" s="7" t="str">
        <f aca="false">'Raw Data'!D1363</f>
        <v>Former</v>
      </c>
      <c r="E1363" s="7" t="str">
        <f aca="false">'Raw Data'!J1363</f>
        <v>Low</v>
      </c>
      <c r="F1363" s="7" t="n">
        <f aca="false">'Raw Data'!K1363</f>
        <v>289</v>
      </c>
      <c r="G1363" s="7" t="str">
        <f aca="false">'Raw Data'!L1363</f>
        <v>No</v>
      </c>
      <c r="H1363" s="7" t="str">
        <f aca="false">'Raw Data'!M1363</f>
        <v>High</v>
      </c>
      <c r="I1363" s="7" t="n">
        <f aca="false">(IF(D1363="Current",3,IF(D1363="Former",1,0)))+(IF(E1363="High",3,IF(E1363="Normal",1,0)))+(IF(F1363&gt;=240,2,IF(F1363&gt;=200,1,0)))+(IF(G1363="Yes",2,0))+(IF(H1363="High",2,IF(H1363="Moderate",1,0)))</f>
        <v>5</v>
      </c>
      <c r="J1363" s="7" t="str">
        <f aca="false">IF(I1363&gt;=8,"High",IF(I1363&gt;=4,"Medium","Low"))</f>
        <v>Medium</v>
      </c>
    </row>
    <row r="1364" customFormat="false" ht="15" hidden="false" customHeight="true" outlineLevel="0" collapsed="false">
      <c r="A1364" s="7" t="n">
        <f aca="false">'Raw Data'!A1364</f>
        <v>1573</v>
      </c>
      <c r="B1364" s="7" t="n">
        <f aca="false">'Raw Data'!B1364</f>
        <v>37</v>
      </c>
      <c r="C1364" s="7" t="str">
        <f aca="false">'Raw Data'!C1364</f>
        <v>Female</v>
      </c>
      <c r="D1364" s="7" t="str">
        <f aca="false">'Raw Data'!D1364</f>
        <v>Former</v>
      </c>
      <c r="E1364" s="7" t="str">
        <f aca="false">'Raw Data'!J1364</f>
        <v>Low</v>
      </c>
      <c r="F1364" s="7" t="n">
        <f aca="false">'Raw Data'!K1364</f>
        <v>258.2</v>
      </c>
      <c r="G1364" s="7" t="str">
        <f aca="false">'Raw Data'!L1364</f>
        <v>Yes</v>
      </c>
      <c r="H1364" s="7" t="str">
        <f aca="false">'Raw Data'!M1364</f>
        <v>High</v>
      </c>
      <c r="I1364" s="7" t="n">
        <f aca="false">(IF(D1364="Current",3,IF(D1364="Former",1,0)))+(IF(E1364="High",3,IF(E1364="Normal",1,0)))+(IF(F1364&gt;=240,2,IF(F1364&gt;=200,1,0)))+(IF(G1364="Yes",2,0))+(IF(H1364="High",2,IF(H1364="Moderate",1,0)))</f>
        <v>7</v>
      </c>
      <c r="J1364" s="7" t="str">
        <f aca="false">IF(I1364&gt;=8,"High",IF(I1364&gt;=4,"Medium","Low"))</f>
        <v>Medium</v>
      </c>
    </row>
    <row r="1365" customFormat="false" ht="15" hidden="false" customHeight="true" outlineLevel="0" collapsed="false">
      <c r="A1365" s="7" t="n">
        <f aca="false">'Raw Data'!A1365</f>
        <v>1657</v>
      </c>
      <c r="B1365" s="7" t="n">
        <f aca="false">'Raw Data'!B1365</f>
        <v>22</v>
      </c>
      <c r="C1365" s="7" t="str">
        <f aca="false">'Raw Data'!C1365</f>
        <v>Female</v>
      </c>
      <c r="D1365" s="7" t="str">
        <f aca="false">'Raw Data'!D1365</f>
        <v>Former</v>
      </c>
      <c r="E1365" s="7" t="str">
        <f aca="false">'Raw Data'!J1365</f>
        <v>Low</v>
      </c>
      <c r="F1365" s="7" t="n">
        <f aca="false">'Raw Data'!K1365</f>
        <v>244.9</v>
      </c>
      <c r="G1365" s="7" t="str">
        <f aca="false">'Raw Data'!L1365</f>
        <v>No</v>
      </c>
      <c r="H1365" s="7" t="str">
        <f aca="false">'Raw Data'!M1365</f>
        <v>Moderate</v>
      </c>
      <c r="I1365" s="7" t="n">
        <f aca="false">(IF(D1365="Current",3,IF(D1365="Former",1,0)))+(IF(E1365="High",3,IF(E1365="Normal",1,0)))+(IF(F1365&gt;=240,2,IF(F1365&gt;=200,1,0)))+(IF(G1365="Yes",2,0))+(IF(H1365="High",2,IF(H1365="Moderate",1,0)))</f>
        <v>4</v>
      </c>
      <c r="J1365" s="7" t="str">
        <f aca="false">IF(I1365&gt;=8,"High",IF(I1365&gt;=4,"Medium","Low"))</f>
        <v>Medium</v>
      </c>
    </row>
    <row r="1366" customFormat="false" ht="15" hidden="false" customHeight="true" outlineLevel="0" collapsed="false">
      <c r="A1366" s="7" t="n">
        <f aca="false">'Raw Data'!A1366</f>
        <v>1672</v>
      </c>
      <c r="B1366" s="7" t="n">
        <f aca="false">'Raw Data'!B1366</f>
        <v>81</v>
      </c>
      <c r="C1366" s="7" t="str">
        <f aca="false">'Raw Data'!C1366</f>
        <v>Male</v>
      </c>
      <c r="D1366" s="7" t="str">
        <f aca="false">'Raw Data'!D1366</f>
        <v>Former</v>
      </c>
      <c r="E1366" s="7" t="str">
        <f aca="false">'Raw Data'!J1366</f>
        <v>Low</v>
      </c>
      <c r="F1366" s="7" t="n">
        <f aca="false">'Raw Data'!K1366</f>
        <v>223.8</v>
      </c>
      <c r="G1366" s="7" t="str">
        <f aca="false">'Raw Data'!L1366</f>
        <v>No</v>
      </c>
      <c r="H1366" s="7" t="str">
        <f aca="false">'Raw Data'!M1366</f>
        <v>Low</v>
      </c>
      <c r="I1366" s="7" t="n">
        <f aca="false">(IF(D1366="Current",3,IF(D1366="Former",1,0)))+(IF(E1366="High",3,IF(E1366="Normal",1,0)))+(IF(F1366&gt;=240,2,IF(F1366&gt;=200,1,0)))+(IF(G1366="Yes",2,0))+(IF(H1366="High",2,IF(H1366="Moderate",1,0)))</f>
        <v>2</v>
      </c>
      <c r="J1366" s="7" t="str">
        <f aca="false">IF(I1366&gt;=8,"High",IF(I1366&gt;=4,"Medium","Low"))</f>
        <v>Low</v>
      </c>
    </row>
    <row r="1367" customFormat="false" ht="15" hidden="false" customHeight="true" outlineLevel="0" collapsed="false">
      <c r="A1367" s="7" t="n">
        <f aca="false">'Raw Data'!A1367</f>
        <v>1747</v>
      </c>
      <c r="B1367" s="7" t="n">
        <f aca="false">'Raw Data'!B1367</f>
        <v>81</v>
      </c>
      <c r="C1367" s="7" t="str">
        <f aca="false">'Raw Data'!C1367</f>
        <v>Female</v>
      </c>
      <c r="D1367" s="7" t="str">
        <f aca="false">'Raw Data'!D1367</f>
        <v>Former</v>
      </c>
      <c r="E1367" s="7" t="str">
        <f aca="false">'Raw Data'!J1367</f>
        <v>Low</v>
      </c>
      <c r="F1367" s="7" t="n">
        <f aca="false">'Raw Data'!K1367</f>
        <v>121.2</v>
      </c>
      <c r="G1367" s="7" t="str">
        <f aca="false">'Raw Data'!L1367</f>
        <v>No</v>
      </c>
      <c r="H1367" s="7" t="str">
        <f aca="false">'Raw Data'!M1367</f>
        <v>Low</v>
      </c>
      <c r="I1367" s="7" t="n">
        <f aca="false">(IF(D1367="Current",3,IF(D1367="Former",1,0)))+(IF(E1367="High",3,IF(E1367="Normal",1,0)))+(IF(F1367&gt;=240,2,IF(F1367&gt;=200,1,0)))+(IF(G1367="Yes",2,0))+(IF(H1367="High",2,IF(H1367="Moderate",1,0)))</f>
        <v>1</v>
      </c>
      <c r="J1367" s="7" t="str">
        <f aca="false">IF(I1367&gt;=8,"High",IF(I1367&gt;=4,"Medium","Low"))</f>
        <v>Low</v>
      </c>
    </row>
    <row r="1368" customFormat="false" ht="15" hidden="false" customHeight="true" outlineLevel="0" collapsed="false">
      <c r="A1368" s="7" t="n">
        <f aca="false">'Raw Data'!A1368</f>
        <v>1807</v>
      </c>
      <c r="B1368" s="7" t="n">
        <f aca="false">'Raw Data'!B1368</f>
        <v>53</v>
      </c>
      <c r="C1368" s="7" t="str">
        <f aca="false">'Raw Data'!C1368</f>
        <v>Female</v>
      </c>
      <c r="D1368" s="7" t="str">
        <f aca="false">'Raw Data'!D1368</f>
        <v>Former</v>
      </c>
      <c r="E1368" s="7" t="str">
        <f aca="false">'Raw Data'!J1368</f>
        <v>Low</v>
      </c>
      <c r="F1368" s="7" t="n">
        <f aca="false">'Raw Data'!K1368</f>
        <v>206.9</v>
      </c>
      <c r="G1368" s="7" t="str">
        <f aca="false">'Raw Data'!L1368</f>
        <v>No</v>
      </c>
      <c r="H1368" s="7" t="str">
        <f aca="false">'Raw Data'!M1368</f>
        <v>Low</v>
      </c>
      <c r="I1368" s="7" t="n">
        <f aca="false">(IF(D1368="Current",3,IF(D1368="Former",1,0)))+(IF(E1368="High",3,IF(E1368="Normal",1,0)))+(IF(F1368&gt;=240,2,IF(F1368&gt;=200,1,0)))+(IF(G1368="Yes",2,0))+(IF(H1368="High",2,IF(H1368="Moderate",1,0)))</f>
        <v>2</v>
      </c>
      <c r="J1368" s="7" t="str">
        <f aca="false">IF(I1368&gt;=8,"High",IF(I1368&gt;=4,"Medium","Low"))</f>
        <v>Low</v>
      </c>
    </row>
    <row r="1369" customFormat="false" ht="15" hidden="false" customHeight="true" outlineLevel="0" collapsed="false">
      <c r="A1369" s="7" t="n">
        <f aca="false">'Raw Data'!A1369</f>
        <v>1821</v>
      </c>
      <c r="B1369" s="7" t="n">
        <f aca="false">'Raw Data'!B1369</f>
        <v>33</v>
      </c>
      <c r="C1369" s="7" t="str">
        <f aca="false">'Raw Data'!C1369</f>
        <v>Male</v>
      </c>
      <c r="D1369" s="7" t="str">
        <f aca="false">'Raw Data'!D1369</f>
        <v>Former</v>
      </c>
      <c r="E1369" s="7" t="str">
        <f aca="false">'Raw Data'!J1369</f>
        <v>Low</v>
      </c>
      <c r="F1369" s="7" t="n">
        <f aca="false">'Raw Data'!K1369</f>
        <v>126.8</v>
      </c>
      <c r="G1369" s="7" t="str">
        <f aca="false">'Raw Data'!L1369</f>
        <v>Yes</v>
      </c>
      <c r="H1369" s="7" t="str">
        <f aca="false">'Raw Data'!M1369</f>
        <v>Low</v>
      </c>
      <c r="I1369" s="7" t="n">
        <f aca="false">(IF(D1369="Current",3,IF(D1369="Former",1,0)))+(IF(E1369="High",3,IF(E1369="Normal",1,0)))+(IF(F1369&gt;=240,2,IF(F1369&gt;=200,1,0)))+(IF(G1369="Yes",2,0))+(IF(H1369="High",2,IF(H1369="Moderate",1,0)))</f>
        <v>3</v>
      </c>
      <c r="J1369" s="7" t="str">
        <f aca="false">IF(I1369&gt;=8,"High",IF(I1369&gt;=4,"Medium","Low"))</f>
        <v>Low</v>
      </c>
    </row>
    <row r="1370" customFormat="false" ht="15" hidden="false" customHeight="true" outlineLevel="0" collapsed="false">
      <c r="A1370" s="7" t="n">
        <f aca="false">'Raw Data'!A1370</f>
        <v>1827</v>
      </c>
      <c r="B1370" s="7" t="n">
        <f aca="false">'Raw Data'!B1370</f>
        <v>20</v>
      </c>
      <c r="C1370" s="7" t="str">
        <f aca="false">'Raw Data'!C1370</f>
        <v>Female</v>
      </c>
      <c r="D1370" s="7" t="str">
        <f aca="false">'Raw Data'!D1370</f>
        <v>Former</v>
      </c>
      <c r="E1370" s="7" t="str">
        <f aca="false">'Raw Data'!J1370</f>
        <v>Low</v>
      </c>
      <c r="F1370" s="7" t="n">
        <f aca="false">'Raw Data'!K1370</f>
        <v>176.7</v>
      </c>
      <c r="G1370" s="7" t="str">
        <f aca="false">'Raw Data'!L1370</f>
        <v>No</v>
      </c>
      <c r="H1370" s="7" t="str">
        <f aca="false">'Raw Data'!M1370</f>
        <v>Low</v>
      </c>
      <c r="I1370" s="7" t="n">
        <f aca="false">(IF(D1370="Current",3,IF(D1370="Former",1,0)))+(IF(E1370="High",3,IF(E1370="Normal",1,0)))+(IF(F1370&gt;=240,2,IF(F1370&gt;=200,1,0)))+(IF(G1370="Yes",2,0))+(IF(H1370="High",2,IF(H1370="Moderate",1,0)))</f>
        <v>1</v>
      </c>
      <c r="J1370" s="7" t="str">
        <f aca="false">IF(I1370&gt;=8,"High",IF(I1370&gt;=4,"Medium","Low"))</f>
        <v>Low</v>
      </c>
    </row>
    <row r="1371" customFormat="false" ht="15" hidden="false" customHeight="true" outlineLevel="0" collapsed="false">
      <c r="A1371" s="7" t="n">
        <f aca="false">'Raw Data'!A1371</f>
        <v>1890</v>
      </c>
      <c r="B1371" s="7" t="n">
        <f aca="false">'Raw Data'!B1371</f>
        <v>63</v>
      </c>
      <c r="C1371" s="7" t="str">
        <f aca="false">'Raw Data'!C1371</f>
        <v>Male</v>
      </c>
      <c r="D1371" s="7" t="str">
        <f aca="false">'Raw Data'!D1371</f>
        <v>Former</v>
      </c>
      <c r="E1371" s="7" t="str">
        <f aca="false">'Raw Data'!J1371</f>
        <v>Low</v>
      </c>
      <c r="F1371" s="7" t="n">
        <f aca="false">'Raw Data'!K1371</f>
        <v>165.7</v>
      </c>
      <c r="G1371" s="7" t="str">
        <f aca="false">'Raw Data'!L1371</f>
        <v>Yes</v>
      </c>
      <c r="H1371" s="7" t="str">
        <f aca="false">'Raw Data'!M1371</f>
        <v>Low</v>
      </c>
      <c r="I1371" s="7" t="n">
        <f aca="false">(IF(D1371="Current",3,IF(D1371="Former",1,0)))+(IF(E1371="High",3,IF(E1371="Normal",1,0)))+(IF(F1371&gt;=240,2,IF(F1371&gt;=200,1,0)))+(IF(G1371="Yes",2,0))+(IF(H1371="High",2,IF(H1371="Moderate",1,0)))</f>
        <v>3</v>
      </c>
      <c r="J1371" s="7" t="str">
        <f aca="false">IF(I1371&gt;=8,"High",IF(I1371&gt;=4,"Medium","Low"))</f>
        <v>Low</v>
      </c>
    </row>
    <row r="1372" customFormat="false" ht="15" hidden="false" customHeight="true" outlineLevel="0" collapsed="false">
      <c r="A1372" s="7" t="n">
        <f aca="false">'Raw Data'!A1372</f>
        <v>1893</v>
      </c>
      <c r="B1372" s="7" t="n">
        <f aca="false">'Raw Data'!B1372</f>
        <v>28</v>
      </c>
      <c r="C1372" s="7" t="str">
        <f aca="false">'Raw Data'!C1372</f>
        <v>Female</v>
      </c>
      <c r="D1372" s="7" t="str">
        <f aca="false">'Raw Data'!D1372</f>
        <v>Former</v>
      </c>
      <c r="E1372" s="7" t="str">
        <f aca="false">'Raw Data'!J1372</f>
        <v>Low</v>
      </c>
      <c r="F1372" s="7" t="n">
        <f aca="false">'Raw Data'!K1372</f>
        <v>198.5</v>
      </c>
      <c r="G1372" s="7" t="str">
        <f aca="false">'Raw Data'!L1372</f>
        <v>Yes</v>
      </c>
      <c r="H1372" s="7" t="str">
        <f aca="false">'Raw Data'!M1372</f>
        <v>Low</v>
      </c>
      <c r="I1372" s="7" t="n">
        <f aca="false">(IF(D1372="Current",3,IF(D1372="Former",1,0)))+(IF(E1372="High",3,IF(E1372="Normal",1,0)))+(IF(F1372&gt;=240,2,IF(F1372&gt;=200,1,0)))+(IF(G1372="Yes",2,0))+(IF(H1372="High",2,IF(H1372="Moderate",1,0)))</f>
        <v>3</v>
      </c>
      <c r="J1372" s="7" t="str">
        <f aca="false">IF(I1372&gt;=8,"High",IF(I1372&gt;=4,"Medium","Low"))</f>
        <v>Low</v>
      </c>
    </row>
    <row r="1373" customFormat="false" ht="15" hidden="false" customHeight="true" outlineLevel="0" collapsed="false">
      <c r="A1373" s="7" t="n">
        <f aca="false">'Raw Data'!A1373</f>
        <v>1933</v>
      </c>
      <c r="B1373" s="7" t="n">
        <f aca="false">'Raw Data'!B1373</f>
        <v>84</v>
      </c>
      <c r="C1373" s="7" t="str">
        <f aca="false">'Raw Data'!C1373</f>
        <v>Male</v>
      </c>
      <c r="D1373" s="7" t="str">
        <f aca="false">'Raw Data'!D1373</f>
        <v>Former</v>
      </c>
      <c r="E1373" s="7" t="str">
        <f aca="false">'Raw Data'!J1373</f>
        <v>Low</v>
      </c>
      <c r="F1373" s="7" t="n">
        <f aca="false">'Raw Data'!K1373</f>
        <v>218.3</v>
      </c>
      <c r="G1373" s="7" t="str">
        <f aca="false">'Raw Data'!L1373</f>
        <v>Yes</v>
      </c>
      <c r="H1373" s="7" t="str">
        <f aca="false">'Raw Data'!M1373</f>
        <v>Low</v>
      </c>
      <c r="I1373" s="7" t="n">
        <f aca="false">(IF(D1373="Current",3,IF(D1373="Former",1,0)))+(IF(E1373="High",3,IF(E1373="Normal",1,0)))+(IF(F1373&gt;=240,2,IF(F1373&gt;=200,1,0)))+(IF(G1373="Yes",2,0))+(IF(H1373="High",2,IF(H1373="Moderate",1,0)))</f>
        <v>4</v>
      </c>
      <c r="J1373" s="7" t="str">
        <f aca="false">IF(I1373&gt;=8,"High",IF(I1373&gt;=4,"Medium","Low"))</f>
        <v>Medium</v>
      </c>
    </row>
    <row r="1374" customFormat="false" ht="15" hidden="false" customHeight="true" outlineLevel="0" collapsed="false">
      <c r="A1374" s="7" t="n">
        <f aca="false">'Raw Data'!A1374</f>
        <v>1955</v>
      </c>
      <c r="B1374" s="7" t="n">
        <f aca="false">'Raw Data'!B1374</f>
        <v>27</v>
      </c>
      <c r="C1374" s="7" t="str">
        <f aca="false">'Raw Data'!C1374</f>
        <v>Female</v>
      </c>
      <c r="D1374" s="7" t="str">
        <f aca="false">'Raw Data'!D1374</f>
        <v>Former</v>
      </c>
      <c r="E1374" s="7" t="str">
        <f aca="false">'Raw Data'!J1374</f>
        <v>Low</v>
      </c>
      <c r="F1374" s="7" t="n">
        <f aca="false">'Raw Data'!K1374</f>
        <v>299.8</v>
      </c>
      <c r="G1374" s="7" t="str">
        <f aca="false">'Raw Data'!L1374</f>
        <v>Yes</v>
      </c>
      <c r="H1374" s="7" t="str">
        <f aca="false">'Raw Data'!M1374</f>
        <v>Moderate</v>
      </c>
      <c r="I1374" s="7" t="n">
        <f aca="false">(IF(D1374="Current",3,IF(D1374="Former",1,0)))+(IF(E1374="High",3,IF(E1374="Normal",1,0)))+(IF(F1374&gt;=240,2,IF(F1374&gt;=200,1,0)))+(IF(G1374="Yes",2,0))+(IF(H1374="High",2,IF(H1374="Moderate",1,0)))</f>
        <v>6</v>
      </c>
      <c r="J1374" s="7" t="str">
        <f aca="false">IF(I1374&gt;=8,"High",IF(I1374&gt;=4,"Medium","Low"))</f>
        <v>Medium</v>
      </c>
    </row>
    <row r="1375" customFormat="false" ht="15" hidden="false" customHeight="true" outlineLevel="0" collapsed="false">
      <c r="A1375" s="7" t="n">
        <f aca="false">'Raw Data'!A1375</f>
        <v>1957</v>
      </c>
      <c r="B1375" s="7" t="n">
        <f aca="false">'Raw Data'!B1375</f>
        <v>83</v>
      </c>
      <c r="C1375" s="7" t="str">
        <f aca="false">'Raw Data'!C1375</f>
        <v>Male</v>
      </c>
      <c r="D1375" s="7" t="str">
        <f aca="false">'Raw Data'!D1375</f>
        <v>Former</v>
      </c>
      <c r="E1375" s="7" t="str">
        <f aca="false">'Raw Data'!J1375</f>
        <v>Low</v>
      </c>
      <c r="F1375" s="7" t="n">
        <f aca="false">'Raw Data'!K1375</f>
        <v>179.1</v>
      </c>
      <c r="G1375" s="7" t="str">
        <f aca="false">'Raw Data'!L1375</f>
        <v>No</v>
      </c>
      <c r="H1375" s="7" t="str">
        <f aca="false">'Raw Data'!M1375</f>
        <v>Low</v>
      </c>
      <c r="I1375" s="7" t="n">
        <f aca="false">(IF(D1375="Current",3,IF(D1375="Former",1,0)))+(IF(E1375="High",3,IF(E1375="Normal",1,0)))+(IF(F1375&gt;=240,2,IF(F1375&gt;=200,1,0)))+(IF(G1375="Yes",2,0))+(IF(H1375="High",2,IF(H1375="Moderate",1,0)))</f>
        <v>1</v>
      </c>
      <c r="J1375" s="7" t="str">
        <f aca="false">IF(I1375&gt;=8,"High",IF(I1375&gt;=4,"Medium","Low"))</f>
        <v>Low</v>
      </c>
    </row>
    <row r="1376" customFormat="false" ht="15" hidden="false" customHeight="true" outlineLevel="0" collapsed="false">
      <c r="A1376" s="7" t="n">
        <f aca="false">'Raw Data'!A1376</f>
        <v>1989</v>
      </c>
      <c r="B1376" s="7" t="n">
        <f aca="false">'Raw Data'!B1376</f>
        <v>34</v>
      </c>
      <c r="C1376" s="7" t="str">
        <f aca="false">'Raw Data'!C1376</f>
        <v>Female</v>
      </c>
      <c r="D1376" s="7" t="str">
        <f aca="false">'Raw Data'!D1376</f>
        <v>Former</v>
      </c>
      <c r="E1376" s="7" t="str">
        <f aca="false">'Raw Data'!J1376</f>
        <v>Low</v>
      </c>
      <c r="F1376" s="7" t="n">
        <f aca="false">'Raw Data'!K1376</f>
        <v>122.7</v>
      </c>
      <c r="G1376" s="7" t="str">
        <f aca="false">'Raw Data'!L1376</f>
        <v>No</v>
      </c>
      <c r="H1376" s="7" t="str">
        <f aca="false">'Raw Data'!M1376</f>
        <v>Low</v>
      </c>
      <c r="I1376" s="7" t="n">
        <f aca="false">(IF(D1376="Current",3,IF(D1376="Former",1,0)))+(IF(E1376="High",3,IF(E1376="Normal",1,0)))+(IF(F1376&gt;=240,2,IF(F1376&gt;=200,1,0)))+(IF(G1376="Yes",2,0))+(IF(H1376="High",2,IF(H1376="Moderate",1,0)))</f>
        <v>1</v>
      </c>
      <c r="J1376" s="7" t="str">
        <f aca="false">IF(I1376&gt;=8,"High",IF(I1376&gt;=4,"Medium","Low"))</f>
        <v>Low</v>
      </c>
    </row>
    <row r="1377" customFormat="false" ht="15" hidden="false" customHeight="true" outlineLevel="0" collapsed="false">
      <c r="A1377" s="7" t="n">
        <f aca="false">'Raw Data'!A1377</f>
        <v>2027</v>
      </c>
      <c r="B1377" s="7" t="n">
        <f aca="false">'Raw Data'!B1377</f>
        <v>23</v>
      </c>
      <c r="C1377" s="7" t="str">
        <f aca="false">'Raw Data'!C1377</f>
        <v>Male</v>
      </c>
      <c r="D1377" s="7" t="str">
        <f aca="false">'Raw Data'!D1377</f>
        <v>Former</v>
      </c>
      <c r="E1377" s="7" t="str">
        <f aca="false">'Raw Data'!J1377</f>
        <v>Low</v>
      </c>
      <c r="F1377" s="7" t="n">
        <f aca="false">'Raw Data'!K1377</f>
        <v>227.4</v>
      </c>
      <c r="G1377" s="7" t="str">
        <f aca="false">'Raw Data'!L1377</f>
        <v>No</v>
      </c>
      <c r="H1377" s="7" t="str">
        <f aca="false">'Raw Data'!M1377</f>
        <v>Low</v>
      </c>
      <c r="I1377" s="7" t="n">
        <f aca="false">(IF(D1377="Current",3,IF(D1377="Former",1,0)))+(IF(E1377="High",3,IF(E1377="Normal",1,0)))+(IF(F1377&gt;=240,2,IF(F1377&gt;=200,1,0)))+(IF(G1377="Yes",2,0))+(IF(H1377="High",2,IF(H1377="Moderate",1,0)))</f>
        <v>2</v>
      </c>
      <c r="J1377" s="7" t="str">
        <f aca="false">IF(I1377&gt;=8,"High",IF(I1377&gt;=4,"Medium","Low"))</f>
        <v>Low</v>
      </c>
    </row>
    <row r="1378" customFormat="false" ht="15" hidden="false" customHeight="true" outlineLevel="0" collapsed="false">
      <c r="A1378" s="7" t="n">
        <f aca="false">'Raw Data'!A1378</f>
        <v>2055</v>
      </c>
      <c r="B1378" s="7" t="n">
        <f aca="false">'Raw Data'!B1378</f>
        <v>18</v>
      </c>
      <c r="C1378" s="7" t="str">
        <f aca="false">'Raw Data'!C1378</f>
        <v>Male</v>
      </c>
      <c r="D1378" s="7" t="str">
        <f aca="false">'Raw Data'!D1378</f>
        <v>Former</v>
      </c>
      <c r="E1378" s="7" t="str">
        <f aca="false">'Raw Data'!J1378</f>
        <v>Low</v>
      </c>
      <c r="F1378" s="7" t="n">
        <f aca="false">'Raw Data'!K1378</f>
        <v>251</v>
      </c>
      <c r="G1378" s="7" t="str">
        <f aca="false">'Raw Data'!L1378</f>
        <v>No</v>
      </c>
      <c r="H1378" s="7" t="str">
        <f aca="false">'Raw Data'!M1378</f>
        <v>Low</v>
      </c>
      <c r="I1378" s="7" t="n">
        <f aca="false">(IF(D1378="Current",3,IF(D1378="Former",1,0)))+(IF(E1378="High",3,IF(E1378="Normal",1,0)))+(IF(F1378&gt;=240,2,IF(F1378&gt;=200,1,0)))+(IF(G1378="Yes",2,0))+(IF(H1378="High",2,IF(H1378="Moderate",1,0)))</f>
        <v>3</v>
      </c>
      <c r="J1378" s="7" t="str">
        <f aca="false">IF(I1378&gt;=8,"High",IF(I1378&gt;=4,"Medium","Low"))</f>
        <v>Low</v>
      </c>
    </row>
    <row r="1379" customFormat="false" ht="15" hidden="false" customHeight="true" outlineLevel="0" collapsed="false">
      <c r="A1379" s="7" t="n">
        <f aca="false">'Raw Data'!A1379</f>
        <v>2071</v>
      </c>
      <c r="B1379" s="7" t="n">
        <f aca="false">'Raw Data'!B1379</f>
        <v>19</v>
      </c>
      <c r="C1379" s="7" t="str">
        <f aca="false">'Raw Data'!C1379</f>
        <v>Male</v>
      </c>
      <c r="D1379" s="7" t="str">
        <f aca="false">'Raw Data'!D1379</f>
        <v>Former</v>
      </c>
      <c r="E1379" s="7" t="str">
        <f aca="false">'Raw Data'!J1379</f>
        <v>Low</v>
      </c>
      <c r="F1379" s="7" t="n">
        <f aca="false">'Raw Data'!K1379</f>
        <v>126.1</v>
      </c>
      <c r="G1379" s="7" t="str">
        <f aca="false">'Raw Data'!L1379</f>
        <v>No</v>
      </c>
      <c r="H1379" s="7" t="str">
        <f aca="false">'Raw Data'!M1379</f>
        <v>Moderate</v>
      </c>
      <c r="I1379" s="7" t="n">
        <f aca="false">(IF(D1379="Current",3,IF(D1379="Former",1,0)))+(IF(E1379="High",3,IF(E1379="Normal",1,0)))+(IF(F1379&gt;=240,2,IF(F1379&gt;=200,1,0)))+(IF(G1379="Yes",2,0))+(IF(H1379="High",2,IF(H1379="Moderate",1,0)))</f>
        <v>2</v>
      </c>
      <c r="J1379" s="7" t="str">
        <f aca="false">IF(I1379&gt;=8,"High",IF(I1379&gt;=4,"Medium","Low"))</f>
        <v>Low</v>
      </c>
    </row>
    <row r="1380" customFormat="false" ht="15" hidden="false" customHeight="true" outlineLevel="0" collapsed="false">
      <c r="A1380" s="7" t="n">
        <f aca="false">'Raw Data'!A1380</f>
        <v>2080</v>
      </c>
      <c r="B1380" s="7" t="n">
        <f aca="false">'Raw Data'!B1380</f>
        <v>42</v>
      </c>
      <c r="C1380" s="7" t="str">
        <f aca="false">'Raw Data'!C1380</f>
        <v>Female</v>
      </c>
      <c r="D1380" s="7" t="str">
        <f aca="false">'Raw Data'!D1380</f>
        <v>Former</v>
      </c>
      <c r="E1380" s="7" t="str">
        <f aca="false">'Raw Data'!J1380</f>
        <v>Low</v>
      </c>
      <c r="F1380" s="7" t="n">
        <f aca="false">'Raw Data'!K1380</f>
        <v>247.4</v>
      </c>
      <c r="G1380" s="7" t="str">
        <f aca="false">'Raw Data'!L1380</f>
        <v>No</v>
      </c>
      <c r="H1380" s="7" t="str">
        <f aca="false">'Raw Data'!M1380</f>
        <v>Low</v>
      </c>
      <c r="I1380" s="7" t="n">
        <f aca="false">(IF(D1380="Current",3,IF(D1380="Former",1,0)))+(IF(E1380="High",3,IF(E1380="Normal",1,0)))+(IF(F1380&gt;=240,2,IF(F1380&gt;=200,1,0)))+(IF(G1380="Yes",2,0))+(IF(H1380="High",2,IF(H1380="Moderate",1,0)))</f>
        <v>3</v>
      </c>
      <c r="J1380" s="7" t="str">
        <f aca="false">IF(I1380&gt;=8,"High",IF(I1380&gt;=4,"Medium","Low"))</f>
        <v>Low</v>
      </c>
    </row>
    <row r="1381" customFormat="false" ht="15" hidden="false" customHeight="true" outlineLevel="0" collapsed="false">
      <c r="A1381" s="7" t="n">
        <f aca="false">'Raw Data'!A1381</f>
        <v>2081</v>
      </c>
      <c r="B1381" s="7" t="n">
        <f aca="false">'Raw Data'!B1381</f>
        <v>65</v>
      </c>
      <c r="C1381" s="7" t="str">
        <f aca="false">'Raw Data'!C1381</f>
        <v>Male</v>
      </c>
      <c r="D1381" s="7" t="str">
        <f aca="false">'Raw Data'!D1381</f>
        <v>Former</v>
      </c>
      <c r="E1381" s="7" t="str">
        <f aca="false">'Raw Data'!J1381</f>
        <v>Low</v>
      </c>
      <c r="F1381" s="7" t="n">
        <f aca="false">'Raw Data'!K1381</f>
        <v>185.8</v>
      </c>
      <c r="G1381" s="7" t="str">
        <f aca="false">'Raw Data'!L1381</f>
        <v>Yes</v>
      </c>
      <c r="H1381" s="7" t="str">
        <f aca="false">'Raw Data'!M1381</f>
        <v>Moderate</v>
      </c>
      <c r="I1381" s="7" t="n">
        <f aca="false">(IF(D1381="Current",3,IF(D1381="Former",1,0)))+(IF(E1381="High",3,IF(E1381="Normal",1,0)))+(IF(F1381&gt;=240,2,IF(F1381&gt;=200,1,0)))+(IF(G1381="Yes",2,0))+(IF(H1381="High",2,IF(H1381="Moderate",1,0)))</f>
        <v>4</v>
      </c>
      <c r="J1381" s="7" t="str">
        <f aca="false">IF(I1381&gt;=8,"High",IF(I1381&gt;=4,"Medium","Low"))</f>
        <v>Medium</v>
      </c>
    </row>
    <row r="1382" customFormat="false" ht="15" hidden="false" customHeight="true" outlineLevel="0" collapsed="false">
      <c r="A1382" s="7" t="n">
        <f aca="false">'Raw Data'!A1382</f>
        <v>2086</v>
      </c>
      <c r="B1382" s="7" t="n">
        <f aca="false">'Raw Data'!B1382</f>
        <v>73</v>
      </c>
      <c r="C1382" s="7" t="str">
        <f aca="false">'Raw Data'!C1382</f>
        <v>Female</v>
      </c>
      <c r="D1382" s="7" t="str">
        <f aca="false">'Raw Data'!D1382</f>
        <v>Former</v>
      </c>
      <c r="E1382" s="7" t="str">
        <f aca="false">'Raw Data'!J1382</f>
        <v>Low</v>
      </c>
      <c r="F1382" s="7" t="n">
        <f aca="false">'Raw Data'!K1382</f>
        <v>205.4</v>
      </c>
      <c r="G1382" s="7" t="str">
        <f aca="false">'Raw Data'!L1382</f>
        <v>No</v>
      </c>
      <c r="H1382" s="7" t="str">
        <f aca="false">'Raw Data'!M1382</f>
        <v>Low</v>
      </c>
      <c r="I1382" s="7" t="n">
        <f aca="false">(IF(D1382="Current",3,IF(D1382="Former",1,0)))+(IF(E1382="High",3,IF(E1382="Normal",1,0)))+(IF(F1382&gt;=240,2,IF(F1382&gt;=200,1,0)))+(IF(G1382="Yes",2,0))+(IF(H1382="High",2,IF(H1382="Moderate",1,0)))</f>
        <v>2</v>
      </c>
      <c r="J1382" s="7" t="str">
        <f aca="false">IF(I1382&gt;=8,"High",IF(I1382&gt;=4,"Medium","Low"))</f>
        <v>Low</v>
      </c>
    </row>
    <row r="1383" customFormat="false" ht="15" hidden="false" customHeight="true" outlineLevel="0" collapsed="false">
      <c r="A1383" s="7" t="n">
        <f aca="false">'Raw Data'!A1383</f>
        <v>2113</v>
      </c>
      <c r="B1383" s="7" t="n">
        <f aca="false">'Raw Data'!B1383</f>
        <v>32</v>
      </c>
      <c r="C1383" s="7" t="str">
        <f aca="false">'Raw Data'!C1383</f>
        <v>Male</v>
      </c>
      <c r="D1383" s="7" t="str">
        <f aca="false">'Raw Data'!D1383</f>
        <v>Former</v>
      </c>
      <c r="E1383" s="7" t="str">
        <f aca="false">'Raw Data'!J1383</f>
        <v>Low</v>
      </c>
      <c r="F1383" s="7" t="n">
        <f aca="false">'Raw Data'!K1383</f>
        <v>261</v>
      </c>
      <c r="G1383" s="7" t="str">
        <f aca="false">'Raw Data'!L1383</f>
        <v>Yes</v>
      </c>
      <c r="H1383" s="7" t="str">
        <f aca="false">'Raw Data'!M1383</f>
        <v>Low</v>
      </c>
      <c r="I1383" s="7" t="n">
        <f aca="false">(IF(D1383="Current",3,IF(D1383="Former",1,0)))+(IF(E1383="High",3,IF(E1383="Normal",1,0)))+(IF(F1383&gt;=240,2,IF(F1383&gt;=200,1,0)))+(IF(G1383="Yes",2,0))+(IF(H1383="High",2,IF(H1383="Moderate",1,0)))</f>
        <v>5</v>
      </c>
      <c r="J1383" s="7" t="str">
        <f aca="false">IF(I1383&gt;=8,"High",IF(I1383&gt;=4,"Medium","Low"))</f>
        <v>Medium</v>
      </c>
    </row>
    <row r="1384" customFormat="false" ht="15" hidden="false" customHeight="true" outlineLevel="0" collapsed="false">
      <c r="A1384" s="7" t="n">
        <f aca="false">'Raw Data'!A1384</f>
        <v>2150</v>
      </c>
      <c r="B1384" s="7" t="n">
        <f aca="false">'Raw Data'!B1384</f>
        <v>32</v>
      </c>
      <c r="C1384" s="7" t="str">
        <f aca="false">'Raw Data'!C1384</f>
        <v>Male</v>
      </c>
      <c r="D1384" s="7" t="str">
        <f aca="false">'Raw Data'!D1384</f>
        <v>Former</v>
      </c>
      <c r="E1384" s="7" t="str">
        <f aca="false">'Raw Data'!J1384</f>
        <v>Low</v>
      </c>
      <c r="F1384" s="7" t="n">
        <f aca="false">'Raw Data'!K1384</f>
        <v>279</v>
      </c>
      <c r="G1384" s="7" t="str">
        <f aca="false">'Raw Data'!L1384</f>
        <v>Yes</v>
      </c>
      <c r="H1384" s="7" t="str">
        <f aca="false">'Raw Data'!M1384</f>
        <v>Low</v>
      </c>
      <c r="I1384" s="7" t="n">
        <f aca="false">(IF(D1384="Current",3,IF(D1384="Former",1,0)))+(IF(E1384="High",3,IF(E1384="Normal",1,0)))+(IF(F1384&gt;=240,2,IF(F1384&gt;=200,1,0)))+(IF(G1384="Yes",2,0))+(IF(H1384="High",2,IF(H1384="Moderate",1,0)))</f>
        <v>5</v>
      </c>
      <c r="J1384" s="7" t="str">
        <f aca="false">IF(I1384&gt;=8,"High",IF(I1384&gt;=4,"Medium","Low"))</f>
        <v>Medium</v>
      </c>
    </row>
    <row r="1385" customFormat="false" ht="15" hidden="false" customHeight="true" outlineLevel="0" collapsed="false">
      <c r="A1385" s="7" t="n">
        <f aca="false">'Raw Data'!A1385</f>
        <v>2174</v>
      </c>
      <c r="B1385" s="7" t="n">
        <f aca="false">'Raw Data'!B1385</f>
        <v>58</v>
      </c>
      <c r="C1385" s="7" t="str">
        <f aca="false">'Raw Data'!C1385</f>
        <v>Male</v>
      </c>
      <c r="D1385" s="7" t="str">
        <f aca="false">'Raw Data'!D1385</f>
        <v>Former</v>
      </c>
      <c r="E1385" s="7" t="str">
        <f aca="false">'Raw Data'!J1385</f>
        <v>Low</v>
      </c>
      <c r="F1385" s="7" t="n">
        <f aca="false">'Raw Data'!K1385</f>
        <v>271.1</v>
      </c>
      <c r="G1385" s="7" t="str">
        <f aca="false">'Raw Data'!L1385</f>
        <v>No</v>
      </c>
      <c r="H1385" s="7" t="str">
        <f aca="false">'Raw Data'!M1385</f>
        <v>Low</v>
      </c>
      <c r="I1385" s="7" t="n">
        <f aca="false">(IF(D1385="Current",3,IF(D1385="Former",1,0)))+(IF(E1385="High",3,IF(E1385="Normal",1,0)))+(IF(F1385&gt;=240,2,IF(F1385&gt;=200,1,0)))+(IF(G1385="Yes",2,0))+(IF(H1385="High",2,IF(H1385="Moderate",1,0)))</f>
        <v>3</v>
      </c>
      <c r="J1385" s="7" t="str">
        <f aca="false">IF(I1385&gt;=8,"High",IF(I1385&gt;=4,"Medium","Low"))</f>
        <v>Low</v>
      </c>
    </row>
    <row r="1386" customFormat="false" ht="15" hidden="false" customHeight="true" outlineLevel="0" collapsed="false">
      <c r="A1386" s="7" t="n">
        <f aca="false">'Raw Data'!A1386</f>
        <v>2179</v>
      </c>
      <c r="B1386" s="7" t="n">
        <f aca="false">'Raw Data'!B1386</f>
        <v>54</v>
      </c>
      <c r="C1386" s="7" t="str">
        <f aca="false">'Raw Data'!C1386</f>
        <v>Male</v>
      </c>
      <c r="D1386" s="7" t="str">
        <f aca="false">'Raw Data'!D1386</f>
        <v>Former</v>
      </c>
      <c r="E1386" s="7" t="str">
        <f aca="false">'Raw Data'!J1386</f>
        <v>Low</v>
      </c>
      <c r="F1386" s="7" t="n">
        <f aca="false">'Raw Data'!K1386</f>
        <v>138.7</v>
      </c>
      <c r="G1386" s="7" t="str">
        <f aca="false">'Raw Data'!L1386</f>
        <v>Yes</v>
      </c>
      <c r="H1386" s="7" t="str">
        <f aca="false">'Raw Data'!M1386</f>
        <v>Low</v>
      </c>
      <c r="I1386" s="7" t="n">
        <f aca="false">(IF(D1386="Current",3,IF(D1386="Former",1,0)))+(IF(E1386="High",3,IF(E1386="Normal",1,0)))+(IF(F1386&gt;=240,2,IF(F1386&gt;=200,1,0)))+(IF(G1386="Yes",2,0))+(IF(H1386="High",2,IF(H1386="Moderate",1,0)))</f>
        <v>3</v>
      </c>
      <c r="J1386" s="7" t="str">
        <f aca="false">IF(I1386&gt;=8,"High",IF(I1386&gt;=4,"Medium","Low"))</f>
        <v>Low</v>
      </c>
    </row>
    <row r="1387" customFormat="false" ht="15" hidden="false" customHeight="true" outlineLevel="0" collapsed="false">
      <c r="A1387" s="7" t="n">
        <f aca="false">'Raw Data'!A1387</f>
        <v>2183</v>
      </c>
      <c r="B1387" s="7" t="n">
        <f aca="false">'Raw Data'!B1387</f>
        <v>77</v>
      </c>
      <c r="C1387" s="7" t="str">
        <f aca="false">'Raw Data'!C1387</f>
        <v>Female</v>
      </c>
      <c r="D1387" s="7" t="str">
        <f aca="false">'Raw Data'!D1387</f>
        <v>Former</v>
      </c>
      <c r="E1387" s="7" t="str">
        <f aca="false">'Raw Data'!J1387</f>
        <v>Low</v>
      </c>
      <c r="F1387" s="7" t="n">
        <f aca="false">'Raw Data'!K1387</f>
        <v>170.1</v>
      </c>
      <c r="G1387" s="7" t="str">
        <f aca="false">'Raw Data'!L1387</f>
        <v>Yes</v>
      </c>
      <c r="H1387" s="7" t="str">
        <f aca="false">'Raw Data'!M1387</f>
        <v>High</v>
      </c>
      <c r="I1387" s="7" t="n">
        <f aca="false">(IF(D1387="Current",3,IF(D1387="Former",1,0)))+(IF(E1387="High",3,IF(E1387="Normal",1,0)))+(IF(F1387&gt;=240,2,IF(F1387&gt;=200,1,0)))+(IF(G1387="Yes",2,0))+(IF(H1387="High",2,IF(H1387="Moderate",1,0)))</f>
        <v>5</v>
      </c>
      <c r="J1387" s="7" t="str">
        <f aca="false">IF(I1387&gt;=8,"High",IF(I1387&gt;=4,"Medium","Low"))</f>
        <v>Medium</v>
      </c>
    </row>
    <row r="1388" customFormat="false" ht="15" hidden="false" customHeight="true" outlineLevel="0" collapsed="false">
      <c r="A1388" s="7" t="n">
        <f aca="false">'Raw Data'!A1388</f>
        <v>2216</v>
      </c>
      <c r="B1388" s="7" t="n">
        <f aca="false">'Raw Data'!B1388</f>
        <v>30</v>
      </c>
      <c r="C1388" s="7" t="str">
        <f aca="false">'Raw Data'!C1388</f>
        <v>Male</v>
      </c>
      <c r="D1388" s="7" t="str">
        <f aca="false">'Raw Data'!D1388</f>
        <v>Former</v>
      </c>
      <c r="E1388" s="7" t="str">
        <f aca="false">'Raw Data'!J1388</f>
        <v>Low</v>
      </c>
      <c r="F1388" s="7" t="n">
        <f aca="false">'Raw Data'!K1388</f>
        <v>275.8</v>
      </c>
      <c r="G1388" s="7" t="str">
        <f aca="false">'Raw Data'!L1388</f>
        <v>Yes</v>
      </c>
      <c r="H1388" s="7" t="str">
        <f aca="false">'Raw Data'!M1388</f>
        <v>High</v>
      </c>
      <c r="I1388" s="7" t="n">
        <f aca="false">(IF(D1388="Current",3,IF(D1388="Former",1,0)))+(IF(E1388="High",3,IF(E1388="Normal",1,0)))+(IF(F1388&gt;=240,2,IF(F1388&gt;=200,1,0)))+(IF(G1388="Yes",2,0))+(IF(H1388="High",2,IF(H1388="Moderate",1,0)))</f>
        <v>7</v>
      </c>
      <c r="J1388" s="7" t="str">
        <f aca="false">IF(I1388&gt;=8,"High",IF(I1388&gt;=4,"Medium","Low"))</f>
        <v>Medium</v>
      </c>
    </row>
    <row r="1389" customFormat="false" ht="15" hidden="false" customHeight="true" outlineLevel="0" collapsed="false">
      <c r="A1389" s="7" t="n">
        <f aca="false">'Raw Data'!A1389</f>
        <v>2246</v>
      </c>
      <c r="B1389" s="7" t="n">
        <f aca="false">'Raw Data'!B1389</f>
        <v>57</v>
      </c>
      <c r="C1389" s="7" t="str">
        <f aca="false">'Raw Data'!C1389</f>
        <v>Female</v>
      </c>
      <c r="D1389" s="7" t="str">
        <f aca="false">'Raw Data'!D1389</f>
        <v>Former</v>
      </c>
      <c r="E1389" s="7" t="str">
        <f aca="false">'Raw Data'!J1389</f>
        <v>Low</v>
      </c>
      <c r="F1389" s="7" t="n">
        <f aca="false">'Raw Data'!K1389</f>
        <v>225.5</v>
      </c>
      <c r="G1389" s="7" t="str">
        <f aca="false">'Raw Data'!L1389</f>
        <v>Yes</v>
      </c>
      <c r="H1389" s="7" t="str">
        <f aca="false">'Raw Data'!M1389</f>
        <v>High</v>
      </c>
      <c r="I1389" s="7" t="n">
        <f aca="false">(IF(D1389="Current",3,IF(D1389="Former",1,0)))+(IF(E1389="High",3,IF(E1389="Normal",1,0)))+(IF(F1389&gt;=240,2,IF(F1389&gt;=200,1,0)))+(IF(G1389="Yes",2,0))+(IF(H1389="High",2,IF(H1389="Moderate",1,0)))</f>
        <v>6</v>
      </c>
      <c r="J1389" s="7" t="str">
        <f aca="false">IF(I1389&gt;=8,"High",IF(I1389&gt;=4,"Medium","Low"))</f>
        <v>Medium</v>
      </c>
    </row>
    <row r="1390" customFormat="false" ht="15" hidden="false" customHeight="true" outlineLevel="0" collapsed="false">
      <c r="A1390" s="7" t="n">
        <f aca="false">'Raw Data'!A1390</f>
        <v>2281</v>
      </c>
      <c r="B1390" s="7" t="n">
        <f aca="false">'Raw Data'!B1390</f>
        <v>46</v>
      </c>
      <c r="C1390" s="7" t="str">
        <f aca="false">'Raw Data'!C1390</f>
        <v>Female</v>
      </c>
      <c r="D1390" s="7" t="str">
        <f aca="false">'Raw Data'!D1390</f>
        <v>Former</v>
      </c>
      <c r="E1390" s="7" t="str">
        <f aca="false">'Raw Data'!J1390</f>
        <v>Low</v>
      </c>
      <c r="F1390" s="7" t="n">
        <f aca="false">'Raw Data'!K1390</f>
        <v>244.2</v>
      </c>
      <c r="G1390" s="7" t="str">
        <f aca="false">'Raw Data'!L1390</f>
        <v>No</v>
      </c>
      <c r="H1390" s="7" t="str">
        <f aca="false">'Raw Data'!M1390</f>
        <v>Moderate</v>
      </c>
      <c r="I1390" s="7" t="n">
        <f aca="false">(IF(D1390="Current",3,IF(D1390="Former",1,0)))+(IF(E1390="High",3,IF(E1390="Normal",1,0)))+(IF(F1390&gt;=240,2,IF(F1390&gt;=200,1,0)))+(IF(G1390="Yes",2,0))+(IF(H1390="High",2,IF(H1390="Moderate",1,0)))</f>
        <v>4</v>
      </c>
      <c r="J1390" s="7" t="str">
        <f aca="false">IF(I1390&gt;=8,"High",IF(I1390&gt;=4,"Medium","Low"))</f>
        <v>Medium</v>
      </c>
    </row>
    <row r="1391" customFormat="false" ht="15" hidden="false" customHeight="true" outlineLevel="0" collapsed="false">
      <c r="A1391" s="7" t="n">
        <f aca="false">'Raw Data'!A1391</f>
        <v>2306</v>
      </c>
      <c r="B1391" s="7" t="n">
        <f aca="false">'Raw Data'!B1391</f>
        <v>62</v>
      </c>
      <c r="C1391" s="7" t="str">
        <f aca="false">'Raw Data'!C1391</f>
        <v>Female</v>
      </c>
      <c r="D1391" s="7" t="str">
        <f aca="false">'Raw Data'!D1391</f>
        <v>Former</v>
      </c>
      <c r="E1391" s="7" t="str">
        <f aca="false">'Raw Data'!J1391</f>
        <v>Low</v>
      </c>
      <c r="F1391" s="7" t="n">
        <f aca="false">'Raw Data'!K1391</f>
        <v>278.6</v>
      </c>
      <c r="G1391" s="7" t="str">
        <f aca="false">'Raw Data'!L1391</f>
        <v>Yes</v>
      </c>
      <c r="H1391" s="7" t="str">
        <f aca="false">'Raw Data'!M1391</f>
        <v>Moderate</v>
      </c>
      <c r="I1391" s="7" t="n">
        <f aca="false">(IF(D1391="Current",3,IF(D1391="Former",1,0)))+(IF(E1391="High",3,IF(E1391="Normal",1,0)))+(IF(F1391&gt;=240,2,IF(F1391&gt;=200,1,0)))+(IF(G1391="Yes",2,0))+(IF(H1391="High",2,IF(H1391="Moderate",1,0)))</f>
        <v>6</v>
      </c>
      <c r="J1391" s="7" t="str">
        <f aca="false">IF(I1391&gt;=8,"High",IF(I1391&gt;=4,"Medium","Low"))</f>
        <v>Medium</v>
      </c>
    </row>
    <row r="1392" customFormat="false" ht="15" hidden="false" customHeight="true" outlineLevel="0" collapsed="false">
      <c r="A1392" s="7" t="n">
        <f aca="false">'Raw Data'!A1392</f>
        <v>2318</v>
      </c>
      <c r="B1392" s="7" t="n">
        <f aca="false">'Raw Data'!B1392</f>
        <v>84</v>
      </c>
      <c r="C1392" s="7" t="str">
        <f aca="false">'Raw Data'!C1392</f>
        <v>Male</v>
      </c>
      <c r="D1392" s="7" t="str">
        <f aca="false">'Raw Data'!D1392</f>
        <v>Former</v>
      </c>
      <c r="E1392" s="7" t="str">
        <f aca="false">'Raw Data'!J1392</f>
        <v>Low</v>
      </c>
      <c r="F1392" s="7" t="n">
        <f aca="false">'Raw Data'!K1392</f>
        <v>168.9</v>
      </c>
      <c r="G1392" s="7" t="str">
        <f aca="false">'Raw Data'!L1392</f>
        <v>Yes</v>
      </c>
      <c r="H1392" s="7" t="str">
        <f aca="false">'Raw Data'!M1392</f>
        <v>Low</v>
      </c>
      <c r="I1392" s="7" t="n">
        <f aca="false">(IF(D1392="Current",3,IF(D1392="Former",1,0)))+(IF(E1392="High",3,IF(E1392="Normal",1,0)))+(IF(F1392&gt;=240,2,IF(F1392&gt;=200,1,0)))+(IF(G1392="Yes",2,0))+(IF(H1392="High",2,IF(H1392="Moderate",1,0)))</f>
        <v>3</v>
      </c>
      <c r="J1392" s="7" t="str">
        <f aca="false">IF(I1392&gt;=8,"High",IF(I1392&gt;=4,"Medium","Low"))</f>
        <v>Low</v>
      </c>
    </row>
    <row r="1393" customFormat="false" ht="15" hidden="false" customHeight="true" outlineLevel="0" collapsed="false">
      <c r="A1393" s="7" t="n">
        <f aca="false">'Raw Data'!A1393</f>
        <v>2321</v>
      </c>
      <c r="B1393" s="7" t="n">
        <f aca="false">'Raw Data'!B1393</f>
        <v>31</v>
      </c>
      <c r="C1393" s="7" t="str">
        <f aca="false">'Raw Data'!C1393</f>
        <v>Male</v>
      </c>
      <c r="D1393" s="7" t="str">
        <f aca="false">'Raw Data'!D1393</f>
        <v>Former</v>
      </c>
      <c r="E1393" s="7" t="str">
        <f aca="false">'Raw Data'!J1393</f>
        <v>Low</v>
      </c>
      <c r="F1393" s="7" t="n">
        <f aca="false">'Raw Data'!K1393</f>
        <v>298.9</v>
      </c>
      <c r="G1393" s="7" t="str">
        <f aca="false">'Raw Data'!L1393</f>
        <v>No</v>
      </c>
      <c r="H1393" s="7" t="str">
        <f aca="false">'Raw Data'!M1393</f>
        <v>High</v>
      </c>
      <c r="I1393" s="7" t="n">
        <f aca="false">(IF(D1393="Current",3,IF(D1393="Former",1,0)))+(IF(E1393="High",3,IF(E1393="Normal",1,0)))+(IF(F1393&gt;=240,2,IF(F1393&gt;=200,1,0)))+(IF(G1393="Yes",2,0))+(IF(H1393="High",2,IF(H1393="Moderate",1,0)))</f>
        <v>5</v>
      </c>
      <c r="J1393" s="7" t="str">
        <f aca="false">IF(I1393&gt;=8,"High",IF(I1393&gt;=4,"Medium","Low"))</f>
        <v>Medium</v>
      </c>
    </row>
    <row r="1394" customFormat="false" ht="15" hidden="false" customHeight="true" outlineLevel="0" collapsed="false">
      <c r="A1394" s="7" t="n">
        <f aca="false">'Raw Data'!A1394</f>
        <v>2358</v>
      </c>
      <c r="B1394" s="7" t="n">
        <f aca="false">'Raw Data'!B1394</f>
        <v>88</v>
      </c>
      <c r="C1394" s="7" t="str">
        <f aca="false">'Raw Data'!C1394</f>
        <v>Male</v>
      </c>
      <c r="D1394" s="7" t="str">
        <f aca="false">'Raw Data'!D1394</f>
        <v>Former</v>
      </c>
      <c r="E1394" s="7" t="str">
        <f aca="false">'Raw Data'!J1394</f>
        <v>Low</v>
      </c>
      <c r="F1394" s="7" t="n">
        <f aca="false">'Raw Data'!K1394</f>
        <v>174.6</v>
      </c>
      <c r="G1394" s="7" t="str">
        <f aca="false">'Raw Data'!L1394</f>
        <v>Yes</v>
      </c>
      <c r="H1394" s="7" t="str">
        <f aca="false">'Raw Data'!M1394</f>
        <v>Moderate</v>
      </c>
      <c r="I1394" s="7" t="n">
        <f aca="false">(IF(D1394="Current",3,IF(D1394="Former",1,0)))+(IF(E1394="High",3,IF(E1394="Normal",1,0)))+(IF(F1394&gt;=240,2,IF(F1394&gt;=200,1,0)))+(IF(G1394="Yes",2,0))+(IF(H1394="High",2,IF(H1394="Moderate",1,0)))</f>
        <v>4</v>
      </c>
      <c r="J1394" s="7" t="str">
        <f aca="false">IF(I1394&gt;=8,"High",IF(I1394&gt;=4,"Medium","Low"))</f>
        <v>Medium</v>
      </c>
    </row>
    <row r="1395" customFormat="false" ht="15" hidden="false" customHeight="true" outlineLevel="0" collapsed="false">
      <c r="A1395" s="7" t="n">
        <f aca="false">'Raw Data'!A1395</f>
        <v>2387</v>
      </c>
      <c r="B1395" s="7" t="n">
        <f aca="false">'Raw Data'!B1395</f>
        <v>80</v>
      </c>
      <c r="C1395" s="7" t="str">
        <f aca="false">'Raw Data'!C1395</f>
        <v>Male</v>
      </c>
      <c r="D1395" s="7" t="str">
        <f aca="false">'Raw Data'!D1395</f>
        <v>Former</v>
      </c>
      <c r="E1395" s="7" t="str">
        <f aca="false">'Raw Data'!J1395</f>
        <v>Low</v>
      </c>
      <c r="F1395" s="7" t="n">
        <f aca="false">'Raw Data'!K1395</f>
        <v>279.1</v>
      </c>
      <c r="G1395" s="7" t="str">
        <f aca="false">'Raw Data'!L1395</f>
        <v>No</v>
      </c>
      <c r="H1395" s="7" t="str">
        <f aca="false">'Raw Data'!M1395</f>
        <v>Low</v>
      </c>
      <c r="I1395" s="7" t="n">
        <f aca="false">(IF(D1395="Current",3,IF(D1395="Former",1,0)))+(IF(E1395="High",3,IF(E1395="Normal",1,0)))+(IF(F1395&gt;=240,2,IF(F1395&gt;=200,1,0)))+(IF(G1395="Yes",2,0))+(IF(H1395="High",2,IF(H1395="Moderate",1,0)))</f>
        <v>3</v>
      </c>
      <c r="J1395" s="7" t="str">
        <f aca="false">IF(I1395&gt;=8,"High",IF(I1395&gt;=4,"Medium","Low"))</f>
        <v>Low</v>
      </c>
    </row>
    <row r="1396" customFormat="false" ht="15" hidden="false" customHeight="true" outlineLevel="0" collapsed="false">
      <c r="A1396" s="7" t="n">
        <f aca="false">'Raw Data'!A1396</f>
        <v>2453</v>
      </c>
      <c r="B1396" s="7" t="n">
        <f aca="false">'Raw Data'!B1396</f>
        <v>45</v>
      </c>
      <c r="C1396" s="7" t="str">
        <f aca="false">'Raw Data'!C1396</f>
        <v>Female</v>
      </c>
      <c r="D1396" s="7" t="str">
        <f aca="false">'Raw Data'!D1396</f>
        <v>Former</v>
      </c>
      <c r="E1396" s="7" t="str">
        <f aca="false">'Raw Data'!J1396</f>
        <v>Low</v>
      </c>
      <c r="F1396" s="7" t="n">
        <f aca="false">'Raw Data'!K1396</f>
        <v>205.2</v>
      </c>
      <c r="G1396" s="7" t="str">
        <f aca="false">'Raw Data'!L1396</f>
        <v>No</v>
      </c>
      <c r="H1396" s="7" t="str">
        <f aca="false">'Raw Data'!M1396</f>
        <v>Moderate</v>
      </c>
      <c r="I1396" s="7" t="n">
        <f aca="false">(IF(D1396="Current",3,IF(D1396="Former",1,0)))+(IF(E1396="High",3,IF(E1396="Normal",1,0)))+(IF(F1396&gt;=240,2,IF(F1396&gt;=200,1,0)))+(IF(G1396="Yes",2,0))+(IF(H1396="High",2,IF(H1396="Moderate",1,0)))</f>
        <v>3</v>
      </c>
      <c r="J1396" s="7" t="str">
        <f aca="false">IF(I1396&gt;=8,"High",IF(I1396&gt;=4,"Medium","Low"))</f>
        <v>Low</v>
      </c>
    </row>
    <row r="1397" customFormat="false" ht="15" hidden="false" customHeight="true" outlineLevel="0" collapsed="false">
      <c r="A1397" s="7" t="n">
        <f aca="false">'Raw Data'!A1397</f>
        <v>2459</v>
      </c>
      <c r="B1397" s="7" t="n">
        <f aca="false">'Raw Data'!B1397</f>
        <v>65</v>
      </c>
      <c r="C1397" s="7" t="str">
        <f aca="false">'Raw Data'!C1397</f>
        <v>Female</v>
      </c>
      <c r="D1397" s="7" t="str">
        <f aca="false">'Raw Data'!D1397</f>
        <v>Former</v>
      </c>
      <c r="E1397" s="7" t="str">
        <f aca="false">'Raw Data'!J1397</f>
        <v>Low</v>
      </c>
      <c r="F1397" s="7" t="n">
        <f aca="false">'Raw Data'!K1397</f>
        <v>222.6</v>
      </c>
      <c r="G1397" s="7" t="str">
        <f aca="false">'Raw Data'!L1397</f>
        <v>No</v>
      </c>
      <c r="H1397" s="7" t="str">
        <f aca="false">'Raw Data'!M1397</f>
        <v>Moderate</v>
      </c>
      <c r="I1397" s="7" t="n">
        <f aca="false">(IF(D1397="Current",3,IF(D1397="Former",1,0)))+(IF(E1397="High",3,IF(E1397="Normal",1,0)))+(IF(F1397&gt;=240,2,IF(F1397&gt;=200,1,0)))+(IF(G1397="Yes",2,0))+(IF(H1397="High",2,IF(H1397="Moderate",1,0)))</f>
        <v>3</v>
      </c>
      <c r="J1397" s="7" t="str">
        <f aca="false">IF(I1397&gt;=8,"High",IF(I1397&gt;=4,"Medium","Low"))</f>
        <v>Low</v>
      </c>
    </row>
    <row r="1398" customFormat="false" ht="15" hidden="false" customHeight="true" outlineLevel="0" collapsed="false">
      <c r="A1398" s="7" t="n">
        <f aca="false">'Raw Data'!A1398</f>
        <v>2468</v>
      </c>
      <c r="B1398" s="7" t="n">
        <f aca="false">'Raw Data'!B1398</f>
        <v>82</v>
      </c>
      <c r="C1398" s="7" t="str">
        <f aca="false">'Raw Data'!C1398</f>
        <v>Male</v>
      </c>
      <c r="D1398" s="7" t="str">
        <f aca="false">'Raw Data'!D1398</f>
        <v>Former</v>
      </c>
      <c r="E1398" s="7" t="str">
        <f aca="false">'Raw Data'!J1398</f>
        <v>Low</v>
      </c>
      <c r="F1398" s="7" t="n">
        <f aca="false">'Raw Data'!K1398</f>
        <v>240.2</v>
      </c>
      <c r="G1398" s="7" t="str">
        <f aca="false">'Raw Data'!L1398</f>
        <v>No</v>
      </c>
      <c r="H1398" s="7" t="str">
        <f aca="false">'Raw Data'!M1398</f>
        <v>Moderate</v>
      </c>
      <c r="I1398" s="7" t="n">
        <f aca="false">(IF(D1398="Current",3,IF(D1398="Former",1,0)))+(IF(E1398="High",3,IF(E1398="Normal",1,0)))+(IF(F1398&gt;=240,2,IF(F1398&gt;=200,1,0)))+(IF(G1398="Yes",2,0))+(IF(H1398="High",2,IF(H1398="Moderate",1,0)))</f>
        <v>4</v>
      </c>
      <c r="J1398" s="7" t="str">
        <f aca="false">IF(I1398&gt;=8,"High",IF(I1398&gt;=4,"Medium","Low"))</f>
        <v>Medium</v>
      </c>
    </row>
    <row r="1399" customFormat="false" ht="15" hidden="false" customHeight="true" outlineLevel="0" collapsed="false">
      <c r="A1399" s="7" t="n">
        <f aca="false">'Raw Data'!A1399</f>
        <v>2470</v>
      </c>
      <c r="B1399" s="7" t="n">
        <f aca="false">'Raw Data'!B1399</f>
        <v>72</v>
      </c>
      <c r="C1399" s="7" t="str">
        <f aca="false">'Raw Data'!C1399</f>
        <v>Male</v>
      </c>
      <c r="D1399" s="7" t="str">
        <f aca="false">'Raw Data'!D1399</f>
        <v>Former</v>
      </c>
      <c r="E1399" s="7" t="str">
        <f aca="false">'Raw Data'!J1399</f>
        <v>Low</v>
      </c>
      <c r="F1399" s="7" t="n">
        <f aca="false">'Raw Data'!K1399</f>
        <v>188.9</v>
      </c>
      <c r="G1399" s="7" t="str">
        <f aca="false">'Raw Data'!L1399</f>
        <v>No</v>
      </c>
      <c r="H1399" s="7" t="str">
        <f aca="false">'Raw Data'!M1399</f>
        <v>Moderate</v>
      </c>
      <c r="I1399" s="7" t="n">
        <f aca="false">(IF(D1399="Current",3,IF(D1399="Former",1,0)))+(IF(E1399="High",3,IF(E1399="Normal",1,0)))+(IF(F1399&gt;=240,2,IF(F1399&gt;=200,1,0)))+(IF(G1399="Yes",2,0))+(IF(H1399="High",2,IF(H1399="Moderate",1,0)))</f>
        <v>2</v>
      </c>
      <c r="J1399" s="7" t="str">
        <f aca="false">IF(I1399&gt;=8,"High",IF(I1399&gt;=4,"Medium","Low"))</f>
        <v>Low</v>
      </c>
    </row>
    <row r="1400" customFormat="false" ht="15" hidden="false" customHeight="true" outlineLevel="0" collapsed="false">
      <c r="A1400" s="7" t="n">
        <f aca="false">'Raw Data'!A1400</f>
        <v>2488</v>
      </c>
      <c r="B1400" s="7" t="n">
        <f aca="false">'Raw Data'!B1400</f>
        <v>33</v>
      </c>
      <c r="C1400" s="7" t="str">
        <f aca="false">'Raw Data'!C1400</f>
        <v>Female</v>
      </c>
      <c r="D1400" s="7" t="str">
        <f aca="false">'Raw Data'!D1400</f>
        <v>Former</v>
      </c>
      <c r="E1400" s="7" t="str">
        <f aca="false">'Raw Data'!J1400</f>
        <v>Low</v>
      </c>
      <c r="F1400" s="7" t="n">
        <f aca="false">'Raw Data'!K1400</f>
        <v>126.2</v>
      </c>
      <c r="G1400" s="7" t="str">
        <f aca="false">'Raw Data'!L1400</f>
        <v>No</v>
      </c>
      <c r="H1400" s="7" t="str">
        <f aca="false">'Raw Data'!M1400</f>
        <v>Moderate</v>
      </c>
      <c r="I1400" s="7" t="n">
        <f aca="false">(IF(D1400="Current",3,IF(D1400="Former",1,0)))+(IF(E1400="High",3,IF(E1400="Normal",1,0)))+(IF(F1400&gt;=240,2,IF(F1400&gt;=200,1,0)))+(IF(G1400="Yes",2,0))+(IF(H1400="High",2,IF(H1400="Moderate",1,0)))</f>
        <v>2</v>
      </c>
      <c r="J1400" s="7" t="str">
        <f aca="false">IF(I1400&gt;=8,"High",IF(I1400&gt;=4,"Medium","Low"))</f>
        <v>Low</v>
      </c>
    </row>
    <row r="1401" customFormat="false" ht="15" hidden="false" customHeight="true" outlineLevel="0" collapsed="false">
      <c r="A1401" s="7" t="n">
        <f aca="false">'Raw Data'!A1401</f>
        <v>53</v>
      </c>
      <c r="B1401" s="7" t="n">
        <f aca="false">'Raw Data'!B1401</f>
        <v>18</v>
      </c>
      <c r="C1401" s="7" t="str">
        <f aca="false">'Raw Data'!C1401</f>
        <v>Male</v>
      </c>
      <c r="D1401" s="7" t="str">
        <f aca="false">'Raw Data'!D1401</f>
        <v>Former</v>
      </c>
      <c r="E1401" s="7" t="str">
        <f aca="false">'Raw Data'!J1401</f>
        <v>High</v>
      </c>
      <c r="F1401" s="7" t="n">
        <f aca="false">'Raw Data'!K1401</f>
        <v>220</v>
      </c>
      <c r="G1401" s="7" t="str">
        <f aca="false">'Raw Data'!L1401</f>
        <v>No</v>
      </c>
      <c r="H1401" s="7" t="str">
        <f aca="false">'Raw Data'!M1401</f>
        <v>High</v>
      </c>
      <c r="I1401" s="7" t="n">
        <f aca="false">(IF(D1401="Current",3,IF(D1401="Former",1,0)))+(IF(E1401="High",3,IF(E1401="Normal",1,0)))+(IF(F1401&gt;=240,2,IF(F1401&gt;=200,1,0)))+(IF(G1401="Yes",2,0))+(IF(H1401="High",2,IF(H1401="Moderate",1,0)))</f>
        <v>7</v>
      </c>
      <c r="J1401" s="7" t="str">
        <f aca="false">IF(I1401&gt;=8,"High",IF(I1401&gt;=4,"Medium","Low"))</f>
        <v>Medium</v>
      </c>
    </row>
    <row r="1402" customFormat="false" ht="15" hidden="false" customHeight="true" outlineLevel="0" collapsed="false">
      <c r="A1402" s="7" t="n">
        <f aca="false">'Raw Data'!A1402</f>
        <v>225</v>
      </c>
      <c r="B1402" s="7" t="n">
        <f aca="false">'Raw Data'!B1402</f>
        <v>76</v>
      </c>
      <c r="C1402" s="7" t="str">
        <f aca="false">'Raw Data'!C1402</f>
        <v>Female</v>
      </c>
      <c r="D1402" s="7" t="str">
        <f aca="false">'Raw Data'!D1402</f>
        <v>Former</v>
      </c>
      <c r="E1402" s="7" t="str">
        <f aca="false">'Raw Data'!J1402</f>
        <v>High</v>
      </c>
      <c r="F1402" s="7" t="n">
        <f aca="false">'Raw Data'!K1402</f>
        <v>240.2</v>
      </c>
      <c r="G1402" s="7" t="str">
        <f aca="false">'Raw Data'!L1402</f>
        <v>No</v>
      </c>
      <c r="H1402" s="7" t="str">
        <f aca="false">'Raw Data'!M1402</f>
        <v>High</v>
      </c>
      <c r="I1402" s="7" t="n">
        <f aca="false">(IF(D1402="Current",3,IF(D1402="Former",1,0)))+(IF(E1402="High",3,IF(E1402="Normal",1,0)))+(IF(F1402&gt;=240,2,IF(F1402&gt;=200,1,0)))+(IF(G1402="Yes",2,0))+(IF(H1402="High",2,IF(H1402="Moderate",1,0)))</f>
        <v>8</v>
      </c>
      <c r="J1402" s="7" t="str">
        <f aca="false">IF(I1402&gt;=8,"High",IF(I1402&gt;=4,"Medium","Low"))</f>
        <v>High</v>
      </c>
    </row>
    <row r="1403" customFormat="false" ht="15" hidden="false" customHeight="true" outlineLevel="0" collapsed="false">
      <c r="A1403" s="7" t="n">
        <f aca="false">'Raw Data'!A1403</f>
        <v>299</v>
      </c>
      <c r="B1403" s="7" t="n">
        <f aca="false">'Raw Data'!B1403</f>
        <v>32</v>
      </c>
      <c r="C1403" s="7" t="str">
        <f aca="false">'Raw Data'!C1403</f>
        <v>Female</v>
      </c>
      <c r="D1403" s="7" t="str">
        <f aca="false">'Raw Data'!D1403</f>
        <v>Former</v>
      </c>
      <c r="E1403" s="7" t="str">
        <f aca="false">'Raw Data'!J1403</f>
        <v>High</v>
      </c>
      <c r="F1403" s="7" t="n">
        <f aca="false">'Raw Data'!K1403</f>
        <v>122.1</v>
      </c>
      <c r="G1403" s="7" t="str">
        <f aca="false">'Raw Data'!L1403</f>
        <v>No</v>
      </c>
      <c r="H1403" s="7" t="str">
        <f aca="false">'Raw Data'!M1403</f>
        <v>High</v>
      </c>
      <c r="I1403" s="7" t="n">
        <f aca="false">(IF(D1403="Current",3,IF(D1403="Former",1,0)))+(IF(E1403="High",3,IF(E1403="Normal",1,0)))+(IF(F1403&gt;=240,2,IF(F1403&gt;=200,1,0)))+(IF(G1403="Yes",2,0))+(IF(H1403="High",2,IF(H1403="Moderate",1,0)))</f>
        <v>6</v>
      </c>
      <c r="J1403" s="7" t="str">
        <f aca="false">IF(I1403&gt;=8,"High",IF(I1403&gt;=4,"Medium","Low"))</f>
        <v>Medium</v>
      </c>
    </row>
    <row r="1404" customFormat="false" ht="15" hidden="false" customHeight="true" outlineLevel="0" collapsed="false">
      <c r="A1404" s="7" t="n">
        <f aca="false">'Raw Data'!A1404</f>
        <v>305</v>
      </c>
      <c r="B1404" s="7" t="n">
        <f aca="false">'Raw Data'!B1404</f>
        <v>31</v>
      </c>
      <c r="C1404" s="7" t="str">
        <f aca="false">'Raw Data'!C1404</f>
        <v>Male</v>
      </c>
      <c r="D1404" s="7" t="str">
        <f aca="false">'Raw Data'!D1404</f>
        <v>Former</v>
      </c>
      <c r="E1404" s="7" t="str">
        <f aca="false">'Raw Data'!J1404</f>
        <v>High</v>
      </c>
      <c r="F1404" s="7" t="n">
        <f aca="false">'Raw Data'!K1404</f>
        <v>178.5</v>
      </c>
      <c r="G1404" s="7" t="str">
        <f aca="false">'Raw Data'!L1404</f>
        <v>No</v>
      </c>
      <c r="H1404" s="7" t="str">
        <f aca="false">'Raw Data'!M1404</f>
        <v>High</v>
      </c>
      <c r="I1404" s="7" t="n">
        <f aca="false">(IF(D1404="Current",3,IF(D1404="Former",1,0)))+(IF(E1404="High",3,IF(E1404="Normal",1,0)))+(IF(F1404&gt;=240,2,IF(F1404&gt;=200,1,0)))+(IF(G1404="Yes",2,0))+(IF(H1404="High",2,IF(H1404="Moderate",1,0)))</f>
        <v>6</v>
      </c>
      <c r="J1404" s="7" t="str">
        <f aca="false">IF(I1404&gt;=8,"High",IF(I1404&gt;=4,"Medium","Low"))</f>
        <v>Medium</v>
      </c>
    </row>
    <row r="1405" customFormat="false" ht="15" hidden="false" customHeight="true" outlineLevel="0" collapsed="false">
      <c r="A1405" s="7" t="n">
        <f aca="false">'Raw Data'!A1405</f>
        <v>312</v>
      </c>
      <c r="B1405" s="7" t="n">
        <f aca="false">'Raw Data'!B1405</f>
        <v>34</v>
      </c>
      <c r="C1405" s="7" t="str">
        <f aca="false">'Raw Data'!C1405</f>
        <v>Female</v>
      </c>
      <c r="D1405" s="7" t="str">
        <f aca="false">'Raw Data'!D1405</f>
        <v>Former</v>
      </c>
      <c r="E1405" s="7" t="str">
        <f aca="false">'Raw Data'!J1405</f>
        <v>High</v>
      </c>
      <c r="F1405" s="7" t="n">
        <f aca="false">'Raw Data'!K1405</f>
        <v>135.2</v>
      </c>
      <c r="G1405" s="7" t="str">
        <f aca="false">'Raw Data'!L1405</f>
        <v>No</v>
      </c>
      <c r="H1405" s="7" t="str">
        <f aca="false">'Raw Data'!M1405</f>
        <v>High</v>
      </c>
      <c r="I1405" s="7" t="n">
        <f aca="false">(IF(D1405="Current",3,IF(D1405="Former",1,0)))+(IF(E1405="High",3,IF(E1405="Normal",1,0)))+(IF(F1405&gt;=240,2,IF(F1405&gt;=200,1,0)))+(IF(G1405="Yes",2,0))+(IF(H1405="High",2,IF(H1405="Moderate",1,0)))</f>
        <v>6</v>
      </c>
      <c r="J1405" s="7" t="str">
        <f aca="false">IF(I1405&gt;=8,"High",IF(I1405&gt;=4,"Medium","Low"))</f>
        <v>Medium</v>
      </c>
    </row>
    <row r="1406" customFormat="false" ht="15" hidden="false" customHeight="true" outlineLevel="0" collapsed="false">
      <c r="A1406" s="7" t="n">
        <f aca="false">'Raw Data'!A1406</f>
        <v>341</v>
      </c>
      <c r="B1406" s="7" t="n">
        <f aca="false">'Raw Data'!B1406</f>
        <v>35</v>
      </c>
      <c r="C1406" s="7" t="str">
        <f aca="false">'Raw Data'!C1406</f>
        <v>Female</v>
      </c>
      <c r="D1406" s="7" t="str">
        <f aca="false">'Raw Data'!D1406</f>
        <v>Current</v>
      </c>
      <c r="E1406" s="7" t="str">
        <f aca="false">'Raw Data'!J1406</f>
        <v>High</v>
      </c>
      <c r="F1406" s="7" t="n">
        <f aca="false">'Raw Data'!K1406</f>
        <v>268.8</v>
      </c>
      <c r="G1406" s="7" t="str">
        <f aca="false">'Raw Data'!L1406</f>
        <v>No</v>
      </c>
      <c r="H1406" s="7" t="str">
        <f aca="false">'Raw Data'!M1406</f>
        <v>High</v>
      </c>
      <c r="I1406" s="7" t="n">
        <f aca="false">(IF(D1406="Current",3,IF(D1406="Former",1,0)))+(IF(E1406="High",3,IF(E1406="Normal",1,0)))+(IF(F1406&gt;=240,2,IF(F1406&gt;=200,1,0)))+(IF(G1406="Yes",2,0))+(IF(H1406="High",2,IF(H1406="Moderate",1,0)))</f>
        <v>10</v>
      </c>
      <c r="J1406" s="7" t="str">
        <f aca="false">IF(I1406&gt;=8,"High",IF(I1406&gt;=4,"Medium","Low"))</f>
        <v>High</v>
      </c>
    </row>
    <row r="1407" customFormat="false" ht="15" hidden="false" customHeight="true" outlineLevel="0" collapsed="false">
      <c r="A1407" s="7" t="n">
        <f aca="false">'Raw Data'!A1407</f>
        <v>406</v>
      </c>
      <c r="B1407" s="7" t="n">
        <f aca="false">'Raw Data'!B1407</f>
        <v>28</v>
      </c>
      <c r="C1407" s="7" t="str">
        <f aca="false">'Raw Data'!C1407</f>
        <v>Male</v>
      </c>
      <c r="D1407" s="7" t="str">
        <f aca="false">'Raw Data'!D1407</f>
        <v>Current</v>
      </c>
      <c r="E1407" s="7" t="str">
        <f aca="false">'Raw Data'!J1407</f>
        <v>High</v>
      </c>
      <c r="F1407" s="7" t="n">
        <f aca="false">'Raw Data'!K1407</f>
        <v>127.2</v>
      </c>
      <c r="G1407" s="7" t="str">
        <f aca="false">'Raw Data'!L1407</f>
        <v>No</v>
      </c>
      <c r="H1407" s="7" t="str">
        <f aca="false">'Raw Data'!M1407</f>
        <v>High</v>
      </c>
      <c r="I1407" s="7" t="n">
        <f aca="false">(IF(D1407="Current",3,IF(D1407="Former",1,0)))+(IF(E1407="High",3,IF(E1407="Normal",1,0)))+(IF(F1407&gt;=240,2,IF(F1407&gt;=200,1,0)))+(IF(G1407="Yes",2,0))+(IF(H1407="High",2,IF(H1407="Moderate",1,0)))</f>
        <v>8</v>
      </c>
      <c r="J1407" s="7" t="str">
        <f aca="false">IF(I1407&gt;=8,"High",IF(I1407&gt;=4,"Medium","Low"))</f>
        <v>High</v>
      </c>
    </row>
    <row r="1408" customFormat="false" ht="15" hidden="false" customHeight="true" outlineLevel="0" collapsed="false">
      <c r="A1408" s="7" t="n">
        <f aca="false">'Raw Data'!A1408</f>
        <v>462</v>
      </c>
      <c r="B1408" s="7" t="n">
        <f aca="false">'Raw Data'!B1408</f>
        <v>68</v>
      </c>
      <c r="C1408" s="7" t="str">
        <f aca="false">'Raw Data'!C1408</f>
        <v>Female</v>
      </c>
      <c r="D1408" s="7" t="str">
        <f aca="false">'Raw Data'!D1408</f>
        <v>Current</v>
      </c>
      <c r="E1408" s="7" t="str">
        <f aca="false">'Raw Data'!J1408</f>
        <v>High</v>
      </c>
      <c r="F1408" s="7" t="n">
        <f aca="false">'Raw Data'!K1408</f>
        <v>174.4</v>
      </c>
      <c r="G1408" s="7" t="str">
        <f aca="false">'Raw Data'!L1408</f>
        <v>No</v>
      </c>
      <c r="H1408" s="7" t="str">
        <f aca="false">'Raw Data'!M1408</f>
        <v>High</v>
      </c>
      <c r="I1408" s="7" t="n">
        <f aca="false">(IF(D1408="Current",3,IF(D1408="Former",1,0)))+(IF(E1408="High",3,IF(E1408="Normal",1,0)))+(IF(F1408&gt;=240,2,IF(F1408&gt;=200,1,0)))+(IF(G1408="Yes",2,0))+(IF(H1408="High",2,IF(H1408="Moderate",1,0)))</f>
        <v>8</v>
      </c>
      <c r="J1408" s="7" t="str">
        <f aca="false">IF(I1408&gt;=8,"High",IF(I1408&gt;=4,"Medium","Low"))</f>
        <v>High</v>
      </c>
    </row>
    <row r="1409" customFormat="false" ht="15" hidden="false" customHeight="true" outlineLevel="0" collapsed="false">
      <c r="A1409" s="7" t="n">
        <f aca="false">'Raw Data'!A1409</f>
        <v>532</v>
      </c>
      <c r="B1409" s="7" t="n">
        <f aca="false">'Raw Data'!B1409</f>
        <v>66</v>
      </c>
      <c r="C1409" s="7" t="str">
        <f aca="false">'Raw Data'!C1409</f>
        <v>Female</v>
      </c>
      <c r="D1409" s="7" t="str">
        <f aca="false">'Raw Data'!D1409</f>
        <v>Current</v>
      </c>
      <c r="E1409" s="7" t="str">
        <f aca="false">'Raw Data'!J1409</f>
        <v>High</v>
      </c>
      <c r="F1409" s="7" t="n">
        <f aca="false">'Raw Data'!K1409</f>
        <v>261.3</v>
      </c>
      <c r="G1409" s="7" t="str">
        <f aca="false">'Raw Data'!L1409</f>
        <v>No</v>
      </c>
      <c r="H1409" s="7" t="str">
        <f aca="false">'Raw Data'!M1409</f>
        <v>High</v>
      </c>
      <c r="I1409" s="7" t="n">
        <f aca="false">(IF(D1409="Current",3,IF(D1409="Former",1,0)))+(IF(E1409="High",3,IF(E1409="Normal",1,0)))+(IF(F1409&gt;=240,2,IF(F1409&gt;=200,1,0)))+(IF(G1409="Yes",2,0))+(IF(H1409="High",2,IF(H1409="Moderate",1,0)))</f>
        <v>10</v>
      </c>
      <c r="J1409" s="7" t="str">
        <f aca="false">IF(I1409&gt;=8,"High",IF(I1409&gt;=4,"Medium","Low"))</f>
        <v>High</v>
      </c>
    </row>
    <row r="1410" customFormat="false" ht="15" hidden="false" customHeight="true" outlineLevel="0" collapsed="false">
      <c r="A1410" s="7" t="n">
        <f aca="false">'Raw Data'!A1410</f>
        <v>564</v>
      </c>
      <c r="B1410" s="7" t="n">
        <f aca="false">'Raw Data'!B1410</f>
        <v>32</v>
      </c>
      <c r="C1410" s="7" t="str">
        <f aca="false">'Raw Data'!C1410</f>
        <v>Female</v>
      </c>
      <c r="D1410" s="7" t="str">
        <f aca="false">'Raw Data'!D1410</f>
        <v>Former</v>
      </c>
      <c r="E1410" s="7" t="str">
        <f aca="false">'Raw Data'!J1410</f>
        <v>High</v>
      </c>
      <c r="F1410" s="7" t="n">
        <f aca="false">'Raw Data'!K1410</f>
        <v>154.1</v>
      </c>
      <c r="G1410" s="7" t="str">
        <f aca="false">'Raw Data'!L1410</f>
        <v>No</v>
      </c>
      <c r="H1410" s="7" t="str">
        <f aca="false">'Raw Data'!M1410</f>
        <v>High</v>
      </c>
      <c r="I1410" s="7" t="n">
        <f aca="false">(IF(D1410="Current",3,IF(D1410="Former",1,0)))+(IF(E1410="High",3,IF(E1410="Normal",1,0)))+(IF(F1410&gt;=240,2,IF(F1410&gt;=200,1,0)))+(IF(G1410="Yes",2,0))+(IF(H1410="High",2,IF(H1410="Moderate",1,0)))</f>
        <v>6</v>
      </c>
      <c r="J1410" s="7" t="str">
        <f aca="false">IF(I1410&gt;=8,"High",IF(I1410&gt;=4,"Medium","Low"))</f>
        <v>Medium</v>
      </c>
    </row>
    <row r="1411" customFormat="false" ht="15" hidden="false" customHeight="true" outlineLevel="0" collapsed="false">
      <c r="A1411" s="7" t="n">
        <f aca="false">'Raw Data'!A1411</f>
        <v>567</v>
      </c>
      <c r="B1411" s="7" t="n">
        <f aca="false">'Raw Data'!B1411</f>
        <v>75</v>
      </c>
      <c r="C1411" s="7" t="str">
        <f aca="false">'Raw Data'!C1411</f>
        <v>Female</v>
      </c>
      <c r="D1411" s="7" t="str">
        <f aca="false">'Raw Data'!D1411</f>
        <v>Former</v>
      </c>
      <c r="E1411" s="7" t="str">
        <f aca="false">'Raw Data'!J1411</f>
        <v>High</v>
      </c>
      <c r="F1411" s="7" t="n">
        <f aca="false">'Raw Data'!K1411</f>
        <v>130.1</v>
      </c>
      <c r="G1411" s="7" t="str">
        <f aca="false">'Raw Data'!L1411</f>
        <v>No</v>
      </c>
      <c r="H1411" s="7" t="str">
        <f aca="false">'Raw Data'!M1411</f>
        <v>High</v>
      </c>
      <c r="I1411" s="7" t="n">
        <f aca="false">(IF(D1411="Current",3,IF(D1411="Former",1,0)))+(IF(E1411="High",3,IF(E1411="Normal",1,0)))+(IF(F1411&gt;=240,2,IF(F1411&gt;=200,1,0)))+(IF(G1411="Yes",2,0))+(IF(H1411="High",2,IF(H1411="Moderate",1,0)))</f>
        <v>6</v>
      </c>
      <c r="J1411" s="7" t="str">
        <f aca="false">IF(I1411&gt;=8,"High",IF(I1411&gt;=4,"Medium","Low"))</f>
        <v>Medium</v>
      </c>
    </row>
    <row r="1412" customFormat="false" ht="15" hidden="false" customHeight="true" outlineLevel="0" collapsed="false">
      <c r="A1412" s="7" t="n">
        <f aca="false">'Raw Data'!A1412</f>
        <v>577</v>
      </c>
      <c r="B1412" s="7" t="n">
        <f aca="false">'Raw Data'!B1412</f>
        <v>29</v>
      </c>
      <c r="C1412" s="7" t="str">
        <f aca="false">'Raw Data'!C1412</f>
        <v>Male</v>
      </c>
      <c r="D1412" s="7" t="str">
        <f aca="false">'Raw Data'!D1412</f>
        <v>Current</v>
      </c>
      <c r="E1412" s="7" t="str">
        <f aca="false">'Raw Data'!J1412</f>
        <v>High</v>
      </c>
      <c r="F1412" s="7" t="n">
        <f aca="false">'Raw Data'!K1412</f>
        <v>289.3</v>
      </c>
      <c r="G1412" s="7" t="str">
        <f aca="false">'Raw Data'!L1412</f>
        <v>Yes</v>
      </c>
      <c r="H1412" s="7" t="str">
        <f aca="false">'Raw Data'!M1412</f>
        <v>High</v>
      </c>
      <c r="I1412" s="7" t="n">
        <f aca="false">(IF(D1412="Current",3,IF(D1412="Former",1,0)))+(IF(E1412="High",3,IF(E1412="Normal",1,0)))+(IF(F1412&gt;=240,2,IF(F1412&gt;=200,1,0)))+(IF(G1412="Yes",2,0))+(IF(H1412="High",2,IF(H1412="Moderate",1,0)))</f>
        <v>12</v>
      </c>
      <c r="J1412" s="7" t="str">
        <f aca="false">IF(I1412&gt;=8,"High",IF(I1412&gt;=4,"Medium","Low"))</f>
        <v>High</v>
      </c>
    </row>
    <row r="1413" customFormat="false" ht="15" hidden="false" customHeight="true" outlineLevel="0" collapsed="false">
      <c r="A1413" s="7" t="n">
        <f aca="false">'Raw Data'!A1413</f>
        <v>647</v>
      </c>
      <c r="B1413" s="7" t="n">
        <f aca="false">'Raw Data'!B1413</f>
        <v>50</v>
      </c>
      <c r="C1413" s="7" t="str">
        <f aca="false">'Raw Data'!C1413</f>
        <v>Male</v>
      </c>
      <c r="D1413" s="7" t="str">
        <f aca="false">'Raw Data'!D1413</f>
        <v>Former</v>
      </c>
      <c r="E1413" s="7" t="str">
        <f aca="false">'Raw Data'!J1413</f>
        <v>High</v>
      </c>
      <c r="F1413" s="7" t="n">
        <f aca="false">'Raw Data'!K1413</f>
        <v>197.5</v>
      </c>
      <c r="G1413" s="7" t="str">
        <f aca="false">'Raw Data'!L1413</f>
        <v>No</v>
      </c>
      <c r="H1413" s="7" t="str">
        <f aca="false">'Raw Data'!M1413</f>
        <v>High</v>
      </c>
      <c r="I1413" s="7" t="n">
        <f aca="false">(IF(D1413="Current",3,IF(D1413="Former",1,0)))+(IF(E1413="High",3,IF(E1413="Normal",1,0)))+(IF(F1413&gt;=240,2,IF(F1413&gt;=200,1,0)))+(IF(G1413="Yes",2,0))+(IF(H1413="High",2,IF(H1413="Moderate",1,0)))</f>
        <v>6</v>
      </c>
      <c r="J1413" s="7" t="str">
        <f aca="false">IF(I1413&gt;=8,"High",IF(I1413&gt;=4,"Medium","Low"))</f>
        <v>Medium</v>
      </c>
    </row>
    <row r="1414" customFormat="false" ht="15" hidden="false" customHeight="true" outlineLevel="0" collapsed="false">
      <c r="A1414" s="7" t="n">
        <f aca="false">'Raw Data'!A1414</f>
        <v>753</v>
      </c>
      <c r="B1414" s="7" t="n">
        <f aca="false">'Raw Data'!B1414</f>
        <v>80</v>
      </c>
      <c r="C1414" s="7" t="str">
        <f aca="false">'Raw Data'!C1414</f>
        <v>Female</v>
      </c>
      <c r="D1414" s="7" t="str">
        <f aca="false">'Raw Data'!D1414</f>
        <v>Former</v>
      </c>
      <c r="E1414" s="7" t="str">
        <f aca="false">'Raw Data'!J1414</f>
        <v>High</v>
      </c>
      <c r="F1414" s="7" t="n">
        <f aca="false">'Raw Data'!K1414</f>
        <v>134.1</v>
      </c>
      <c r="G1414" s="7" t="str">
        <f aca="false">'Raw Data'!L1414</f>
        <v>Yes</v>
      </c>
      <c r="H1414" s="7" t="str">
        <f aca="false">'Raw Data'!M1414</f>
        <v>High</v>
      </c>
      <c r="I1414" s="7" t="n">
        <f aca="false">(IF(D1414="Current",3,IF(D1414="Former",1,0)))+(IF(E1414="High",3,IF(E1414="Normal",1,0)))+(IF(F1414&gt;=240,2,IF(F1414&gt;=200,1,0)))+(IF(G1414="Yes",2,0))+(IF(H1414="High",2,IF(H1414="Moderate",1,0)))</f>
        <v>8</v>
      </c>
      <c r="J1414" s="7" t="str">
        <f aca="false">IF(I1414&gt;=8,"High",IF(I1414&gt;=4,"Medium","Low"))</f>
        <v>High</v>
      </c>
    </row>
    <row r="1415" customFormat="false" ht="15" hidden="false" customHeight="true" outlineLevel="0" collapsed="false">
      <c r="A1415" s="7" t="n">
        <f aca="false">'Raw Data'!A1415</f>
        <v>782</v>
      </c>
      <c r="B1415" s="7" t="n">
        <f aca="false">'Raw Data'!B1415</f>
        <v>83</v>
      </c>
      <c r="C1415" s="7" t="str">
        <f aca="false">'Raw Data'!C1415</f>
        <v>Female</v>
      </c>
      <c r="D1415" s="7" t="str">
        <f aca="false">'Raw Data'!D1415</f>
        <v>Current</v>
      </c>
      <c r="E1415" s="7" t="str">
        <f aca="false">'Raw Data'!J1415</f>
        <v>High</v>
      </c>
      <c r="F1415" s="7" t="n">
        <f aca="false">'Raw Data'!K1415</f>
        <v>208.1</v>
      </c>
      <c r="G1415" s="7" t="str">
        <f aca="false">'Raw Data'!L1415</f>
        <v>No</v>
      </c>
      <c r="H1415" s="7" t="str">
        <f aca="false">'Raw Data'!M1415</f>
        <v>High</v>
      </c>
      <c r="I1415" s="7" t="n">
        <f aca="false">(IF(D1415="Current",3,IF(D1415="Former",1,0)))+(IF(E1415="High",3,IF(E1415="Normal",1,0)))+(IF(F1415&gt;=240,2,IF(F1415&gt;=200,1,0)))+(IF(G1415="Yes",2,0))+(IF(H1415="High",2,IF(H1415="Moderate",1,0)))</f>
        <v>9</v>
      </c>
      <c r="J1415" s="7" t="str">
        <f aca="false">IF(I1415&gt;=8,"High",IF(I1415&gt;=4,"Medium","Low"))</f>
        <v>High</v>
      </c>
    </row>
    <row r="1416" customFormat="false" ht="15" hidden="false" customHeight="true" outlineLevel="0" collapsed="false">
      <c r="A1416" s="7" t="n">
        <f aca="false">'Raw Data'!A1416</f>
        <v>803</v>
      </c>
      <c r="B1416" s="7" t="n">
        <f aca="false">'Raw Data'!B1416</f>
        <v>78</v>
      </c>
      <c r="C1416" s="7" t="str">
        <f aca="false">'Raw Data'!C1416</f>
        <v>Female</v>
      </c>
      <c r="D1416" s="7" t="str">
        <f aca="false">'Raw Data'!D1416</f>
        <v>Current</v>
      </c>
      <c r="E1416" s="7" t="str">
        <f aca="false">'Raw Data'!J1416</f>
        <v>High</v>
      </c>
      <c r="F1416" s="7" t="n">
        <f aca="false">'Raw Data'!K1416</f>
        <v>229.5</v>
      </c>
      <c r="G1416" s="7" t="str">
        <f aca="false">'Raw Data'!L1416</f>
        <v>No</v>
      </c>
      <c r="H1416" s="7" t="str">
        <f aca="false">'Raw Data'!M1416</f>
        <v>High</v>
      </c>
      <c r="I1416" s="7" t="n">
        <f aca="false">(IF(D1416="Current",3,IF(D1416="Former",1,0)))+(IF(E1416="High",3,IF(E1416="Normal",1,0)))+(IF(F1416&gt;=240,2,IF(F1416&gt;=200,1,0)))+(IF(G1416="Yes",2,0))+(IF(H1416="High",2,IF(H1416="Moderate",1,0)))</f>
        <v>9</v>
      </c>
      <c r="J1416" s="7" t="str">
        <f aca="false">IF(I1416&gt;=8,"High",IF(I1416&gt;=4,"Medium","Low"))</f>
        <v>High</v>
      </c>
    </row>
    <row r="1417" customFormat="false" ht="15" hidden="false" customHeight="true" outlineLevel="0" collapsed="false">
      <c r="A1417" s="7" t="n">
        <f aca="false">'Raw Data'!A1417</f>
        <v>816</v>
      </c>
      <c r="B1417" s="7" t="n">
        <f aca="false">'Raw Data'!B1417</f>
        <v>39</v>
      </c>
      <c r="C1417" s="7" t="str">
        <f aca="false">'Raw Data'!C1417</f>
        <v>Female</v>
      </c>
      <c r="D1417" s="7" t="str">
        <f aca="false">'Raw Data'!D1417</f>
        <v>Current</v>
      </c>
      <c r="E1417" s="7" t="str">
        <f aca="false">'Raw Data'!J1417</f>
        <v>High</v>
      </c>
      <c r="F1417" s="7" t="n">
        <f aca="false">'Raw Data'!K1417</f>
        <v>227.1</v>
      </c>
      <c r="G1417" s="7" t="str">
        <f aca="false">'Raw Data'!L1417</f>
        <v>No</v>
      </c>
      <c r="H1417" s="7" t="str">
        <f aca="false">'Raw Data'!M1417</f>
        <v>High</v>
      </c>
      <c r="I1417" s="7" t="n">
        <f aca="false">(IF(D1417="Current",3,IF(D1417="Former",1,0)))+(IF(E1417="High",3,IF(E1417="Normal",1,0)))+(IF(F1417&gt;=240,2,IF(F1417&gt;=200,1,0)))+(IF(G1417="Yes",2,0))+(IF(H1417="High",2,IF(H1417="Moderate",1,0)))</f>
        <v>9</v>
      </c>
      <c r="J1417" s="7" t="str">
        <f aca="false">IF(I1417&gt;=8,"High",IF(I1417&gt;=4,"Medium","Low"))</f>
        <v>High</v>
      </c>
    </row>
    <row r="1418" customFormat="false" ht="15" hidden="false" customHeight="true" outlineLevel="0" collapsed="false">
      <c r="A1418" s="7" t="n">
        <f aca="false">'Raw Data'!A1418</f>
        <v>853</v>
      </c>
      <c r="B1418" s="7" t="n">
        <f aca="false">'Raw Data'!B1418</f>
        <v>53</v>
      </c>
      <c r="C1418" s="7" t="str">
        <f aca="false">'Raw Data'!C1418</f>
        <v>Female</v>
      </c>
      <c r="D1418" s="7" t="str">
        <f aca="false">'Raw Data'!D1418</f>
        <v>Former</v>
      </c>
      <c r="E1418" s="7" t="str">
        <f aca="false">'Raw Data'!J1418</f>
        <v>High</v>
      </c>
      <c r="F1418" s="7" t="n">
        <f aca="false">'Raw Data'!K1418</f>
        <v>153.4</v>
      </c>
      <c r="G1418" s="7" t="str">
        <f aca="false">'Raw Data'!L1418</f>
        <v>No</v>
      </c>
      <c r="H1418" s="7" t="str">
        <f aca="false">'Raw Data'!M1418</f>
        <v>High</v>
      </c>
      <c r="I1418" s="7" t="n">
        <f aca="false">(IF(D1418="Current",3,IF(D1418="Former",1,0)))+(IF(E1418="High",3,IF(E1418="Normal",1,0)))+(IF(F1418&gt;=240,2,IF(F1418&gt;=200,1,0)))+(IF(G1418="Yes",2,0))+(IF(H1418="High",2,IF(H1418="Moderate",1,0)))</f>
        <v>6</v>
      </c>
      <c r="J1418" s="7" t="str">
        <f aca="false">IF(I1418&gt;=8,"High",IF(I1418&gt;=4,"Medium","Low"))</f>
        <v>Medium</v>
      </c>
    </row>
    <row r="1419" customFormat="false" ht="15" hidden="false" customHeight="true" outlineLevel="0" collapsed="false">
      <c r="A1419" s="7" t="n">
        <f aca="false">'Raw Data'!A1419</f>
        <v>883</v>
      </c>
      <c r="B1419" s="7" t="n">
        <f aca="false">'Raw Data'!B1419</f>
        <v>83</v>
      </c>
      <c r="C1419" s="7" t="str">
        <f aca="false">'Raw Data'!C1419</f>
        <v>Female</v>
      </c>
      <c r="D1419" s="7" t="str">
        <f aca="false">'Raw Data'!D1419</f>
        <v>Former</v>
      </c>
      <c r="E1419" s="7" t="str">
        <f aca="false">'Raw Data'!J1419</f>
        <v>High</v>
      </c>
      <c r="F1419" s="7" t="n">
        <f aca="false">'Raw Data'!K1419</f>
        <v>166.5</v>
      </c>
      <c r="G1419" s="7" t="str">
        <f aca="false">'Raw Data'!L1419</f>
        <v>No</v>
      </c>
      <c r="H1419" s="7" t="str">
        <f aca="false">'Raw Data'!M1419</f>
        <v>High</v>
      </c>
      <c r="I1419" s="7" t="n">
        <f aca="false">(IF(D1419="Current",3,IF(D1419="Former",1,0)))+(IF(E1419="High",3,IF(E1419="Normal",1,0)))+(IF(F1419&gt;=240,2,IF(F1419&gt;=200,1,0)))+(IF(G1419="Yes",2,0))+(IF(H1419="High",2,IF(H1419="Moderate",1,0)))</f>
        <v>6</v>
      </c>
      <c r="J1419" s="7" t="str">
        <f aca="false">IF(I1419&gt;=8,"High",IF(I1419&gt;=4,"Medium","Low"))</f>
        <v>Medium</v>
      </c>
    </row>
    <row r="1420" customFormat="false" ht="15" hidden="false" customHeight="true" outlineLevel="0" collapsed="false">
      <c r="A1420" s="7" t="n">
        <f aca="false">'Raw Data'!A1420</f>
        <v>994</v>
      </c>
      <c r="B1420" s="7" t="n">
        <f aca="false">'Raw Data'!B1420</f>
        <v>56</v>
      </c>
      <c r="C1420" s="7" t="str">
        <f aca="false">'Raw Data'!C1420</f>
        <v>Male</v>
      </c>
      <c r="D1420" s="7" t="str">
        <f aca="false">'Raw Data'!D1420</f>
        <v>Current</v>
      </c>
      <c r="E1420" s="7" t="str">
        <f aca="false">'Raw Data'!J1420</f>
        <v>High</v>
      </c>
      <c r="F1420" s="7" t="n">
        <f aca="false">'Raw Data'!K1420</f>
        <v>254.7</v>
      </c>
      <c r="G1420" s="7" t="str">
        <f aca="false">'Raw Data'!L1420</f>
        <v>No</v>
      </c>
      <c r="H1420" s="7" t="str">
        <f aca="false">'Raw Data'!M1420</f>
        <v>High</v>
      </c>
      <c r="I1420" s="7" t="n">
        <f aca="false">(IF(D1420="Current",3,IF(D1420="Former",1,0)))+(IF(E1420="High",3,IF(E1420="Normal",1,0)))+(IF(F1420&gt;=240,2,IF(F1420&gt;=200,1,0)))+(IF(G1420="Yes",2,0))+(IF(H1420="High",2,IF(H1420="Moderate",1,0)))</f>
        <v>10</v>
      </c>
      <c r="J1420" s="7" t="str">
        <f aca="false">IF(I1420&gt;=8,"High",IF(I1420&gt;=4,"Medium","Low"))</f>
        <v>High</v>
      </c>
    </row>
    <row r="1421" customFormat="false" ht="15" hidden="false" customHeight="true" outlineLevel="0" collapsed="false">
      <c r="A1421" s="7" t="n">
        <f aca="false">'Raw Data'!A1421</f>
        <v>1125</v>
      </c>
      <c r="B1421" s="7" t="n">
        <f aca="false">'Raw Data'!B1421</f>
        <v>55</v>
      </c>
      <c r="C1421" s="7" t="str">
        <f aca="false">'Raw Data'!C1421</f>
        <v>Male</v>
      </c>
      <c r="D1421" s="7" t="str">
        <f aca="false">'Raw Data'!D1421</f>
        <v>Former</v>
      </c>
      <c r="E1421" s="7" t="str">
        <f aca="false">'Raw Data'!J1421</f>
        <v>High</v>
      </c>
      <c r="F1421" s="7" t="n">
        <f aca="false">'Raw Data'!K1421</f>
        <v>219.7</v>
      </c>
      <c r="G1421" s="7" t="str">
        <f aca="false">'Raw Data'!L1421</f>
        <v>No</v>
      </c>
      <c r="H1421" s="7" t="str">
        <f aca="false">'Raw Data'!M1421</f>
        <v>High</v>
      </c>
      <c r="I1421" s="7" t="n">
        <f aca="false">(IF(D1421="Current",3,IF(D1421="Former",1,0)))+(IF(E1421="High",3,IF(E1421="Normal",1,0)))+(IF(F1421&gt;=240,2,IF(F1421&gt;=200,1,0)))+(IF(G1421="Yes",2,0))+(IF(H1421="High",2,IF(H1421="Moderate",1,0)))</f>
        <v>7</v>
      </c>
      <c r="J1421" s="7" t="str">
        <f aca="false">IF(I1421&gt;=8,"High",IF(I1421&gt;=4,"Medium","Low"))</f>
        <v>Medium</v>
      </c>
    </row>
    <row r="1422" customFormat="false" ht="15" hidden="false" customHeight="true" outlineLevel="0" collapsed="false">
      <c r="A1422" s="7" t="n">
        <f aca="false">'Raw Data'!A1422</f>
        <v>1173</v>
      </c>
      <c r="B1422" s="7" t="n">
        <f aca="false">'Raw Data'!B1422</f>
        <v>28</v>
      </c>
      <c r="C1422" s="7" t="str">
        <f aca="false">'Raw Data'!C1422</f>
        <v>Female</v>
      </c>
      <c r="D1422" s="7" t="str">
        <f aca="false">'Raw Data'!D1422</f>
        <v>Former</v>
      </c>
      <c r="E1422" s="7" t="str">
        <f aca="false">'Raw Data'!J1422</f>
        <v>High</v>
      </c>
      <c r="F1422" s="7" t="n">
        <f aca="false">'Raw Data'!K1422</f>
        <v>264.9</v>
      </c>
      <c r="G1422" s="7" t="str">
        <f aca="false">'Raw Data'!L1422</f>
        <v>Yes</v>
      </c>
      <c r="H1422" s="7" t="str">
        <f aca="false">'Raw Data'!M1422</f>
        <v>High</v>
      </c>
      <c r="I1422" s="7" t="n">
        <f aca="false">(IF(D1422="Current",3,IF(D1422="Former",1,0)))+(IF(E1422="High",3,IF(E1422="Normal",1,0)))+(IF(F1422&gt;=240,2,IF(F1422&gt;=200,1,0)))+(IF(G1422="Yes",2,0))+(IF(H1422="High",2,IF(H1422="Moderate",1,0)))</f>
        <v>10</v>
      </c>
      <c r="J1422" s="7" t="str">
        <f aca="false">IF(I1422&gt;=8,"High",IF(I1422&gt;=4,"Medium","Low"))</f>
        <v>High</v>
      </c>
    </row>
    <row r="1423" customFormat="false" ht="15" hidden="false" customHeight="true" outlineLevel="0" collapsed="false">
      <c r="A1423" s="7" t="n">
        <f aca="false">'Raw Data'!A1423</f>
        <v>1238</v>
      </c>
      <c r="B1423" s="7" t="n">
        <f aca="false">'Raw Data'!B1423</f>
        <v>83</v>
      </c>
      <c r="C1423" s="7" t="str">
        <f aca="false">'Raw Data'!C1423</f>
        <v>Female</v>
      </c>
      <c r="D1423" s="7" t="str">
        <f aca="false">'Raw Data'!D1423</f>
        <v>Former</v>
      </c>
      <c r="E1423" s="7" t="str">
        <f aca="false">'Raw Data'!J1423</f>
        <v>High</v>
      </c>
      <c r="F1423" s="7" t="n">
        <f aca="false">'Raw Data'!K1423</f>
        <v>242.7</v>
      </c>
      <c r="G1423" s="7" t="str">
        <f aca="false">'Raw Data'!L1423</f>
        <v>No</v>
      </c>
      <c r="H1423" s="7" t="str">
        <f aca="false">'Raw Data'!M1423</f>
        <v>High</v>
      </c>
      <c r="I1423" s="7" t="n">
        <f aca="false">(IF(D1423="Current",3,IF(D1423="Former",1,0)))+(IF(E1423="High",3,IF(E1423="Normal",1,0)))+(IF(F1423&gt;=240,2,IF(F1423&gt;=200,1,0)))+(IF(G1423="Yes",2,0))+(IF(H1423="High",2,IF(H1423="Moderate",1,0)))</f>
        <v>8</v>
      </c>
      <c r="J1423" s="7" t="str">
        <f aca="false">IF(I1423&gt;=8,"High",IF(I1423&gt;=4,"Medium","Low"))</f>
        <v>High</v>
      </c>
    </row>
    <row r="1424" customFormat="false" ht="15" hidden="false" customHeight="true" outlineLevel="0" collapsed="false">
      <c r="A1424" s="7" t="n">
        <f aca="false">'Raw Data'!A1424</f>
        <v>1259</v>
      </c>
      <c r="B1424" s="7" t="n">
        <f aca="false">'Raw Data'!B1424</f>
        <v>71</v>
      </c>
      <c r="C1424" s="7" t="str">
        <f aca="false">'Raw Data'!C1424</f>
        <v>Male</v>
      </c>
      <c r="D1424" s="7" t="str">
        <f aca="false">'Raw Data'!D1424</f>
        <v>Current</v>
      </c>
      <c r="E1424" s="7" t="str">
        <f aca="false">'Raw Data'!J1424</f>
        <v>High</v>
      </c>
      <c r="F1424" s="7" t="n">
        <f aca="false">'Raw Data'!K1424</f>
        <v>290.6</v>
      </c>
      <c r="G1424" s="7" t="str">
        <f aca="false">'Raw Data'!L1424</f>
        <v>No</v>
      </c>
      <c r="H1424" s="7" t="str">
        <f aca="false">'Raw Data'!M1424</f>
        <v>High</v>
      </c>
      <c r="I1424" s="7" t="n">
        <f aca="false">(IF(D1424="Current",3,IF(D1424="Former",1,0)))+(IF(E1424="High",3,IF(E1424="Normal",1,0)))+(IF(F1424&gt;=240,2,IF(F1424&gt;=200,1,0)))+(IF(G1424="Yes",2,0))+(IF(H1424="High",2,IF(H1424="Moderate",1,0)))</f>
        <v>10</v>
      </c>
      <c r="J1424" s="7" t="str">
        <f aca="false">IF(I1424&gt;=8,"High",IF(I1424&gt;=4,"Medium","Low"))</f>
        <v>High</v>
      </c>
    </row>
    <row r="1425" customFormat="false" ht="15" hidden="false" customHeight="true" outlineLevel="0" collapsed="false">
      <c r="A1425" s="7" t="n">
        <f aca="false">'Raw Data'!A1425</f>
        <v>1283</v>
      </c>
      <c r="B1425" s="7" t="n">
        <f aca="false">'Raw Data'!B1425</f>
        <v>61</v>
      </c>
      <c r="C1425" s="7" t="str">
        <f aca="false">'Raw Data'!C1425</f>
        <v>Male</v>
      </c>
      <c r="D1425" s="7" t="str">
        <f aca="false">'Raw Data'!D1425</f>
        <v>Former</v>
      </c>
      <c r="E1425" s="7" t="str">
        <f aca="false">'Raw Data'!J1425</f>
        <v>High</v>
      </c>
      <c r="F1425" s="7" t="n">
        <f aca="false">'Raw Data'!K1425</f>
        <v>228.1</v>
      </c>
      <c r="G1425" s="7" t="str">
        <f aca="false">'Raw Data'!L1425</f>
        <v>Yes</v>
      </c>
      <c r="H1425" s="7" t="str">
        <f aca="false">'Raw Data'!M1425</f>
        <v>High</v>
      </c>
      <c r="I1425" s="7" t="n">
        <f aca="false">(IF(D1425="Current",3,IF(D1425="Former",1,0)))+(IF(E1425="High",3,IF(E1425="Normal",1,0)))+(IF(F1425&gt;=240,2,IF(F1425&gt;=200,1,0)))+(IF(G1425="Yes",2,0))+(IF(H1425="High",2,IF(H1425="Moderate",1,0)))</f>
        <v>9</v>
      </c>
      <c r="J1425" s="7" t="str">
        <f aca="false">IF(I1425&gt;=8,"High",IF(I1425&gt;=4,"Medium","Low"))</f>
        <v>High</v>
      </c>
    </row>
    <row r="1426" customFormat="false" ht="15" hidden="false" customHeight="true" outlineLevel="0" collapsed="false">
      <c r="A1426" s="7" t="n">
        <f aca="false">'Raw Data'!A1426</f>
        <v>1446</v>
      </c>
      <c r="B1426" s="7" t="n">
        <f aca="false">'Raw Data'!B1426</f>
        <v>80</v>
      </c>
      <c r="C1426" s="7" t="str">
        <f aca="false">'Raw Data'!C1426</f>
        <v>Female</v>
      </c>
      <c r="D1426" s="7" t="str">
        <f aca="false">'Raw Data'!D1426</f>
        <v>Current</v>
      </c>
      <c r="E1426" s="7" t="str">
        <f aca="false">'Raw Data'!J1426</f>
        <v>High</v>
      </c>
      <c r="F1426" s="7" t="n">
        <f aca="false">'Raw Data'!K1426</f>
        <v>209.4</v>
      </c>
      <c r="G1426" s="7" t="str">
        <f aca="false">'Raw Data'!L1426</f>
        <v>No</v>
      </c>
      <c r="H1426" s="7" t="str">
        <f aca="false">'Raw Data'!M1426</f>
        <v>High</v>
      </c>
      <c r="I1426" s="7" t="n">
        <f aca="false">(IF(D1426="Current",3,IF(D1426="Former",1,0)))+(IF(E1426="High",3,IF(E1426="Normal",1,0)))+(IF(F1426&gt;=240,2,IF(F1426&gt;=200,1,0)))+(IF(G1426="Yes",2,0))+(IF(H1426="High",2,IF(H1426="Moderate",1,0)))</f>
        <v>9</v>
      </c>
      <c r="J1426" s="7" t="str">
        <f aca="false">IF(I1426&gt;=8,"High",IF(I1426&gt;=4,"Medium","Low"))</f>
        <v>High</v>
      </c>
    </row>
    <row r="1427" customFormat="false" ht="15" hidden="false" customHeight="true" outlineLevel="0" collapsed="false">
      <c r="A1427" s="7" t="n">
        <f aca="false">'Raw Data'!A1427</f>
        <v>1450</v>
      </c>
      <c r="B1427" s="7" t="n">
        <f aca="false">'Raw Data'!B1427</f>
        <v>40</v>
      </c>
      <c r="C1427" s="7" t="str">
        <f aca="false">'Raw Data'!C1427</f>
        <v>Male</v>
      </c>
      <c r="D1427" s="7" t="str">
        <f aca="false">'Raw Data'!D1427</f>
        <v>Former</v>
      </c>
      <c r="E1427" s="7" t="str">
        <f aca="false">'Raw Data'!J1427</f>
        <v>High</v>
      </c>
      <c r="F1427" s="7" t="n">
        <f aca="false">'Raw Data'!K1427</f>
        <v>157.8</v>
      </c>
      <c r="G1427" s="7" t="str">
        <f aca="false">'Raw Data'!L1427</f>
        <v>No</v>
      </c>
      <c r="H1427" s="7" t="str">
        <f aca="false">'Raw Data'!M1427</f>
        <v>High</v>
      </c>
      <c r="I1427" s="7" t="n">
        <f aca="false">(IF(D1427="Current",3,IF(D1427="Former",1,0)))+(IF(E1427="High",3,IF(E1427="Normal",1,0)))+(IF(F1427&gt;=240,2,IF(F1427&gt;=200,1,0)))+(IF(G1427="Yes",2,0))+(IF(H1427="High",2,IF(H1427="Moderate",1,0)))</f>
        <v>6</v>
      </c>
      <c r="J1427" s="7" t="str">
        <f aca="false">IF(I1427&gt;=8,"High",IF(I1427&gt;=4,"Medium","Low"))</f>
        <v>Medium</v>
      </c>
    </row>
    <row r="1428" customFormat="false" ht="15" hidden="false" customHeight="true" outlineLevel="0" collapsed="false">
      <c r="A1428" s="7" t="n">
        <f aca="false">'Raw Data'!A1428</f>
        <v>1458</v>
      </c>
      <c r="B1428" s="7" t="n">
        <f aca="false">'Raw Data'!B1428</f>
        <v>73</v>
      </c>
      <c r="C1428" s="7" t="str">
        <f aca="false">'Raw Data'!C1428</f>
        <v>Female</v>
      </c>
      <c r="D1428" s="7" t="str">
        <f aca="false">'Raw Data'!D1428</f>
        <v>Former</v>
      </c>
      <c r="E1428" s="7" t="str">
        <f aca="false">'Raw Data'!J1428</f>
        <v>High</v>
      </c>
      <c r="F1428" s="7" t="n">
        <f aca="false">'Raw Data'!K1428</f>
        <v>194.1</v>
      </c>
      <c r="G1428" s="7" t="str">
        <f aca="false">'Raw Data'!L1428</f>
        <v>Yes</v>
      </c>
      <c r="H1428" s="7" t="str">
        <f aca="false">'Raw Data'!M1428</f>
        <v>High</v>
      </c>
      <c r="I1428" s="7" t="n">
        <f aca="false">(IF(D1428="Current",3,IF(D1428="Former",1,0)))+(IF(E1428="High",3,IF(E1428="Normal",1,0)))+(IF(F1428&gt;=240,2,IF(F1428&gt;=200,1,0)))+(IF(G1428="Yes",2,0))+(IF(H1428="High",2,IF(H1428="Moderate",1,0)))</f>
        <v>8</v>
      </c>
      <c r="J1428" s="7" t="str">
        <f aca="false">IF(I1428&gt;=8,"High",IF(I1428&gt;=4,"Medium","Low"))</f>
        <v>High</v>
      </c>
    </row>
    <row r="1429" customFormat="false" ht="15" hidden="false" customHeight="true" outlineLevel="0" collapsed="false">
      <c r="A1429" s="7" t="n">
        <f aca="false">'Raw Data'!A1429</f>
        <v>1472</v>
      </c>
      <c r="B1429" s="7" t="n">
        <f aca="false">'Raw Data'!B1429</f>
        <v>43</v>
      </c>
      <c r="C1429" s="7" t="str">
        <f aca="false">'Raw Data'!C1429</f>
        <v>Female</v>
      </c>
      <c r="D1429" s="7" t="str">
        <f aca="false">'Raw Data'!D1429</f>
        <v>Former</v>
      </c>
      <c r="E1429" s="7" t="str">
        <f aca="false">'Raw Data'!J1429</f>
        <v>High</v>
      </c>
      <c r="F1429" s="7" t="n">
        <f aca="false">'Raw Data'!K1429</f>
        <v>215.9</v>
      </c>
      <c r="G1429" s="7" t="str">
        <f aca="false">'Raw Data'!L1429</f>
        <v>No</v>
      </c>
      <c r="H1429" s="7" t="str">
        <f aca="false">'Raw Data'!M1429</f>
        <v>High</v>
      </c>
      <c r="I1429" s="7" t="n">
        <f aca="false">(IF(D1429="Current",3,IF(D1429="Former",1,0)))+(IF(E1429="High",3,IF(E1429="Normal",1,0)))+(IF(F1429&gt;=240,2,IF(F1429&gt;=200,1,0)))+(IF(G1429="Yes",2,0))+(IF(H1429="High",2,IF(H1429="Moderate",1,0)))</f>
        <v>7</v>
      </c>
      <c r="J1429" s="7" t="str">
        <f aca="false">IF(I1429&gt;=8,"High",IF(I1429&gt;=4,"Medium","Low"))</f>
        <v>Medium</v>
      </c>
    </row>
    <row r="1430" customFormat="false" ht="15" hidden="false" customHeight="true" outlineLevel="0" collapsed="false">
      <c r="A1430" s="7" t="n">
        <f aca="false">'Raw Data'!A1430</f>
        <v>1544</v>
      </c>
      <c r="B1430" s="7" t="n">
        <f aca="false">'Raw Data'!B1430</f>
        <v>29</v>
      </c>
      <c r="C1430" s="7" t="str">
        <f aca="false">'Raw Data'!C1430</f>
        <v>Female</v>
      </c>
      <c r="D1430" s="7" t="str">
        <f aca="false">'Raw Data'!D1430</f>
        <v>Former</v>
      </c>
      <c r="E1430" s="7" t="str">
        <f aca="false">'Raw Data'!J1430</f>
        <v>High</v>
      </c>
      <c r="F1430" s="7" t="n">
        <f aca="false">'Raw Data'!K1430</f>
        <v>171.4</v>
      </c>
      <c r="G1430" s="7" t="str">
        <f aca="false">'Raw Data'!L1430</f>
        <v>No</v>
      </c>
      <c r="H1430" s="7" t="str">
        <f aca="false">'Raw Data'!M1430</f>
        <v>High</v>
      </c>
      <c r="I1430" s="7" t="n">
        <f aca="false">(IF(D1430="Current",3,IF(D1430="Former",1,0)))+(IF(E1430="High",3,IF(E1430="Normal",1,0)))+(IF(F1430&gt;=240,2,IF(F1430&gt;=200,1,0)))+(IF(G1430="Yes",2,0))+(IF(H1430="High",2,IF(H1430="Moderate",1,0)))</f>
        <v>6</v>
      </c>
      <c r="J1430" s="7" t="str">
        <f aca="false">IF(I1430&gt;=8,"High",IF(I1430&gt;=4,"Medium","Low"))</f>
        <v>Medium</v>
      </c>
    </row>
    <row r="1431" customFormat="false" ht="15" hidden="false" customHeight="true" outlineLevel="0" collapsed="false">
      <c r="A1431" s="7" t="n">
        <f aca="false">'Raw Data'!A1431</f>
        <v>1666</v>
      </c>
      <c r="B1431" s="7" t="n">
        <f aca="false">'Raw Data'!B1431</f>
        <v>80</v>
      </c>
      <c r="C1431" s="7" t="str">
        <f aca="false">'Raw Data'!C1431</f>
        <v>Female</v>
      </c>
      <c r="D1431" s="7" t="str">
        <f aca="false">'Raw Data'!D1431</f>
        <v>Former</v>
      </c>
      <c r="E1431" s="7" t="str">
        <f aca="false">'Raw Data'!J1431</f>
        <v>High</v>
      </c>
      <c r="F1431" s="7" t="n">
        <f aca="false">'Raw Data'!K1431</f>
        <v>274.8</v>
      </c>
      <c r="G1431" s="7" t="str">
        <f aca="false">'Raw Data'!L1431</f>
        <v>No</v>
      </c>
      <c r="H1431" s="7" t="str">
        <f aca="false">'Raw Data'!M1431</f>
        <v>High</v>
      </c>
      <c r="I1431" s="7" t="n">
        <f aca="false">(IF(D1431="Current",3,IF(D1431="Former",1,0)))+(IF(E1431="High",3,IF(E1431="Normal",1,0)))+(IF(F1431&gt;=240,2,IF(F1431&gt;=200,1,0)))+(IF(G1431="Yes",2,0))+(IF(H1431="High",2,IF(H1431="Moderate",1,0)))</f>
        <v>8</v>
      </c>
      <c r="J1431" s="7" t="str">
        <f aca="false">IF(I1431&gt;=8,"High",IF(I1431&gt;=4,"Medium","Low"))</f>
        <v>High</v>
      </c>
    </row>
    <row r="1432" customFormat="false" ht="15" hidden="false" customHeight="true" outlineLevel="0" collapsed="false">
      <c r="A1432" s="7" t="n">
        <f aca="false">'Raw Data'!A1432</f>
        <v>1691</v>
      </c>
      <c r="B1432" s="7" t="n">
        <f aca="false">'Raw Data'!B1432</f>
        <v>86</v>
      </c>
      <c r="C1432" s="7" t="str">
        <f aca="false">'Raw Data'!C1432</f>
        <v>Female</v>
      </c>
      <c r="D1432" s="7" t="str">
        <f aca="false">'Raw Data'!D1432</f>
        <v>Current</v>
      </c>
      <c r="E1432" s="7" t="str">
        <f aca="false">'Raw Data'!J1432</f>
        <v>High</v>
      </c>
      <c r="F1432" s="7" t="n">
        <f aca="false">'Raw Data'!K1432</f>
        <v>181.4</v>
      </c>
      <c r="G1432" s="7" t="str">
        <f aca="false">'Raw Data'!L1432</f>
        <v>No</v>
      </c>
      <c r="H1432" s="7" t="str">
        <f aca="false">'Raw Data'!M1432</f>
        <v>High</v>
      </c>
      <c r="I1432" s="7" t="n">
        <f aca="false">(IF(D1432="Current",3,IF(D1432="Former",1,0)))+(IF(E1432="High",3,IF(E1432="Normal",1,0)))+(IF(F1432&gt;=240,2,IF(F1432&gt;=200,1,0)))+(IF(G1432="Yes",2,0))+(IF(H1432="High",2,IF(H1432="Moderate",1,0)))</f>
        <v>8</v>
      </c>
      <c r="J1432" s="7" t="str">
        <f aca="false">IF(I1432&gt;=8,"High",IF(I1432&gt;=4,"Medium","Low"))</f>
        <v>High</v>
      </c>
    </row>
    <row r="1433" customFormat="false" ht="15" hidden="false" customHeight="true" outlineLevel="0" collapsed="false">
      <c r="A1433" s="7" t="n">
        <f aca="false">'Raw Data'!A1433</f>
        <v>1777</v>
      </c>
      <c r="B1433" s="7" t="n">
        <f aca="false">'Raw Data'!B1433</f>
        <v>69</v>
      </c>
      <c r="C1433" s="7" t="str">
        <f aca="false">'Raw Data'!C1433</f>
        <v>Female</v>
      </c>
      <c r="D1433" s="7" t="str">
        <f aca="false">'Raw Data'!D1433</f>
        <v>Former</v>
      </c>
      <c r="E1433" s="7" t="str">
        <f aca="false">'Raw Data'!J1433</f>
        <v>High</v>
      </c>
      <c r="F1433" s="7" t="n">
        <f aca="false">'Raw Data'!K1433</f>
        <v>183.8</v>
      </c>
      <c r="G1433" s="7" t="str">
        <f aca="false">'Raw Data'!L1433</f>
        <v>Yes</v>
      </c>
      <c r="H1433" s="7" t="str">
        <f aca="false">'Raw Data'!M1433</f>
        <v>High</v>
      </c>
      <c r="I1433" s="7" t="n">
        <f aca="false">(IF(D1433="Current",3,IF(D1433="Former",1,0)))+(IF(E1433="High",3,IF(E1433="Normal",1,0)))+(IF(F1433&gt;=240,2,IF(F1433&gt;=200,1,0)))+(IF(G1433="Yes",2,0))+(IF(H1433="High",2,IF(H1433="Moderate",1,0)))</f>
        <v>8</v>
      </c>
      <c r="J1433" s="7" t="str">
        <f aca="false">IF(I1433&gt;=8,"High",IF(I1433&gt;=4,"Medium","Low"))</f>
        <v>High</v>
      </c>
    </row>
    <row r="1434" customFormat="false" ht="15" hidden="false" customHeight="true" outlineLevel="0" collapsed="false">
      <c r="A1434" s="7" t="n">
        <f aca="false">'Raw Data'!A1434</f>
        <v>1808</v>
      </c>
      <c r="B1434" s="7" t="n">
        <f aca="false">'Raw Data'!B1434</f>
        <v>75</v>
      </c>
      <c r="C1434" s="7" t="str">
        <f aca="false">'Raw Data'!C1434</f>
        <v>Female</v>
      </c>
      <c r="D1434" s="7" t="str">
        <f aca="false">'Raw Data'!D1434</f>
        <v>Former</v>
      </c>
      <c r="E1434" s="7" t="str">
        <f aca="false">'Raw Data'!J1434</f>
        <v>High</v>
      </c>
      <c r="F1434" s="7" t="n">
        <f aca="false">'Raw Data'!K1434</f>
        <v>135.3</v>
      </c>
      <c r="G1434" s="7" t="str">
        <f aca="false">'Raw Data'!L1434</f>
        <v>No</v>
      </c>
      <c r="H1434" s="7" t="str">
        <f aca="false">'Raw Data'!M1434</f>
        <v>High</v>
      </c>
      <c r="I1434" s="7" t="n">
        <f aca="false">(IF(D1434="Current",3,IF(D1434="Former",1,0)))+(IF(E1434="High",3,IF(E1434="Normal",1,0)))+(IF(F1434&gt;=240,2,IF(F1434&gt;=200,1,0)))+(IF(G1434="Yes",2,0))+(IF(H1434="High",2,IF(H1434="Moderate",1,0)))</f>
        <v>6</v>
      </c>
      <c r="J1434" s="7" t="str">
        <f aca="false">IF(I1434&gt;=8,"High",IF(I1434&gt;=4,"Medium","Low"))</f>
        <v>Medium</v>
      </c>
    </row>
    <row r="1435" customFormat="false" ht="15" hidden="false" customHeight="true" outlineLevel="0" collapsed="false">
      <c r="A1435" s="7" t="n">
        <f aca="false">'Raw Data'!A1435</f>
        <v>1870</v>
      </c>
      <c r="B1435" s="7" t="n">
        <f aca="false">'Raw Data'!B1435</f>
        <v>23</v>
      </c>
      <c r="C1435" s="7" t="str">
        <f aca="false">'Raw Data'!C1435</f>
        <v>Male</v>
      </c>
      <c r="D1435" s="7" t="str">
        <f aca="false">'Raw Data'!D1435</f>
        <v>Current</v>
      </c>
      <c r="E1435" s="7" t="str">
        <f aca="false">'Raw Data'!J1435</f>
        <v>High</v>
      </c>
      <c r="F1435" s="7" t="n">
        <f aca="false">'Raw Data'!K1435</f>
        <v>253</v>
      </c>
      <c r="G1435" s="7" t="str">
        <f aca="false">'Raw Data'!L1435</f>
        <v>No</v>
      </c>
      <c r="H1435" s="7" t="str">
        <f aca="false">'Raw Data'!M1435</f>
        <v>High</v>
      </c>
      <c r="I1435" s="7" t="n">
        <f aca="false">(IF(D1435="Current",3,IF(D1435="Former",1,0)))+(IF(E1435="High",3,IF(E1435="Normal",1,0)))+(IF(F1435&gt;=240,2,IF(F1435&gt;=200,1,0)))+(IF(G1435="Yes",2,0))+(IF(H1435="High",2,IF(H1435="Moderate",1,0)))</f>
        <v>10</v>
      </c>
      <c r="J1435" s="7" t="str">
        <f aca="false">IF(I1435&gt;=8,"High",IF(I1435&gt;=4,"Medium","Low"))</f>
        <v>High</v>
      </c>
    </row>
    <row r="1436" customFormat="false" ht="15" hidden="false" customHeight="true" outlineLevel="0" collapsed="false">
      <c r="A1436" s="7" t="n">
        <f aca="false">'Raw Data'!A1436</f>
        <v>1877</v>
      </c>
      <c r="B1436" s="7" t="n">
        <f aca="false">'Raw Data'!B1436</f>
        <v>87</v>
      </c>
      <c r="C1436" s="7" t="str">
        <f aca="false">'Raw Data'!C1436</f>
        <v>Male</v>
      </c>
      <c r="D1436" s="7" t="str">
        <f aca="false">'Raw Data'!D1436</f>
        <v>Current</v>
      </c>
      <c r="E1436" s="7" t="str">
        <f aca="false">'Raw Data'!J1436</f>
        <v>High</v>
      </c>
      <c r="F1436" s="7" t="n">
        <f aca="false">'Raw Data'!K1436</f>
        <v>230.3</v>
      </c>
      <c r="G1436" s="7" t="str">
        <f aca="false">'Raw Data'!L1436</f>
        <v>Yes</v>
      </c>
      <c r="H1436" s="7" t="str">
        <f aca="false">'Raw Data'!M1436</f>
        <v>High</v>
      </c>
      <c r="I1436" s="7" t="n">
        <f aca="false">(IF(D1436="Current",3,IF(D1436="Former",1,0)))+(IF(E1436="High",3,IF(E1436="Normal",1,0)))+(IF(F1436&gt;=240,2,IF(F1436&gt;=200,1,0)))+(IF(G1436="Yes",2,0))+(IF(H1436="High",2,IF(H1436="Moderate",1,0)))</f>
        <v>11</v>
      </c>
      <c r="J1436" s="7" t="str">
        <f aca="false">IF(I1436&gt;=8,"High",IF(I1436&gt;=4,"Medium","Low"))</f>
        <v>High</v>
      </c>
    </row>
    <row r="1437" customFormat="false" ht="15" hidden="false" customHeight="true" outlineLevel="0" collapsed="false">
      <c r="A1437" s="7" t="n">
        <f aca="false">'Raw Data'!A1437</f>
        <v>1895</v>
      </c>
      <c r="B1437" s="7" t="n">
        <f aca="false">'Raw Data'!B1437</f>
        <v>61</v>
      </c>
      <c r="C1437" s="7" t="str">
        <f aca="false">'Raw Data'!C1437</f>
        <v>Female</v>
      </c>
      <c r="D1437" s="7" t="str">
        <f aca="false">'Raw Data'!D1437</f>
        <v>Current</v>
      </c>
      <c r="E1437" s="7" t="str">
        <f aca="false">'Raw Data'!J1437</f>
        <v>High</v>
      </c>
      <c r="F1437" s="7" t="n">
        <f aca="false">'Raw Data'!K1437</f>
        <v>272.4</v>
      </c>
      <c r="G1437" s="7" t="str">
        <f aca="false">'Raw Data'!L1437</f>
        <v>No</v>
      </c>
      <c r="H1437" s="7" t="str">
        <f aca="false">'Raw Data'!M1437</f>
        <v>High</v>
      </c>
      <c r="I1437" s="7" t="n">
        <f aca="false">(IF(D1437="Current",3,IF(D1437="Former",1,0)))+(IF(E1437="High",3,IF(E1437="Normal",1,0)))+(IF(F1437&gt;=240,2,IF(F1437&gt;=200,1,0)))+(IF(G1437="Yes",2,0))+(IF(H1437="High",2,IF(H1437="Moderate",1,0)))</f>
        <v>10</v>
      </c>
      <c r="J1437" s="7" t="str">
        <f aca="false">IF(I1437&gt;=8,"High",IF(I1437&gt;=4,"Medium","Low"))</f>
        <v>High</v>
      </c>
    </row>
    <row r="1438" customFormat="false" ht="15" hidden="false" customHeight="true" outlineLevel="0" collapsed="false">
      <c r="A1438" s="7" t="n">
        <f aca="false">'Raw Data'!A1438</f>
        <v>2031</v>
      </c>
      <c r="B1438" s="7" t="n">
        <f aca="false">'Raw Data'!B1438</f>
        <v>81</v>
      </c>
      <c r="C1438" s="7" t="str">
        <f aca="false">'Raw Data'!C1438</f>
        <v>Male</v>
      </c>
      <c r="D1438" s="7" t="str">
        <f aca="false">'Raw Data'!D1438</f>
        <v>Former</v>
      </c>
      <c r="E1438" s="7" t="str">
        <f aca="false">'Raw Data'!J1438</f>
        <v>High</v>
      </c>
      <c r="F1438" s="7" t="n">
        <f aca="false">'Raw Data'!K1438</f>
        <v>231.8</v>
      </c>
      <c r="G1438" s="7" t="str">
        <f aca="false">'Raw Data'!L1438</f>
        <v>No</v>
      </c>
      <c r="H1438" s="7" t="str">
        <f aca="false">'Raw Data'!M1438</f>
        <v>High</v>
      </c>
      <c r="I1438" s="7" t="n">
        <f aca="false">(IF(D1438="Current",3,IF(D1438="Former",1,0)))+(IF(E1438="High",3,IF(E1438="Normal",1,0)))+(IF(F1438&gt;=240,2,IF(F1438&gt;=200,1,0)))+(IF(G1438="Yes",2,0))+(IF(H1438="High",2,IF(H1438="Moderate",1,0)))</f>
        <v>7</v>
      </c>
      <c r="J1438" s="7" t="str">
        <f aca="false">IF(I1438&gt;=8,"High",IF(I1438&gt;=4,"Medium","Low"))</f>
        <v>Medium</v>
      </c>
    </row>
    <row r="1439" customFormat="false" ht="15" hidden="false" customHeight="true" outlineLevel="0" collapsed="false">
      <c r="A1439" s="7" t="n">
        <f aca="false">'Raw Data'!A1439</f>
        <v>2075</v>
      </c>
      <c r="B1439" s="7" t="n">
        <f aca="false">'Raw Data'!B1439</f>
        <v>42</v>
      </c>
      <c r="C1439" s="7" t="str">
        <f aca="false">'Raw Data'!C1439</f>
        <v>Male</v>
      </c>
      <c r="D1439" s="7" t="str">
        <f aca="false">'Raw Data'!D1439</f>
        <v>Current</v>
      </c>
      <c r="E1439" s="7" t="str">
        <f aca="false">'Raw Data'!J1439</f>
        <v>High</v>
      </c>
      <c r="F1439" s="7" t="n">
        <f aca="false">'Raw Data'!K1439</f>
        <v>123.6</v>
      </c>
      <c r="G1439" s="7" t="str">
        <f aca="false">'Raw Data'!L1439</f>
        <v>No</v>
      </c>
      <c r="H1439" s="7" t="str">
        <f aca="false">'Raw Data'!M1439</f>
        <v>High</v>
      </c>
      <c r="I1439" s="7" t="n">
        <f aca="false">(IF(D1439="Current",3,IF(D1439="Former",1,0)))+(IF(E1439="High",3,IF(E1439="Normal",1,0)))+(IF(F1439&gt;=240,2,IF(F1439&gt;=200,1,0)))+(IF(G1439="Yes",2,0))+(IF(H1439="High",2,IF(H1439="Moderate",1,0)))</f>
        <v>8</v>
      </c>
      <c r="J1439" s="7" t="str">
        <f aca="false">IF(I1439&gt;=8,"High",IF(I1439&gt;=4,"Medium","Low"))</f>
        <v>High</v>
      </c>
    </row>
    <row r="1440" customFormat="false" ht="15" hidden="false" customHeight="true" outlineLevel="0" collapsed="false">
      <c r="A1440" s="7" t="n">
        <f aca="false">'Raw Data'!A1440</f>
        <v>2093</v>
      </c>
      <c r="B1440" s="7" t="n">
        <f aca="false">'Raw Data'!B1440</f>
        <v>71</v>
      </c>
      <c r="C1440" s="7" t="str">
        <f aca="false">'Raw Data'!C1440</f>
        <v>Female</v>
      </c>
      <c r="D1440" s="7" t="str">
        <f aca="false">'Raw Data'!D1440</f>
        <v>Former</v>
      </c>
      <c r="E1440" s="7" t="str">
        <f aca="false">'Raw Data'!J1440</f>
        <v>High</v>
      </c>
      <c r="F1440" s="7" t="n">
        <f aca="false">'Raw Data'!K1440</f>
        <v>292.7</v>
      </c>
      <c r="G1440" s="7" t="str">
        <f aca="false">'Raw Data'!L1440</f>
        <v>No</v>
      </c>
      <c r="H1440" s="7" t="str">
        <f aca="false">'Raw Data'!M1440</f>
        <v>High</v>
      </c>
      <c r="I1440" s="7" t="n">
        <f aca="false">(IF(D1440="Current",3,IF(D1440="Former",1,0)))+(IF(E1440="High",3,IF(E1440="Normal",1,0)))+(IF(F1440&gt;=240,2,IF(F1440&gt;=200,1,0)))+(IF(G1440="Yes",2,0))+(IF(H1440="High",2,IF(H1440="Moderate",1,0)))</f>
        <v>8</v>
      </c>
      <c r="J1440" s="7" t="str">
        <f aca="false">IF(I1440&gt;=8,"High",IF(I1440&gt;=4,"Medium","Low"))</f>
        <v>High</v>
      </c>
    </row>
    <row r="1441" customFormat="false" ht="15" hidden="false" customHeight="true" outlineLevel="0" collapsed="false">
      <c r="A1441" s="7" t="n">
        <f aca="false">'Raw Data'!A1441</f>
        <v>2096</v>
      </c>
      <c r="B1441" s="7" t="n">
        <f aca="false">'Raw Data'!B1441</f>
        <v>55</v>
      </c>
      <c r="C1441" s="7" t="str">
        <f aca="false">'Raw Data'!C1441</f>
        <v>Female</v>
      </c>
      <c r="D1441" s="7" t="str">
        <f aca="false">'Raw Data'!D1441</f>
        <v>Current</v>
      </c>
      <c r="E1441" s="7" t="str">
        <f aca="false">'Raw Data'!J1441</f>
        <v>High</v>
      </c>
      <c r="F1441" s="7" t="n">
        <f aca="false">'Raw Data'!K1441</f>
        <v>147.7</v>
      </c>
      <c r="G1441" s="7" t="str">
        <f aca="false">'Raw Data'!L1441</f>
        <v>Yes</v>
      </c>
      <c r="H1441" s="7" t="str">
        <f aca="false">'Raw Data'!M1441</f>
        <v>High</v>
      </c>
      <c r="I1441" s="7" t="n">
        <f aca="false">(IF(D1441="Current",3,IF(D1441="Former",1,0)))+(IF(E1441="High",3,IF(E1441="Normal",1,0)))+(IF(F1441&gt;=240,2,IF(F1441&gt;=200,1,0)))+(IF(G1441="Yes",2,0))+(IF(H1441="High",2,IF(H1441="Moderate",1,0)))</f>
        <v>10</v>
      </c>
      <c r="J1441" s="7" t="str">
        <f aca="false">IF(I1441&gt;=8,"High",IF(I1441&gt;=4,"Medium","Low"))</f>
        <v>High</v>
      </c>
    </row>
    <row r="1442" customFormat="false" ht="15" hidden="false" customHeight="true" outlineLevel="0" collapsed="false">
      <c r="A1442" s="7" t="n">
        <f aca="false">'Raw Data'!A1442</f>
        <v>2158</v>
      </c>
      <c r="B1442" s="7" t="n">
        <f aca="false">'Raw Data'!B1442</f>
        <v>66</v>
      </c>
      <c r="C1442" s="7" t="str">
        <f aca="false">'Raw Data'!C1442</f>
        <v>Female</v>
      </c>
      <c r="D1442" s="7" t="str">
        <f aca="false">'Raw Data'!D1442</f>
        <v>Former</v>
      </c>
      <c r="E1442" s="7" t="str">
        <f aca="false">'Raw Data'!J1442</f>
        <v>High</v>
      </c>
      <c r="F1442" s="7" t="n">
        <f aca="false">'Raw Data'!K1442</f>
        <v>295.7</v>
      </c>
      <c r="G1442" s="7" t="str">
        <f aca="false">'Raw Data'!L1442</f>
        <v>No</v>
      </c>
      <c r="H1442" s="7" t="str">
        <f aca="false">'Raw Data'!M1442</f>
        <v>High</v>
      </c>
      <c r="I1442" s="7" t="n">
        <f aca="false">(IF(D1442="Current",3,IF(D1442="Former",1,0)))+(IF(E1442="High",3,IF(E1442="Normal",1,0)))+(IF(F1442&gt;=240,2,IF(F1442&gt;=200,1,0)))+(IF(G1442="Yes",2,0))+(IF(H1442="High",2,IF(H1442="Moderate",1,0)))</f>
        <v>8</v>
      </c>
      <c r="J1442" s="7" t="str">
        <f aca="false">IF(I1442&gt;=8,"High",IF(I1442&gt;=4,"Medium","Low"))</f>
        <v>High</v>
      </c>
    </row>
    <row r="1443" customFormat="false" ht="15" hidden="false" customHeight="true" outlineLevel="0" collapsed="false">
      <c r="A1443" s="7" t="n">
        <f aca="false">'Raw Data'!A1443</f>
        <v>2210</v>
      </c>
      <c r="B1443" s="7" t="n">
        <f aca="false">'Raw Data'!B1443</f>
        <v>67</v>
      </c>
      <c r="C1443" s="7" t="str">
        <f aca="false">'Raw Data'!C1443</f>
        <v>Male</v>
      </c>
      <c r="D1443" s="7" t="str">
        <f aca="false">'Raw Data'!D1443</f>
        <v>Current</v>
      </c>
      <c r="E1443" s="7" t="str">
        <f aca="false">'Raw Data'!J1443</f>
        <v>High</v>
      </c>
      <c r="F1443" s="7" t="n">
        <f aca="false">'Raw Data'!K1443</f>
        <v>270.7</v>
      </c>
      <c r="G1443" s="7" t="str">
        <f aca="false">'Raw Data'!L1443</f>
        <v>Yes</v>
      </c>
      <c r="H1443" s="7" t="str">
        <f aca="false">'Raw Data'!M1443</f>
        <v>High</v>
      </c>
      <c r="I1443" s="7" t="n">
        <f aca="false">(IF(D1443="Current",3,IF(D1443="Former",1,0)))+(IF(E1443="High",3,IF(E1443="Normal",1,0)))+(IF(F1443&gt;=240,2,IF(F1443&gt;=200,1,0)))+(IF(G1443="Yes",2,0))+(IF(H1443="High",2,IF(H1443="Moderate",1,0)))</f>
        <v>12</v>
      </c>
      <c r="J1443" s="7" t="str">
        <f aca="false">IF(I1443&gt;=8,"High",IF(I1443&gt;=4,"Medium","Low"))</f>
        <v>High</v>
      </c>
    </row>
    <row r="1444" customFormat="false" ht="15" hidden="false" customHeight="true" outlineLevel="0" collapsed="false">
      <c r="A1444" s="7" t="n">
        <f aca="false">'Raw Data'!A1444</f>
        <v>2236</v>
      </c>
      <c r="B1444" s="7" t="n">
        <f aca="false">'Raw Data'!B1444</f>
        <v>58</v>
      </c>
      <c r="C1444" s="7" t="str">
        <f aca="false">'Raw Data'!C1444</f>
        <v>Male</v>
      </c>
      <c r="D1444" s="7" t="str">
        <f aca="false">'Raw Data'!D1444</f>
        <v>Former</v>
      </c>
      <c r="E1444" s="7" t="str">
        <f aca="false">'Raw Data'!J1444</f>
        <v>High</v>
      </c>
      <c r="F1444" s="7" t="n">
        <f aca="false">'Raw Data'!K1444</f>
        <v>208.1</v>
      </c>
      <c r="G1444" s="7" t="str">
        <f aca="false">'Raw Data'!L1444</f>
        <v>No</v>
      </c>
      <c r="H1444" s="7" t="str">
        <f aca="false">'Raw Data'!M1444</f>
        <v>High</v>
      </c>
      <c r="I1444" s="7" t="n">
        <f aca="false">(IF(D1444="Current",3,IF(D1444="Former",1,0)))+(IF(E1444="High",3,IF(E1444="Normal",1,0)))+(IF(F1444&gt;=240,2,IF(F1444&gt;=200,1,0)))+(IF(G1444="Yes",2,0))+(IF(H1444="High",2,IF(H1444="Moderate",1,0)))</f>
        <v>7</v>
      </c>
      <c r="J1444" s="7" t="str">
        <f aca="false">IF(I1444&gt;=8,"High",IF(I1444&gt;=4,"Medium","Low"))</f>
        <v>Medium</v>
      </c>
    </row>
    <row r="1445" customFormat="false" ht="15" hidden="false" customHeight="true" outlineLevel="0" collapsed="false">
      <c r="A1445" s="7" t="n">
        <f aca="false">'Raw Data'!A1445</f>
        <v>2262</v>
      </c>
      <c r="B1445" s="7" t="n">
        <f aca="false">'Raw Data'!B1445</f>
        <v>28</v>
      </c>
      <c r="C1445" s="7" t="str">
        <f aca="false">'Raw Data'!C1445</f>
        <v>Female</v>
      </c>
      <c r="D1445" s="7" t="str">
        <f aca="false">'Raw Data'!D1445</f>
        <v>Former</v>
      </c>
      <c r="E1445" s="7" t="str">
        <f aca="false">'Raw Data'!J1445</f>
        <v>High</v>
      </c>
      <c r="F1445" s="7" t="n">
        <f aca="false">'Raw Data'!K1445</f>
        <v>131</v>
      </c>
      <c r="G1445" s="7" t="str">
        <f aca="false">'Raw Data'!L1445</f>
        <v>No</v>
      </c>
      <c r="H1445" s="7" t="str">
        <f aca="false">'Raw Data'!M1445</f>
        <v>High</v>
      </c>
      <c r="I1445" s="7" t="n">
        <f aca="false">(IF(D1445="Current",3,IF(D1445="Former",1,0)))+(IF(E1445="High",3,IF(E1445="Normal",1,0)))+(IF(F1445&gt;=240,2,IF(F1445&gt;=200,1,0)))+(IF(G1445="Yes",2,0))+(IF(H1445="High",2,IF(H1445="Moderate",1,0)))</f>
        <v>6</v>
      </c>
      <c r="J1445" s="7" t="str">
        <f aca="false">IF(I1445&gt;=8,"High",IF(I1445&gt;=4,"Medium","Low"))</f>
        <v>Medium</v>
      </c>
    </row>
    <row r="1446" customFormat="false" ht="15" hidden="false" customHeight="true" outlineLevel="0" collapsed="false">
      <c r="A1446" s="7" t="n">
        <f aca="false">'Raw Data'!A1446</f>
        <v>2359</v>
      </c>
      <c r="B1446" s="7" t="n">
        <f aca="false">'Raw Data'!B1446</f>
        <v>53</v>
      </c>
      <c r="C1446" s="7" t="str">
        <f aca="false">'Raw Data'!C1446</f>
        <v>Female</v>
      </c>
      <c r="D1446" s="7" t="str">
        <f aca="false">'Raw Data'!D1446</f>
        <v>Former</v>
      </c>
      <c r="E1446" s="7" t="str">
        <f aca="false">'Raw Data'!J1446</f>
        <v>High</v>
      </c>
      <c r="F1446" s="7" t="n">
        <f aca="false">'Raw Data'!K1446</f>
        <v>146.1</v>
      </c>
      <c r="G1446" s="7" t="str">
        <f aca="false">'Raw Data'!L1446</f>
        <v>No</v>
      </c>
      <c r="H1446" s="7" t="str">
        <f aca="false">'Raw Data'!M1446</f>
        <v>High</v>
      </c>
      <c r="I1446" s="7" t="n">
        <f aca="false">(IF(D1446="Current",3,IF(D1446="Former",1,0)))+(IF(E1446="High",3,IF(E1446="Normal",1,0)))+(IF(F1446&gt;=240,2,IF(F1446&gt;=200,1,0)))+(IF(G1446="Yes",2,0))+(IF(H1446="High",2,IF(H1446="Moderate",1,0)))</f>
        <v>6</v>
      </c>
      <c r="J1446" s="7" t="str">
        <f aca="false">IF(I1446&gt;=8,"High",IF(I1446&gt;=4,"Medium","Low"))</f>
        <v>Medium</v>
      </c>
    </row>
    <row r="1447" customFormat="false" ht="15" hidden="false" customHeight="true" outlineLevel="0" collapsed="false">
      <c r="A1447" s="7" t="n">
        <f aca="false">'Raw Data'!A1447</f>
        <v>2431</v>
      </c>
      <c r="B1447" s="7" t="n">
        <f aca="false">'Raw Data'!B1447</f>
        <v>75</v>
      </c>
      <c r="C1447" s="7" t="str">
        <f aca="false">'Raw Data'!C1447</f>
        <v>Male</v>
      </c>
      <c r="D1447" s="7" t="str">
        <f aca="false">'Raw Data'!D1447</f>
        <v>Current</v>
      </c>
      <c r="E1447" s="7" t="str">
        <f aca="false">'Raw Data'!J1447</f>
        <v>High</v>
      </c>
      <c r="F1447" s="7" t="n">
        <f aca="false">'Raw Data'!K1447</f>
        <v>246.2</v>
      </c>
      <c r="G1447" s="7" t="str">
        <f aca="false">'Raw Data'!L1447</f>
        <v>No</v>
      </c>
      <c r="H1447" s="7" t="str">
        <f aca="false">'Raw Data'!M1447</f>
        <v>High</v>
      </c>
      <c r="I1447" s="7" t="n">
        <f aca="false">(IF(D1447="Current",3,IF(D1447="Former",1,0)))+(IF(E1447="High",3,IF(E1447="Normal",1,0)))+(IF(F1447&gt;=240,2,IF(F1447&gt;=200,1,0)))+(IF(G1447="Yes",2,0))+(IF(H1447="High",2,IF(H1447="Moderate",1,0)))</f>
        <v>10</v>
      </c>
      <c r="J1447" s="7" t="str">
        <f aca="false">IF(I1447&gt;=8,"High",IF(I1447&gt;=4,"Medium","Low"))</f>
        <v>High</v>
      </c>
    </row>
    <row r="1448" customFormat="false" ht="15" hidden="false" customHeight="true" outlineLevel="0" collapsed="false">
      <c r="A1448" s="7" t="n">
        <f aca="false">'Raw Data'!A1448</f>
        <v>2435</v>
      </c>
      <c r="B1448" s="7" t="n">
        <f aca="false">'Raw Data'!B1448</f>
        <v>63</v>
      </c>
      <c r="C1448" s="7" t="str">
        <f aca="false">'Raw Data'!C1448</f>
        <v>Female</v>
      </c>
      <c r="D1448" s="7" t="str">
        <f aca="false">'Raw Data'!D1448</f>
        <v>Current</v>
      </c>
      <c r="E1448" s="7" t="str">
        <f aca="false">'Raw Data'!J1448</f>
        <v>High</v>
      </c>
      <c r="F1448" s="7" t="n">
        <f aca="false">'Raw Data'!K1448</f>
        <v>148.3</v>
      </c>
      <c r="G1448" s="7" t="str">
        <f aca="false">'Raw Data'!L1448</f>
        <v>Yes</v>
      </c>
      <c r="H1448" s="7" t="str">
        <f aca="false">'Raw Data'!M1448</f>
        <v>High</v>
      </c>
      <c r="I1448" s="7" t="n">
        <f aca="false">(IF(D1448="Current",3,IF(D1448="Former",1,0)))+(IF(E1448="High",3,IF(E1448="Normal",1,0)))+(IF(F1448&gt;=240,2,IF(F1448&gt;=200,1,0)))+(IF(G1448="Yes",2,0))+(IF(H1448="High",2,IF(H1448="Moderate",1,0)))</f>
        <v>10</v>
      </c>
      <c r="J1448" s="7" t="str">
        <f aca="false">IF(I1448&gt;=8,"High",IF(I1448&gt;=4,"Medium","Low"))</f>
        <v>High</v>
      </c>
    </row>
    <row r="1449" customFormat="false" ht="15" hidden="false" customHeight="true" outlineLevel="0" collapsed="false">
      <c r="A1449" s="7" t="n">
        <f aca="false">'Raw Data'!A1449</f>
        <v>2455</v>
      </c>
      <c r="B1449" s="7" t="n">
        <f aca="false">'Raw Data'!B1449</f>
        <v>61</v>
      </c>
      <c r="C1449" s="7" t="str">
        <f aca="false">'Raw Data'!C1449</f>
        <v>Male</v>
      </c>
      <c r="D1449" s="7" t="str">
        <f aca="false">'Raw Data'!D1449</f>
        <v>Current</v>
      </c>
      <c r="E1449" s="7" t="str">
        <f aca="false">'Raw Data'!J1449</f>
        <v>High</v>
      </c>
      <c r="F1449" s="7" t="n">
        <f aca="false">'Raw Data'!K1449</f>
        <v>206.3</v>
      </c>
      <c r="G1449" s="7" t="str">
        <f aca="false">'Raw Data'!L1449</f>
        <v>No</v>
      </c>
      <c r="H1449" s="7" t="str">
        <f aca="false">'Raw Data'!M1449</f>
        <v>High</v>
      </c>
      <c r="I1449" s="7" t="n">
        <f aca="false">(IF(D1449="Current",3,IF(D1449="Former",1,0)))+(IF(E1449="High",3,IF(E1449="Normal",1,0)))+(IF(F1449&gt;=240,2,IF(F1449&gt;=200,1,0)))+(IF(G1449="Yes",2,0))+(IF(H1449="High",2,IF(H1449="Moderate",1,0)))</f>
        <v>9</v>
      </c>
      <c r="J1449" s="7" t="str">
        <f aca="false">IF(I1449&gt;=8,"High",IF(I1449&gt;=4,"Medium","Low"))</f>
        <v>High</v>
      </c>
    </row>
    <row r="1450" customFormat="false" ht="15" hidden="false" customHeight="true" outlineLevel="0" collapsed="false">
      <c r="A1450" s="7" t="n">
        <f aca="false">'Raw Data'!A1450</f>
        <v>2478</v>
      </c>
      <c r="B1450" s="7" t="n">
        <f aca="false">'Raw Data'!B1450</f>
        <v>59</v>
      </c>
      <c r="C1450" s="7" t="str">
        <f aca="false">'Raw Data'!C1450</f>
        <v>Female</v>
      </c>
      <c r="D1450" s="7" t="str">
        <f aca="false">'Raw Data'!D1450</f>
        <v>Former</v>
      </c>
      <c r="E1450" s="7" t="str">
        <f aca="false">'Raw Data'!J1450</f>
        <v>High</v>
      </c>
      <c r="F1450" s="7" t="n">
        <f aca="false">'Raw Data'!K1450</f>
        <v>297</v>
      </c>
      <c r="G1450" s="7" t="str">
        <f aca="false">'Raw Data'!L1450</f>
        <v>No</v>
      </c>
      <c r="H1450" s="7" t="str">
        <f aca="false">'Raw Data'!M1450</f>
        <v>High</v>
      </c>
      <c r="I1450" s="7" t="n">
        <f aca="false">(IF(D1450="Current",3,IF(D1450="Former",1,0)))+(IF(E1450="High",3,IF(E1450="Normal",1,0)))+(IF(F1450&gt;=240,2,IF(F1450&gt;=200,1,0)))+(IF(G1450="Yes",2,0))+(IF(H1450="High",2,IF(H1450="Moderate",1,0)))</f>
        <v>8</v>
      </c>
      <c r="J1450" s="7" t="str">
        <f aca="false">IF(I1450&gt;=8,"High",IF(I1450&gt;=4,"Medium","Low"))</f>
        <v>High</v>
      </c>
    </row>
    <row r="1451" customFormat="false" ht="15" hidden="false" customHeight="true" outlineLevel="0" collapsed="false">
      <c r="A1451" s="7" t="n">
        <f aca="false">'Raw Data'!A1451</f>
        <v>36</v>
      </c>
      <c r="B1451" s="7" t="n">
        <f aca="false">'Raw Data'!B1451</f>
        <v>33</v>
      </c>
      <c r="C1451" s="7" t="str">
        <f aca="false">'Raw Data'!C1451</f>
        <v>Female</v>
      </c>
      <c r="D1451" s="7" t="str">
        <f aca="false">'Raw Data'!D1451</f>
        <v>Former</v>
      </c>
      <c r="E1451" s="7" t="str">
        <f aca="false">'Raw Data'!J1451</f>
        <v>High</v>
      </c>
      <c r="F1451" s="7" t="n">
        <f aca="false">'Raw Data'!K1451</f>
        <v>223.6</v>
      </c>
      <c r="G1451" s="7" t="str">
        <f aca="false">'Raw Data'!L1451</f>
        <v>No</v>
      </c>
      <c r="H1451" s="7" t="str">
        <f aca="false">'Raw Data'!M1451</f>
        <v>Moderate</v>
      </c>
      <c r="I1451" s="7" t="n">
        <f aca="false">(IF(D1451="Current",3,IF(D1451="Former",1,0)))+(IF(E1451="High",3,IF(E1451="Normal",1,0)))+(IF(F1451&gt;=240,2,IF(F1451&gt;=200,1,0)))+(IF(G1451="Yes",2,0))+(IF(H1451="High",2,IF(H1451="Moderate",1,0)))</f>
        <v>6</v>
      </c>
      <c r="J1451" s="7" t="str">
        <f aca="false">IF(I1451&gt;=8,"High",IF(I1451&gt;=4,"Medium","Low"))</f>
        <v>Medium</v>
      </c>
    </row>
    <row r="1452" customFormat="false" ht="15" hidden="false" customHeight="true" outlineLevel="0" collapsed="false">
      <c r="A1452" s="7" t="n">
        <f aca="false">'Raw Data'!A1452</f>
        <v>58</v>
      </c>
      <c r="B1452" s="7" t="n">
        <f aca="false">'Raw Data'!B1452</f>
        <v>34</v>
      </c>
      <c r="C1452" s="7" t="str">
        <f aca="false">'Raw Data'!C1452</f>
        <v>Female</v>
      </c>
      <c r="D1452" s="7" t="str">
        <f aca="false">'Raw Data'!D1452</f>
        <v>Current</v>
      </c>
      <c r="E1452" s="7" t="str">
        <f aca="false">'Raw Data'!J1452</f>
        <v>High</v>
      </c>
      <c r="F1452" s="7" t="n">
        <f aca="false">'Raw Data'!K1452</f>
        <v>208.7</v>
      </c>
      <c r="G1452" s="7" t="str">
        <f aca="false">'Raw Data'!L1452</f>
        <v>No</v>
      </c>
      <c r="H1452" s="7" t="str">
        <f aca="false">'Raw Data'!M1452</f>
        <v>Moderate</v>
      </c>
      <c r="I1452" s="7" t="n">
        <f aca="false">(IF(D1452="Current",3,IF(D1452="Former",1,0)))+(IF(E1452="High",3,IF(E1452="Normal",1,0)))+(IF(F1452&gt;=240,2,IF(F1452&gt;=200,1,0)))+(IF(G1452="Yes",2,0))+(IF(H1452="High",2,IF(H1452="Moderate",1,0)))</f>
        <v>8</v>
      </c>
      <c r="J1452" s="7" t="str">
        <f aca="false">IF(I1452&gt;=8,"High",IF(I1452&gt;=4,"Medium","Low"))</f>
        <v>High</v>
      </c>
    </row>
    <row r="1453" customFormat="false" ht="15" hidden="false" customHeight="true" outlineLevel="0" collapsed="false">
      <c r="A1453" s="7" t="n">
        <f aca="false">'Raw Data'!A1453</f>
        <v>69</v>
      </c>
      <c r="B1453" s="7" t="n">
        <f aca="false">'Raw Data'!B1453</f>
        <v>25</v>
      </c>
      <c r="C1453" s="7" t="str">
        <f aca="false">'Raw Data'!C1453</f>
        <v>Female</v>
      </c>
      <c r="D1453" s="7" t="str">
        <f aca="false">'Raw Data'!D1453</f>
        <v>Current</v>
      </c>
      <c r="E1453" s="7" t="str">
        <f aca="false">'Raw Data'!J1453</f>
        <v>High</v>
      </c>
      <c r="F1453" s="7" t="n">
        <f aca="false">'Raw Data'!K1453</f>
        <v>248</v>
      </c>
      <c r="G1453" s="7" t="str">
        <f aca="false">'Raw Data'!L1453</f>
        <v>Yes</v>
      </c>
      <c r="H1453" s="7" t="str">
        <f aca="false">'Raw Data'!M1453</f>
        <v>Moderate</v>
      </c>
      <c r="I1453" s="7" t="n">
        <f aca="false">(IF(D1453="Current",3,IF(D1453="Former",1,0)))+(IF(E1453="High",3,IF(E1453="Normal",1,0)))+(IF(F1453&gt;=240,2,IF(F1453&gt;=200,1,0)))+(IF(G1453="Yes",2,0))+(IF(H1453="High",2,IF(H1453="Moderate",1,0)))</f>
        <v>11</v>
      </c>
      <c r="J1453" s="7" t="str">
        <f aca="false">IF(I1453&gt;=8,"High",IF(I1453&gt;=4,"Medium","Low"))</f>
        <v>High</v>
      </c>
    </row>
    <row r="1454" customFormat="false" ht="15" hidden="false" customHeight="true" outlineLevel="0" collapsed="false">
      <c r="A1454" s="7" t="n">
        <f aca="false">'Raw Data'!A1454</f>
        <v>139</v>
      </c>
      <c r="B1454" s="7" t="n">
        <f aca="false">'Raw Data'!B1454</f>
        <v>87</v>
      </c>
      <c r="C1454" s="7" t="str">
        <f aca="false">'Raw Data'!C1454</f>
        <v>Male</v>
      </c>
      <c r="D1454" s="7" t="str">
        <f aca="false">'Raw Data'!D1454</f>
        <v>Former</v>
      </c>
      <c r="E1454" s="7" t="str">
        <f aca="false">'Raw Data'!J1454</f>
        <v>High</v>
      </c>
      <c r="F1454" s="7" t="n">
        <f aca="false">'Raw Data'!K1454</f>
        <v>121.6</v>
      </c>
      <c r="G1454" s="7" t="str">
        <f aca="false">'Raw Data'!L1454</f>
        <v>No</v>
      </c>
      <c r="H1454" s="7" t="str">
        <f aca="false">'Raw Data'!M1454</f>
        <v>Moderate</v>
      </c>
      <c r="I1454" s="7" t="n">
        <f aca="false">(IF(D1454="Current",3,IF(D1454="Former",1,0)))+(IF(E1454="High",3,IF(E1454="Normal",1,0)))+(IF(F1454&gt;=240,2,IF(F1454&gt;=200,1,0)))+(IF(G1454="Yes",2,0))+(IF(H1454="High",2,IF(H1454="Moderate",1,0)))</f>
        <v>5</v>
      </c>
      <c r="J1454" s="7" t="str">
        <f aca="false">IF(I1454&gt;=8,"High",IF(I1454&gt;=4,"Medium","Low"))</f>
        <v>Medium</v>
      </c>
    </row>
    <row r="1455" customFormat="false" ht="15" hidden="false" customHeight="true" outlineLevel="0" collapsed="false">
      <c r="A1455" s="7" t="n">
        <f aca="false">'Raw Data'!A1455</f>
        <v>164</v>
      </c>
      <c r="B1455" s="7" t="n">
        <f aca="false">'Raw Data'!B1455</f>
        <v>72</v>
      </c>
      <c r="C1455" s="7" t="str">
        <f aca="false">'Raw Data'!C1455</f>
        <v>Female</v>
      </c>
      <c r="D1455" s="7" t="str">
        <f aca="false">'Raw Data'!D1455</f>
        <v>Current</v>
      </c>
      <c r="E1455" s="7" t="str">
        <f aca="false">'Raw Data'!J1455</f>
        <v>High</v>
      </c>
      <c r="F1455" s="7" t="n">
        <f aca="false">'Raw Data'!K1455</f>
        <v>182.6</v>
      </c>
      <c r="G1455" s="7" t="str">
        <f aca="false">'Raw Data'!L1455</f>
        <v>No</v>
      </c>
      <c r="H1455" s="7" t="str">
        <f aca="false">'Raw Data'!M1455</f>
        <v>Moderate</v>
      </c>
      <c r="I1455" s="7" t="n">
        <f aca="false">(IF(D1455="Current",3,IF(D1455="Former",1,0)))+(IF(E1455="High",3,IF(E1455="Normal",1,0)))+(IF(F1455&gt;=240,2,IF(F1455&gt;=200,1,0)))+(IF(G1455="Yes",2,0))+(IF(H1455="High",2,IF(H1455="Moderate",1,0)))</f>
        <v>7</v>
      </c>
      <c r="J1455" s="7" t="str">
        <f aca="false">IF(I1455&gt;=8,"High",IF(I1455&gt;=4,"Medium","Low"))</f>
        <v>Medium</v>
      </c>
    </row>
    <row r="1456" customFormat="false" ht="15" hidden="false" customHeight="true" outlineLevel="0" collapsed="false">
      <c r="A1456" s="7" t="n">
        <f aca="false">'Raw Data'!A1456</f>
        <v>178</v>
      </c>
      <c r="B1456" s="7" t="n">
        <f aca="false">'Raw Data'!B1456</f>
        <v>69</v>
      </c>
      <c r="C1456" s="7" t="str">
        <f aca="false">'Raw Data'!C1456</f>
        <v>Male</v>
      </c>
      <c r="D1456" s="7" t="str">
        <f aca="false">'Raw Data'!D1456</f>
        <v>Former</v>
      </c>
      <c r="E1456" s="7" t="str">
        <f aca="false">'Raw Data'!J1456</f>
        <v>High</v>
      </c>
      <c r="F1456" s="7" t="n">
        <f aca="false">'Raw Data'!K1456</f>
        <v>261.6</v>
      </c>
      <c r="G1456" s="7" t="str">
        <f aca="false">'Raw Data'!L1456</f>
        <v>No</v>
      </c>
      <c r="H1456" s="7" t="str">
        <f aca="false">'Raw Data'!M1456</f>
        <v>Moderate</v>
      </c>
      <c r="I1456" s="7" t="n">
        <f aca="false">(IF(D1456="Current",3,IF(D1456="Former",1,0)))+(IF(E1456="High",3,IF(E1456="Normal",1,0)))+(IF(F1456&gt;=240,2,IF(F1456&gt;=200,1,0)))+(IF(G1456="Yes",2,0))+(IF(H1456="High",2,IF(H1456="Moderate",1,0)))</f>
        <v>7</v>
      </c>
      <c r="J1456" s="7" t="str">
        <f aca="false">IF(I1456&gt;=8,"High",IF(I1456&gt;=4,"Medium","Low"))</f>
        <v>Medium</v>
      </c>
    </row>
    <row r="1457" customFormat="false" ht="15" hidden="false" customHeight="true" outlineLevel="0" collapsed="false">
      <c r="A1457" s="7" t="n">
        <f aca="false">'Raw Data'!A1457</f>
        <v>182</v>
      </c>
      <c r="B1457" s="7" t="n">
        <f aca="false">'Raw Data'!B1457</f>
        <v>25</v>
      </c>
      <c r="C1457" s="7" t="str">
        <f aca="false">'Raw Data'!C1457</f>
        <v>Female</v>
      </c>
      <c r="D1457" s="7" t="str">
        <f aca="false">'Raw Data'!D1457</f>
        <v>Current</v>
      </c>
      <c r="E1457" s="7" t="str">
        <f aca="false">'Raw Data'!J1457</f>
        <v>High</v>
      </c>
      <c r="F1457" s="7" t="n">
        <f aca="false">'Raw Data'!K1457</f>
        <v>173.2</v>
      </c>
      <c r="G1457" s="7" t="str">
        <f aca="false">'Raw Data'!L1457</f>
        <v>No</v>
      </c>
      <c r="H1457" s="7" t="str">
        <f aca="false">'Raw Data'!M1457</f>
        <v>Moderate</v>
      </c>
      <c r="I1457" s="7" t="n">
        <f aca="false">(IF(D1457="Current",3,IF(D1457="Former",1,0)))+(IF(E1457="High",3,IF(E1457="Normal",1,0)))+(IF(F1457&gt;=240,2,IF(F1457&gt;=200,1,0)))+(IF(G1457="Yes",2,0))+(IF(H1457="High",2,IF(H1457="Moderate",1,0)))</f>
        <v>7</v>
      </c>
      <c r="J1457" s="7" t="str">
        <f aca="false">IF(I1457&gt;=8,"High",IF(I1457&gt;=4,"Medium","Low"))</f>
        <v>Medium</v>
      </c>
    </row>
    <row r="1458" customFormat="false" ht="15" hidden="false" customHeight="true" outlineLevel="0" collapsed="false">
      <c r="A1458" s="7" t="n">
        <f aca="false">'Raw Data'!A1458</f>
        <v>242</v>
      </c>
      <c r="B1458" s="7" t="n">
        <f aca="false">'Raw Data'!B1458</f>
        <v>73</v>
      </c>
      <c r="C1458" s="7" t="str">
        <f aca="false">'Raw Data'!C1458</f>
        <v>Female</v>
      </c>
      <c r="D1458" s="7" t="str">
        <f aca="false">'Raw Data'!D1458</f>
        <v>Former</v>
      </c>
      <c r="E1458" s="7" t="str">
        <f aca="false">'Raw Data'!J1458</f>
        <v>High</v>
      </c>
      <c r="F1458" s="7" t="n">
        <f aca="false">'Raw Data'!K1458</f>
        <v>290.4</v>
      </c>
      <c r="G1458" s="7" t="str">
        <f aca="false">'Raw Data'!L1458</f>
        <v>No</v>
      </c>
      <c r="H1458" s="7" t="str">
        <f aca="false">'Raw Data'!M1458</f>
        <v>Moderate</v>
      </c>
      <c r="I1458" s="7" t="n">
        <f aca="false">(IF(D1458="Current",3,IF(D1458="Former",1,0)))+(IF(E1458="High",3,IF(E1458="Normal",1,0)))+(IF(F1458&gt;=240,2,IF(F1458&gt;=200,1,0)))+(IF(G1458="Yes",2,0))+(IF(H1458="High",2,IF(H1458="Moderate",1,0)))</f>
        <v>7</v>
      </c>
      <c r="J1458" s="7" t="str">
        <f aca="false">IF(I1458&gt;=8,"High",IF(I1458&gt;=4,"Medium","Low"))</f>
        <v>Medium</v>
      </c>
    </row>
    <row r="1459" customFormat="false" ht="15" hidden="false" customHeight="true" outlineLevel="0" collapsed="false">
      <c r="A1459" s="7" t="n">
        <f aca="false">'Raw Data'!A1459</f>
        <v>252</v>
      </c>
      <c r="B1459" s="7" t="n">
        <f aca="false">'Raw Data'!B1459</f>
        <v>81</v>
      </c>
      <c r="C1459" s="7" t="str">
        <f aca="false">'Raw Data'!C1459</f>
        <v>Male</v>
      </c>
      <c r="D1459" s="7" t="str">
        <f aca="false">'Raw Data'!D1459</f>
        <v>Former</v>
      </c>
      <c r="E1459" s="7" t="str">
        <f aca="false">'Raw Data'!J1459</f>
        <v>High</v>
      </c>
      <c r="F1459" s="7" t="n">
        <f aca="false">'Raw Data'!K1459</f>
        <v>193.4</v>
      </c>
      <c r="G1459" s="7" t="str">
        <f aca="false">'Raw Data'!L1459</f>
        <v>No</v>
      </c>
      <c r="H1459" s="7" t="str">
        <f aca="false">'Raw Data'!M1459</f>
        <v>Moderate</v>
      </c>
      <c r="I1459" s="7" t="n">
        <f aca="false">(IF(D1459="Current",3,IF(D1459="Former",1,0)))+(IF(E1459="High",3,IF(E1459="Normal",1,0)))+(IF(F1459&gt;=240,2,IF(F1459&gt;=200,1,0)))+(IF(G1459="Yes",2,0))+(IF(H1459="High",2,IF(H1459="Moderate",1,0)))</f>
        <v>5</v>
      </c>
      <c r="J1459" s="7" t="str">
        <f aca="false">IF(I1459&gt;=8,"High",IF(I1459&gt;=4,"Medium","Low"))</f>
        <v>Medium</v>
      </c>
    </row>
    <row r="1460" customFormat="false" ht="15" hidden="false" customHeight="true" outlineLevel="0" collapsed="false">
      <c r="A1460" s="7" t="n">
        <f aca="false">'Raw Data'!A1460</f>
        <v>266</v>
      </c>
      <c r="B1460" s="7" t="n">
        <f aca="false">'Raw Data'!B1460</f>
        <v>72</v>
      </c>
      <c r="C1460" s="7" t="str">
        <f aca="false">'Raw Data'!C1460</f>
        <v>Female</v>
      </c>
      <c r="D1460" s="7" t="str">
        <f aca="false">'Raw Data'!D1460</f>
        <v>Current</v>
      </c>
      <c r="E1460" s="7" t="str">
        <f aca="false">'Raw Data'!J1460</f>
        <v>High</v>
      </c>
      <c r="F1460" s="7" t="n">
        <f aca="false">'Raw Data'!K1460</f>
        <v>257</v>
      </c>
      <c r="G1460" s="7" t="str">
        <f aca="false">'Raw Data'!L1460</f>
        <v>No</v>
      </c>
      <c r="H1460" s="7" t="str">
        <f aca="false">'Raw Data'!M1460</f>
        <v>Moderate</v>
      </c>
      <c r="I1460" s="7" t="n">
        <f aca="false">(IF(D1460="Current",3,IF(D1460="Former",1,0)))+(IF(E1460="High",3,IF(E1460="Normal",1,0)))+(IF(F1460&gt;=240,2,IF(F1460&gt;=200,1,0)))+(IF(G1460="Yes",2,0))+(IF(H1460="High",2,IF(H1460="Moderate",1,0)))</f>
        <v>9</v>
      </c>
      <c r="J1460" s="7" t="str">
        <f aca="false">IF(I1460&gt;=8,"High",IF(I1460&gt;=4,"Medium","Low"))</f>
        <v>High</v>
      </c>
    </row>
    <row r="1461" customFormat="false" ht="15" hidden="false" customHeight="true" outlineLevel="0" collapsed="false">
      <c r="A1461" s="7" t="n">
        <f aca="false">'Raw Data'!A1461</f>
        <v>289</v>
      </c>
      <c r="B1461" s="7" t="n">
        <f aca="false">'Raw Data'!B1461</f>
        <v>43</v>
      </c>
      <c r="C1461" s="7" t="str">
        <f aca="false">'Raw Data'!C1461</f>
        <v>Male</v>
      </c>
      <c r="D1461" s="7" t="str">
        <f aca="false">'Raw Data'!D1461</f>
        <v>Former</v>
      </c>
      <c r="E1461" s="7" t="str">
        <f aca="false">'Raw Data'!J1461</f>
        <v>High</v>
      </c>
      <c r="F1461" s="7" t="n">
        <f aca="false">'Raw Data'!K1461</f>
        <v>272.3</v>
      </c>
      <c r="G1461" s="7" t="str">
        <f aca="false">'Raw Data'!L1461</f>
        <v>No</v>
      </c>
      <c r="H1461" s="7" t="str">
        <f aca="false">'Raw Data'!M1461</f>
        <v>Moderate</v>
      </c>
      <c r="I1461" s="7" t="n">
        <f aca="false">(IF(D1461="Current",3,IF(D1461="Former",1,0)))+(IF(E1461="High",3,IF(E1461="Normal",1,0)))+(IF(F1461&gt;=240,2,IF(F1461&gt;=200,1,0)))+(IF(G1461="Yes",2,0))+(IF(H1461="High",2,IF(H1461="Moderate",1,0)))</f>
        <v>7</v>
      </c>
      <c r="J1461" s="7" t="str">
        <f aca="false">IF(I1461&gt;=8,"High",IF(I1461&gt;=4,"Medium","Low"))</f>
        <v>Medium</v>
      </c>
    </row>
    <row r="1462" customFormat="false" ht="15" hidden="false" customHeight="true" outlineLevel="0" collapsed="false">
      <c r="A1462" s="7" t="n">
        <f aca="false">'Raw Data'!A1462</f>
        <v>301</v>
      </c>
      <c r="B1462" s="7" t="n">
        <f aca="false">'Raw Data'!B1462</f>
        <v>81</v>
      </c>
      <c r="C1462" s="7" t="str">
        <f aca="false">'Raw Data'!C1462</f>
        <v>Female</v>
      </c>
      <c r="D1462" s="7" t="str">
        <f aca="false">'Raw Data'!D1462</f>
        <v>Former</v>
      </c>
      <c r="E1462" s="7" t="str">
        <f aca="false">'Raw Data'!J1462</f>
        <v>High</v>
      </c>
      <c r="F1462" s="7" t="n">
        <f aca="false">'Raw Data'!K1462</f>
        <v>265.6</v>
      </c>
      <c r="G1462" s="7" t="str">
        <f aca="false">'Raw Data'!L1462</f>
        <v>No</v>
      </c>
      <c r="H1462" s="7" t="str">
        <f aca="false">'Raw Data'!M1462</f>
        <v>Moderate</v>
      </c>
      <c r="I1462" s="7" t="n">
        <f aca="false">(IF(D1462="Current",3,IF(D1462="Former",1,0)))+(IF(E1462="High",3,IF(E1462="Normal",1,0)))+(IF(F1462&gt;=240,2,IF(F1462&gt;=200,1,0)))+(IF(G1462="Yes",2,0))+(IF(H1462="High",2,IF(H1462="Moderate",1,0)))</f>
        <v>7</v>
      </c>
      <c r="J1462" s="7" t="str">
        <f aca="false">IF(I1462&gt;=8,"High",IF(I1462&gt;=4,"Medium","Low"))</f>
        <v>Medium</v>
      </c>
    </row>
    <row r="1463" customFormat="false" ht="15" hidden="false" customHeight="true" outlineLevel="0" collapsed="false">
      <c r="A1463" s="7" t="n">
        <f aca="false">'Raw Data'!A1463</f>
        <v>310</v>
      </c>
      <c r="B1463" s="7" t="n">
        <f aca="false">'Raw Data'!B1463</f>
        <v>43</v>
      </c>
      <c r="C1463" s="7" t="str">
        <f aca="false">'Raw Data'!C1463</f>
        <v>Male</v>
      </c>
      <c r="D1463" s="7" t="str">
        <f aca="false">'Raw Data'!D1463</f>
        <v>Current</v>
      </c>
      <c r="E1463" s="7" t="str">
        <f aca="false">'Raw Data'!J1463</f>
        <v>High</v>
      </c>
      <c r="F1463" s="7" t="n">
        <f aca="false">'Raw Data'!K1463</f>
        <v>121.2</v>
      </c>
      <c r="G1463" s="7" t="str">
        <f aca="false">'Raw Data'!L1463</f>
        <v>No</v>
      </c>
      <c r="H1463" s="7" t="str">
        <f aca="false">'Raw Data'!M1463</f>
        <v>Moderate</v>
      </c>
      <c r="I1463" s="7" t="n">
        <f aca="false">(IF(D1463="Current",3,IF(D1463="Former",1,0)))+(IF(E1463="High",3,IF(E1463="Normal",1,0)))+(IF(F1463&gt;=240,2,IF(F1463&gt;=200,1,0)))+(IF(G1463="Yes",2,0))+(IF(H1463="High",2,IF(H1463="Moderate",1,0)))</f>
        <v>7</v>
      </c>
      <c r="J1463" s="7" t="str">
        <f aca="false">IF(I1463&gt;=8,"High",IF(I1463&gt;=4,"Medium","Low"))</f>
        <v>Medium</v>
      </c>
    </row>
    <row r="1464" customFormat="false" ht="15" hidden="false" customHeight="true" outlineLevel="0" collapsed="false">
      <c r="A1464" s="7" t="n">
        <f aca="false">'Raw Data'!A1464</f>
        <v>316</v>
      </c>
      <c r="B1464" s="7" t="n">
        <f aca="false">'Raw Data'!B1464</f>
        <v>23</v>
      </c>
      <c r="C1464" s="7" t="str">
        <f aca="false">'Raw Data'!C1464</f>
        <v>Male</v>
      </c>
      <c r="D1464" s="7" t="str">
        <f aca="false">'Raw Data'!D1464</f>
        <v>Current</v>
      </c>
      <c r="E1464" s="7" t="str">
        <f aca="false">'Raw Data'!J1464</f>
        <v>High</v>
      </c>
      <c r="F1464" s="7" t="n">
        <f aca="false">'Raw Data'!K1464</f>
        <v>274.8</v>
      </c>
      <c r="G1464" s="7" t="str">
        <f aca="false">'Raw Data'!L1464</f>
        <v>Yes</v>
      </c>
      <c r="H1464" s="7" t="str">
        <f aca="false">'Raw Data'!M1464</f>
        <v>Moderate</v>
      </c>
      <c r="I1464" s="7" t="n">
        <f aca="false">(IF(D1464="Current",3,IF(D1464="Former",1,0)))+(IF(E1464="High",3,IF(E1464="Normal",1,0)))+(IF(F1464&gt;=240,2,IF(F1464&gt;=200,1,0)))+(IF(G1464="Yes",2,0))+(IF(H1464="High",2,IF(H1464="Moderate",1,0)))</f>
        <v>11</v>
      </c>
      <c r="J1464" s="7" t="str">
        <f aca="false">IF(I1464&gt;=8,"High",IF(I1464&gt;=4,"Medium","Low"))</f>
        <v>High</v>
      </c>
    </row>
    <row r="1465" customFormat="false" ht="15" hidden="false" customHeight="true" outlineLevel="0" collapsed="false">
      <c r="A1465" s="7" t="n">
        <f aca="false">'Raw Data'!A1465</f>
        <v>348</v>
      </c>
      <c r="B1465" s="7" t="n">
        <f aca="false">'Raw Data'!B1465</f>
        <v>37</v>
      </c>
      <c r="C1465" s="7" t="str">
        <f aca="false">'Raw Data'!C1465</f>
        <v>Female</v>
      </c>
      <c r="D1465" s="7" t="str">
        <f aca="false">'Raw Data'!D1465</f>
        <v>Current</v>
      </c>
      <c r="E1465" s="7" t="str">
        <f aca="false">'Raw Data'!J1465</f>
        <v>High</v>
      </c>
      <c r="F1465" s="7" t="n">
        <f aca="false">'Raw Data'!K1465</f>
        <v>264.5</v>
      </c>
      <c r="G1465" s="7" t="str">
        <f aca="false">'Raw Data'!L1465</f>
        <v>No</v>
      </c>
      <c r="H1465" s="7" t="str">
        <f aca="false">'Raw Data'!M1465</f>
        <v>Moderate</v>
      </c>
      <c r="I1465" s="7" t="n">
        <f aca="false">(IF(D1465="Current",3,IF(D1465="Former",1,0)))+(IF(E1465="High",3,IF(E1465="Normal",1,0)))+(IF(F1465&gt;=240,2,IF(F1465&gt;=200,1,0)))+(IF(G1465="Yes",2,0))+(IF(H1465="High",2,IF(H1465="Moderate",1,0)))</f>
        <v>9</v>
      </c>
      <c r="J1465" s="7" t="str">
        <f aca="false">IF(I1465&gt;=8,"High",IF(I1465&gt;=4,"Medium","Low"))</f>
        <v>High</v>
      </c>
    </row>
    <row r="1466" customFormat="false" ht="15" hidden="false" customHeight="true" outlineLevel="0" collapsed="false">
      <c r="A1466" s="7" t="n">
        <f aca="false">'Raw Data'!A1466</f>
        <v>362</v>
      </c>
      <c r="B1466" s="7" t="n">
        <f aca="false">'Raw Data'!B1466</f>
        <v>55</v>
      </c>
      <c r="C1466" s="7" t="str">
        <f aca="false">'Raw Data'!C1466</f>
        <v>Female</v>
      </c>
      <c r="D1466" s="7" t="str">
        <f aca="false">'Raw Data'!D1466</f>
        <v>Former</v>
      </c>
      <c r="E1466" s="7" t="str">
        <f aca="false">'Raw Data'!J1466</f>
        <v>High</v>
      </c>
      <c r="F1466" s="7" t="n">
        <f aca="false">'Raw Data'!K1466</f>
        <v>280.9</v>
      </c>
      <c r="G1466" s="7" t="str">
        <f aca="false">'Raw Data'!L1466</f>
        <v>No</v>
      </c>
      <c r="H1466" s="7" t="str">
        <f aca="false">'Raw Data'!M1466</f>
        <v>Moderate</v>
      </c>
      <c r="I1466" s="7" t="n">
        <f aca="false">(IF(D1466="Current",3,IF(D1466="Former",1,0)))+(IF(E1466="High",3,IF(E1466="Normal",1,0)))+(IF(F1466&gt;=240,2,IF(F1466&gt;=200,1,0)))+(IF(G1466="Yes",2,0))+(IF(H1466="High",2,IF(H1466="Moderate",1,0)))</f>
        <v>7</v>
      </c>
      <c r="J1466" s="7" t="str">
        <f aca="false">IF(I1466&gt;=8,"High",IF(I1466&gt;=4,"Medium","Low"))</f>
        <v>Medium</v>
      </c>
    </row>
    <row r="1467" customFormat="false" ht="15" hidden="false" customHeight="true" outlineLevel="0" collapsed="false">
      <c r="A1467" s="7" t="n">
        <f aca="false">'Raw Data'!A1467</f>
        <v>378</v>
      </c>
      <c r="B1467" s="7" t="n">
        <f aca="false">'Raw Data'!B1467</f>
        <v>40</v>
      </c>
      <c r="C1467" s="7" t="str">
        <f aca="false">'Raw Data'!C1467</f>
        <v>Female</v>
      </c>
      <c r="D1467" s="7" t="str">
        <f aca="false">'Raw Data'!D1467</f>
        <v>Former</v>
      </c>
      <c r="E1467" s="7" t="str">
        <f aca="false">'Raw Data'!J1467</f>
        <v>High</v>
      </c>
      <c r="F1467" s="7" t="n">
        <f aca="false">'Raw Data'!K1467</f>
        <v>134.9</v>
      </c>
      <c r="G1467" s="7" t="str">
        <f aca="false">'Raw Data'!L1467</f>
        <v>Yes</v>
      </c>
      <c r="H1467" s="7" t="str">
        <f aca="false">'Raw Data'!M1467</f>
        <v>Moderate</v>
      </c>
      <c r="I1467" s="7" t="n">
        <f aca="false">(IF(D1467="Current",3,IF(D1467="Former",1,0)))+(IF(E1467="High",3,IF(E1467="Normal",1,0)))+(IF(F1467&gt;=240,2,IF(F1467&gt;=200,1,0)))+(IF(G1467="Yes",2,0))+(IF(H1467="High",2,IF(H1467="Moderate",1,0)))</f>
        <v>7</v>
      </c>
      <c r="J1467" s="7" t="str">
        <f aca="false">IF(I1467&gt;=8,"High",IF(I1467&gt;=4,"Medium","Low"))</f>
        <v>Medium</v>
      </c>
    </row>
    <row r="1468" customFormat="false" ht="15" hidden="false" customHeight="true" outlineLevel="0" collapsed="false">
      <c r="A1468" s="7" t="n">
        <f aca="false">'Raw Data'!A1468</f>
        <v>400</v>
      </c>
      <c r="B1468" s="7" t="n">
        <f aca="false">'Raw Data'!B1468</f>
        <v>47</v>
      </c>
      <c r="C1468" s="7" t="str">
        <f aca="false">'Raw Data'!C1468</f>
        <v>Male</v>
      </c>
      <c r="D1468" s="7" t="str">
        <f aca="false">'Raw Data'!D1468</f>
        <v>Former</v>
      </c>
      <c r="E1468" s="7" t="str">
        <f aca="false">'Raw Data'!J1468</f>
        <v>High</v>
      </c>
      <c r="F1468" s="7" t="n">
        <f aca="false">'Raw Data'!K1468</f>
        <v>251</v>
      </c>
      <c r="G1468" s="7" t="str">
        <f aca="false">'Raw Data'!L1468</f>
        <v>No</v>
      </c>
      <c r="H1468" s="7" t="str">
        <f aca="false">'Raw Data'!M1468</f>
        <v>Moderate</v>
      </c>
      <c r="I1468" s="7" t="n">
        <f aca="false">(IF(D1468="Current",3,IF(D1468="Former",1,0)))+(IF(E1468="High",3,IF(E1468="Normal",1,0)))+(IF(F1468&gt;=240,2,IF(F1468&gt;=200,1,0)))+(IF(G1468="Yes",2,0))+(IF(H1468="High",2,IF(H1468="Moderate",1,0)))</f>
        <v>7</v>
      </c>
      <c r="J1468" s="7" t="str">
        <f aca="false">IF(I1468&gt;=8,"High",IF(I1468&gt;=4,"Medium","Low"))</f>
        <v>Medium</v>
      </c>
    </row>
    <row r="1469" customFormat="false" ht="15" hidden="false" customHeight="true" outlineLevel="0" collapsed="false">
      <c r="A1469" s="7" t="n">
        <f aca="false">'Raw Data'!A1469</f>
        <v>404</v>
      </c>
      <c r="B1469" s="7" t="n">
        <f aca="false">'Raw Data'!B1469</f>
        <v>61</v>
      </c>
      <c r="C1469" s="7" t="str">
        <f aca="false">'Raw Data'!C1469</f>
        <v>Female</v>
      </c>
      <c r="D1469" s="7" t="str">
        <f aca="false">'Raw Data'!D1469</f>
        <v>Current</v>
      </c>
      <c r="E1469" s="7" t="str">
        <f aca="false">'Raw Data'!J1469</f>
        <v>High</v>
      </c>
      <c r="F1469" s="7" t="n">
        <f aca="false">'Raw Data'!K1469</f>
        <v>295.9</v>
      </c>
      <c r="G1469" s="7" t="str">
        <f aca="false">'Raw Data'!L1469</f>
        <v>No</v>
      </c>
      <c r="H1469" s="7" t="str">
        <f aca="false">'Raw Data'!M1469</f>
        <v>Moderate</v>
      </c>
      <c r="I1469" s="7" t="n">
        <f aca="false">(IF(D1469="Current",3,IF(D1469="Former",1,0)))+(IF(E1469="High",3,IF(E1469="Normal",1,0)))+(IF(F1469&gt;=240,2,IF(F1469&gt;=200,1,0)))+(IF(G1469="Yes",2,0))+(IF(H1469="High",2,IF(H1469="Moderate",1,0)))</f>
        <v>9</v>
      </c>
      <c r="J1469" s="7" t="str">
        <f aca="false">IF(I1469&gt;=8,"High",IF(I1469&gt;=4,"Medium","Low"))</f>
        <v>High</v>
      </c>
    </row>
    <row r="1470" customFormat="false" ht="15" hidden="false" customHeight="true" outlineLevel="0" collapsed="false">
      <c r="A1470" s="7" t="n">
        <f aca="false">'Raw Data'!A1470</f>
        <v>412</v>
      </c>
      <c r="B1470" s="7" t="n">
        <f aca="false">'Raw Data'!B1470</f>
        <v>38</v>
      </c>
      <c r="C1470" s="7" t="str">
        <f aca="false">'Raw Data'!C1470</f>
        <v>Female</v>
      </c>
      <c r="D1470" s="7" t="str">
        <f aca="false">'Raw Data'!D1470</f>
        <v>Former</v>
      </c>
      <c r="E1470" s="7" t="str">
        <f aca="false">'Raw Data'!J1470</f>
        <v>High</v>
      </c>
      <c r="F1470" s="7" t="n">
        <f aca="false">'Raw Data'!K1470</f>
        <v>193.2</v>
      </c>
      <c r="G1470" s="7" t="str">
        <f aca="false">'Raw Data'!L1470</f>
        <v>Yes</v>
      </c>
      <c r="H1470" s="7" t="str">
        <f aca="false">'Raw Data'!M1470</f>
        <v>Moderate</v>
      </c>
      <c r="I1470" s="7" t="n">
        <f aca="false">(IF(D1470="Current",3,IF(D1470="Former",1,0)))+(IF(E1470="High",3,IF(E1470="Normal",1,0)))+(IF(F1470&gt;=240,2,IF(F1470&gt;=200,1,0)))+(IF(G1470="Yes",2,0))+(IF(H1470="High",2,IF(H1470="Moderate",1,0)))</f>
        <v>7</v>
      </c>
      <c r="J1470" s="7" t="str">
        <f aca="false">IF(I1470&gt;=8,"High",IF(I1470&gt;=4,"Medium","Low"))</f>
        <v>Medium</v>
      </c>
    </row>
    <row r="1471" customFormat="false" ht="15" hidden="false" customHeight="true" outlineLevel="0" collapsed="false">
      <c r="A1471" s="7" t="n">
        <f aca="false">'Raw Data'!A1471</f>
        <v>435</v>
      </c>
      <c r="B1471" s="7" t="n">
        <f aca="false">'Raw Data'!B1471</f>
        <v>85</v>
      </c>
      <c r="C1471" s="7" t="str">
        <f aca="false">'Raw Data'!C1471</f>
        <v>Male</v>
      </c>
      <c r="D1471" s="7" t="str">
        <f aca="false">'Raw Data'!D1471</f>
        <v>Current</v>
      </c>
      <c r="E1471" s="7" t="str">
        <f aca="false">'Raw Data'!J1471</f>
        <v>High</v>
      </c>
      <c r="F1471" s="7" t="n">
        <f aca="false">'Raw Data'!K1471</f>
        <v>233.7</v>
      </c>
      <c r="G1471" s="7" t="str">
        <f aca="false">'Raw Data'!L1471</f>
        <v>No</v>
      </c>
      <c r="H1471" s="7" t="str">
        <f aca="false">'Raw Data'!M1471</f>
        <v>Moderate</v>
      </c>
      <c r="I1471" s="7" t="n">
        <f aca="false">(IF(D1471="Current",3,IF(D1471="Former",1,0)))+(IF(E1471="High",3,IF(E1471="Normal",1,0)))+(IF(F1471&gt;=240,2,IF(F1471&gt;=200,1,0)))+(IF(G1471="Yes",2,0))+(IF(H1471="High",2,IF(H1471="Moderate",1,0)))</f>
        <v>8</v>
      </c>
      <c r="J1471" s="7" t="str">
        <f aca="false">IF(I1471&gt;=8,"High",IF(I1471&gt;=4,"Medium","Low"))</f>
        <v>High</v>
      </c>
    </row>
    <row r="1472" customFormat="false" ht="15" hidden="false" customHeight="true" outlineLevel="0" collapsed="false">
      <c r="A1472" s="7" t="n">
        <f aca="false">'Raw Data'!A1472</f>
        <v>473</v>
      </c>
      <c r="B1472" s="7" t="n">
        <f aca="false">'Raw Data'!B1472</f>
        <v>46</v>
      </c>
      <c r="C1472" s="7" t="str">
        <f aca="false">'Raw Data'!C1472</f>
        <v>Female</v>
      </c>
      <c r="D1472" s="7" t="str">
        <f aca="false">'Raw Data'!D1472</f>
        <v>Former</v>
      </c>
      <c r="E1472" s="7" t="str">
        <f aca="false">'Raw Data'!J1472</f>
        <v>High</v>
      </c>
      <c r="F1472" s="7" t="n">
        <f aca="false">'Raw Data'!K1472</f>
        <v>197.5</v>
      </c>
      <c r="G1472" s="7" t="str">
        <f aca="false">'Raw Data'!L1472</f>
        <v>Yes</v>
      </c>
      <c r="H1472" s="7" t="str">
        <f aca="false">'Raw Data'!M1472</f>
        <v>Moderate</v>
      </c>
      <c r="I1472" s="7" t="n">
        <f aca="false">(IF(D1472="Current",3,IF(D1472="Former",1,0)))+(IF(E1472="High",3,IF(E1472="Normal",1,0)))+(IF(F1472&gt;=240,2,IF(F1472&gt;=200,1,0)))+(IF(G1472="Yes",2,0))+(IF(H1472="High",2,IF(H1472="Moderate",1,0)))</f>
        <v>7</v>
      </c>
      <c r="J1472" s="7" t="str">
        <f aca="false">IF(I1472&gt;=8,"High",IF(I1472&gt;=4,"Medium","Low"))</f>
        <v>Medium</v>
      </c>
    </row>
    <row r="1473" customFormat="false" ht="15" hidden="false" customHeight="true" outlineLevel="0" collapsed="false">
      <c r="A1473" s="7" t="n">
        <f aca="false">'Raw Data'!A1473</f>
        <v>549</v>
      </c>
      <c r="B1473" s="7" t="n">
        <f aca="false">'Raw Data'!B1473</f>
        <v>77</v>
      </c>
      <c r="C1473" s="7" t="str">
        <f aca="false">'Raw Data'!C1473</f>
        <v>Female</v>
      </c>
      <c r="D1473" s="7" t="str">
        <f aca="false">'Raw Data'!D1473</f>
        <v>Current</v>
      </c>
      <c r="E1473" s="7" t="str">
        <f aca="false">'Raw Data'!J1473</f>
        <v>High</v>
      </c>
      <c r="F1473" s="7" t="n">
        <f aca="false">'Raw Data'!K1473</f>
        <v>160.5</v>
      </c>
      <c r="G1473" s="7" t="str">
        <f aca="false">'Raw Data'!L1473</f>
        <v>No</v>
      </c>
      <c r="H1473" s="7" t="str">
        <f aca="false">'Raw Data'!M1473</f>
        <v>Moderate</v>
      </c>
      <c r="I1473" s="7" t="n">
        <f aca="false">(IF(D1473="Current",3,IF(D1473="Former",1,0)))+(IF(E1473="High",3,IF(E1473="Normal",1,0)))+(IF(F1473&gt;=240,2,IF(F1473&gt;=200,1,0)))+(IF(G1473="Yes",2,0))+(IF(H1473="High",2,IF(H1473="Moderate",1,0)))</f>
        <v>7</v>
      </c>
      <c r="J1473" s="7" t="str">
        <f aca="false">IF(I1473&gt;=8,"High",IF(I1473&gt;=4,"Medium","Low"))</f>
        <v>Medium</v>
      </c>
    </row>
    <row r="1474" customFormat="false" ht="15" hidden="false" customHeight="true" outlineLevel="0" collapsed="false">
      <c r="A1474" s="7" t="n">
        <f aca="false">'Raw Data'!A1474</f>
        <v>580</v>
      </c>
      <c r="B1474" s="7" t="n">
        <f aca="false">'Raw Data'!B1474</f>
        <v>74</v>
      </c>
      <c r="C1474" s="7" t="str">
        <f aca="false">'Raw Data'!C1474</f>
        <v>Female</v>
      </c>
      <c r="D1474" s="7" t="str">
        <f aca="false">'Raw Data'!D1474</f>
        <v>Former</v>
      </c>
      <c r="E1474" s="7" t="str">
        <f aca="false">'Raw Data'!J1474</f>
        <v>High</v>
      </c>
      <c r="F1474" s="7" t="n">
        <f aca="false">'Raw Data'!K1474</f>
        <v>284.8</v>
      </c>
      <c r="G1474" s="7" t="str">
        <f aca="false">'Raw Data'!L1474</f>
        <v>No</v>
      </c>
      <c r="H1474" s="7" t="str">
        <f aca="false">'Raw Data'!M1474</f>
        <v>Moderate</v>
      </c>
      <c r="I1474" s="7" t="n">
        <f aca="false">(IF(D1474="Current",3,IF(D1474="Former",1,0)))+(IF(E1474="High",3,IF(E1474="Normal",1,0)))+(IF(F1474&gt;=240,2,IF(F1474&gt;=200,1,0)))+(IF(G1474="Yes",2,0))+(IF(H1474="High",2,IF(H1474="Moderate",1,0)))</f>
        <v>7</v>
      </c>
      <c r="J1474" s="7" t="str">
        <f aca="false">IF(I1474&gt;=8,"High",IF(I1474&gt;=4,"Medium","Low"))</f>
        <v>Medium</v>
      </c>
    </row>
    <row r="1475" customFormat="false" ht="15" hidden="false" customHeight="true" outlineLevel="0" collapsed="false">
      <c r="A1475" s="7" t="n">
        <f aca="false">'Raw Data'!A1475</f>
        <v>593</v>
      </c>
      <c r="B1475" s="7" t="n">
        <f aca="false">'Raw Data'!B1475</f>
        <v>75</v>
      </c>
      <c r="C1475" s="7" t="str">
        <f aca="false">'Raw Data'!C1475</f>
        <v>Female</v>
      </c>
      <c r="D1475" s="7" t="str">
        <f aca="false">'Raw Data'!D1475</f>
        <v>Current</v>
      </c>
      <c r="E1475" s="7" t="str">
        <f aca="false">'Raw Data'!J1475</f>
        <v>High</v>
      </c>
      <c r="F1475" s="7" t="n">
        <f aca="false">'Raw Data'!K1475</f>
        <v>240</v>
      </c>
      <c r="G1475" s="7" t="str">
        <f aca="false">'Raw Data'!L1475</f>
        <v>Yes</v>
      </c>
      <c r="H1475" s="7" t="str">
        <f aca="false">'Raw Data'!M1475</f>
        <v>Moderate</v>
      </c>
      <c r="I1475" s="7" t="n">
        <f aca="false">(IF(D1475="Current",3,IF(D1475="Former",1,0)))+(IF(E1475="High",3,IF(E1475="Normal",1,0)))+(IF(F1475&gt;=240,2,IF(F1475&gt;=200,1,0)))+(IF(G1475="Yes",2,0))+(IF(H1475="High",2,IF(H1475="Moderate",1,0)))</f>
        <v>11</v>
      </c>
      <c r="J1475" s="7" t="str">
        <f aca="false">IF(I1475&gt;=8,"High",IF(I1475&gt;=4,"Medium","Low"))</f>
        <v>High</v>
      </c>
    </row>
    <row r="1476" customFormat="false" ht="15" hidden="false" customHeight="true" outlineLevel="0" collapsed="false">
      <c r="A1476" s="7" t="n">
        <f aca="false">'Raw Data'!A1476</f>
        <v>626</v>
      </c>
      <c r="B1476" s="7" t="n">
        <f aca="false">'Raw Data'!B1476</f>
        <v>37</v>
      </c>
      <c r="C1476" s="7" t="str">
        <f aca="false">'Raw Data'!C1476</f>
        <v>Male</v>
      </c>
      <c r="D1476" s="7" t="str">
        <f aca="false">'Raw Data'!D1476</f>
        <v>Former</v>
      </c>
      <c r="E1476" s="7" t="str">
        <f aca="false">'Raw Data'!J1476</f>
        <v>High</v>
      </c>
      <c r="F1476" s="7" t="n">
        <f aca="false">'Raw Data'!K1476</f>
        <v>285.6</v>
      </c>
      <c r="G1476" s="7" t="str">
        <f aca="false">'Raw Data'!L1476</f>
        <v>Yes</v>
      </c>
      <c r="H1476" s="7" t="str">
        <f aca="false">'Raw Data'!M1476</f>
        <v>Moderate</v>
      </c>
      <c r="I1476" s="7" t="n">
        <f aca="false">(IF(D1476="Current",3,IF(D1476="Former",1,0)))+(IF(E1476="High",3,IF(E1476="Normal",1,0)))+(IF(F1476&gt;=240,2,IF(F1476&gt;=200,1,0)))+(IF(G1476="Yes",2,0))+(IF(H1476="High",2,IF(H1476="Moderate",1,0)))</f>
        <v>9</v>
      </c>
      <c r="J1476" s="7" t="str">
        <f aca="false">IF(I1476&gt;=8,"High",IF(I1476&gt;=4,"Medium","Low"))</f>
        <v>High</v>
      </c>
    </row>
    <row r="1477" customFormat="false" ht="15" hidden="false" customHeight="true" outlineLevel="0" collapsed="false">
      <c r="A1477" s="7" t="n">
        <f aca="false">'Raw Data'!A1477</f>
        <v>641</v>
      </c>
      <c r="B1477" s="7" t="n">
        <f aca="false">'Raw Data'!B1477</f>
        <v>88</v>
      </c>
      <c r="C1477" s="7" t="str">
        <f aca="false">'Raw Data'!C1477</f>
        <v>Female</v>
      </c>
      <c r="D1477" s="7" t="str">
        <f aca="false">'Raw Data'!D1477</f>
        <v>Former</v>
      </c>
      <c r="E1477" s="7" t="str">
        <f aca="false">'Raw Data'!J1477</f>
        <v>High</v>
      </c>
      <c r="F1477" s="7" t="n">
        <f aca="false">'Raw Data'!K1477</f>
        <v>196.8</v>
      </c>
      <c r="G1477" s="7" t="str">
        <f aca="false">'Raw Data'!L1477</f>
        <v>No</v>
      </c>
      <c r="H1477" s="7" t="str">
        <f aca="false">'Raw Data'!M1477</f>
        <v>Moderate</v>
      </c>
      <c r="I1477" s="7" t="n">
        <f aca="false">(IF(D1477="Current",3,IF(D1477="Former",1,0)))+(IF(E1477="High",3,IF(E1477="Normal",1,0)))+(IF(F1477&gt;=240,2,IF(F1477&gt;=200,1,0)))+(IF(G1477="Yes",2,0))+(IF(H1477="High",2,IF(H1477="Moderate",1,0)))</f>
        <v>5</v>
      </c>
      <c r="J1477" s="7" t="str">
        <f aca="false">IF(I1477&gt;=8,"High",IF(I1477&gt;=4,"Medium","Low"))</f>
        <v>Medium</v>
      </c>
    </row>
    <row r="1478" customFormat="false" ht="15" hidden="false" customHeight="true" outlineLevel="0" collapsed="false">
      <c r="A1478" s="7" t="n">
        <f aca="false">'Raw Data'!A1478</f>
        <v>677</v>
      </c>
      <c r="B1478" s="7" t="n">
        <f aca="false">'Raw Data'!B1478</f>
        <v>27</v>
      </c>
      <c r="C1478" s="7" t="str">
        <f aca="false">'Raw Data'!C1478</f>
        <v>Male</v>
      </c>
      <c r="D1478" s="7" t="str">
        <f aca="false">'Raw Data'!D1478</f>
        <v>Current</v>
      </c>
      <c r="E1478" s="7" t="str">
        <f aca="false">'Raw Data'!J1478</f>
        <v>High</v>
      </c>
      <c r="F1478" s="7" t="n">
        <f aca="false">'Raw Data'!K1478</f>
        <v>193.4</v>
      </c>
      <c r="G1478" s="7" t="str">
        <f aca="false">'Raw Data'!L1478</f>
        <v>Yes</v>
      </c>
      <c r="H1478" s="7" t="str">
        <f aca="false">'Raw Data'!M1478</f>
        <v>Moderate</v>
      </c>
      <c r="I1478" s="7" t="n">
        <f aca="false">(IF(D1478="Current",3,IF(D1478="Former",1,0)))+(IF(E1478="High",3,IF(E1478="Normal",1,0)))+(IF(F1478&gt;=240,2,IF(F1478&gt;=200,1,0)))+(IF(G1478="Yes",2,0))+(IF(H1478="High",2,IF(H1478="Moderate",1,0)))</f>
        <v>9</v>
      </c>
      <c r="J1478" s="7" t="str">
        <f aca="false">IF(I1478&gt;=8,"High",IF(I1478&gt;=4,"Medium","Low"))</f>
        <v>High</v>
      </c>
    </row>
    <row r="1479" customFormat="false" ht="15" hidden="false" customHeight="true" outlineLevel="0" collapsed="false">
      <c r="A1479" s="7" t="n">
        <f aca="false">'Raw Data'!A1479</f>
        <v>685</v>
      </c>
      <c r="B1479" s="7" t="n">
        <f aca="false">'Raw Data'!B1479</f>
        <v>51</v>
      </c>
      <c r="C1479" s="7" t="str">
        <f aca="false">'Raw Data'!C1479</f>
        <v>Male</v>
      </c>
      <c r="D1479" s="7" t="str">
        <f aca="false">'Raw Data'!D1479</f>
        <v>Former</v>
      </c>
      <c r="E1479" s="7" t="str">
        <f aca="false">'Raw Data'!J1479</f>
        <v>High</v>
      </c>
      <c r="F1479" s="7" t="n">
        <f aca="false">'Raw Data'!K1479</f>
        <v>155.5</v>
      </c>
      <c r="G1479" s="7" t="str">
        <f aca="false">'Raw Data'!L1479</f>
        <v>Yes</v>
      </c>
      <c r="H1479" s="7" t="str">
        <f aca="false">'Raw Data'!M1479</f>
        <v>Moderate</v>
      </c>
      <c r="I1479" s="7" t="n">
        <f aca="false">(IF(D1479="Current",3,IF(D1479="Former",1,0)))+(IF(E1479="High",3,IF(E1479="Normal",1,0)))+(IF(F1479&gt;=240,2,IF(F1479&gt;=200,1,0)))+(IF(G1479="Yes",2,0))+(IF(H1479="High",2,IF(H1479="Moderate",1,0)))</f>
        <v>7</v>
      </c>
      <c r="J1479" s="7" t="str">
        <f aca="false">IF(I1479&gt;=8,"High",IF(I1479&gt;=4,"Medium","Low"))</f>
        <v>Medium</v>
      </c>
    </row>
    <row r="1480" customFormat="false" ht="15" hidden="false" customHeight="true" outlineLevel="0" collapsed="false">
      <c r="A1480" s="7" t="n">
        <f aca="false">'Raw Data'!A1480</f>
        <v>717</v>
      </c>
      <c r="B1480" s="7" t="n">
        <f aca="false">'Raw Data'!B1480</f>
        <v>26</v>
      </c>
      <c r="C1480" s="7" t="str">
        <f aca="false">'Raw Data'!C1480</f>
        <v>Male</v>
      </c>
      <c r="D1480" s="7" t="str">
        <f aca="false">'Raw Data'!D1480</f>
        <v>Current</v>
      </c>
      <c r="E1480" s="7" t="str">
        <f aca="false">'Raw Data'!J1480</f>
        <v>High</v>
      </c>
      <c r="F1480" s="7" t="n">
        <f aca="false">'Raw Data'!K1480</f>
        <v>167.7</v>
      </c>
      <c r="G1480" s="7" t="str">
        <f aca="false">'Raw Data'!L1480</f>
        <v>No</v>
      </c>
      <c r="H1480" s="7" t="str">
        <f aca="false">'Raw Data'!M1480</f>
        <v>Moderate</v>
      </c>
      <c r="I1480" s="7" t="n">
        <f aca="false">(IF(D1480="Current",3,IF(D1480="Former",1,0)))+(IF(E1480="High",3,IF(E1480="Normal",1,0)))+(IF(F1480&gt;=240,2,IF(F1480&gt;=200,1,0)))+(IF(G1480="Yes",2,0))+(IF(H1480="High",2,IF(H1480="Moderate",1,0)))</f>
        <v>7</v>
      </c>
      <c r="J1480" s="7" t="str">
        <f aca="false">IF(I1480&gt;=8,"High",IF(I1480&gt;=4,"Medium","Low"))</f>
        <v>Medium</v>
      </c>
    </row>
    <row r="1481" customFormat="false" ht="15" hidden="false" customHeight="true" outlineLevel="0" collapsed="false">
      <c r="A1481" s="7" t="n">
        <f aca="false">'Raw Data'!A1481</f>
        <v>718</v>
      </c>
      <c r="B1481" s="7" t="n">
        <f aca="false">'Raw Data'!B1481</f>
        <v>49</v>
      </c>
      <c r="C1481" s="7" t="str">
        <f aca="false">'Raw Data'!C1481</f>
        <v>Female</v>
      </c>
      <c r="D1481" s="7" t="str">
        <f aca="false">'Raw Data'!D1481</f>
        <v>Current</v>
      </c>
      <c r="E1481" s="7" t="str">
        <f aca="false">'Raw Data'!J1481</f>
        <v>High</v>
      </c>
      <c r="F1481" s="7" t="n">
        <f aca="false">'Raw Data'!K1481</f>
        <v>168.7</v>
      </c>
      <c r="G1481" s="7" t="str">
        <f aca="false">'Raw Data'!L1481</f>
        <v>No</v>
      </c>
      <c r="H1481" s="7" t="str">
        <f aca="false">'Raw Data'!M1481</f>
        <v>Moderate</v>
      </c>
      <c r="I1481" s="7" t="n">
        <f aca="false">(IF(D1481="Current",3,IF(D1481="Former",1,0)))+(IF(E1481="High",3,IF(E1481="Normal",1,0)))+(IF(F1481&gt;=240,2,IF(F1481&gt;=200,1,0)))+(IF(G1481="Yes",2,0))+(IF(H1481="High",2,IF(H1481="Moderate",1,0)))</f>
        <v>7</v>
      </c>
      <c r="J1481" s="7" t="str">
        <f aca="false">IF(I1481&gt;=8,"High",IF(I1481&gt;=4,"Medium","Low"))</f>
        <v>Medium</v>
      </c>
    </row>
    <row r="1482" customFormat="false" ht="15" hidden="false" customHeight="true" outlineLevel="0" collapsed="false">
      <c r="A1482" s="7" t="n">
        <f aca="false">'Raw Data'!A1482</f>
        <v>721</v>
      </c>
      <c r="B1482" s="7" t="n">
        <f aca="false">'Raw Data'!B1482</f>
        <v>46</v>
      </c>
      <c r="C1482" s="7" t="str">
        <f aca="false">'Raw Data'!C1482</f>
        <v>Male</v>
      </c>
      <c r="D1482" s="7" t="str">
        <f aca="false">'Raw Data'!D1482</f>
        <v>Former</v>
      </c>
      <c r="E1482" s="7" t="str">
        <f aca="false">'Raw Data'!J1482</f>
        <v>High</v>
      </c>
      <c r="F1482" s="7" t="n">
        <f aca="false">'Raw Data'!K1482</f>
        <v>161.1</v>
      </c>
      <c r="G1482" s="7" t="str">
        <f aca="false">'Raw Data'!L1482</f>
        <v>No</v>
      </c>
      <c r="H1482" s="7" t="str">
        <f aca="false">'Raw Data'!M1482</f>
        <v>Moderate</v>
      </c>
      <c r="I1482" s="7" t="n">
        <f aca="false">(IF(D1482="Current",3,IF(D1482="Former",1,0)))+(IF(E1482="High",3,IF(E1482="Normal",1,0)))+(IF(F1482&gt;=240,2,IF(F1482&gt;=200,1,0)))+(IF(G1482="Yes",2,0))+(IF(H1482="High",2,IF(H1482="Moderate",1,0)))</f>
        <v>5</v>
      </c>
      <c r="J1482" s="7" t="str">
        <f aca="false">IF(I1482&gt;=8,"High",IF(I1482&gt;=4,"Medium","Low"))</f>
        <v>Medium</v>
      </c>
    </row>
    <row r="1483" customFormat="false" ht="15" hidden="false" customHeight="true" outlineLevel="0" collapsed="false">
      <c r="A1483" s="7" t="n">
        <f aca="false">'Raw Data'!A1483</f>
        <v>724</v>
      </c>
      <c r="B1483" s="7" t="n">
        <f aca="false">'Raw Data'!B1483</f>
        <v>48</v>
      </c>
      <c r="C1483" s="7" t="str">
        <f aca="false">'Raw Data'!C1483</f>
        <v>Female</v>
      </c>
      <c r="D1483" s="7" t="str">
        <f aca="false">'Raw Data'!D1483</f>
        <v>Former</v>
      </c>
      <c r="E1483" s="7" t="str">
        <f aca="false">'Raw Data'!J1483</f>
        <v>High</v>
      </c>
      <c r="F1483" s="7" t="n">
        <f aca="false">'Raw Data'!K1483</f>
        <v>132.8</v>
      </c>
      <c r="G1483" s="7" t="str">
        <f aca="false">'Raw Data'!L1483</f>
        <v>No</v>
      </c>
      <c r="H1483" s="7" t="str">
        <f aca="false">'Raw Data'!M1483</f>
        <v>Moderate</v>
      </c>
      <c r="I1483" s="7" t="n">
        <f aca="false">(IF(D1483="Current",3,IF(D1483="Former",1,0)))+(IF(E1483="High",3,IF(E1483="Normal",1,0)))+(IF(F1483&gt;=240,2,IF(F1483&gt;=200,1,0)))+(IF(G1483="Yes",2,0))+(IF(H1483="High",2,IF(H1483="Moderate",1,0)))</f>
        <v>5</v>
      </c>
      <c r="J1483" s="7" t="str">
        <f aca="false">IF(I1483&gt;=8,"High",IF(I1483&gt;=4,"Medium","Low"))</f>
        <v>Medium</v>
      </c>
    </row>
    <row r="1484" customFormat="false" ht="15" hidden="false" customHeight="true" outlineLevel="0" collapsed="false">
      <c r="A1484" s="7" t="n">
        <f aca="false">'Raw Data'!A1484</f>
        <v>756</v>
      </c>
      <c r="B1484" s="7" t="n">
        <f aca="false">'Raw Data'!B1484</f>
        <v>20</v>
      </c>
      <c r="C1484" s="7" t="str">
        <f aca="false">'Raw Data'!C1484</f>
        <v>Female</v>
      </c>
      <c r="D1484" s="7" t="str">
        <f aca="false">'Raw Data'!D1484</f>
        <v>Former</v>
      </c>
      <c r="E1484" s="7" t="str">
        <f aca="false">'Raw Data'!J1484</f>
        <v>High</v>
      </c>
      <c r="F1484" s="7" t="n">
        <f aca="false">'Raw Data'!K1484</f>
        <v>287.6</v>
      </c>
      <c r="G1484" s="7" t="str">
        <f aca="false">'Raw Data'!L1484</f>
        <v>No</v>
      </c>
      <c r="H1484" s="7" t="str">
        <f aca="false">'Raw Data'!M1484</f>
        <v>Moderate</v>
      </c>
      <c r="I1484" s="7" t="n">
        <f aca="false">(IF(D1484="Current",3,IF(D1484="Former",1,0)))+(IF(E1484="High",3,IF(E1484="Normal",1,0)))+(IF(F1484&gt;=240,2,IF(F1484&gt;=200,1,0)))+(IF(G1484="Yes",2,0))+(IF(H1484="High",2,IF(H1484="Moderate",1,0)))</f>
        <v>7</v>
      </c>
      <c r="J1484" s="7" t="str">
        <f aca="false">IF(I1484&gt;=8,"High",IF(I1484&gt;=4,"Medium","Low"))</f>
        <v>Medium</v>
      </c>
    </row>
    <row r="1485" customFormat="false" ht="15" hidden="false" customHeight="true" outlineLevel="0" collapsed="false">
      <c r="A1485" s="7" t="n">
        <f aca="false">'Raw Data'!A1485</f>
        <v>759</v>
      </c>
      <c r="B1485" s="7" t="n">
        <f aca="false">'Raw Data'!B1485</f>
        <v>20</v>
      </c>
      <c r="C1485" s="7" t="str">
        <f aca="false">'Raw Data'!C1485</f>
        <v>Male</v>
      </c>
      <c r="D1485" s="7" t="str">
        <f aca="false">'Raw Data'!D1485</f>
        <v>Former</v>
      </c>
      <c r="E1485" s="7" t="str">
        <f aca="false">'Raw Data'!J1485</f>
        <v>High</v>
      </c>
      <c r="F1485" s="7" t="n">
        <f aca="false">'Raw Data'!K1485</f>
        <v>215.5</v>
      </c>
      <c r="G1485" s="7" t="str">
        <f aca="false">'Raw Data'!L1485</f>
        <v>Yes</v>
      </c>
      <c r="H1485" s="7" t="str">
        <f aca="false">'Raw Data'!M1485</f>
        <v>Moderate</v>
      </c>
      <c r="I1485" s="7" t="n">
        <f aca="false">(IF(D1485="Current",3,IF(D1485="Former",1,0)))+(IF(E1485="High",3,IF(E1485="Normal",1,0)))+(IF(F1485&gt;=240,2,IF(F1485&gt;=200,1,0)))+(IF(G1485="Yes",2,0))+(IF(H1485="High",2,IF(H1485="Moderate",1,0)))</f>
        <v>8</v>
      </c>
      <c r="J1485" s="7" t="str">
        <f aca="false">IF(I1485&gt;=8,"High",IF(I1485&gt;=4,"Medium","Low"))</f>
        <v>High</v>
      </c>
    </row>
    <row r="1486" customFormat="false" ht="15" hidden="false" customHeight="true" outlineLevel="0" collapsed="false">
      <c r="A1486" s="7" t="n">
        <f aca="false">'Raw Data'!A1486</f>
        <v>764</v>
      </c>
      <c r="B1486" s="7" t="n">
        <f aca="false">'Raw Data'!B1486</f>
        <v>57</v>
      </c>
      <c r="C1486" s="7" t="str">
        <f aca="false">'Raw Data'!C1486</f>
        <v>Male</v>
      </c>
      <c r="D1486" s="7" t="str">
        <f aca="false">'Raw Data'!D1486</f>
        <v>Current</v>
      </c>
      <c r="E1486" s="7" t="str">
        <f aca="false">'Raw Data'!J1486</f>
        <v>High</v>
      </c>
      <c r="F1486" s="7" t="n">
        <f aca="false">'Raw Data'!K1486</f>
        <v>271.3</v>
      </c>
      <c r="G1486" s="7" t="str">
        <f aca="false">'Raw Data'!L1486</f>
        <v>No</v>
      </c>
      <c r="H1486" s="7" t="str">
        <f aca="false">'Raw Data'!M1486</f>
        <v>Moderate</v>
      </c>
      <c r="I1486" s="7" t="n">
        <f aca="false">(IF(D1486="Current",3,IF(D1486="Former",1,0)))+(IF(E1486="High",3,IF(E1486="Normal",1,0)))+(IF(F1486&gt;=240,2,IF(F1486&gt;=200,1,0)))+(IF(G1486="Yes",2,0))+(IF(H1486="High",2,IF(H1486="Moderate",1,0)))</f>
        <v>9</v>
      </c>
      <c r="J1486" s="7" t="str">
        <f aca="false">IF(I1486&gt;=8,"High",IF(I1486&gt;=4,"Medium","Low"))</f>
        <v>High</v>
      </c>
    </row>
    <row r="1487" customFormat="false" ht="15" hidden="false" customHeight="true" outlineLevel="0" collapsed="false">
      <c r="A1487" s="7" t="n">
        <f aca="false">'Raw Data'!A1487</f>
        <v>798</v>
      </c>
      <c r="B1487" s="7" t="n">
        <f aca="false">'Raw Data'!B1487</f>
        <v>27</v>
      </c>
      <c r="C1487" s="7" t="str">
        <f aca="false">'Raw Data'!C1487</f>
        <v>Female</v>
      </c>
      <c r="D1487" s="7" t="str">
        <f aca="false">'Raw Data'!D1487</f>
        <v>Current</v>
      </c>
      <c r="E1487" s="7" t="str">
        <f aca="false">'Raw Data'!J1487</f>
        <v>High</v>
      </c>
      <c r="F1487" s="7" t="n">
        <f aca="false">'Raw Data'!K1487</f>
        <v>294.4</v>
      </c>
      <c r="G1487" s="7" t="str">
        <f aca="false">'Raw Data'!L1487</f>
        <v>No</v>
      </c>
      <c r="H1487" s="7" t="str">
        <f aca="false">'Raw Data'!M1487</f>
        <v>Moderate</v>
      </c>
      <c r="I1487" s="7" t="n">
        <f aca="false">(IF(D1487="Current",3,IF(D1487="Former",1,0)))+(IF(E1487="High",3,IF(E1487="Normal",1,0)))+(IF(F1487&gt;=240,2,IF(F1487&gt;=200,1,0)))+(IF(G1487="Yes",2,0))+(IF(H1487="High",2,IF(H1487="Moderate",1,0)))</f>
        <v>9</v>
      </c>
      <c r="J1487" s="7" t="str">
        <f aca="false">IF(I1487&gt;=8,"High",IF(I1487&gt;=4,"Medium","Low"))</f>
        <v>High</v>
      </c>
    </row>
    <row r="1488" customFormat="false" ht="15" hidden="false" customHeight="true" outlineLevel="0" collapsed="false">
      <c r="A1488" s="7" t="n">
        <f aca="false">'Raw Data'!A1488</f>
        <v>799</v>
      </c>
      <c r="B1488" s="7" t="n">
        <f aca="false">'Raw Data'!B1488</f>
        <v>36</v>
      </c>
      <c r="C1488" s="7" t="str">
        <f aca="false">'Raw Data'!C1488</f>
        <v>Male</v>
      </c>
      <c r="D1488" s="7" t="str">
        <f aca="false">'Raw Data'!D1488</f>
        <v>Former</v>
      </c>
      <c r="E1488" s="7" t="str">
        <f aca="false">'Raw Data'!J1488</f>
        <v>High</v>
      </c>
      <c r="F1488" s="7" t="n">
        <f aca="false">'Raw Data'!K1488</f>
        <v>215.4</v>
      </c>
      <c r="G1488" s="7" t="str">
        <f aca="false">'Raw Data'!L1488</f>
        <v>No</v>
      </c>
      <c r="H1488" s="7" t="str">
        <f aca="false">'Raw Data'!M1488</f>
        <v>Moderate</v>
      </c>
      <c r="I1488" s="7" t="n">
        <f aca="false">(IF(D1488="Current",3,IF(D1488="Former",1,0)))+(IF(E1488="High",3,IF(E1488="Normal",1,0)))+(IF(F1488&gt;=240,2,IF(F1488&gt;=200,1,0)))+(IF(G1488="Yes",2,0))+(IF(H1488="High",2,IF(H1488="Moderate",1,0)))</f>
        <v>6</v>
      </c>
      <c r="J1488" s="7" t="str">
        <f aca="false">IF(I1488&gt;=8,"High",IF(I1488&gt;=4,"Medium","Low"))</f>
        <v>Medium</v>
      </c>
    </row>
    <row r="1489" customFormat="false" ht="15" hidden="false" customHeight="true" outlineLevel="0" collapsed="false">
      <c r="A1489" s="7" t="n">
        <f aca="false">'Raw Data'!A1489</f>
        <v>804</v>
      </c>
      <c r="B1489" s="7" t="n">
        <f aca="false">'Raw Data'!B1489</f>
        <v>42</v>
      </c>
      <c r="C1489" s="7" t="str">
        <f aca="false">'Raw Data'!C1489</f>
        <v>Female</v>
      </c>
      <c r="D1489" s="7" t="str">
        <f aca="false">'Raw Data'!D1489</f>
        <v>Former</v>
      </c>
      <c r="E1489" s="7" t="str">
        <f aca="false">'Raw Data'!J1489</f>
        <v>High</v>
      </c>
      <c r="F1489" s="7" t="n">
        <f aca="false">'Raw Data'!K1489</f>
        <v>222.3</v>
      </c>
      <c r="G1489" s="7" t="str">
        <f aca="false">'Raw Data'!L1489</f>
        <v>No</v>
      </c>
      <c r="H1489" s="7" t="str">
        <f aca="false">'Raw Data'!M1489</f>
        <v>Moderate</v>
      </c>
      <c r="I1489" s="7" t="n">
        <f aca="false">(IF(D1489="Current",3,IF(D1489="Former",1,0)))+(IF(E1489="High",3,IF(E1489="Normal",1,0)))+(IF(F1489&gt;=240,2,IF(F1489&gt;=200,1,0)))+(IF(G1489="Yes",2,0))+(IF(H1489="High",2,IF(H1489="Moderate",1,0)))</f>
        <v>6</v>
      </c>
      <c r="J1489" s="7" t="str">
        <f aca="false">IF(I1489&gt;=8,"High",IF(I1489&gt;=4,"Medium","Low"))</f>
        <v>Medium</v>
      </c>
    </row>
    <row r="1490" customFormat="false" ht="15" hidden="false" customHeight="true" outlineLevel="0" collapsed="false">
      <c r="A1490" s="7" t="n">
        <f aca="false">'Raw Data'!A1490</f>
        <v>833</v>
      </c>
      <c r="B1490" s="7" t="n">
        <f aca="false">'Raw Data'!B1490</f>
        <v>28</v>
      </c>
      <c r="C1490" s="7" t="str">
        <f aca="false">'Raw Data'!C1490</f>
        <v>Male</v>
      </c>
      <c r="D1490" s="7" t="str">
        <f aca="false">'Raw Data'!D1490</f>
        <v>Current</v>
      </c>
      <c r="E1490" s="7" t="str">
        <f aca="false">'Raw Data'!J1490</f>
        <v>High</v>
      </c>
      <c r="F1490" s="7" t="n">
        <f aca="false">'Raw Data'!K1490</f>
        <v>200.5</v>
      </c>
      <c r="G1490" s="7" t="str">
        <f aca="false">'Raw Data'!L1490</f>
        <v>No</v>
      </c>
      <c r="H1490" s="7" t="str">
        <f aca="false">'Raw Data'!M1490</f>
        <v>Moderate</v>
      </c>
      <c r="I1490" s="7" t="n">
        <f aca="false">(IF(D1490="Current",3,IF(D1490="Former",1,0)))+(IF(E1490="High",3,IF(E1490="Normal",1,0)))+(IF(F1490&gt;=240,2,IF(F1490&gt;=200,1,0)))+(IF(G1490="Yes",2,0))+(IF(H1490="High",2,IF(H1490="Moderate",1,0)))</f>
        <v>8</v>
      </c>
      <c r="J1490" s="7" t="str">
        <f aca="false">IF(I1490&gt;=8,"High",IF(I1490&gt;=4,"Medium","Low"))</f>
        <v>High</v>
      </c>
    </row>
    <row r="1491" customFormat="false" ht="15" hidden="false" customHeight="true" outlineLevel="0" collapsed="false">
      <c r="A1491" s="7" t="n">
        <f aca="false">'Raw Data'!A1491</f>
        <v>839</v>
      </c>
      <c r="B1491" s="7" t="n">
        <f aca="false">'Raw Data'!B1491</f>
        <v>62</v>
      </c>
      <c r="C1491" s="7" t="str">
        <f aca="false">'Raw Data'!C1491</f>
        <v>Male</v>
      </c>
      <c r="D1491" s="7" t="str">
        <f aca="false">'Raw Data'!D1491</f>
        <v>Former</v>
      </c>
      <c r="E1491" s="7" t="str">
        <f aca="false">'Raw Data'!J1491</f>
        <v>High</v>
      </c>
      <c r="F1491" s="7" t="n">
        <f aca="false">'Raw Data'!K1491</f>
        <v>125.9</v>
      </c>
      <c r="G1491" s="7" t="str">
        <f aca="false">'Raw Data'!L1491</f>
        <v>No</v>
      </c>
      <c r="H1491" s="7" t="str">
        <f aca="false">'Raw Data'!M1491</f>
        <v>Moderate</v>
      </c>
      <c r="I1491" s="7" t="n">
        <f aca="false">(IF(D1491="Current",3,IF(D1491="Former",1,0)))+(IF(E1491="High",3,IF(E1491="Normal",1,0)))+(IF(F1491&gt;=240,2,IF(F1491&gt;=200,1,0)))+(IF(G1491="Yes",2,0))+(IF(H1491="High",2,IF(H1491="Moderate",1,0)))</f>
        <v>5</v>
      </c>
      <c r="J1491" s="7" t="str">
        <f aca="false">IF(I1491&gt;=8,"High",IF(I1491&gt;=4,"Medium","Low"))</f>
        <v>Medium</v>
      </c>
    </row>
    <row r="1492" customFormat="false" ht="15" hidden="false" customHeight="true" outlineLevel="0" collapsed="false">
      <c r="A1492" s="7" t="n">
        <f aca="false">'Raw Data'!A1492</f>
        <v>850</v>
      </c>
      <c r="B1492" s="7" t="n">
        <f aca="false">'Raw Data'!B1492</f>
        <v>62</v>
      </c>
      <c r="C1492" s="7" t="str">
        <f aca="false">'Raw Data'!C1492</f>
        <v>Male</v>
      </c>
      <c r="D1492" s="7" t="str">
        <f aca="false">'Raw Data'!D1492</f>
        <v>Current</v>
      </c>
      <c r="E1492" s="7" t="str">
        <f aca="false">'Raw Data'!J1492</f>
        <v>High</v>
      </c>
      <c r="F1492" s="7" t="n">
        <f aca="false">'Raw Data'!K1492</f>
        <v>138.2</v>
      </c>
      <c r="G1492" s="7" t="str">
        <f aca="false">'Raw Data'!L1492</f>
        <v>No</v>
      </c>
      <c r="H1492" s="7" t="str">
        <f aca="false">'Raw Data'!M1492</f>
        <v>Moderate</v>
      </c>
      <c r="I1492" s="7" t="n">
        <f aca="false">(IF(D1492="Current",3,IF(D1492="Former",1,0)))+(IF(E1492="High",3,IF(E1492="Normal",1,0)))+(IF(F1492&gt;=240,2,IF(F1492&gt;=200,1,0)))+(IF(G1492="Yes",2,0))+(IF(H1492="High",2,IF(H1492="Moderate",1,0)))</f>
        <v>7</v>
      </c>
      <c r="J1492" s="7" t="str">
        <f aca="false">IF(I1492&gt;=8,"High",IF(I1492&gt;=4,"Medium","Low"))</f>
        <v>Medium</v>
      </c>
    </row>
    <row r="1493" customFormat="false" ht="15" hidden="false" customHeight="true" outlineLevel="0" collapsed="false">
      <c r="A1493" s="7" t="n">
        <f aca="false">'Raw Data'!A1493</f>
        <v>875</v>
      </c>
      <c r="B1493" s="7" t="n">
        <f aca="false">'Raw Data'!B1493</f>
        <v>36</v>
      </c>
      <c r="C1493" s="7" t="str">
        <f aca="false">'Raw Data'!C1493</f>
        <v>Female</v>
      </c>
      <c r="D1493" s="7" t="str">
        <f aca="false">'Raw Data'!D1493</f>
        <v>Current</v>
      </c>
      <c r="E1493" s="7" t="str">
        <f aca="false">'Raw Data'!J1493</f>
        <v>High</v>
      </c>
      <c r="F1493" s="7" t="n">
        <f aca="false">'Raw Data'!K1493</f>
        <v>268.3</v>
      </c>
      <c r="G1493" s="7" t="str">
        <f aca="false">'Raw Data'!L1493</f>
        <v>No</v>
      </c>
      <c r="H1493" s="7" t="str">
        <f aca="false">'Raw Data'!M1493</f>
        <v>Moderate</v>
      </c>
      <c r="I1493" s="7" t="n">
        <f aca="false">(IF(D1493="Current",3,IF(D1493="Former",1,0)))+(IF(E1493="High",3,IF(E1493="Normal",1,0)))+(IF(F1493&gt;=240,2,IF(F1493&gt;=200,1,0)))+(IF(G1493="Yes",2,0))+(IF(H1493="High",2,IF(H1493="Moderate",1,0)))</f>
        <v>9</v>
      </c>
      <c r="J1493" s="7" t="str">
        <f aca="false">IF(I1493&gt;=8,"High",IF(I1493&gt;=4,"Medium","Low"))</f>
        <v>High</v>
      </c>
    </row>
    <row r="1494" customFormat="false" ht="15" hidden="false" customHeight="true" outlineLevel="0" collapsed="false">
      <c r="A1494" s="7" t="n">
        <f aca="false">'Raw Data'!A1494</f>
        <v>915</v>
      </c>
      <c r="B1494" s="7" t="n">
        <f aca="false">'Raw Data'!B1494</f>
        <v>82</v>
      </c>
      <c r="C1494" s="7" t="str">
        <f aca="false">'Raw Data'!C1494</f>
        <v>Male</v>
      </c>
      <c r="D1494" s="7" t="str">
        <f aca="false">'Raw Data'!D1494</f>
        <v>Current</v>
      </c>
      <c r="E1494" s="7" t="str">
        <f aca="false">'Raw Data'!J1494</f>
        <v>High</v>
      </c>
      <c r="F1494" s="7" t="n">
        <f aca="false">'Raw Data'!K1494</f>
        <v>280</v>
      </c>
      <c r="G1494" s="7" t="str">
        <f aca="false">'Raw Data'!L1494</f>
        <v>No</v>
      </c>
      <c r="H1494" s="7" t="str">
        <f aca="false">'Raw Data'!M1494</f>
        <v>Moderate</v>
      </c>
      <c r="I1494" s="7" t="n">
        <f aca="false">(IF(D1494="Current",3,IF(D1494="Former",1,0)))+(IF(E1494="High",3,IF(E1494="Normal",1,0)))+(IF(F1494&gt;=240,2,IF(F1494&gt;=200,1,0)))+(IF(G1494="Yes",2,0))+(IF(H1494="High",2,IF(H1494="Moderate",1,0)))</f>
        <v>9</v>
      </c>
      <c r="J1494" s="7" t="str">
        <f aca="false">IF(I1494&gt;=8,"High",IF(I1494&gt;=4,"Medium","Low"))</f>
        <v>High</v>
      </c>
    </row>
    <row r="1495" customFormat="false" ht="15" hidden="false" customHeight="true" outlineLevel="0" collapsed="false">
      <c r="A1495" s="7" t="n">
        <f aca="false">'Raw Data'!A1495</f>
        <v>918</v>
      </c>
      <c r="B1495" s="7" t="n">
        <f aca="false">'Raw Data'!B1495</f>
        <v>20</v>
      </c>
      <c r="C1495" s="7" t="str">
        <f aca="false">'Raw Data'!C1495</f>
        <v>Female</v>
      </c>
      <c r="D1495" s="7" t="str">
        <f aca="false">'Raw Data'!D1495</f>
        <v>Current</v>
      </c>
      <c r="E1495" s="7" t="str">
        <f aca="false">'Raw Data'!J1495</f>
        <v>High</v>
      </c>
      <c r="F1495" s="7" t="n">
        <f aca="false">'Raw Data'!K1495</f>
        <v>153.4</v>
      </c>
      <c r="G1495" s="7" t="str">
        <f aca="false">'Raw Data'!L1495</f>
        <v>No</v>
      </c>
      <c r="H1495" s="7" t="str">
        <f aca="false">'Raw Data'!M1495</f>
        <v>Moderate</v>
      </c>
      <c r="I1495" s="7" t="n">
        <f aca="false">(IF(D1495="Current",3,IF(D1495="Former",1,0)))+(IF(E1495="High",3,IF(E1495="Normal",1,0)))+(IF(F1495&gt;=240,2,IF(F1495&gt;=200,1,0)))+(IF(G1495="Yes",2,0))+(IF(H1495="High",2,IF(H1495="Moderate",1,0)))</f>
        <v>7</v>
      </c>
      <c r="J1495" s="7" t="str">
        <f aca="false">IF(I1495&gt;=8,"High",IF(I1495&gt;=4,"Medium","Low"))</f>
        <v>Medium</v>
      </c>
    </row>
    <row r="1496" customFormat="false" ht="15" hidden="false" customHeight="true" outlineLevel="0" collapsed="false">
      <c r="A1496" s="7" t="n">
        <f aca="false">'Raw Data'!A1496</f>
        <v>979</v>
      </c>
      <c r="B1496" s="7" t="n">
        <f aca="false">'Raw Data'!B1496</f>
        <v>89</v>
      </c>
      <c r="C1496" s="7" t="str">
        <f aca="false">'Raw Data'!C1496</f>
        <v>Female</v>
      </c>
      <c r="D1496" s="7" t="str">
        <f aca="false">'Raw Data'!D1496</f>
        <v>Current</v>
      </c>
      <c r="E1496" s="7" t="str">
        <f aca="false">'Raw Data'!J1496</f>
        <v>High</v>
      </c>
      <c r="F1496" s="7" t="n">
        <f aca="false">'Raw Data'!K1496</f>
        <v>238.7</v>
      </c>
      <c r="G1496" s="7" t="str">
        <f aca="false">'Raw Data'!L1496</f>
        <v>No</v>
      </c>
      <c r="H1496" s="7" t="str">
        <f aca="false">'Raw Data'!M1496</f>
        <v>Moderate</v>
      </c>
      <c r="I1496" s="7" t="n">
        <f aca="false">(IF(D1496="Current",3,IF(D1496="Former",1,0)))+(IF(E1496="High",3,IF(E1496="Normal",1,0)))+(IF(F1496&gt;=240,2,IF(F1496&gt;=200,1,0)))+(IF(G1496="Yes",2,0))+(IF(H1496="High",2,IF(H1496="Moderate",1,0)))</f>
        <v>8</v>
      </c>
      <c r="J1496" s="7" t="str">
        <f aca="false">IF(I1496&gt;=8,"High",IF(I1496&gt;=4,"Medium","Low"))</f>
        <v>High</v>
      </c>
    </row>
    <row r="1497" customFormat="false" ht="15" hidden="false" customHeight="true" outlineLevel="0" collapsed="false">
      <c r="A1497" s="7" t="n">
        <f aca="false">'Raw Data'!A1497</f>
        <v>990</v>
      </c>
      <c r="B1497" s="7" t="n">
        <f aca="false">'Raw Data'!B1497</f>
        <v>88</v>
      </c>
      <c r="C1497" s="7" t="str">
        <f aca="false">'Raw Data'!C1497</f>
        <v>Male</v>
      </c>
      <c r="D1497" s="7" t="str">
        <f aca="false">'Raw Data'!D1497</f>
        <v>Former</v>
      </c>
      <c r="E1497" s="7" t="str">
        <f aca="false">'Raw Data'!J1497</f>
        <v>High</v>
      </c>
      <c r="F1497" s="7" t="n">
        <f aca="false">'Raw Data'!K1497</f>
        <v>206.6</v>
      </c>
      <c r="G1497" s="7" t="str">
        <f aca="false">'Raw Data'!L1497</f>
        <v>Yes</v>
      </c>
      <c r="H1497" s="7" t="str">
        <f aca="false">'Raw Data'!M1497</f>
        <v>Moderate</v>
      </c>
      <c r="I1497" s="7" t="n">
        <f aca="false">(IF(D1497="Current",3,IF(D1497="Former",1,0)))+(IF(E1497="High",3,IF(E1497="Normal",1,0)))+(IF(F1497&gt;=240,2,IF(F1497&gt;=200,1,0)))+(IF(G1497="Yes",2,0))+(IF(H1497="High",2,IF(H1497="Moderate",1,0)))</f>
        <v>8</v>
      </c>
      <c r="J1497" s="7" t="str">
        <f aca="false">IF(I1497&gt;=8,"High",IF(I1497&gt;=4,"Medium","Low"))</f>
        <v>High</v>
      </c>
    </row>
    <row r="1498" customFormat="false" ht="15" hidden="false" customHeight="true" outlineLevel="0" collapsed="false">
      <c r="A1498" s="7" t="n">
        <f aca="false">'Raw Data'!A1498</f>
        <v>997</v>
      </c>
      <c r="B1498" s="7" t="n">
        <f aca="false">'Raw Data'!B1498</f>
        <v>74</v>
      </c>
      <c r="C1498" s="7" t="str">
        <f aca="false">'Raw Data'!C1498</f>
        <v>Female</v>
      </c>
      <c r="D1498" s="7" t="str">
        <f aca="false">'Raw Data'!D1498</f>
        <v>Former</v>
      </c>
      <c r="E1498" s="7" t="str">
        <f aca="false">'Raw Data'!J1498</f>
        <v>High</v>
      </c>
      <c r="F1498" s="7" t="n">
        <f aca="false">'Raw Data'!K1498</f>
        <v>270.3</v>
      </c>
      <c r="G1498" s="7" t="str">
        <f aca="false">'Raw Data'!L1498</f>
        <v>No</v>
      </c>
      <c r="H1498" s="7" t="str">
        <f aca="false">'Raw Data'!M1498</f>
        <v>Moderate</v>
      </c>
      <c r="I1498" s="7" t="n">
        <f aca="false">(IF(D1498="Current",3,IF(D1498="Former",1,0)))+(IF(E1498="High",3,IF(E1498="Normal",1,0)))+(IF(F1498&gt;=240,2,IF(F1498&gt;=200,1,0)))+(IF(G1498="Yes",2,0))+(IF(H1498="High",2,IF(H1498="Moderate",1,0)))</f>
        <v>7</v>
      </c>
      <c r="J1498" s="7" t="str">
        <f aca="false">IF(I1498&gt;=8,"High",IF(I1498&gt;=4,"Medium","Low"))</f>
        <v>Medium</v>
      </c>
    </row>
    <row r="1499" customFormat="false" ht="15" hidden="false" customHeight="true" outlineLevel="0" collapsed="false">
      <c r="A1499" s="7" t="n">
        <f aca="false">'Raw Data'!A1499</f>
        <v>1009</v>
      </c>
      <c r="B1499" s="7" t="n">
        <f aca="false">'Raw Data'!B1499</f>
        <v>41</v>
      </c>
      <c r="C1499" s="7" t="str">
        <f aca="false">'Raw Data'!C1499</f>
        <v>Female</v>
      </c>
      <c r="D1499" s="7" t="str">
        <f aca="false">'Raw Data'!D1499</f>
        <v>Former</v>
      </c>
      <c r="E1499" s="7" t="str">
        <f aca="false">'Raw Data'!J1499</f>
        <v>High</v>
      </c>
      <c r="F1499" s="7" t="n">
        <f aca="false">'Raw Data'!K1499</f>
        <v>284.7</v>
      </c>
      <c r="G1499" s="7" t="str">
        <f aca="false">'Raw Data'!L1499</f>
        <v>No</v>
      </c>
      <c r="H1499" s="7" t="str">
        <f aca="false">'Raw Data'!M1499</f>
        <v>Moderate</v>
      </c>
      <c r="I1499" s="7" t="n">
        <f aca="false">(IF(D1499="Current",3,IF(D1499="Former",1,0)))+(IF(E1499="High",3,IF(E1499="Normal",1,0)))+(IF(F1499&gt;=240,2,IF(F1499&gt;=200,1,0)))+(IF(G1499="Yes",2,0))+(IF(H1499="High",2,IF(H1499="Moderate",1,0)))</f>
        <v>7</v>
      </c>
      <c r="J1499" s="7" t="str">
        <f aca="false">IF(I1499&gt;=8,"High",IF(I1499&gt;=4,"Medium","Low"))</f>
        <v>Medium</v>
      </c>
    </row>
    <row r="1500" customFormat="false" ht="15" hidden="false" customHeight="true" outlineLevel="0" collapsed="false">
      <c r="A1500" s="7" t="n">
        <f aca="false">'Raw Data'!A1500</f>
        <v>1022</v>
      </c>
      <c r="B1500" s="7" t="n">
        <f aca="false">'Raw Data'!B1500</f>
        <v>30</v>
      </c>
      <c r="C1500" s="7" t="str">
        <f aca="false">'Raw Data'!C1500</f>
        <v>Female</v>
      </c>
      <c r="D1500" s="7" t="str">
        <f aca="false">'Raw Data'!D1500</f>
        <v>Current</v>
      </c>
      <c r="E1500" s="7" t="str">
        <f aca="false">'Raw Data'!J1500</f>
        <v>High</v>
      </c>
      <c r="F1500" s="7" t="n">
        <f aca="false">'Raw Data'!K1500</f>
        <v>160.8</v>
      </c>
      <c r="G1500" s="7" t="str">
        <f aca="false">'Raw Data'!L1500</f>
        <v>No</v>
      </c>
      <c r="H1500" s="7" t="str">
        <f aca="false">'Raw Data'!M1500</f>
        <v>Moderate</v>
      </c>
      <c r="I1500" s="7" t="n">
        <f aca="false">(IF(D1500="Current",3,IF(D1500="Former",1,0)))+(IF(E1500="High",3,IF(E1500="Normal",1,0)))+(IF(F1500&gt;=240,2,IF(F1500&gt;=200,1,0)))+(IF(G1500="Yes",2,0))+(IF(H1500="High",2,IF(H1500="Moderate",1,0)))</f>
        <v>7</v>
      </c>
      <c r="J1500" s="7" t="str">
        <f aca="false">IF(I1500&gt;=8,"High",IF(I1500&gt;=4,"Medium","Low"))</f>
        <v>Medium</v>
      </c>
    </row>
    <row r="1501" customFormat="false" ht="15" hidden="false" customHeight="true" outlineLevel="0" collapsed="false">
      <c r="A1501" s="7" t="n">
        <f aca="false">'Raw Data'!A1501</f>
        <v>1048</v>
      </c>
      <c r="B1501" s="7" t="n">
        <f aca="false">'Raw Data'!B1501</f>
        <v>50</v>
      </c>
      <c r="C1501" s="7" t="str">
        <f aca="false">'Raw Data'!C1501</f>
        <v>Female</v>
      </c>
      <c r="D1501" s="7" t="str">
        <f aca="false">'Raw Data'!D1501</f>
        <v>Former</v>
      </c>
      <c r="E1501" s="7" t="str">
        <f aca="false">'Raw Data'!J1501</f>
        <v>High</v>
      </c>
      <c r="F1501" s="7" t="n">
        <f aca="false">'Raw Data'!K1501</f>
        <v>265.1</v>
      </c>
      <c r="G1501" s="7" t="str">
        <f aca="false">'Raw Data'!L1501</f>
        <v>Yes</v>
      </c>
      <c r="H1501" s="7" t="str">
        <f aca="false">'Raw Data'!M1501</f>
        <v>Moderate</v>
      </c>
      <c r="I1501" s="7" t="n">
        <f aca="false">(IF(D1501="Current",3,IF(D1501="Former",1,0)))+(IF(E1501="High",3,IF(E1501="Normal",1,0)))+(IF(F1501&gt;=240,2,IF(F1501&gt;=200,1,0)))+(IF(G1501="Yes",2,0))+(IF(H1501="High",2,IF(H1501="Moderate",1,0)))</f>
        <v>9</v>
      </c>
      <c r="J1501" s="7" t="str">
        <f aca="false">IF(I1501&gt;=8,"High",IF(I1501&gt;=4,"Medium","Low"))</f>
        <v>High</v>
      </c>
    </row>
    <row r="1502" customFormat="false" ht="15" hidden="false" customHeight="true" outlineLevel="0" collapsed="false">
      <c r="A1502" s="7" t="n">
        <f aca="false">'Raw Data'!A1502</f>
        <v>1052</v>
      </c>
      <c r="B1502" s="7" t="n">
        <f aca="false">'Raw Data'!B1502</f>
        <v>72</v>
      </c>
      <c r="C1502" s="7" t="str">
        <f aca="false">'Raw Data'!C1502</f>
        <v>Male</v>
      </c>
      <c r="D1502" s="7" t="str">
        <f aca="false">'Raw Data'!D1502</f>
        <v>Current</v>
      </c>
      <c r="E1502" s="7" t="str">
        <f aca="false">'Raw Data'!J1502</f>
        <v>High</v>
      </c>
      <c r="F1502" s="7" t="n">
        <f aca="false">'Raw Data'!K1502</f>
        <v>179.4</v>
      </c>
      <c r="G1502" s="7" t="str">
        <f aca="false">'Raw Data'!L1502</f>
        <v>No</v>
      </c>
      <c r="H1502" s="7" t="str">
        <f aca="false">'Raw Data'!M1502</f>
        <v>Moderate</v>
      </c>
      <c r="I1502" s="7" t="n">
        <f aca="false">(IF(D1502="Current",3,IF(D1502="Former",1,0)))+(IF(E1502="High",3,IF(E1502="Normal",1,0)))+(IF(F1502&gt;=240,2,IF(F1502&gt;=200,1,0)))+(IF(G1502="Yes",2,0))+(IF(H1502="High",2,IF(H1502="Moderate",1,0)))</f>
        <v>7</v>
      </c>
      <c r="J1502" s="7" t="str">
        <f aca="false">IF(I1502&gt;=8,"High",IF(I1502&gt;=4,"Medium","Low"))</f>
        <v>Medium</v>
      </c>
    </row>
    <row r="1503" customFormat="false" ht="15" hidden="false" customHeight="true" outlineLevel="0" collapsed="false">
      <c r="A1503" s="7" t="n">
        <f aca="false">'Raw Data'!A1503</f>
        <v>1090</v>
      </c>
      <c r="B1503" s="7" t="n">
        <f aca="false">'Raw Data'!B1503</f>
        <v>50</v>
      </c>
      <c r="C1503" s="7" t="str">
        <f aca="false">'Raw Data'!C1503</f>
        <v>Male</v>
      </c>
      <c r="D1503" s="7" t="str">
        <f aca="false">'Raw Data'!D1503</f>
        <v>Current</v>
      </c>
      <c r="E1503" s="7" t="str">
        <f aca="false">'Raw Data'!J1503</f>
        <v>High</v>
      </c>
      <c r="F1503" s="7" t="n">
        <f aca="false">'Raw Data'!K1503</f>
        <v>264.1</v>
      </c>
      <c r="G1503" s="7" t="str">
        <f aca="false">'Raw Data'!L1503</f>
        <v>No</v>
      </c>
      <c r="H1503" s="7" t="str">
        <f aca="false">'Raw Data'!M1503</f>
        <v>Moderate</v>
      </c>
      <c r="I1503" s="7" t="n">
        <f aca="false">(IF(D1503="Current",3,IF(D1503="Former",1,0)))+(IF(E1503="High",3,IF(E1503="Normal",1,0)))+(IF(F1503&gt;=240,2,IF(F1503&gt;=200,1,0)))+(IF(G1503="Yes",2,0))+(IF(H1503="High",2,IF(H1503="Moderate",1,0)))</f>
        <v>9</v>
      </c>
      <c r="J1503" s="7" t="str">
        <f aca="false">IF(I1503&gt;=8,"High",IF(I1503&gt;=4,"Medium","Low"))</f>
        <v>High</v>
      </c>
    </row>
    <row r="1504" customFormat="false" ht="15" hidden="false" customHeight="true" outlineLevel="0" collapsed="false">
      <c r="A1504" s="7" t="n">
        <f aca="false">'Raw Data'!A1504</f>
        <v>1091</v>
      </c>
      <c r="B1504" s="7" t="n">
        <f aca="false">'Raw Data'!B1504</f>
        <v>21</v>
      </c>
      <c r="C1504" s="7" t="str">
        <f aca="false">'Raw Data'!C1504</f>
        <v>Male</v>
      </c>
      <c r="D1504" s="7" t="str">
        <f aca="false">'Raw Data'!D1504</f>
        <v>Current</v>
      </c>
      <c r="E1504" s="7" t="str">
        <f aca="false">'Raw Data'!J1504</f>
        <v>High</v>
      </c>
      <c r="F1504" s="7" t="n">
        <f aca="false">'Raw Data'!K1504</f>
        <v>161.4</v>
      </c>
      <c r="G1504" s="7" t="str">
        <f aca="false">'Raw Data'!L1504</f>
        <v>Yes</v>
      </c>
      <c r="H1504" s="7" t="str">
        <f aca="false">'Raw Data'!M1504</f>
        <v>Moderate</v>
      </c>
      <c r="I1504" s="7" t="n">
        <f aca="false">(IF(D1504="Current",3,IF(D1504="Former",1,0)))+(IF(E1504="High",3,IF(E1504="Normal",1,0)))+(IF(F1504&gt;=240,2,IF(F1504&gt;=200,1,0)))+(IF(G1504="Yes",2,0))+(IF(H1504="High",2,IF(H1504="Moderate",1,0)))</f>
        <v>9</v>
      </c>
      <c r="J1504" s="7" t="str">
        <f aca="false">IF(I1504&gt;=8,"High",IF(I1504&gt;=4,"Medium","Low"))</f>
        <v>High</v>
      </c>
    </row>
    <row r="1505" customFormat="false" ht="15" hidden="false" customHeight="true" outlineLevel="0" collapsed="false">
      <c r="A1505" s="7" t="n">
        <f aca="false">'Raw Data'!A1505</f>
        <v>1110</v>
      </c>
      <c r="B1505" s="7" t="n">
        <f aca="false">'Raw Data'!B1505</f>
        <v>25</v>
      </c>
      <c r="C1505" s="7" t="str">
        <f aca="false">'Raw Data'!C1505</f>
        <v>Male</v>
      </c>
      <c r="D1505" s="7" t="str">
        <f aca="false">'Raw Data'!D1505</f>
        <v>Former</v>
      </c>
      <c r="E1505" s="7" t="str">
        <f aca="false">'Raw Data'!J1505</f>
        <v>High</v>
      </c>
      <c r="F1505" s="7" t="n">
        <f aca="false">'Raw Data'!K1505</f>
        <v>258</v>
      </c>
      <c r="G1505" s="7" t="str">
        <f aca="false">'Raw Data'!L1505</f>
        <v>No</v>
      </c>
      <c r="H1505" s="7" t="str">
        <f aca="false">'Raw Data'!M1505</f>
        <v>Moderate</v>
      </c>
      <c r="I1505" s="7" t="n">
        <f aca="false">(IF(D1505="Current",3,IF(D1505="Former",1,0)))+(IF(E1505="High",3,IF(E1505="Normal",1,0)))+(IF(F1505&gt;=240,2,IF(F1505&gt;=200,1,0)))+(IF(G1505="Yes",2,0))+(IF(H1505="High",2,IF(H1505="Moderate",1,0)))</f>
        <v>7</v>
      </c>
      <c r="J1505" s="7" t="str">
        <f aca="false">IF(I1505&gt;=8,"High",IF(I1505&gt;=4,"Medium","Low"))</f>
        <v>Medium</v>
      </c>
    </row>
    <row r="1506" customFormat="false" ht="15" hidden="false" customHeight="true" outlineLevel="0" collapsed="false">
      <c r="A1506" s="7" t="n">
        <f aca="false">'Raw Data'!A1506</f>
        <v>1114</v>
      </c>
      <c r="B1506" s="7" t="n">
        <f aca="false">'Raw Data'!B1506</f>
        <v>19</v>
      </c>
      <c r="C1506" s="7" t="str">
        <f aca="false">'Raw Data'!C1506</f>
        <v>Female</v>
      </c>
      <c r="D1506" s="7" t="str">
        <f aca="false">'Raw Data'!D1506</f>
        <v>Current</v>
      </c>
      <c r="E1506" s="7" t="str">
        <f aca="false">'Raw Data'!J1506</f>
        <v>High</v>
      </c>
      <c r="F1506" s="7" t="n">
        <f aca="false">'Raw Data'!K1506</f>
        <v>289.6</v>
      </c>
      <c r="G1506" s="7" t="str">
        <f aca="false">'Raw Data'!L1506</f>
        <v>Yes</v>
      </c>
      <c r="H1506" s="7" t="str">
        <f aca="false">'Raw Data'!M1506</f>
        <v>Moderate</v>
      </c>
      <c r="I1506" s="7" t="n">
        <f aca="false">(IF(D1506="Current",3,IF(D1506="Former",1,0)))+(IF(E1506="High",3,IF(E1506="Normal",1,0)))+(IF(F1506&gt;=240,2,IF(F1506&gt;=200,1,0)))+(IF(G1506="Yes",2,0))+(IF(H1506="High",2,IF(H1506="Moderate",1,0)))</f>
        <v>11</v>
      </c>
      <c r="J1506" s="7" t="str">
        <f aca="false">IF(I1506&gt;=8,"High",IF(I1506&gt;=4,"Medium","Low"))</f>
        <v>High</v>
      </c>
    </row>
    <row r="1507" customFormat="false" ht="15" hidden="false" customHeight="true" outlineLevel="0" collapsed="false">
      <c r="A1507" s="7" t="n">
        <f aca="false">'Raw Data'!A1507</f>
        <v>1175</v>
      </c>
      <c r="B1507" s="7" t="n">
        <f aca="false">'Raw Data'!B1507</f>
        <v>82</v>
      </c>
      <c r="C1507" s="7" t="str">
        <f aca="false">'Raw Data'!C1507</f>
        <v>Male</v>
      </c>
      <c r="D1507" s="7" t="str">
        <f aca="false">'Raw Data'!D1507</f>
        <v>Current</v>
      </c>
      <c r="E1507" s="7" t="str">
        <f aca="false">'Raw Data'!J1507</f>
        <v>High</v>
      </c>
      <c r="F1507" s="7" t="n">
        <f aca="false">'Raw Data'!K1507</f>
        <v>283.7</v>
      </c>
      <c r="G1507" s="7" t="str">
        <f aca="false">'Raw Data'!L1507</f>
        <v>No</v>
      </c>
      <c r="H1507" s="7" t="str">
        <f aca="false">'Raw Data'!M1507</f>
        <v>Moderate</v>
      </c>
      <c r="I1507" s="7" t="n">
        <f aca="false">(IF(D1507="Current",3,IF(D1507="Former",1,0)))+(IF(E1507="High",3,IF(E1507="Normal",1,0)))+(IF(F1507&gt;=240,2,IF(F1507&gt;=200,1,0)))+(IF(G1507="Yes",2,0))+(IF(H1507="High",2,IF(H1507="Moderate",1,0)))</f>
        <v>9</v>
      </c>
      <c r="J1507" s="7" t="str">
        <f aca="false">IF(I1507&gt;=8,"High",IF(I1507&gt;=4,"Medium","Low"))</f>
        <v>High</v>
      </c>
    </row>
    <row r="1508" customFormat="false" ht="15" hidden="false" customHeight="true" outlineLevel="0" collapsed="false">
      <c r="A1508" s="7" t="n">
        <f aca="false">'Raw Data'!A1508</f>
        <v>1184</v>
      </c>
      <c r="B1508" s="7" t="n">
        <f aca="false">'Raw Data'!B1508</f>
        <v>32</v>
      </c>
      <c r="C1508" s="7" t="str">
        <f aca="false">'Raw Data'!C1508</f>
        <v>Male</v>
      </c>
      <c r="D1508" s="7" t="str">
        <f aca="false">'Raw Data'!D1508</f>
        <v>Former</v>
      </c>
      <c r="E1508" s="7" t="str">
        <f aca="false">'Raw Data'!J1508</f>
        <v>High</v>
      </c>
      <c r="F1508" s="7" t="n">
        <f aca="false">'Raw Data'!K1508</f>
        <v>278.5</v>
      </c>
      <c r="G1508" s="7" t="str">
        <f aca="false">'Raw Data'!L1508</f>
        <v>No</v>
      </c>
      <c r="H1508" s="7" t="str">
        <f aca="false">'Raw Data'!M1508</f>
        <v>Moderate</v>
      </c>
      <c r="I1508" s="7" t="n">
        <f aca="false">(IF(D1508="Current",3,IF(D1508="Former",1,0)))+(IF(E1508="High",3,IF(E1508="Normal",1,0)))+(IF(F1508&gt;=240,2,IF(F1508&gt;=200,1,0)))+(IF(G1508="Yes",2,0))+(IF(H1508="High",2,IF(H1508="Moderate",1,0)))</f>
        <v>7</v>
      </c>
      <c r="J1508" s="7" t="str">
        <f aca="false">IF(I1508&gt;=8,"High",IF(I1508&gt;=4,"Medium","Low"))</f>
        <v>Medium</v>
      </c>
    </row>
    <row r="1509" customFormat="false" ht="15" hidden="false" customHeight="true" outlineLevel="0" collapsed="false">
      <c r="A1509" s="7" t="n">
        <f aca="false">'Raw Data'!A1509</f>
        <v>1213</v>
      </c>
      <c r="B1509" s="7" t="n">
        <f aca="false">'Raw Data'!B1509</f>
        <v>85</v>
      </c>
      <c r="C1509" s="7" t="str">
        <f aca="false">'Raw Data'!C1509</f>
        <v>Male</v>
      </c>
      <c r="D1509" s="7" t="str">
        <f aca="false">'Raw Data'!D1509</f>
        <v>Former</v>
      </c>
      <c r="E1509" s="7" t="str">
        <f aca="false">'Raw Data'!J1509</f>
        <v>High</v>
      </c>
      <c r="F1509" s="7" t="n">
        <f aca="false">'Raw Data'!K1509</f>
        <v>161.4</v>
      </c>
      <c r="G1509" s="7" t="str">
        <f aca="false">'Raw Data'!L1509</f>
        <v>Yes</v>
      </c>
      <c r="H1509" s="7" t="str">
        <f aca="false">'Raw Data'!M1509</f>
        <v>Moderate</v>
      </c>
      <c r="I1509" s="7" t="n">
        <f aca="false">(IF(D1509="Current",3,IF(D1509="Former",1,0)))+(IF(E1509="High",3,IF(E1509="Normal",1,0)))+(IF(F1509&gt;=240,2,IF(F1509&gt;=200,1,0)))+(IF(G1509="Yes",2,0))+(IF(H1509="High",2,IF(H1509="Moderate",1,0)))</f>
        <v>7</v>
      </c>
      <c r="J1509" s="7" t="str">
        <f aca="false">IF(I1509&gt;=8,"High",IF(I1509&gt;=4,"Medium","Low"))</f>
        <v>Medium</v>
      </c>
    </row>
    <row r="1510" customFormat="false" ht="15" hidden="false" customHeight="true" outlineLevel="0" collapsed="false">
      <c r="A1510" s="7" t="n">
        <f aca="false">'Raw Data'!A1510</f>
        <v>1219</v>
      </c>
      <c r="B1510" s="7" t="n">
        <f aca="false">'Raw Data'!B1510</f>
        <v>39</v>
      </c>
      <c r="C1510" s="7" t="str">
        <f aca="false">'Raw Data'!C1510</f>
        <v>Male</v>
      </c>
      <c r="D1510" s="7" t="str">
        <f aca="false">'Raw Data'!D1510</f>
        <v>Former</v>
      </c>
      <c r="E1510" s="7" t="str">
        <f aca="false">'Raw Data'!J1510</f>
        <v>High</v>
      </c>
      <c r="F1510" s="7" t="n">
        <f aca="false">'Raw Data'!K1510</f>
        <v>149.1</v>
      </c>
      <c r="G1510" s="7" t="str">
        <f aca="false">'Raw Data'!L1510</f>
        <v>Yes</v>
      </c>
      <c r="H1510" s="7" t="str">
        <f aca="false">'Raw Data'!M1510</f>
        <v>Moderate</v>
      </c>
      <c r="I1510" s="7" t="n">
        <f aca="false">(IF(D1510="Current",3,IF(D1510="Former",1,0)))+(IF(E1510="High",3,IF(E1510="Normal",1,0)))+(IF(F1510&gt;=240,2,IF(F1510&gt;=200,1,0)))+(IF(G1510="Yes",2,0))+(IF(H1510="High",2,IF(H1510="Moderate",1,0)))</f>
        <v>7</v>
      </c>
      <c r="J1510" s="7" t="str">
        <f aca="false">IF(I1510&gt;=8,"High",IF(I1510&gt;=4,"Medium","Low"))</f>
        <v>Medium</v>
      </c>
    </row>
    <row r="1511" customFormat="false" ht="15" hidden="false" customHeight="true" outlineLevel="0" collapsed="false">
      <c r="A1511" s="7" t="n">
        <f aca="false">'Raw Data'!A1511</f>
        <v>1227</v>
      </c>
      <c r="B1511" s="7" t="n">
        <f aca="false">'Raw Data'!B1511</f>
        <v>80</v>
      </c>
      <c r="C1511" s="7" t="str">
        <f aca="false">'Raw Data'!C1511</f>
        <v>Male</v>
      </c>
      <c r="D1511" s="7" t="str">
        <f aca="false">'Raw Data'!D1511</f>
        <v>Current</v>
      </c>
      <c r="E1511" s="7" t="str">
        <f aca="false">'Raw Data'!J1511</f>
        <v>High</v>
      </c>
      <c r="F1511" s="7" t="n">
        <f aca="false">'Raw Data'!K1511</f>
        <v>236.4</v>
      </c>
      <c r="G1511" s="7" t="str">
        <f aca="false">'Raw Data'!L1511</f>
        <v>Yes</v>
      </c>
      <c r="H1511" s="7" t="str">
        <f aca="false">'Raw Data'!M1511</f>
        <v>Moderate</v>
      </c>
      <c r="I1511" s="7" t="n">
        <f aca="false">(IF(D1511="Current",3,IF(D1511="Former",1,0)))+(IF(E1511="High",3,IF(E1511="Normal",1,0)))+(IF(F1511&gt;=240,2,IF(F1511&gt;=200,1,0)))+(IF(G1511="Yes",2,0))+(IF(H1511="High",2,IF(H1511="Moderate",1,0)))</f>
        <v>10</v>
      </c>
      <c r="J1511" s="7" t="str">
        <f aca="false">IF(I1511&gt;=8,"High",IF(I1511&gt;=4,"Medium","Low"))</f>
        <v>High</v>
      </c>
    </row>
    <row r="1512" customFormat="false" ht="15" hidden="false" customHeight="true" outlineLevel="0" collapsed="false">
      <c r="A1512" s="7" t="n">
        <f aca="false">'Raw Data'!A1512</f>
        <v>1266</v>
      </c>
      <c r="B1512" s="7" t="n">
        <f aca="false">'Raw Data'!B1512</f>
        <v>29</v>
      </c>
      <c r="C1512" s="7" t="str">
        <f aca="false">'Raw Data'!C1512</f>
        <v>Male</v>
      </c>
      <c r="D1512" s="7" t="str">
        <f aca="false">'Raw Data'!D1512</f>
        <v>Current</v>
      </c>
      <c r="E1512" s="7" t="str">
        <f aca="false">'Raw Data'!J1512</f>
        <v>High</v>
      </c>
      <c r="F1512" s="7" t="n">
        <f aca="false">'Raw Data'!K1512</f>
        <v>167.9</v>
      </c>
      <c r="G1512" s="7" t="str">
        <f aca="false">'Raw Data'!L1512</f>
        <v>No</v>
      </c>
      <c r="H1512" s="7" t="str">
        <f aca="false">'Raw Data'!M1512</f>
        <v>Moderate</v>
      </c>
      <c r="I1512" s="7" t="n">
        <f aca="false">(IF(D1512="Current",3,IF(D1512="Former",1,0)))+(IF(E1512="High",3,IF(E1512="Normal",1,0)))+(IF(F1512&gt;=240,2,IF(F1512&gt;=200,1,0)))+(IF(G1512="Yes",2,0))+(IF(H1512="High",2,IF(H1512="Moderate",1,0)))</f>
        <v>7</v>
      </c>
      <c r="J1512" s="7" t="str">
        <f aca="false">IF(I1512&gt;=8,"High",IF(I1512&gt;=4,"Medium","Low"))</f>
        <v>Medium</v>
      </c>
    </row>
    <row r="1513" customFormat="false" ht="15" hidden="false" customHeight="true" outlineLevel="0" collapsed="false">
      <c r="A1513" s="7" t="n">
        <f aca="false">'Raw Data'!A1513</f>
        <v>1286</v>
      </c>
      <c r="B1513" s="7" t="n">
        <f aca="false">'Raw Data'!B1513</f>
        <v>80</v>
      </c>
      <c r="C1513" s="7" t="str">
        <f aca="false">'Raw Data'!C1513</f>
        <v>Female</v>
      </c>
      <c r="D1513" s="7" t="str">
        <f aca="false">'Raw Data'!D1513</f>
        <v>Former</v>
      </c>
      <c r="E1513" s="7" t="str">
        <f aca="false">'Raw Data'!J1513</f>
        <v>High</v>
      </c>
      <c r="F1513" s="7" t="n">
        <f aca="false">'Raw Data'!K1513</f>
        <v>287.7</v>
      </c>
      <c r="G1513" s="7" t="str">
        <f aca="false">'Raw Data'!L1513</f>
        <v>No</v>
      </c>
      <c r="H1513" s="7" t="str">
        <f aca="false">'Raw Data'!M1513</f>
        <v>Moderate</v>
      </c>
      <c r="I1513" s="7" t="n">
        <f aca="false">(IF(D1513="Current",3,IF(D1513="Former",1,0)))+(IF(E1513="High",3,IF(E1513="Normal",1,0)))+(IF(F1513&gt;=240,2,IF(F1513&gt;=200,1,0)))+(IF(G1513="Yes",2,0))+(IF(H1513="High",2,IF(H1513="Moderate",1,0)))</f>
        <v>7</v>
      </c>
      <c r="J1513" s="7" t="str">
        <f aca="false">IF(I1513&gt;=8,"High",IF(I1513&gt;=4,"Medium","Low"))</f>
        <v>Medium</v>
      </c>
    </row>
    <row r="1514" customFormat="false" ht="15" hidden="false" customHeight="true" outlineLevel="0" collapsed="false">
      <c r="A1514" s="7" t="n">
        <f aca="false">'Raw Data'!A1514</f>
        <v>1315</v>
      </c>
      <c r="B1514" s="7" t="n">
        <f aca="false">'Raw Data'!B1514</f>
        <v>88</v>
      </c>
      <c r="C1514" s="7" t="str">
        <f aca="false">'Raw Data'!C1514</f>
        <v>Female</v>
      </c>
      <c r="D1514" s="7" t="str">
        <f aca="false">'Raw Data'!D1514</f>
        <v>Current</v>
      </c>
      <c r="E1514" s="7" t="str">
        <f aca="false">'Raw Data'!J1514</f>
        <v>High</v>
      </c>
      <c r="F1514" s="7" t="n">
        <f aca="false">'Raw Data'!K1514</f>
        <v>229.9</v>
      </c>
      <c r="G1514" s="7" t="str">
        <f aca="false">'Raw Data'!L1514</f>
        <v>No</v>
      </c>
      <c r="H1514" s="7" t="str">
        <f aca="false">'Raw Data'!M1514</f>
        <v>Moderate</v>
      </c>
      <c r="I1514" s="7" t="n">
        <f aca="false">(IF(D1514="Current",3,IF(D1514="Former",1,0)))+(IF(E1514="High",3,IF(E1514="Normal",1,0)))+(IF(F1514&gt;=240,2,IF(F1514&gt;=200,1,0)))+(IF(G1514="Yes",2,0))+(IF(H1514="High",2,IF(H1514="Moderate",1,0)))</f>
        <v>8</v>
      </c>
      <c r="J1514" s="7" t="str">
        <f aca="false">IF(I1514&gt;=8,"High",IF(I1514&gt;=4,"Medium","Low"))</f>
        <v>High</v>
      </c>
    </row>
    <row r="1515" customFormat="false" ht="15" hidden="false" customHeight="true" outlineLevel="0" collapsed="false">
      <c r="A1515" s="7" t="n">
        <f aca="false">'Raw Data'!A1515</f>
        <v>1371</v>
      </c>
      <c r="B1515" s="7" t="n">
        <f aca="false">'Raw Data'!B1515</f>
        <v>79</v>
      </c>
      <c r="C1515" s="7" t="str">
        <f aca="false">'Raw Data'!C1515</f>
        <v>Male</v>
      </c>
      <c r="D1515" s="7" t="str">
        <f aca="false">'Raw Data'!D1515</f>
        <v>Current</v>
      </c>
      <c r="E1515" s="7" t="str">
        <f aca="false">'Raw Data'!J1515</f>
        <v>High</v>
      </c>
      <c r="F1515" s="7" t="n">
        <f aca="false">'Raw Data'!K1515</f>
        <v>181.3</v>
      </c>
      <c r="G1515" s="7" t="str">
        <f aca="false">'Raw Data'!L1515</f>
        <v>No</v>
      </c>
      <c r="H1515" s="7" t="str">
        <f aca="false">'Raw Data'!M1515</f>
        <v>Moderate</v>
      </c>
      <c r="I1515" s="7" t="n">
        <f aca="false">(IF(D1515="Current",3,IF(D1515="Former",1,0)))+(IF(E1515="High",3,IF(E1515="Normal",1,0)))+(IF(F1515&gt;=240,2,IF(F1515&gt;=200,1,0)))+(IF(G1515="Yes",2,0))+(IF(H1515="High",2,IF(H1515="Moderate",1,0)))</f>
        <v>7</v>
      </c>
      <c r="J1515" s="7" t="str">
        <f aca="false">IF(I1515&gt;=8,"High",IF(I1515&gt;=4,"Medium","Low"))</f>
        <v>Medium</v>
      </c>
    </row>
    <row r="1516" customFormat="false" ht="15" hidden="false" customHeight="true" outlineLevel="0" collapsed="false">
      <c r="A1516" s="7" t="n">
        <f aca="false">'Raw Data'!A1516</f>
        <v>1396</v>
      </c>
      <c r="B1516" s="7" t="n">
        <f aca="false">'Raw Data'!B1516</f>
        <v>30</v>
      </c>
      <c r="C1516" s="7" t="str">
        <f aca="false">'Raw Data'!C1516</f>
        <v>Female</v>
      </c>
      <c r="D1516" s="7" t="str">
        <f aca="false">'Raw Data'!D1516</f>
        <v>Former</v>
      </c>
      <c r="E1516" s="7" t="str">
        <f aca="false">'Raw Data'!J1516</f>
        <v>High</v>
      </c>
      <c r="F1516" s="7" t="n">
        <f aca="false">'Raw Data'!K1516</f>
        <v>255.6</v>
      </c>
      <c r="G1516" s="7" t="str">
        <f aca="false">'Raw Data'!L1516</f>
        <v>No</v>
      </c>
      <c r="H1516" s="7" t="str">
        <f aca="false">'Raw Data'!M1516</f>
        <v>Moderate</v>
      </c>
      <c r="I1516" s="7" t="n">
        <f aca="false">(IF(D1516="Current",3,IF(D1516="Former",1,0)))+(IF(E1516="High",3,IF(E1516="Normal",1,0)))+(IF(F1516&gt;=240,2,IF(F1516&gt;=200,1,0)))+(IF(G1516="Yes",2,0))+(IF(H1516="High",2,IF(H1516="Moderate",1,0)))</f>
        <v>7</v>
      </c>
      <c r="J1516" s="7" t="str">
        <f aca="false">IF(I1516&gt;=8,"High",IF(I1516&gt;=4,"Medium","Low"))</f>
        <v>Medium</v>
      </c>
    </row>
    <row r="1517" customFormat="false" ht="15" hidden="false" customHeight="true" outlineLevel="0" collapsed="false">
      <c r="A1517" s="7" t="n">
        <f aca="false">'Raw Data'!A1517</f>
        <v>1399</v>
      </c>
      <c r="B1517" s="7" t="n">
        <f aca="false">'Raw Data'!B1517</f>
        <v>78</v>
      </c>
      <c r="C1517" s="7" t="str">
        <f aca="false">'Raw Data'!C1517</f>
        <v>Male</v>
      </c>
      <c r="D1517" s="7" t="str">
        <f aca="false">'Raw Data'!D1517</f>
        <v>Current</v>
      </c>
      <c r="E1517" s="7" t="str">
        <f aca="false">'Raw Data'!J1517</f>
        <v>High</v>
      </c>
      <c r="F1517" s="7" t="n">
        <f aca="false">'Raw Data'!K1517</f>
        <v>219.1</v>
      </c>
      <c r="G1517" s="7" t="str">
        <f aca="false">'Raw Data'!L1517</f>
        <v>No</v>
      </c>
      <c r="H1517" s="7" t="str">
        <f aca="false">'Raw Data'!M1517</f>
        <v>Moderate</v>
      </c>
      <c r="I1517" s="7" t="n">
        <f aca="false">(IF(D1517="Current",3,IF(D1517="Former",1,0)))+(IF(E1517="High",3,IF(E1517="Normal",1,0)))+(IF(F1517&gt;=240,2,IF(F1517&gt;=200,1,0)))+(IF(G1517="Yes",2,0))+(IF(H1517="High",2,IF(H1517="Moderate",1,0)))</f>
        <v>8</v>
      </c>
      <c r="J1517" s="7" t="str">
        <f aca="false">IF(I1517&gt;=8,"High",IF(I1517&gt;=4,"Medium","Low"))</f>
        <v>High</v>
      </c>
    </row>
    <row r="1518" customFormat="false" ht="15" hidden="false" customHeight="true" outlineLevel="0" collapsed="false">
      <c r="A1518" s="7" t="n">
        <f aca="false">'Raw Data'!A1518</f>
        <v>1432</v>
      </c>
      <c r="B1518" s="7" t="n">
        <f aca="false">'Raw Data'!B1518</f>
        <v>60</v>
      </c>
      <c r="C1518" s="7" t="str">
        <f aca="false">'Raw Data'!C1518</f>
        <v>Female</v>
      </c>
      <c r="D1518" s="7" t="str">
        <f aca="false">'Raw Data'!D1518</f>
        <v>Former</v>
      </c>
      <c r="E1518" s="7" t="str">
        <f aca="false">'Raw Data'!J1518</f>
        <v>High</v>
      </c>
      <c r="F1518" s="7" t="n">
        <f aca="false">'Raw Data'!K1518</f>
        <v>221.5</v>
      </c>
      <c r="G1518" s="7" t="str">
        <f aca="false">'Raw Data'!L1518</f>
        <v>No</v>
      </c>
      <c r="H1518" s="7" t="str">
        <f aca="false">'Raw Data'!M1518</f>
        <v>Moderate</v>
      </c>
      <c r="I1518" s="7" t="n">
        <f aca="false">(IF(D1518="Current",3,IF(D1518="Former",1,0)))+(IF(E1518="High",3,IF(E1518="Normal",1,0)))+(IF(F1518&gt;=240,2,IF(F1518&gt;=200,1,0)))+(IF(G1518="Yes",2,0))+(IF(H1518="High",2,IF(H1518="Moderate",1,0)))</f>
        <v>6</v>
      </c>
      <c r="J1518" s="7" t="str">
        <f aca="false">IF(I1518&gt;=8,"High",IF(I1518&gt;=4,"Medium","Low"))</f>
        <v>Medium</v>
      </c>
    </row>
    <row r="1519" customFormat="false" ht="15" hidden="false" customHeight="true" outlineLevel="0" collapsed="false">
      <c r="A1519" s="7" t="n">
        <f aca="false">'Raw Data'!A1519</f>
        <v>1438</v>
      </c>
      <c r="B1519" s="7" t="n">
        <f aca="false">'Raw Data'!B1519</f>
        <v>64</v>
      </c>
      <c r="C1519" s="7" t="str">
        <f aca="false">'Raw Data'!C1519</f>
        <v>Male</v>
      </c>
      <c r="D1519" s="7" t="str">
        <f aca="false">'Raw Data'!D1519</f>
        <v>Former</v>
      </c>
      <c r="E1519" s="7" t="str">
        <f aca="false">'Raw Data'!J1519</f>
        <v>High</v>
      </c>
      <c r="F1519" s="7" t="n">
        <f aca="false">'Raw Data'!K1519</f>
        <v>260.3</v>
      </c>
      <c r="G1519" s="7" t="str">
        <f aca="false">'Raw Data'!L1519</f>
        <v>No</v>
      </c>
      <c r="H1519" s="7" t="str">
        <f aca="false">'Raw Data'!M1519</f>
        <v>Moderate</v>
      </c>
      <c r="I1519" s="7" t="n">
        <f aca="false">(IF(D1519="Current",3,IF(D1519="Former",1,0)))+(IF(E1519="High",3,IF(E1519="Normal",1,0)))+(IF(F1519&gt;=240,2,IF(F1519&gt;=200,1,0)))+(IF(G1519="Yes",2,0))+(IF(H1519="High",2,IF(H1519="Moderate",1,0)))</f>
        <v>7</v>
      </c>
      <c r="J1519" s="7" t="str">
        <f aca="false">IF(I1519&gt;=8,"High",IF(I1519&gt;=4,"Medium","Low"))</f>
        <v>Medium</v>
      </c>
    </row>
    <row r="1520" customFormat="false" ht="15" hidden="false" customHeight="true" outlineLevel="0" collapsed="false">
      <c r="A1520" s="7" t="n">
        <f aca="false">'Raw Data'!A1520</f>
        <v>1470</v>
      </c>
      <c r="B1520" s="7" t="n">
        <f aca="false">'Raw Data'!B1520</f>
        <v>40</v>
      </c>
      <c r="C1520" s="7" t="str">
        <f aca="false">'Raw Data'!C1520</f>
        <v>Male</v>
      </c>
      <c r="D1520" s="7" t="str">
        <f aca="false">'Raw Data'!D1520</f>
        <v>Former</v>
      </c>
      <c r="E1520" s="7" t="str">
        <f aca="false">'Raw Data'!J1520</f>
        <v>High</v>
      </c>
      <c r="F1520" s="7" t="n">
        <f aca="false">'Raw Data'!K1520</f>
        <v>148.4</v>
      </c>
      <c r="G1520" s="7" t="str">
        <f aca="false">'Raw Data'!L1520</f>
        <v>No</v>
      </c>
      <c r="H1520" s="7" t="str">
        <f aca="false">'Raw Data'!M1520</f>
        <v>Moderate</v>
      </c>
      <c r="I1520" s="7" t="n">
        <f aca="false">(IF(D1520="Current",3,IF(D1520="Former",1,0)))+(IF(E1520="High",3,IF(E1520="Normal",1,0)))+(IF(F1520&gt;=240,2,IF(F1520&gt;=200,1,0)))+(IF(G1520="Yes",2,0))+(IF(H1520="High",2,IF(H1520="Moderate",1,0)))</f>
        <v>5</v>
      </c>
      <c r="J1520" s="7" t="str">
        <f aca="false">IF(I1520&gt;=8,"High",IF(I1520&gt;=4,"Medium","Low"))</f>
        <v>Medium</v>
      </c>
    </row>
    <row r="1521" customFormat="false" ht="15" hidden="false" customHeight="true" outlineLevel="0" collapsed="false">
      <c r="A1521" s="7" t="n">
        <f aca="false">'Raw Data'!A1521</f>
        <v>1501</v>
      </c>
      <c r="B1521" s="7" t="n">
        <f aca="false">'Raw Data'!B1521</f>
        <v>71</v>
      </c>
      <c r="C1521" s="7" t="str">
        <f aca="false">'Raw Data'!C1521</f>
        <v>Female</v>
      </c>
      <c r="D1521" s="7" t="str">
        <f aca="false">'Raw Data'!D1521</f>
        <v>Former</v>
      </c>
      <c r="E1521" s="7" t="str">
        <f aca="false">'Raw Data'!J1521</f>
        <v>High</v>
      </c>
      <c r="F1521" s="7" t="n">
        <f aca="false">'Raw Data'!K1521</f>
        <v>199.5</v>
      </c>
      <c r="G1521" s="7" t="str">
        <f aca="false">'Raw Data'!L1521</f>
        <v>No</v>
      </c>
      <c r="H1521" s="7" t="str">
        <f aca="false">'Raw Data'!M1521</f>
        <v>Moderate</v>
      </c>
      <c r="I1521" s="7" t="n">
        <f aca="false">(IF(D1521="Current",3,IF(D1521="Former",1,0)))+(IF(E1521="High",3,IF(E1521="Normal",1,0)))+(IF(F1521&gt;=240,2,IF(F1521&gt;=200,1,0)))+(IF(G1521="Yes",2,0))+(IF(H1521="High",2,IF(H1521="Moderate",1,0)))</f>
        <v>5</v>
      </c>
      <c r="J1521" s="7" t="str">
        <f aca="false">IF(I1521&gt;=8,"High",IF(I1521&gt;=4,"Medium","Low"))</f>
        <v>Medium</v>
      </c>
    </row>
    <row r="1522" customFormat="false" ht="15" hidden="false" customHeight="true" outlineLevel="0" collapsed="false">
      <c r="A1522" s="7" t="n">
        <f aca="false">'Raw Data'!A1522</f>
        <v>1524</v>
      </c>
      <c r="B1522" s="7" t="n">
        <f aca="false">'Raw Data'!B1522</f>
        <v>52</v>
      </c>
      <c r="C1522" s="7" t="str">
        <f aca="false">'Raw Data'!C1522</f>
        <v>Male</v>
      </c>
      <c r="D1522" s="7" t="str">
        <f aca="false">'Raw Data'!D1522</f>
        <v>Current</v>
      </c>
      <c r="E1522" s="7" t="str">
        <f aca="false">'Raw Data'!J1522</f>
        <v>High</v>
      </c>
      <c r="F1522" s="7" t="n">
        <f aca="false">'Raw Data'!K1522</f>
        <v>293.1</v>
      </c>
      <c r="G1522" s="7" t="str">
        <f aca="false">'Raw Data'!L1522</f>
        <v>No</v>
      </c>
      <c r="H1522" s="7" t="str">
        <f aca="false">'Raw Data'!M1522</f>
        <v>Moderate</v>
      </c>
      <c r="I1522" s="7" t="n">
        <f aca="false">(IF(D1522="Current",3,IF(D1522="Former",1,0)))+(IF(E1522="High",3,IF(E1522="Normal",1,0)))+(IF(F1522&gt;=240,2,IF(F1522&gt;=200,1,0)))+(IF(G1522="Yes",2,0))+(IF(H1522="High",2,IF(H1522="Moderate",1,0)))</f>
        <v>9</v>
      </c>
      <c r="J1522" s="7" t="str">
        <f aca="false">IF(I1522&gt;=8,"High",IF(I1522&gt;=4,"Medium","Low"))</f>
        <v>High</v>
      </c>
    </row>
    <row r="1523" customFormat="false" ht="15" hidden="false" customHeight="true" outlineLevel="0" collapsed="false">
      <c r="A1523" s="7" t="n">
        <f aca="false">'Raw Data'!A1523</f>
        <v>1525</v>
      </c>
      <c r="B1523" s="7" t="n">
        <f aca="false">'Raw Data'!B1523</f>
        <v>50</v>
      </c>
      <c r="C1523" s="7" t="str">
        <f aca="false">'Raw Data'!C1523</f>
        <v>Male</v>
      </c>
      <c r="D1523" s="7" t="str">
        <f aca="false">'Raw Data'!D1523</f>
        <v>Current</v>
      </c>
      <c r="E1523" s="7" t="str">
        <f aca="false">'Raw Data'!J1523</f>
        <v>High</v>
      </c>
      <c r="F1523" s="7" t="n">
        <f aca="false">'Raw Data'!K1523</f>
        <v>168.9</v>
      </c>
      <c r="G1523" s="7" t="str">
        <f aca="false">'Raw Data'!L1523</f>
        <v>Yes</v>
      </c>
      <c r="H1523" s="7" t="str">
        <f aca="false">'Raw Data'!M1523</f>
        <v>Moderate</v>
      </c>
      <c r="I1523" s="7" t="n">
        <f aca="false">(IF(D1523="Current",3,IF(D1523="Former",1,0)))+(IF(E1523="High",3,IF(E1523="Normal",1,0)))+(IF(F1523&gt;=240,2,IF(F1523&gt;=200,1,0)))+(IF(G1523="Yes",2,0))+(IF(H1523="High",2,IF(H1523="Moderate",1,0)))</f>
        <v>9</v>
      </c>
      <c r="J1523" s="7" t="str">
        <f aca="false">IF(I1523&gt;=8,"High",IF(I1523&gt;=4,"Medium","Low"))</f>
        <v>High</v>
      </c>
    </row>
    <row r="1524" customFormat="false" ht="15" hidden="false" customHeight="true" outlineLevel="0" collapsed="false">
      <c r="A1524" s="7" t="n">
        <f aca="false">'Raw Data'!A1524</f>
        <v>1548</v>
      </c>
      <c r="B1524" s="7" t="n">
        <f aca="false">'Raw Data'!B1524</f>
        <v>72</v>
      </c>
      <c r="C1524" s="7" t="str">
        <f aca="false">'Raw Data'!C1524</f>
        <v>Male</v>
      </c>
      <c r="D1524" s="7" t="str">
        <f aca="false">'Raw Data'!D1524</f>
        <v>Current</v>
      </c>
      <c r="E1524" s="7" t="str">
        <f aca="false">'Raw Data'!J1524</f>
        <v>High</v>
      </c>
      <c r="F1524" s="7" t="n">
        <f aca="false">'Raw Data'!K1524</f>
        <v>221.4</v>
      </c>
      <c r="G1524" s="7" t="str">
        <f aca="false">'Raw Data'!L1524</f>
        <v>Yes</v>
      </c>
      <c r="H1524" s="7" t="str">
        <f aca="false">'Raw Data'!M1524</f>
        <v>Moderate</v>
      </c>
      <c r="I1524" s="7" t="n">
        <f aca="false">(IF(D1524="Current",3,IF(D1524="Former",1,0)))+(IF(E1524="High",3,IF(E1524="Normal",1,0)))+(IF(F1524&gt;=240,2,IF(F1524&gt;=200,1,0)))+(IF(G1524="Yes",2,0))+(IF(H1524="High",2,IF(H1524="Moderate",1,0)))</f>
        <v>10</v>
      </c>
      <c r="J1524" s="7" t="str">
        <f aca="false">IF(I1524&gt;=8,"High",IF(I1524&gt;=4,"Medium","Low"))</f>
        <v>High</v>
      </c>
    </row>
    <row r="1525" customFormat="false" ht="15" hidden="false" customHeight="true" outlineLevel="0" collapsed="false">
      <c r="A1525" s="7" t="n">
        <f aca="false">'Raw Data'!A1525</f>
        <v>1614</v>
      </c>
      <c r="B1525" s="7" t="n">
        <f aca="false">'Raw Data'!B1525</f>
        <v>42</v>
      </c>
      <c r="C1525" s="7" t="str">
        <f aca="false">'Raw Data'!C1525</f>
        <v>Female</v>
      </c>
      <c r="D1525" s="7" t="str">
        <f aca="false">'Raw Data'!D1525</f>
        <v>Former</v>
      </c>
      <c r="E1525" s="7" t="str">
        <f aca="false">'Raw Data'!J1525</f>
        <v>High</v>
      </c>
      <c r="F1525" s="7" t="n">
        <f aca="false">'Raw Data'!K1525</f>
        <v>160.8</v>
      </c>
      <c r="G1525" s="7" t="str">
        <f aca="false">'Raw Data'!L1525</f>
        <v>No</v>
      </c>
      <c r="H1525" s="7" t="str">
        <f aca="false">'Raw Data'!M1525</f>
        <v>Moderate</v>
      </c>
      <c r="I1525" s="7" t="n">
        <f aca="false">(IF(D1525="Current",3,IF(D1525="Former",1,0)))+(IF(E1525="High",3,IF(E1525="Normal",1,0)))+(IF(F1525&gt;=240,2,IF(F1525&gt;=200,1,0)))+(IF(G1525="Yes",2,0))+(IF(H1525="High",2,IF(H1525="Moderate",1,0)))</f>
        <v>5</v>
      </c>
      <c r="J1525" s="7" t="str">
        <f aca="false">IF(I1525&gt;=8,"High",IF(I1525&gt;=4,"Medium","Low"))</f>
        <v>Medium</v>
      </c>
    </row>
    <row r="1526" customFormat="false" ht="15" hidden="false" customHeight="true" outlineLevel="0" collapsed="false">
      <c r="A1526" s="7" t="n">
        <f aca="false">'Raw Data'!A1526</f>
        <v>1647</v>
      </c>
      <c r="B1526" s="7" t="n">
        <f aca="false">'Raw Data'!B1526</f>
        <v>77</v>
      </c>
      <c r="C1526" s="7" t="str">
        <f aca="false">'Raw Data'!C1526</f>
        <v>Female</v>
      </c>
      <c r="D1526" s="7" t="str">
        <f aca="false">'Raw Data'!D1526</f>
        <v>Former</v>
      </c>
      <c r="E1526" s="7" t="str">
        <f aca="false">'Raw Data'!J1526</f>
        <v>High</v>
      </c>
      <c r="F1526" s="7" t="n">
        <f aca="false">'Raw Data'!K1526</f>
        <v>148.5</v>
      </c>
      <c r="G1526" s="7" t="str">
        <f aca="false">'Raw Data'!L1526</f>
        <v>Yes</v>
      </c>
      <c r="H1526" s="7" t="str">
        <f aca="false">'Raw Data'!M1526</f>
        <v>Moderate</v>
      </c>
      <c r="I1526" s="7" t="n">
        <f aca="false">(IF(D1526="Current",3,IF(D1526="Former",1,0)))+(IF(E1526="High",3,IF(E1526="Normal",1,0)))+(IF(F1526&gt;=240,2,IF(F1526&gt;=200,1,0)))+(IF(G1526="Yes",2,0))+(IF(H1526="High",2,IF(H1526="Moderate",1,0)))</f>
        <v>7</v>
      </c>
      <c r="J1526" s="7" t="str">
        <f aca="false">IF(I1526&gt;=8,"High",IF(I1526&gt;=4,"Medium","Low"))</f>
        <v>Medium</v>
      </c>
    </row>
    <row r="1527" customFormat="false" ht="15" hidden="false" customHeight="true" outlineLevel="0" collapsed="false">
      <c r="A1527" s="7" t="n">
        <f aca="false">'Raw Data'!A1527</f>
        <v>1662</v>
      </c>
      <c r="B1527" s="7" t="n">
        <f aca="false">'Raw Data'!B1527</f>
        <v>73</v>
      </c>
      <c r="C1527" s="7" t="str">
        <f aca="false">'Raw Data'!C1527</f>
        <v>Male</v>
      </c>
      <c r="D1527" s="7" t="str">
        <f aca="false">'Raw Data'!D1527</f>
        <v>Former</v>
      </c>
      <c r="E1527" s="7" t="str">
        <f aca="false">'Raw Data'!J1527</f>
        <v>High</v>
      </c>
      <c r="F1527" s="7" t="n">
        <f aca="false">'Raw Data'!K1527</f>
        <v>192.5</v>
      </c>
      <c r="G1527" s="7" t="str">
        <f aca="false">'Raw Data'!L1527</f>
        <v>No</v>
      </c>
      <c r="H1527" s="7" t="str">
        <f aca="false">'Raw Data'!M1527</f>
        <v>Moderate</v>
      </c>
      <c r="I1527" s="7" t="n">
        <f aca="false">(IF(D1527="Current",3,IF(D1527="Former",1,0)))+(IF(E1527="High",3,IF(E1527="Normal",1,0)))+(IF(F1527&gt;=240,2,IF(F1527&gt;=200,1,0)))+(IF(G1527="Yes",2,0))+(IF(H1527="High",2,IF(H1527="Moderate",1,0)))</f>
        <v>5</v>
      </c>
      <c r="J1527" s="7" t="str">
        <f aca="false">IF(I1527&gt;=8,"High",IF(I1527&gt;=4,"Medium","Low"))</f>
        <v>Medium</v>
      </c>
    </row>
    <row r="1528" customFormat="false" ht="15" hidden="false" customHeight="true" outlineLevel="0" collapsed="false">
      <c r="A1528" s="7" t="n">
        <f aca="false">'Raw Data'!A1528</f>
        <v>1671</v>
      </c>
      <c r="B1528" s="7" t="n">
        <f aca="false">'Raw Data'!B1528</f>
        <v>37</v>
      </c>
      <c r="C1528" s="7" t="str">
        <f aca="false">'Raw Data'!C1528</f>
        <v>Male</v>
      </c>
      <c r="D1528" s="7" t="str">
        <f aca="false">'Raw Data'!D1528</f>
        <v>Current</v>
      </c>
      <c r="E1528" s="7" t="str">
        <f aca="false">'Raw Data'!J1528</f>
        <v>High</v>
      </c>
      <c r="F1528" s="7" t="n">
        <f aca="false">'Raw Data'!K1528</f>
        <v>151.6</v>
      </c>
      <c r="G1528" s="7" t="str">
        <f aca="false">'Raw Data'!L1528</f>
        <v>No</v>
      </c>
      <c r="H1528" s="7" t="str">
        <f aca="false">'Raw Data'!M1528</f>
        <v>Moderate</v>
      </c>
      <c r="I1528" s="7" t="n">
        <f aca="false">(IF(D1528="Current",3,IF(D1528="Former",1,0)))+(IF(E1528="High",3,IF(E1528="Normal",1,0)))+(IF(F1528&gt;=240,2,IF(F1528&gt;=200,1,0)))+(IF(G1528="Yes",2,0))+(IF(H1528="High",2,IF(H1528="Moderate",1,0)))</f>
        <v>7</v>
      </c>
      <c r="J1528" s="7" t="str">
        <f aca="false">IF(I1528&gt;=8,"High",IF(I1528&gt;=4,"Medium","Low"))</f>
        <v>Medium</v>
      </c>
    </row>
    <row r="1529" customFormat="false" ht="15" hidden="false" customHeight="true" outlineLevel="0" collapsed="false">
      <c r="A1529" s="7" t="n">
        <f aca="false">'Raw Data'!A1529</f>
        <v>1683</v>
      </c>
      <c r="B1529" s="7" t="n">
        <f aca="false">'Raw Data'!B1529</f>
        <v>20</v>
      </c>
      <c r="C1529" s="7" t="str">
        <f aca="false">'Raw Data'!C1529</f>
        <v>Male</v>
      </c>
      <c r="D1529" s="7" t="str">
        <f aca="false">'Raw Data'!D1529</f>
        <v>Former</v>
      </c>
      <c r="E1529" s="7" t="str">
        <f aca="false">'Raw Data'!J1529</f>
        <v>High</v>
      </c>
      <c r="F1529" s="7" t="n">
        <f aca="false">'Raw Data'!K1529</f>
        <v>256.3</v>
      </c>
      <c r="G1529" s="7" t="str">
        <f aca="false">'Raw Data'!L1529</f>
        <v>No</v>
      </c>
      <c r="H1529" s="7" t="str">
        <f aca="false">'Raw Data'!M1529</f>
        <v>Moderate</v>
      </c>
      <c r="I1529" s="7" t="n">
        <f aca="false">(IF(D1529="Current",3,IF(D1529="Former",1,0)))+(IF(E1529="High",3,IF(E1529="Normal",1,0)))+(IF(F1529&gt;=240,2,IF(F1529&gt;=200,1,0)))+(IF(G1529="Yes",2,0))+(IF(H1529="High",2,IF(H1529="Moderate",1,0)))</f>
        <v>7</v>
      </c>
      <c r="J1529" s="7" t="str">
        <f aca="false">IF(I1529&gt;=8,"High",IF(I1529&gt;=4,"Medium","Low"))</f>
        <v>Medium</v>
      </c>
    </row>
    <row r="1530" customFormat="false" ht="15" hidden="false" customHeight="true" outlineLevel="0" collapsed="false">
      <c r="A1530" s="7" t="n">
        <f aca="false">'Raw Data'!A1530</f>
        <v>1755</v>
      </c>
      <c r="B1530" s="7" t="n">
        <f aca="false">'Raw Data'!B1530</f>
        <v>51</v>
      </c>
      <c r="C1530" s="7" t="str">
        <f aca="false">'Raw Data'!C1530</f>
        <v>Male</v>
      </c>
      <c r="D1530" s="7" t="str">
        <f aca="false">'Raw Data'!D1530</f>
        <v>Former</v>
      </c>
      <c r="E1530" s="7" t="str">
        <f aca="false">'Raw Data'!J1530</f>
        <v>High</v>
      </c>
      <c r="F1530" s="7" t="n">
        <f aca="false">'Raw Data'!K1530</f>
        <v>279.1</v>
      </c>
      <c r="G1530" s="7" t="str">
        <f aca="false">'Raw Data'!L1530</f>
        <v>No</v>
      </c>
      <c r="H1530" s="7" t="str">
        <f aca="false">'Raw Data'!M1530</f>
        <v>Moderate</v>
      </c>
      <c r="I1530" s="7" t="n">
        <f aca="false">(IF(D1530="Current",3,IF(D1530="Former",1,0)))+(IF(E1530="High",3,IF(E1530="Normal",1,0)))+(IF(F1530&gt;=240,2,IF(F1530&gt;=200,1,0)))+(IF(G1530="Yes",2,0))+(IF(H1530="High",2,IF(H1530="Moderate",1,0)))</f>
        <v>7</v>
      </c>
      <c r="J1530" s="7" t="str">
        <f aca="false">IF(I1530&gt;=8,"High",IF(I1530&gt;=4,"Medium","Low"))</f>
        <v>Medium</v>
      </c>
    </row>
    <row r="1531" customFormat="false" ht="15" hidden="false" customHeight="true" outlineLevel="0" collapsed="false">
      <c r="A1531" s="7" t="n">
        <f aca="false">'Raw Data'!A1531</f>
        <v>1758</v>
      </c>
      <c r="B1531" s="7" t="n">
        <f aca="false">'Raw Data'!B1531</f>
        <v>59</v>
      </c>
      <c r="C1531" s="7" t="str">
        <f aca="false">'Raw Data'!C1531</f>
        <v>Male</v>
      </c>
      <c r="D1531" s="7" t="str">
        <f aca="false">'Raw Data'!D1531</f>
        <v>Former</v>
      </c>
      <c r="E1531" s="7" t="str">
        <f aca="false">'Raw Data'!J1531</f>
        <v>High</v>
      </c>
      <c r="F1531" s="7" t="n">
        <f aca="false">'Raw Data'!K1531</f>
        <v>217.4</v>
      </c>
      <c r="G1531" s="7" t="str">
        <f aca="false">'Raw Data'!L1531</f>
        <v>No</v>
      </c>
      <c r="H1531" s="7" t="str">
        <f aca="false">'Raw Data'!M1531</f>
        <v>Moderate</v>
      </c>
      <c r="I1531" s="7" t="n">
        <f aca="false">(IF(D1531="Current",3,IF(D1531="Former",1,0)))+(IF(E1531="High",3,IF(E1531="Normal",1,0)))+(IF(F1531&gt;=240,2,IF(F1531&gt;=200,1,0)))+(IF(G1531="Yes",2,0))+(IF(H1531="High",2,IF(H1531="Moderate",1,0)))</f>
        <v>6</v>
      </c>
      <c r="J1531" s="7" t="str">
        <f aca="false">IF(I1531&gt;=8,"High",IF(I1531&gt;=4,"Medium","Low"))</f>
        <v>Medium</v>
      </c>
    </row>
    <row r="1532" customFormat="false" ht="15" hidden="false" customHeight="true" outlineLevel="0" collapsed="false">
      <c r="A1532" s="7" t="n">
        <f aca="false">'Raw Data'!A1532</f>
        <v>1759</v>
      </c>
      <c r="B1532" s="7" t="n">
        <f aca="false">'Raw Data'!B1532</f>
        <v>85</v>
      </c>
      <c r="C1532" s="7" t="str">
        <f aca="false">'Raw Data'!C1532</f>
        <v>Female</v>
      </c>
      <c r="D1532" s="7" t="str">
        <f aca="false">'Raw Data'!D1532</f>
        <v>Current</v>
      </c>
      <c r="E1532" s="7" t="str">
        <f aca="false">'Raw Data'!J1532</f>
        <v>High</v>
      </c>
      <c r="F1532" s="7" t="n">
        <f aca="false">'Raw Data'!K1532</f>
        <v>286.9</v>
      </c>
      <c r="G1532" s="7" t="str">
        <f aca="false">'Raw Data'!L1532</f>
        <v>No</v>
      </c>
      <c r="H1532" s="7" t="str">
        <f aca="false">'Raw Data'!M1532</f>
        <v>Moderate</v>
      </c>
      <c r="I1532" s="7" t="n">
        <f aca="false">(IF(D1532="Current",3,IF(D1532="Former",1,0)))+(IF(E1532="High",3,IF(E1532="Normal",1,0)))+(IF(F1532&gt;=240,2,IF(F1532&gt;=200,1,0)))+(IF(G1532="Yes",2,0))+(IF(H1532="High",2,IF(H1532="Moderate",1,0)))</f>
        <v>9</v>
      </c>
      <c r="J1532" s="7" t="str">
        <f aca="false">IF(I1532&gt;=8,"High",IF(I1532&gt;=4,"Medium","Low"))</f>
        <v>High</v>
      </c>
    </row>
    <row r="1533" customFormat="false" ht="15" hidden="false" customHeight="true" outlineLevel="0" collapsed="false">
      <c r="A1533" s="7" t="n">
        <f aca="false">'Raw Data'!A1533</f>
        <v>1792</v>
      </c>
      <c r="B1533" s="7" t="n">
        <f aca="false">'Raw Data'!B1533</f>
        <v>28</v>
      </c>
      <c r="C1533" s="7" t="str">
        <f aca="false">'Raw Data'!C1533</f>
        <v>Female</v>
      </c>
      <c r="D1533" s="7" t="str">
        <f aca="false">'Raw Data'!D1533</f>
        <v>Former</v>
      </c>
      <c r="E1533" s="7" t="str">
        <f aca="false">'Raw Data'!J1533</f>
        <v>High</v>
      </c>
      <c r="F1533" s="7" t="n">
        <f aca="false">'Raw Data'!K1533</f>
        <v>232.6</v>
      </c>
      <c r="G1533" s="7" t="str">
        <f aca="false">'Raw Data'!L1533</f>
        <v>Yes</v>
      </c>
      <c r="H1533" s="7" t="str">
        <f aca="false">'Raw Data'!M1533</f>
        <v>Moderate</v>
      </c>
      <c r="I1533" s="7" t="n">
        <f aca="false">(IF(D1533="Current",3,IF(D1533="Former",1,0)))+(IF(E1533="High",3,IF(E1533="Normal",1,0)))+(IF(F1533&gt;=240,2,IF(F1533&gt;=200,1,0)))+(IF(G1533="Yes",2,0))+(IF(H1533="High",2,IF(H1533="Moderate",1,0)))</f>
        <v>8</v>
      </c>
      <c r="J1533" s="7" t="str">
        <f aca="false">IF(I1533&gt;=8,"High",IF(I1533&gt;=4,"Medium","Low"))</f>
        <v>High</v>
      </c>
    </row>
    <row r="1534" customFormat="false" ht="15" hidden="false" customHeight="true" outlineLevel="0" collapsed="false">
      <c r="A1534" s="7" t="n">
        <f aca="false">'Raw Data'!A1534</f>
        <v>1795</v>
      </c>
      <c r="B1534" s="7" t="n">
        <f aca="false">'Raw Data'!B1534</f>
        <v>57</v>
      </c>
      <c r="C1534" s="7" t="str">
        <f aca="false">'Raw Data'!C1534</f>
        <v>Male</v>
      </c>
      <c r="D1534" s="7" t="str">
        <f aca="false">'Raw Data'!D1534</f>
        <v>Current</v>
      </c>
      <c r="E1534" s="7" t="str">
        <f aca="false">'Raw Data'!J1534</f>
        <v>High</v>
      </c>
      <c r="F1534" s="7" t="n">
        <f aca="false">'Raw Data'!K1534</f>
        <v>129.9</v>
      </c>
      <c r="G1534" s="7" t="str">
        <f aca="false">'Raw Data'!L1534</f>
        <v>No</v>
      </c>
      <c r="H1534" s="7" t="str">
        <f aca="false">'Raw Data'!M1534</f>
        <v>Moderate</v>
      </c>
      <c r="I1534" s="7" t="n">
        <f aca="false">(IF(D1534="Current",3,IF(D1534="Former",1,0)))+(IF(E1534="High",3,IF(E1534="Normal",1,0)))+(IF(F1534&gt;=240,2,IF(F1534&gt;=200,1,0)))+(IF(G1534="Yes",2,0))+(IF(H1534="High",2,IF(H1534="Moderate",1,0)))</f>
        <v>7</v>
      </c>
      <c r="J1534" s="7" t="str">
        <f aca="false">IF(I1534&gt;=8,"High",IF(I1534&gt;=4,"Medium","Low"))</f>
        <v>Medium</v>
      </c>
    </row>
    <row r="1535" customFormat="false" ht="15" hidden="false" customHeight="true" outlineLevel="0" collapsed="false">
      <c r="A1535" s="7" t="n">
        <f aca="false">'Raw Data'!A1535</f>
        <v>1796</v>
      </c>
      <c r="B1535" s="7" t="n">
        <f aca="false">'Raw Data'!B1535</f>
        <v>48</v>
      </c>
      <c r="C1535" s="7" t="str">
        <f aca="false">'Raw Data'!C1535</f>
        <v>Male</v>
      </c>
      <c r="D1535" s="7" t="str">
        <f aca="false">'Raw Data'!D1535</f>
        <v>Former</v>
      </c>
      <c r="E1535" s="7" t="str">
        <f aca="false">'Raw Data'!J1535</f>
        <v>High</v>
      </c>
      <c r="F1535" s="7" t="n">
        <f aca="false">'Raw Data'!K1535</f>
        <v>255.9</v>
      </c>
      <c r="G1535" s="7" t="str">
        <f aca="false">'Raw Data'!L1535</f>
        <v>No</v>
      </c>
      <c r="H1535" s="7" t="str">
        <f aca="false">'Raw Data'!M1535</f>
        <v>Moderate</v>
      </c>
      <c r="I1535" s="7" t="n">
        <f aca="false">(IF(D1535="Current",3,IF(D1535="Former",1,0)))+(IF(E1535="High",3,IF(E1535="Normal",1,0)))+(IF(F1535&gt;=240,2,IF(F1535&gt;=200,1,0)))+(IF(G1535="Yes",2,0))+(IF(H1535="High",2,IF(H1535="Moderate",1,0)))</f>
        <v>7</v>
      </c>
      <c r="J1535" s="7" t="str">
        <f aca="false">IF(I1535&gt;=8,"High",IF(I1535&gt;=4,"Medium","Low"))</f>
        <v>Medium</v>
      </c>
    </row>
    <row r="1536" customFormat="false" ht="15" hidden="false" customHeight="true" outlineLevel="0" collapsed="false">
      <c r="A1536" s="7" t="n">
        <f aca="false">'Raw Data'!A1536</f>
        <v>1837</v>
      </c>
      <c r="B1536" s="7" t="n">
        <f aca="false">'Raw Data'!B1536</f>
        <v>55</v>
      </c>
      <c r="C1536" s="7" t="str">
        <f aca="false">'Raw Data'!C1536</f>
        <v>Female</v>
      </c>
      <c r="D1536" s="7" t="str">
        <f aca="false">'Raw Data'!D1536</f>
        <v>Former</v>
      </c>
      <c r="E1536" s="7" t="str">
        <f aca="false">'Raw Data'!J1536</f>
        <v>High</v>
      </c>
      <c r="F1536" s="7" t="n">
        <f aca="false">'Raw Data'!K1536</f>
        <v>157.5</v>
      </c>
      <c r="G1536" s="7" t="str">
        <f aca="false">'Raw Data'!L1536</f>
        <v>No</v>
      </c>
      <c r="H1536" s="7" t="str">
        <f aca="false">'Raw Data'!M1536</f>
        <v>Moderate</v>
      </c>
      <c r="I1536" s="7" t="n">
        <f aca="false">(IF(D1536="Current",3,IF(D1536="Former",1,0)))+(IF(E1536="High",3,IF(E1536="Normal",1,0)))+(IF(F1536&gt;=240,2,IF(F1536&gt;=200,1,0)))+(IF(G1536="Yes",2,0))+(IF(H1536="High",2,IF(H1536="Moderate",1,0)))</f>
        <v>5</v>
      </c>
      <c r="J1536" s="7" t="str">
        <f aca="false">IF(I1536&gt;=8,"High",IF(I1536&gt;=4,"Medium","Low"))</f>
        <v>Medium</v>
      </c>
    </row>
    <row r="1537" customFormat="false" ht="15" hidden="false" customHeight="true" outlineLevel="0" collapsed="false">
      <c r="A1537" s="7" t="n">
        <f aca="false">'Raw Data'!A1537</f>
        <v>1861</v>
      </c>
      <c r="B1537" s="7" t="n">
        <f aca="false">'Raw Data'!B1537</f>
        <v>35</v>
      </c>
      <c r="C1537" s="7" t="str">
        <f aca="false">'Raw Data'!C1537</f>
        <v>Male</v>
      </c>
      <c r="D1537" s="7" t="str">
        <f aca="false">'Raw Data'!D1537</f>
        <v>Former</v>
      </c>
      <c r="E1537" s="7" t="str">
        <f aca="false">'Raw Data'!J1537</f>
        <v>High</v>
      </c>
      <c r="F1537" s="7" t="n">
        <f aca="false">'Raw Data'!K1537</f>
        <v>257</v>
      </c>
      <c r="G1537" s="7" t="str">
        <f aca="false">'Raw Data'!L1537</f>
        <v>Yes</v>
      </c>
      <c r="H1537" s="7" t="str">
        <f aca="false">'Raw Data'!M1537</f>
        <v>Moderate</v>
      </c>
      <c r="I1537" s="7" t="n">
        <f aca="false">(IF(D1537="Current",3,IF(D1537="Former",1,0)))+(IF(E1537="High",3,IF(E1537="Normal",1,0)))+(IF(F1537&gt;=240,2,IF(F1537&gt;=200,1,0)))+(IF(G1537="Yes",2,0))+(IF(H1537="High",2,IF(H1537="Moderate",1,0)))</f>
        <v>9</v>
      </c>
      <c r="J1537" s="7" t="str">
        <f aca="false">IF(I1537&gt;=8,"High",IF(I1537&gt;=4,"Medium","Low"))</f>
        <v>High</v>
      </c>
    </row>
    <row r="1538" customFormat="false" ht="15" hidden="false" customHeight="true" outlineLevel="0" collapsed="false">
      <c r="A1538" s="7" t="n">
        <f aca="false">'Raw Data'!A1538</f>
        <v>1864</v>
      </c>
      <c r="B1538" s="7" t="n">
        <f aca="false">'Raw Data'!B1538</f>
        <v>46</v>
      </c>
      <c r="C1538" s="7" t="str">
        <f aca="false">'Raw Data'!C1538</f>
        <v>Female</v>
      </c>
      <c r="D1538" s="7" t="str">
        <f aca="false">'Raw Data'!D1538</f>
        <v>Former</v>
      </c>
      <c r="E1538" s="7" t="str">
        <f aca="false">'Raw Data'!J1538</f>
        <v>High</v>
      </c>
      <c r="F1538" s="7" t="n">
        <f aca="false">'Raw Data'!K1538</f>
        <v>217.8</v>
      </c>
      <c r="G1538" s="7" t="str">
        <f aca="false">'Raw Data'!L1538</f>
        <v>No</v>
      </c>
      <c r="H1538" s="7" t="str">
        <f aca="false">'Raw Data'!M1538</f>
        <v>Moderate</v>
      </c>
      <c r="I1538" s="7" t="n">
        <f aca="false">(IF(D1538="Current",3,IF(D1538="Former",1,0)))+(IF(E1538="High",3,IF(E1538="Normal",1,0)))+(IF(F1538&gt;=240,2,IF(F1538&gt;=200,1,0)))+(IF(G1538="Yes",2,0))+(IF(H1538="High",2,IF(H1538="Moderate",1,0)))</f>
        <v>6</v>
      </c>
      <c r="J1538" s="7" t="str">
        <f aca="false">IF(I1538&gt;=8,"High",IF(I1538&gt;=4,"Medium","Low"))</f>
        <v>Medium</v>
      </c>
    </row>
    <row r="1539" customFormat="false" ht="15" hidden="false" customHeight="true" outlineLevel="0" collapsed="false">
      <c r="A1539" s="7" t="n">
        <f aca="false">'Raw Data'!A1539</f>
        <v>1901</v>
      </c>
      <c r="B1539" s="7" t="n">
        <f aca="false">'Raw Data'!B1539</f>
        <v>46</v>
      </c>
      <c r="C1539" s="7" t="str">
        <f aca="false">'Raw Data'!C1539</f>
        <v>Male</v>
      </c>
      <c r="D1539" s="7" t="str">
        <f aca="false">'Raw Data'!D1539</f>
        <v>Current</v>
      </c>
      <c r="E1539" s="7" t="str">
        <f aca="false">'Raw Data'!J1539</f>
        <v>High</v>
      </c>
      <c r="F1539" s="7" t="n">
        <f aca="false">'Raw Data'!K1539</f>
        <v>190.3</v>
      </c>
      <c r="G1539" s="7" t="str">
        <f aca="false">'Raw Data'!L1539</f>
        <v>No</v>
      </c>
      <c r="H1539" s="7" t="str">
        <f aca="false">'Raw Data'!M1539</f>
        <v>Moderate</v>
      </c>
      <c r="I1539" s="7" t="n">
        <f aca="false">(IF(D1539="Current",3,IF(D1539="Former",1,0)))+(IF(E1539="High",3,IF(E1539="Normal",1,0)))+(IF(F1539&gt;=240,2,IF(F1539&gt;=200,1,0)))+(IF(G1539="Yes",2,0))+(IF(H1539="High",2,IF(H1539="Moderate",1,0)))</f>
        <v>7</v>
      </c>
      <c r="J1539" s="7" t="str">
        <f aca="false">IF(I1539&gt;=8,"High",IF(I1539&gt;=4,"Medium","Low"))</f>
        <v>Medium</v>
      </c>
    </row>
    <row r="1540" customFormat="false" ht="15" hidden="false" customHeight="true" outlineLevel="0" collapsed="false">
      <c r="A1540" s="7" t="n">
        <f aca="false">'Raw Data'!A1540</f>
        <v>1912</v>
      </c>
      <c r="B1540" s="7" t="n">
        <f aca="false">'Raw Data'!B1540</f>
        <v>51</v>
      </c>
      <c r="C1540" s="7" t="str">
        <f aca="false">'Raw Data'!C1540</f>
        <v>Male</v>
      </c>
      <c r="D1540" s="7" t="str">
        <f aca="false">'Raw Data'!D1540</f>
        <v>Former</v>
      </c>
      <c r="E1540" s="7" t="str">
        <f aca="false">'Raw Data'!J1540</f>
        <v>High</v>
      </c>
      <c r="F1540" s="7" t="n">
        <f aca="false">'Raw Data'!K1540</f>
        <v>193.6</v>
      </c>
      <c r="G1540" s="7" t="str">
        <f aca="false">'Raw Data'!L1540</f>
        <v>No</v>
      </c>
      <c r="H1540" s="7" t="str">
        <f aca="false">'Raw Data'!M1540</f>
        <v>Moderate</v>
      </c>
      <c r="I1540" s="7" t="n">
        <f aca="false">(IF(D1540="Current",3,IF(D1540="Former",1,0)))+(IF(E1540="High",3,IF(E1540="Normal",1,0)))+(IF(F1540&gt;=240,2,IF(F1540&gt;=200,1,0)))+(IF(G1540="Yes",2,0))+(IF(H1540="High",2,IF(H1540="Moderate",1,0)))</f>
        <v>5</v>
      </c>
      <c r="J1540" s="7" t="str">
        <f aca="false">IF(I1540&gt;=8,"High",IF(I1540&gt;=4,"Medium","Low"))</f>
        <v>Medium</v>
      </c>
    </row>
    <row r="1541" customFormat="false" ht="15" hidden="false" customHeight="true" outlineLevel="0" collapsed="false">
      <c r="A1541" s="7" t="n">
        <f aca="false">'Raw Data'!A1541</f>
        <v>1950</v>
      </c>
      <c r="B1541" s="7" t="n">
        <f aca="false">'Raw Data'!B1541</f>
        <v>18</v>
      </c>
      <c r="C1541" s="7" t="str">
        <f aca="false">'Raw Data'!C1541</f>
        <v>Female</v>
      </c>
      <c r="D1541" s="7" t="str">
        <f aca="false">'Raw Data'!D1541</f>
        <v>Current</v>
      </c>
      <c r="E1541" s="7" t="str">
        <f aca="false">'Raw Data'!J1541</f>
        <v>High</v>
      </c>
      <c r="F1541" s="7" t="n">
        <f aca="false">'Raw Data'!K1541</f>
        <v>284.6</v>
      </c>
      <c r="G1541" s="7" t="str">
        <f aca="false">'Raw Data'!L1541</f>
        <v>No</v>
      </c>
      <c r="H1541" s="7" t="str">
        <f aca="false">'Raw Data'!M1541</f>
        <v>Moderate</v>
      </c>
      <c r="I1541" s="7" t="n">
        <f aca="false">(IF(D1541="Current",3,IF(D1541="Former",1,0)))+(IF(E1541="High",3,IF(E1541="Normal",1,0)))+(IF(F1541&gt;=240,2,IF(F1541&gt;=200,1,0)))+(IF(G1541="Yes",2,0))+(IF(H1541="High",2,IF(H1541="Moderate",1,0)))</f>
        <v>9</v>
      </c>
      <c r="J1541" s="7" t="str">
        <f aca="false">IF(I1541&gt;=8,"High",IF(I1541&gt;=4,"Medium","Low"))</f>
        <v>High</v>
      </c>
    </row>
    <row r="1542" customFormat="false" ht="15" hidden="false" customHeight="true" outlineLevel="0" collapsed="false">
      <c r="A1542" s="7" t="n">
        <f aca="false">'Raw Data'!A1542</f>
        <v>1980</v>
      </c>
      <c r="B1542" s="7" t="n">
        <f aca="false">'Raw Data'!B1542</f>
        <v>86</v>
      </c>
      <c r="C1542" s="7" t="str">
        <f aca="false">'Raw Data'!C1542</f>
        <v>Male</v>
      </c>
      <c r="D1542" s="7" t="str">
        <f aca="false">'Raw Data'!D1542</f>
        <v>Former</v>
      </c>
      <c r="E1542" s="7" t="str">
        <f aca="false">'Raw Data'!J1542</f>
        <v>High</v>
      </c>
      <c r="F1542" s="7" t="n">
        <f aca="false">'Raw Data'!K1542</f>
        <v>132.9</v>
      </c>
      <c r="G1542" s="7" t="str">
        <f aca="false">'Raw Data'!L1542</f>
        <v>No</v>
      </c>
      <c r="H1542" s="7" t="str">
        <f aca="false">'Raw Data'!M1542</f>
        <v>Moderate</v>
      </c>
      <c r="I1542" s="7" t="n">
        <f aca="false">(IF(D1542="Current",3,IF(D1542="Former",1,0)))+(IF(E1542="High",3,IF(E1542="Normal",1,0)))+(IF(F1542&gt;=240,2,IF(F1542&gt;=200,1,0)))+(IF(G1542="Yes",2,0))+(IF(H1542="High",2,IF(H1542="Moderate",1,0)))</f>
        <v>5</v>
      </c>
      <c r="J1542" s="7" t="str">
        <f aca="false">IF(I1542&gt;=8,"High",IF(I1542&gt;=4,"Medium","Low"))</f>
        <v>Medium</v>
      </c>
    </row>
    <row r="1543" customFormat="false" ht="15" hidden="false" customHeight="true" outlineLevel="0" collapsed="false">
      <c r="A1543" s="7" t="n">
        <f aca="false">'Raw Data'!A1543</f>
        <v>1993</v>
      </c>
      <c r="B1543" s="7" t="n">
        <f aca="false">'Raw Data'!B1543</f>
        <v>21</v>
      </c>
      <c r="C1543" s="7" t="str">
        <f aca="false">'Raw Data'!C1543</f>
        <v>Male</v>
      </c>
      <c r="D1543" s="7" t="str">
        <f aca="false">'Raw Data'!D1543</f>
        <v>Current</v>
      </c>
      <c r="E1543" s="7" t="str">
        <f aca="false">'Raw Data'!J1543</f>
        <v>High</v>
      </c>
      <c r="F1543" s="7" t="n">
        <f aca="false">'Raw Data'!K1543</f>
        <v>163</v>
      </c>
      <c r="G1543" s="7" t="str">
        <f aca="false">'Raw Data'!L1543</f>
        <v>No</v>
      </c>
      <c r="H1543" s="7" t="str">
        <f aca="false">'Raw Data'!M1543</f>
        <v>Moderate</v>
      </c>
      <c r="I1543" s="7" t="n">
        <f aca="false">(IF(D1543="Current",3,IF(D1543="Former",1,0)))+(IF(E1543="High",3,IF(E1543="Normal",1,0)))+(IF(F1543&gt;=240,2,IF(F1543&gt;=200,1,0)))+(IF(G1543="Yes",2,0))+(IF(H1543="High",2,IF(H1543="Moderate",1,0)))</f>
        <v>7</v>
      </c>
      <c r="J1543" s="7" t="str">
        <f aca="false">IF(I1543&gt;=8,"High",IF(I1543&gt;=4,"Medium","Low"))</f>
        <v>Medium</v>
      </c>
    </row>
    <row r="1544" customFormat="false" ht="15" hidden="false" customHeight="true" outlineLevel="0" collapsed="false">
      <c r="A1544" s="7" t="n">
        <f aca="false">'Raw Data'!A1544</f>
        <v>2040</v>
      </c>
      <c r="B1544" s="7" t="n">
        <f aca="false">'Raw Data'!B1544</f>
        <v>39</v>
      </c>
      <c r="C1544" s="7" t="str">
        <f aca="false">'Raw Data'!C1544</f>
        <v>Female</v>
      </c>
      <c r="D1544" s="7" t="str">
        <f aca="false">'Raw Data'!D1544</f>
        <v>Current</v>
      </c>
      <c r="E1544" s="7" t="str">
        <f aca="false">'Raw Data'!J1544</f>
        <v>High</v>
      </c>
      <c r="F1544" s="7" t="n">
        <f aca="false">'Raw Data'!K1544</f>
        <v>135.6</v>
      </c>
      <c r="G1544" s="7" t="str">
        <f aca="false">'Raw Data'!L1544</f>
        <v>Yes</v>
      </c>
      <c r="H1544" s="7" t="str">
        <f aca="false">'Raw Data'!M1544</f>
        <v>Moderate</v>
      </c>
      <c r="I1544" s="7" t="n">
        <f aca="false">(IF(D1544="Current",3,IF(D1544="Former",1,0)))+(IF(E1544="High",3,IF(E1544="Normal",1,0)))+(IF(F1544&gt;=240,2,IF(F1544&gt;=200,1,0)))+(IF(G1544="Yes",2,0))+(IF(H1544="High",2,IF(H1544="Moderate",1,0)))</f>
        <v>9</v>
      </c>
      <c r="J1544" s="7" t="str">
        <f aca="false">IF(I1544&gt;=8,"High",IF(I1544&gt;=4,"Medium","Low"))</f>
        <v>High</v>
      </c>
    </row>
    <row r="1545" customFormat="false" ht="15" hidden="false" customHeight="true" outlineLevel="0" collapsed="false">
      <c r="A1545" s="7" t="n">
        <f aca="false">'Raw Data'!A1545</f>
        <v>2049</v>
      </c>
      <c r="B1545" s="7" t="n">
        <f aca="false">'Raw Data'!B1545</f>
        <v>40</v>
      </c>
      <c r="C1545" s="7" t="str">
        <f aca="false">'Raw Data'!C1545</f>
        <v>Female</v>
      </c>
      <c r="D1545" s="7" t="str">
        <f aca="false">'Raw Data'!D1545</f>
        <v>Current</v>
      </c>
      <c r="E1545" s="7" t="str">
        <f aca="false">'Raw Data'!J1545</f>
        <v>High</v>
      </c>
      <c r="F1545" s="7" t="n">
        <f aca="false">'Raw Data'!K1545</f>
        <v>177.2</v>
      </c>
      <c r="G1545" s="7" t="str">
        <f aca="false">'Raw Data'!L1545</f>
        <v>No</v>
      </c>
      <c r="H1545" s="7" t="str">
        <f aca="false">'Raw Data'!M1545</f>
        <v>Moderate</v>
      </c>
      <c r="I1545" s="7" t="n">
        <f aca="false">(IF(D1545="Current",3,IF(D1545="Former",1,0)))+(IF(E1545="High",3,IF(E1545="Normal",1,0)))+(IF(F1545&gt;=240,2,IF(F1545&gt;=200,1,0)))+(IF(G1545="Yes",2,0))+(IF(H1545="High",2,IF(H1545="Moderate",1,0)))</f>
        <v>7</v>
      </c>
      <c r="J1545" s="7" t="str">
        <f aca="false">IF(I1545&gt;=8,"High",IF(I1545&gt;=4,"Medium","Low"))</f>
        <v>Medium</v>
      </c>
    </row>
    <row r="1546" customFormat="false" ht="15" hidden="false" customHeight="true" outlineLevel="0" collapsed="false">
      <c r="A1546" s="7" t="n">
        <f aca="false">'Raw Data'!A1546</f>
        <v>2127</v>
      </c>
      <c r="B1546" s="7" t="n">
        <f aca="false">'Raw Data'!B1546</f>
        <v>46</v>
      </c>
      <c r="C1546" s="7" t="str">
        <f aca="false">'Raw Data'!C1546</f>
        <v>Male</v>
      </c>
      <c r="D1546" s="7" t="str">
        <f aca="false">'Raw Data'!D1546</f>
        <v>Former</v>
      </c>
      <c r="E1546" s="7" t="str">
        <f aca="false">'Raw Data'!J1546</f>
        <v>High</v>
      </c>
      <c r="F1546" s="7" t="n">
        <f aca="false">'Raw Data'!K1546</f>
        <v>121.8</v>
      </c>
      <c r="G1546" s="7" t="str">
        <f aca="false">'Raw Data'!L1546</f>
        <v>Yes</v>
      </c>
      <c r="H1546" s="7" t="str">
        <f aca="false">'Raw Data'!M1546</f>
        <v>Moderate</v>
      </c>
      <c r="I1546" s="7" t="n">
        <f aca="false">(IF(D1546="Current",3,IF(D1546="Former",1,0)))+(IF(E1546="High",3,IF(E1546="Normal",1,0)))+(IF(F1546&gt;=240,2,IF(F1546&gt;=200,1,0)))+(IF(G1546="Yes",2,0))+(IF(H1546="High",2,IF(H1546="Moderate",1,0)))</f>
        <v>7</v>
      </c>
      <c r="J1546" s="7" t="str">
        <f aca="false">IF(I1546&gt;=8,"High",IF(I1546&gt;=4,"Medium","Low"))</f>
        <v>Medium</v>
      </c>
    </row>
    <row r="1547" customFormat="false" ht="15" hidden="false" customHeight="true" outlineLevel="0" collapsed="false">
      <c r="A1547" s="7" t="n">
        <f aca="false">'Raw Data'!A1547</f>
        <v>2130</v>
      </c>
      <c r="B1547" s="7" t="n">
        <f aca="false">'Raw Data'!B1547</f>
        <v>22</v>
      </c>
      <c r="C1547" s="7" t="str">
        <f aca="false">'Raw Data'!C1547</f>
        <v>Female</v>
      </c>
      <c r="D1547" s="7" t="str">
        <f aca="false">'Raw Data'!D1547</f>
        <v>Current</v>
      </c>
      <c r="E1547" s="7" t="str">
        <f aca="false">'Raw Data'!J1547</f>
        <v>High</v>
      </c>
      <c r="F1547" s="7" t="n">
        <f aca="false">'Raw Data'!K1547</f>
        <v>229.9</v>
      </c>
      <c r="G1547" s="7" t="str">
        <f aca="false">'Raw Data'!L1547</f>
        <v>No</v>
      </c>
      <c r="H1547" s="7" t="str">
        <f aca="false">'Raw Data'!M1547</f>
        <v>Moderate</v>
      </c>
      <c r="I1547" s="7" t="n">
        <f aca="false">(IF(D1547="Current",3,IF(D1547="Former",1,0)))+(IF(E1547="High",3,IF(E1547="Normal",1,0)))+(IF(F1547&gt;=240,2,IF(F1547&gt;=200,1,0)))+(IF(G1547="Yes",2,0))+(IF(H1547="High",2,IF(H1547="Moderate",1,0)))</f>
        <v>8</v>
      </c>
      <c r="J1547" s="7" t="str">
        <f aca="false">IF(I1547&gt;=8,"High",IF(I1547&gt;=4,"Medium","Low"))</f>
        <v>High</v>
      </c>
    </row>
    <row r="1548" customFormat="false" ht="15" hidden="false" customHeight="true" outlineLevel="0" collapsed="false">
      <c r="A1548" s="7" t="n">
        <f aca="false">'Raw Data'!A1548</f>
        <v>2149</v>
      </c>
      <c r="B1548" s="7" t="n">
        <f aca="false">'Raw Data'!B1548</f>
        <v>48</v>
      </c>
      <c r="C1548" s="7" t="str">
        <f aca="false">'Raw Data'!C1548</f>
        <v>Female</v>
      </c>
      <c r="D1548" s="7" t="str">
        <f aca="false">'Raw Data'!D1548</f>
        <v>Current</v>
      </c>
      <c r="E1548" s="7" t="str">
        <f aca="false">'Raw Data'!J1548</f>
        <v>High</v>
      </c>
      <c r="F1548" s="7" t="n">
        <f aca="false">'Raw Data'!K1548</f>
        <v>167.2</v>
      </c>
      <c r="G1548" s="7" t="str">
        <f aca="false">'Raw Data'!L1548</f>
        <v>No</v>
      </c>
      <c r="H1548" s="7" t="str">
        <f aca="false">'Raw Data'!M1548</f>
        <v>Moderate</v>
      </c>
      <c r="I1548" s="7" t="n">
        <f aca="false">(IF(D1548="Current",3,IF(D1548="Former",1,0)))+(IF(E1548="High",3,IF(E1548="Normal",1,0)))+(IF(F1548&gt;=240,2,IF(F1548&gt;=200,1,0)))+(IF(G1548="Yes",2,0))+(IF(H1548="High",2,IF(H1548="Moderate",1,0)))</f>
        <v>7</v>
      </c>
      <c r="J1548" s="7" t="str">
        <f aca="false">IF(I1548&gt;=8,"High",IF(I1548&gt;=4,"Medium","Low"))</f>
        <v>Medium</v>
      </c>
    </row>
    <row r="1549" customFormat="false" ht="15" hidden="false" customHeight="true" outlineLevel="0" collapsed="false">
      <c r="A1549" s="7" t="n">
        <f aca="false">'Raw Data'!A1549</f>
        <v>2186</v>
      </c>
      <c r="B1549" s="7" t="n">
        <f aca="false">'Raw Data'!B1549</f>
        <v>44</v>
      </c>
      <c r="C1549" s="7" t="str">
        <f aca="false">'Raw Data'!C1549</f>
        <v>Female</v>
      </c>
      <c r="D1549" s="7" t="str">
        <f aca="false">'Raw Data'!D1549</f>
        <v>Former</v>
      </c>
      <c r="E1549" s="7" t="str">
        <f aca="false">'Raw Data'!J1549</f>
        <v>High</v>
      </c>
      <c r="F1549" s="7" t="n">
        <f aca="false">'Raw Data'!K1549</f>
        <v>146.8</v>
      </c>
      <c r="G1549" s="7" t="str">
        <f aca="false">'Raw Data'!L1549</f>
        <v>No</v>
      </c>
      <c r="H1549" s="7" t="str">
        <f aca="false">'Raw Data'!M1549</f>
        <v>Moderate</v>
      </c>
      <c r="I1549" s="7" t="n">
        <f aca="false">(IF(D1549="Current",3,IF(D1549="Former",1,0)))+(IF(E1549="High",3,IF(E1549="Normal",1,0)))+(IF(F1549&gt;=240,2,IF(F1549&gt;=200,1,0)))+(IF(G1549="Yes",2,0))+(IF(H1549="High",2,IF(H1549="Moderate",1,0)))</f>
        <v>5</v>
      </c>
      <c r="J1549" s="7" t="str">
        <f aca="false">IF(I1549&gt;=8,"High",IF(I1549&gt;=4,"Medium","Low"))</f>
        <v>Medium</v>
      </c>
    </row>
    <row r="1550" customFormat="false" ht="15" hidden="false" customHeight="true" outlineLevel="0" collapsed="false">
      <c r="A1550" s="7" t="n">
        <f aca="false">'Raw Data'!A1550</f>
        <v>2199</v>
      </c>
      <c r="B1550" s="7" t="n">
        <f aca="false">'Raw Data'!B1550</f>
        <v>77</v>
      </c>
      <c r="C1550" s="7" t="str">
        <f aca="false">'Raw Data'!C1550</f>
        <v>Male</v>
      </c>
      <c r="D1550" s="7" t="str">
        <f aca="false">'Raw Data'!D1550</f>
        <v>Former</v>
      </c>
      <c r="E1550" s="7" t="str">
        <f aca="false">'Raw Data'!J1550</f>
        <v>High</v>
      </c>
      <c r="F1550" s="7" t="n">
        <f aca="false">'Raw Data'!K1550</f>
        <v>296.5</v>
      </c>
      <c r="G1550" s="7" t="str">
        <f aca="false">'Raw Data'!L1550</f>
        <v>No</v>
      </c>
      <c r="H1550" s="7" t="str">
        <f aca="false">'Raw Data'!M1550</f>
        <v>Moderate</v>
      </c>
      <c r="I1550" s="7" t="n">
        <f aca="false">(IF(D1550="Current",3,IF(D1550="Former",1,0)))+(IF(E1550="High",3,IF(E1550="Normal",1,0)))+(IF(F1550&gt;=240,2,IF(F1550&gt;=200,1,0)))+(IF(G1550="Yes",2,0))+(IF(H1550="High",2,IF(H1550="Moderate",1,0)))</f>
        <v>7</v>
      </c>
      <c r="J1550" s="7" t="str">
        <f aca="false">IF(I1550&gt;=8,"High",IF(I1550&gt;=4,"Medium","Low"))</f>
        <v>Medium</v>
      </c>
    </row>
    <row r="1551" customFormat="false" ht="15" hidden="false" customHeight="true" outlineLevel="0" collapsed="false">
      <c r="A1551" s="7" t="n">
        <f aca="false">'Raw Data'!A1551</f>
        <v>2201</v>
      </c>
      <c r="B1551" s="7" t="n">
        <f aca="false">'Raw Data'!B1551</f>
        <v>79</v>
      </c>
      <c r="C1551" s="7" t="str">
        <f aca="false">'Raw Data'!C1551</f>
        <v>Male</v>
      </c>
      <c r="D1551" s="7" t="str">
        <f aca="false">'Raw Data'!D1551</f>
        <v>Current</v>
      </c>
      <c r="E1551" s="7" t="str">
        <f aca="false">'Raw Data'!J1551</f>
        <v>High</v>
      </c>
      <c r="F1551" s="7" t="n">
        <f aca="false">'Raw Data'!K1551</f>
        <v>130</v>
      </c>
      <c r="G1551" s="7" t="str">
        <f aca="false">'Raw Data'!L1551</f>
        <v>No</v>
      </c>
      <c r="H1551" s="7" t="str">
        <f aca="false">'Raw Data'!M1551</f>
        <v>Moderate</v>
      </c>
      <c r="I1551" s="7" t="n">
        <f aca="false">(IF(D1551="Current",3,IF(D1551="Former",1,0)))+(IF(E1551="High",3,IF(E1551="Normal",1,0)))+(IF(F1551&gt;=240,2,IF(F1551&gt;=200,1,0)))+(IF(G1551="Yes",2,0))+(IF(H1551="High",2,IF(H1551="Moderate",1,0)))</f>
        <v>7</v>
      </c>
      <c r="J1551" s="7" t="str">
        <f aca="false">IF(I1551&gt;=8,"High",IF(I1551&gt;=4,"Medium","Low"))</f>
        <v>Medium</v>
      </c>
    </row>
    <row r="1552" customFormat="false" ht="15" hidden="false" customHeight="true" outlineLevel="0" collapsed="false">
      <c r="A1552" s="7" t="n">
        <f aca="false">'Raw Data'!A1552</f>
        <v>2220</v>
      </c>
      <c r="B1552" s="7" t="n">
        <f aca="false">'Raw Data'!B1552</f>
        <v>22</v>
      </c>
      <c r="C1552" s="7" t="str">
        <f aca="false">'Raw Data'!C1552</f>
        <v>Male</v>
      </c>
      <c r="D1552" s="7" t="str">
        <f aca="false">'Raw Data'!D1552</f>
        <v>Former</v>
      </c>
      <c r="E1552" s="7" t="str">
        <f aca="false">'Raw Data'!J1552</f>
        <v>High</v>
      </c>
      <c r="F1552" s="7" t="n">
        <f aca="false">'Raw Data'!K1552</f>
        <v>130.6</v>
      </c>
      <c r="G1552" s="7" t="str">
        <f aca="false">'Raw Data'!L1552</f>
        <v>No</v>
      </c>
      <c r="H1552" s="7" t="str">
        <f aca="false">'Raw Data'!M1552</f>
        <v>Moderate</v>
      </c>
      <c r="I1552" s="7" t="n">
        <f aca="false">(IF(D1552="Current",3,IF(D1552="Former",1,0)))+(IF(E1552="High",3,IF(E1552="Normal",1,0)))+(IF(F1552&gt;=240,2,IF(F1552&gt;=200,1,0)))+(IF(G1552="Yes",2,0))+(IF(H1552="High",2,IF(H1552="Moderate",1,0)))</f>
        <v>5</v>
      </c>
      <c r="J1552" s="7" t="str">
        <f aca="false">IF(I1552&gt;=8,"High",IF(I1552&gt;=4,"Medium","Low"))</f>
        <v>Medium</v>
      </c>
    </row>
    <row r="1553" customFormat="false" ht="15" hidden="false" customHeight="true" outlineLevel="0" collapsed="false">
      <c r="A1553" s="7" t="n">
        <f aca="false">'Raw Data'!A1553</f>
        <v>2221</v>
      </c>
      <c r="B1553" s="7" t="n">
        <f aca="false">'Raw Data'!B1553</f>
        <v>34</v>
      </c>
      <c r="C1553" s="7" t="str">
        <f aca="false">'Raw Data'!C1553</f>
        <v>Female</v>
      </c>
      <c r="D1553" s="7" t="str">
        <f aca="false">'Raw Data'!D1553</f>
        <v>Current</v>
      </c>
      <c r="E1553" s="7" t="str">
        <f aca="false">'Raw Data'!J1553</f>
        <v>High</v>
      </c>
      <c r="F1553" s="7" t="n">
        <f aca="false">'Raw Data'!K1553</f>
        <v>275.4</v>
      </c>
      <c r="G1553" s="7" t="str">
        <f aca="false">'Raw Data'!L1553</f>
        <v>No</v>
      </c>
      <c r="H1553" s="7" t="str">
        <f aca="false">'Raw Data'!M1553</f>
        <v>Moderate</v>
      </c>
      <c r="I1553" s="7" t="n">
        <f aca="false">(IF(D1553="Current",3,IF(D1553="Former",1,0)))+(IF(E1553="High",3,IF(E1553="Normal",1,0)))+(IF(F1553&gt;=240,2,IF(F1553&gt;=200,1,0)))+(IF(G1553="Yes",2,0))+(IF(H1553="High",2,IF(H1553="Moderate",1,0)))</f>
        <v>9</v>
      </c>
      <c r="J1553" s="7" t="str">
        <f aca="false">IF(I1553&gt;=8,"High",IF(I1553&gt;=4,"Medium","Low"))</f>
        <v>High</v>
      </c>
    </row>
    <row r="1554" customFormat="false" ht="15" hidden="false" customHeight="true" outlineLevel="0" collapsed="false">
      <c r="A1554" s="7" t="n">
        <f aca="false">'Raw Data'!A1554</f>
        <v>2223</v>
      </c>
      <c r="B1554" s="7" t="n">
        <f aca="false">'Raw Data'!B1554</f>
        <v>27</v>
      </c>
      <c r="C1554" s="7" t="str">
        <f aca="false">'Raw Data'!C1554</f>
        <v>Male</v>
      </c>
      <c r="D1554" s="7" t="str">
        <f aca="false">'Raw Data'!D1554</f>
        <v>Current</v>
      </c>
      <c r="E1554" s="7" t="str">
        <f aca="false">'Raw Data'!J1554</f>
        <v>High</v>
      </c>
      <c r="F1554" s="7" t="n">
        <f aca="false">'Raw Data'!K1554</f>
        <v>135.3</v>
      </c>
      <c r="G1554" s="7" t="str">
        <f aca="false">'Raw Data'!L1554</f>
        <v>No</v>
      </c>
      <c r="H1554" s="7" t="str">
        <f aca="false">'Raw Data'!M1554</f>
        <v>Moderate</v>
      </c>
      <c r="I1554" s="7" t="n">
        <f aca="false">(IF(D1554="Current",3,IF(D1554="Former",1,0)))+(IF(E1554="High",3,IF(E1554="Normal",1,0)))+(IF(F1554&gt;=240,2,IF(F1554&gt;=200,1,0)))+(IF(G1554="Yes",2,0))+(IF(H1554="High",2,IF(H1554="Moderate",1,0)))</f>
        <v>7</v>
      </c>
      <c r="J1554" s="7" t="str">
        <f aca="false">IF(I1554&gt;=8,"High",IF(I1554&gt;=4,"Medium","Low"))</f>
        <v>Medium</v>
      </c>
    </row>
    <row r="1555" customFormat="false" ht="15" hidden="false" customHeight="true" outlineLevel="0" collapsed="false">
      <c r="A1555" s="7" t="n">
        <f aca="false">'Raw Data'!A1555</f>
        <v>2226</v>
      </c>
      <c r="B1555" s="7" t="n">
        <f aca="false">'Raw Data'!B1555</f>
        <v>62</v>
      </c>
      <c r="C1555" s="7" t="str">
        <f aca="false">'Raw Data'!C1555</f>
        <v>Female</v>
      </c>
      <c r="D1555" s="7" t="str">
        <f aca="false">'Raw Data'!D1555</f>
        <v>Current</v>
      </c>
      <c r="E1555" s="7" t="str">
        <f aca="false">'Raw Data'!J1555</f>
        <v>High</v>
      </c>
      <c r="F1555" s="7" t="n">
        <f aca="false">'Raw Data'!K1555</f>
        <v>242.5</v>
      </c>
      <c r="G1555" s="7" t="str">
        <f aca="false">'Raw Data'!L1555</f>
        <v>No</v>
      </c>
      <c r="H1555" s="7" t="str">
        <f aca="false">'Raw Data'!M1555</f>
        <v>Moderate</v>
      </c>
      <c r="I1555" s="7" t="n">
        <f aca="false">(IF(D1555="Current",3,IF(D1555="Former",1,0)))+(IF(E1555="High",3,IF(E1555="Normal",1,0)))+(IF(F1555&gt;=240,2,IF(F1555&gt;=200,1,0)))+(IF(G1555="Yes",2,0))+(IF(H1555="High",2,IF(H1555="Moderate",1,0)))</f>
        <v>9</v>
      </c>
      <c r="J1555" s="7" t="str">
        <f aca="false">IF(I1555&gt;=8,"High",IF(I1555&gt;=4,"Medium","Low"))</f>
        <v>High</v>
      </c>
    </row>
    <row r="1556" customFormat="false" ht="15" hidden="false" customHeight="true" outlineLevel="0" collapsed="false">
      <c r="A1556" s="7" t="n">
        <f aca="false">'Raw Data'!A1556</f>
        <v>2237</v>
      </c>
      <c r="B1556" s="7" t="n">
        <f aca="false">'Raw Data'!B1556</f>
        <v>70</v>
      </c>
      <c r="C1556" s="7" t="str">
        <f aca="false">'Raw Data'!C1556</f>
        <v>Male</v>
      </c>
      <c r="D1556" s="7" t="str">
        <f aca="false">'Raw Data'!D1556</f>
        <v>Current</v>
      </c>
      <c r="E1556" s="7" t="str">
        <f aca="false">'Raw Data'!J1556</f>
        <v>High</v>
      </c>
      <c r="F1556" s="7" t="n">
        <f aca="false">'Raw Data'!K1556</f>
        <v>158.4</v>
      </c>
      <c r="G1556" s="7" t="str">
        <f aca="false">'Raw Data'!L1556</f>
        <v>Yes</v>
      </c>
      <c r="H1556" s="7" t="str">
        <f aca="false">'Raw Data'!M1556</f>
        <v>Moderate</v>
      </c>
      <c r="I1556" s="7" t="n">
        <f aca="false">(IF(D1556="Current",3,IF(D1556="Former",1,0)))+(IF(E1556="High",3,IF(E1556="Normal",1,0)))+(IF(F1556&gt;=240,2,IF(F1556&gt;=200,1,0)))+(IF(G1556="Yes",2,0))+(IF(H1556="High",2,IF(H1556="Moderate",1,0)))</f>
        <v>9</v>
      </c>
      <c r="J1556" s="7" t="str">
        <f aca="false">IF(I1556&gt;=8,"High",IF(I1556&gt;=4,"Medium","Low"))</f>
        <v>High</v>
      </c>
    </row>
    <row r="1557" customFormat="false" ht="15" hidden="false" customHeight="true" outlineLevel="0" collapsed="false">
      <c r="A1557" s="7" t="n">
        <f aca="false">'Raw Data'!A1557</f>
        <v>2259</v>
      </c>
      <c r="B1557" s="7" t="n">
        <f aca="false">'Raw Data'!B1557</f>
        <v>35</v>
      </c>
      <c r="C1557" s="7" t="str">
        <f aca="false">'Raw Data'!C1557</f>
        <v>Female</v>
      </c>
      <c r="D1557" s="7" t="str">
        <f aca="false">'Raw Data'!D1557</f>
        <v>Former</v>
      </c>
      <c r="E1557" s="7" t="str">
        <f aca="false">'Raw Data'!J1557</f>
        <v>High</v>
      </c>
      <c r="F1557" s="7" t="n">
        <f aca="false">'Raw Data'!K1557</f>
        <v>170</v>
      </c>
      <c r="G1557" s="7" t="str">
        <f aca="false">'Raw Data'!L1557</f>
        <v>No</v>
      </c>
      <c r="H1557" s="7" t="str">
        <f aca="false">'Raw Data'!M1557</f>
        <v>Moderate</v>
      </c>
      <c r="I1557" s="7" t="n">
        <f aca="false">(IF(D1557="Current",3,IF(D1557="Former",1,0)))+(IF(E1557="High",3,IF(E1557="Normal",1,0)))+(IF(F1557&gt;=240,2,IF(F1557&gt;=200,1,0)))+(IF(G1557="Yes",2,0))+(IF(H1557="High",2,IF(H1557="Moderate",1,0)))</f>
        <v>5</v>
      </c>
      <c r="J1557" s="7" t="str">
        <f aca="false">IF(I1557&gt;=8,"High",IF(I1557&gt;=4,"Medium","Low"))</f>
        <v>Medium</v>
      </c>
    </row>
    <row r="1558" customFormat="false" ht="15" hidden="false" customHeight="true" outlineLevel="0" collapsed="false">
      <c r="A1558" s="7" t="n">
        <f aca="false">'Raw Data'!A1558</f>
        <v>2287</v>
      </c>
      <c r="B1558" s="7" t="n">
        <f aca="false">'Raw Data'!B1558</f>
        <v>59</v>
      </c>
      <c r="C1558" s="7" t="str">
        <f aca="false">'Raw Data'!C1558</f>
        <v>Male</v>
      </c>
      <c r="D1558" s="7" t="str">
        <f aca="false">'Raw Data'!D1558</f>
        <v>Former</v>
      </c>
      <c r="E1558" s="7" t="str">
        <f aca="false">'Raw Data'!J1558</f>
        <v>High</v>
      </c>
      <c r="F1558" s="7" t="n">
        <f aca="false">'Raw Data'!K1558</f>
        <v>244.8</v>
      </c>
      <c r="G1558" s="7" t="str">
        <f aca="false">'Raw Data'!L1558</f>
        <v>No</v>
      </c>
      <c r="H1558" s="7" t="str">
        <f aca="false">'Raw Data'!M1558</f>
        <v>Moderate</v>
      </c>
      <c r="I1558" s="7" t="n">
        <f aca="false">(IF(D1558="Current",3,IF(D1558="Former",1,0)))+(IF(E1558="High",3,IF(E1558="Normal",1,0)))+(IF(F1558&gt;=240,2,IF(F1558&gt;=200,1,0)))+(IF(G1558="Yes",2,0))+(IF(H1558="High",2,IF(H1558="Moderate",1,0)))</f>
        <v>7</v>
      </c>
      <c r="J1558" s="7" t="str">
        <f aca="false">IF(I1558&gt;=8,"High",IF(I1558&gt;=4,"Medium","Low"))</f>
        <v>Medium</v>
      </c>
    </row>
    <row r="1559" customFormat="false" ht="15" hidden="false" customHeight="true" outlineLevel="0" collapsed="false">
      <c r="A1559" s="7" t="n">
        <f aca="false">'Raw Data'!A1559</f>
        <v>2299</v>
      </c>
      <c r="B1559" s="7" t="n">
        <f aca="false">'Raw Data'!B1559</f>
        <v>49</v>
      </c>
      <c r="C1559" s="7" t="str">
        <f aca="false">'Raw Data'!C1559</f>
        <v>Female</v>
      </c>
      <c r="D1559" s="7" t="str">
        <f aca="false">'Raw Data'!D1559</f>
        <v>Former</v>
      </c>
      <c r="E1559" s="7" t="str">
        <f aca="false">'Raw Data'!J1559</f>
        <v>High</v>
      </c>
      <c r="F1559" s="7" t="n">
        <f aca="false">'Raw Data'!K1559</f>
        <v>256</v>
      </c>
      <c r="G1559" s="7" t="str">
        <f aca="false">'Raw Data'!L1559</f>
        <v>Yes</v>
      </c>
      <c r="H1559" s="7" t="str">
        <f aca="false">'Raw Data'!M1559</f>
        <v>Moderate</v>
      </c>
      <c r="I1559" s="7" t="n">
        <f aca="false">(IF(D1559="Current",3,IF(D1559="Former",1,0)))+(IF(E1559="High",3,IF(E1559="Normal",1,0)))+(IF(F1559&gt;=240,2,IF(F1559&gt;=200,1,0)))+(IF(G1559="Yes",2,0))+(IF(H1559="High",2,IF(H1559="Moderate",1,0)))</f>
        <v>9</v>
      </c>
      <c r="J1559" s="7" t="str">
        <f aca="false">IF(I1559&gt;=8,"High",IF(I1559&gt;=4,"Medium","Low"))</f>
        <v>High</v>
      </c>
    </row>
    <row r="1560" customFormat="false" ht="15" hidden="false" customHeight="true" outlineLevel="0" collapsed="false">
      <c r="A1560" s="7" t="n">
        <f aca="false">'Raw Data'!A1560</f>
        <v>2328</v>
      </c>
      <c r="B1560" s="7" t="n">
        <f aca="false">'Raw Data'!B1560</f>
        <v>68</v>
      </c>
      <c r="C1560" s="7" t="str">
        <f aca="false">'Raw Data'!C1560</f>
        <v>Female</v>
      </c>
      <c r="D1560" s="7" t="str">
        <f aca="false">'Raw Data'!D1560</f>
        <v>Current</v>
      </c>
      <c r="E1560" s="7" t="str">
        <f aca="false">'Raw Data'!J1560</f>
        <v>High</v>
      </c>
      <c r="F1560" s="7" t="n">
        <f aca="false">'Raw Data'!K1560</f>
        <v>166.2</v>
      </c>
      <c r="G1560" s="7" t="str">
        <f aca="false">'Raw Data'!L1560</f>
        <v>No</v>
      </c>
      <c r="H1560" s="7" t="str">
        <f aca="false">'Raw Data'!M1560</f>
        <v>Moderate</v>
      </c>
      <c r="I1560" s="7" t="n">
        <f aca="false">(IF(D1560="Current",3,IF(D1560="Former",1,0)))+(IF(E1560="High",3,IF(E1560="Normal",1,0)))+(IF(F1560&gt;=240,2,IF(F1560&gt;=200,1,0)))+(IF(G1560="Yes",2,0))+(IF(H1560="High",2,IF(H1560="Moderate",1,0)))</f>
        <v>7</v>
      </c>
      <c r="J1560" s="7" t="str">
        <f aca="false">IF(I1560&gt;=8,"High",IF(I1560&gt;=4,"Medium","Low"))</f>
        <v>Medium</v>
      </c>
    </row>
    <row r="1561" customFormat="false" ht="15" hidden="false" customHeight="true" outlineLevel="0" collapsed="false">
      <c r="A1561" s="7" t="n">
        <f aca="false">'Raw Data'!A1561</f>
        <v>2424</v>
      </c>
      <c r="B1561" s="7" t="n">
        <f aca="false">'Raw Data'!B1561</f>
        <v>72</v>
      </c>
      <c r="C1561" s="7" t="str">
        <f aca="false">'Raw Data'!C1561</f>
        <v>Female</v>
      </c>
      <c r="D1561" s="7" t="str">
        <f aca="false">'Raw Data'!D1561</f>
        <v>Current</v>
      </c>
      <c r="E1561" s="7" t="str">
        <f aca="false">'Raw Data'!J1561</f>
        <v>High</v>
      </c>
      <c r="F1561" s="7" t="n">
        <f aca="false">'Raw Data'!K1561</f>
        <v>184.6</v>
      </c>
      <c r="G1561" s="7" t="str">
        <f aca="false">'Raw Data'!L1561</f>
        <v>No</v>
      </c>
      <c r="H1561" s="7" t="str">
        <f aca="false">'Raw Data'!M1561</f>
        <v>Moderate</v>
      </c>
      <c r="I1561" s="7" t="n">
        <f aca="false">(IF(D1561="Current",3,IF(D1561="Former",1,0)))+(IF(E1561="High",3,IF(E1561="Normal",1,0)))+(IF(F1561&gt;=240,2,IF(F1561&gt;=200,1,0)))+(IF(G1561="Yes",2,0))+(IF(H1561="High",2,IF(H1561="Moderate",1,0)))</f>
        <v>7</v>
      </c>
      <c r="J1561" s="7" t="str">
        <f aca="false">IF(I1561&gt;=8,"High",IF(I1561&gt;=4,"Medium","Low"))</f>
        <v>Medium</v>
      </c>
    </row>
    <row r="1562" customFormat="false" ht="15" hidden="false" customHeight="true" outlineLevel="0" collapsed="false">
      <c r="A1562" s="7" t="n">
        <f aca="false">'Raw Data'!A1562</f>
        <v>2432</v>
      </c>
      <c r="B1562" s="7" t="n">
        <f aca="false">'Raw Data'!B1562</f>
        <v>26</v>
      </c>
      <c r="C1562" s="7" t="str">
        <f aca="false">'Raw Data'!C1562</f>
        <v>Male</v>
      </c>
      <c r="D1562" s="7" t="str">
        <f aca="false">'Raw Data'!D1562</f>
        <v>Former</v>
      </c>
      <c r="E1562" s="7" t="str">
        <f aca="false">'Raw Data'!J1562</f>
        <v>High</v>
      </c>
      <c r="F1562" s="7" t="n">
        <f aca="false">'Raw Data'!K1562</f>
        <v>246.5</v>
      </c>
      <c r="G1562" s="7" t="str">
        <f aca="false">'Raw Data'!L1562</f>
        <v>Yes</v>
      </c>
      <c r="H1562" s="7" t="str">
        <f aca="false">'Raw Data'!M1562</f>
        <v>Moderate</v>
      </c>
      <c r="I1562" s="7" t="n">
        <f aca="false">(IF(D1562="Current",3,IF(D1562="Former",1,0)))+(IF(E1562="High",3,IF(E1562="Normal",1,0)))+(IF(F1562&gt;=240,2,IF(F1562&gt;=200,1,0)))+(IF(G1562="Yes",2,0))+(IF(H1562="High",2,IF(H1562="Moderate",1,0)))</f>
        <v>9</v>
      </c>
      <c r="J1562" s="7" t="str">
        <f aca="false">IF(I1562&gt;=8,"High",IF(I1562&gt;=4,"Medium","Low"))</f>
        <v>High</v>
      </c>
    </row>
    <row r="1563" customFormat="false" ht="15" hidden="false" customHeight="true" outlineLevel="0" collapsed="false">
      <c r="A1563" s="7" t="n">
        <f aca="false">'Raw Data'!A1563</f>
        <v>2436</v>
      </c>
      <c r="B1563" s="7" t="n">
        <f aca="false">'Raw Data'!B1563</f>
        <v>79</v>
      </c>
      <c r="C1563" s="7" t="str">
        <f aca="false">'Raw Data'!C1563</f>
        <v>Male</v>
      </c>
      <c r="D1563" s="7" t="str">
        <f aca="false">'Raw Data'!D1563</f>
        <v>Current</v>
      </c>
      <c r="E1563" s="7" t="str">
        <f aca="false">'Raw Data'!J1563</f>
        <v>High</v>
      </c>
      <c r="F1563" s="7" t="n">
        <f aca="false">'Raw Data'!K1563</f>
        <v>245.2</v>
      </c>
      <c r="G1563" s="7" t="str">
        <f aca="false">'Raw Data'!L1563</f>
        <v>Yes</v>
      </c>
      <c r="H1563" s="7" t="str">
        <f aca="false">'Raw Data'!M1563</f>
        <v>Moderate</v>
      </c>
      <c r="I1563" s="7" t="n">
        <f aca="false">(IF(D1563="Current",3,IF(D1563="Former",1,0)))+(IF(E1563="High",3,IF(E1563="Normal",1,0)))+(IF(F1563&gt;=240,2,IF(F1563&gt;=200,1,0)))+(IF(G1563="Yes",2,0))+(IF(H1563="High",2,IF(H1563="Moderate",1,0)))</f>
        <v>11</v>
      </c>
      <c r="J1563" s="7" t="str">
        <f aca="false">IF(I1563&gt;=8,"High",IF(I1563&gt;=4,"Medium","Low"))</f>
        <v>High</v>
      </c>
    </row>
    <row r="1564" customFormat="false" ht="15" hidden="false" customHeight="true" outlineLevel="0" collapsed="false">
      <c r="A1564" s="7" t="n">
        <f aca="false">'Raw Data'!A1564</f>
        <v>2449</v>
      </c>
      <c r="B1564" s="7" t="n">
        <f aca="false">'Raw Data'!B1564</f>
        <v>89</v>
      </c>
      <c r="C1564" s="7" t="str">
        <f aca="false">'Raw Data'!C1564</f>
        <v>Female</v>
      </c>
      <c r="D1564" s="7" t="str">
        <f aca="false">'Raw Data'!D1564</f>
        <v>Current</v>
      </c>
      <c r="E1564" s="7" t="str">
        <f aca="false">'Raw Data'!J1564</f>
        <v>High</v>
      </c>
      <c r="F1564" s="7" t="n">
        <f aca="false">'Raw Data'!K1564</f>
        <v>183.6</v>
      </c>
      <c r="G1564" s="7" t="str">
        <f aca="false">'Raw Data'!L1564</f>
        <v>Yes</v>
      </c>
      <c r="H1564" s="7" t="str">
        <f aca="false">'Raw Data'!M1564</f>
        <v>Moderate</v>
      </c>
      <c r="I1564" s="7" t="n">
        <f aca="false">(IF(D1564="Current",3,IF(D1564="Former",1,0)))+(IF(E1564="High",3,IF(E1564="Normal",1,0)))+(IF(F1564&gt;=240,2,IF(F1564&gt;=200,1,0)))+(IF(G1564="Yes",2,0))+(IF(H1564="High",2,IF(H1564="Moderate",1,0)))</f>
        <v>9</v>
      </c>
      <c r="J1564" s="7" t="str">
        <f aca="false">IF(I1564&gt;=8,"High",IF(I1564&gt;=4,"Medium","Low"))</f>
        <v>High</v>
      </c>
    </row>
    <row r="1565" customFormat="false" ht="15" hidden="false" customHeight="true" outlineLevel="0" collapsed="false">
      <c r="A1565" s="7" t="n">
        <f aca="false">'Raw Data'!A1565</f>
        <v>2466</v>
      </c>
      <c r="B1565" s="7" t="n">
        <f aca="false">'Raw Data'!B1565</f>
        <v>31</v>
      </c>
      <c r="C1565" s="7" t="str">
        <f aca="false">'Raw Data'!C1565</f>
        <v>Female</v>
      </c>
      <c r="D1565" s="7" t="str">
        <f aca="false">'Raw Data'!D1565</f>
        <v>Former</v>
      </c>
      <c r="E1565" s="7" t="str">
        <f aca="false">'Raw Data'!J1565</f>
        <v>High</v>
      </c>
      <c r="F1565" s="7" t="n">
        <f aca="false">'Raw Data'!K1565</f>
        <v>204.8</v>
      </c>
      <c r="G1565" s="7" t="str">
        <f aca="false">'Raw Data'!L1565</f>
        <v>No</v>
      </c>
      <c r="H1565" s="7" t="str">
        <f aca="false">'Raw Data'!M1565</f>
        <v>Moderate</v>
      </c>
      <c r="I1565" s="7" t="n">
        <f aca="false">(IF(D1565="Current",3,IF(D1565="Former",1,0)))+(IF(E1565="High",3,IF(E1565="Normal",1,0)))+(IF(F1565&gt;=240,2,IF(F1565&gt;=200,1,0)))+(IF(G1565="Yes",2,0))+(IF(H1565="High",2,IF(H1565="Moderate",1,0)))</f>
        <v>6</v>
      </c>
      <c r="J1565" s="7" t="str">
        <f aca="false">IF(I1565&gt;=8,"High",IF(I1565&gt;=4,"Medium","Low"))</f>
        <v>Medium</v>
      </c>
    </row>
    <row r="1566" customFormat="false" ht="15" hidden="false" customHeight="true" outlineLevel="0" collapsed="false">
      <c r="A1566" s="7" t="n">
        <f aca="false">'Raw Data'!A1566</f>
        <v>2467</v>
      </c>
      <c r="B1566" s="7" t="n">
        <f aca="false">'Raw Data'!B1566</f>
        <v>33</v>
      </c>
      <c r="C1566" s="7" t="str">
        <f aca="false">'Raw Data'!C1566</f>
        <v>Female</v>
      </c>
      <c r="D1566" s="7" t="str">
        <f aca="false">'Raw Data'!D1566</f>
        <v>Current</v>
      </c>
      <c r="E1566" s="7" t="str">
        <f aca="false">'Raw Data'!J1566</f>
        <v>High</v>
      </c>
      <c r="F1566" s="7" t="n">
        <f aca="false">'Raw Data'!K1566</f>
        <v>263.5</v>
      </c>
      <c r="G1566" s="7" t="str">
        <f aca="false">'Raw Data'!L1566</f>
        <v>No</v>
      </c>
      <c r="H1566" s="7" t="str">
        <f aca="false">'Raw Data'!M1566</f>
        <v>Moderate</v>
      </c>
      <c r="I1566" s="7" t="n">
        <f aca="false">(IF(D1566="Current",3,IF(D1566="Former",1,0)))+(IF(E1566="High",3,IF(E1566="Normal",1,0)))+(IF(F1566&gt;=240,2,IF(F1566&gt;=200,1,0)))+(IF(G1566="Yes",2,0))+(IF(H1566="High",2,IF(H1566="Moderate",1,0)))</f>
        <v>9</v>
      </c>
      <c r="J1566" s="7" t="str">
        <f aca="false">IF(I1566&gt;=8,"High",IF(I1566&gt;=4,"Medium","Low"))</f>
        <v>High</v>
      </c>
    </row>
    <row r="1567" customFormat="false" ht="15" hidden="false" customHeight="true" outlineLevel="0" collapsed="false">
      <c r="A1567" s="7" t="n">
        <f aca="false">'Raw Data'!A1567</f>
        <v>2476</v>
      </c>
      <c r="B1567" s="7" t="n">
        <f aca="false">'Raw Data'!B1567</f>
        <v>89</v>
      </c>
      <c r="C1567" s="7" t="str">
        <f aca="false">'Raw Data'!C1567</f>
        <v>Female</v>
      </c>
      <c r="D1567" s="7" t="str">
        <f aca="false">'Raw Data'!D1567</f>
        <v>Former</v>
      </c>
      <c r="E1567" s="7" t="str">
        <f aca="false">'Raw Data'!J1567</f>
        <v>High</v>
      </c>
      <c r="F1567" s="7" t="n">
        <f aca="false">'Raw Data'!K1567</f>
        <v>272</v>
      </c>
      <c r="G1567" s="7" t="str">
        <f aca="false">'Raw Data'!L1567</f>
        <v>Yes</v>
      </c>
      <c r="H1567" s="7" t="str">
        <f aca="false">'Raw Data'!M1567</f>
        <v>Moderate</v>
      </c>
      <c r="I1567" s="7" t="n">
        <f aca="false">(IF(D1567="Current",3,IF(D1567="Former",1,0)))+(IF(E1567="High",3,IF(E1567="Normal",1,0)))+(IF(F1567&gt;=240,2,IF(F1567&gt;=200,1,0)))+(IF(G1567="Yes",2,0))+(IF(H1567="High",2,IF(H1567="Moderate",1,0)))</f>
        <v>9</v>
      </c>
      <c r="J1567" s="7" t="str">
        <f aca="false">IF(I1567&gt;=8,"High",IF(I1567&gt;=4,"Medium","Low"))</f>
        <v>High</v>
      </c>
    </row>
    <row r="1568" customFormat="false" ht="15" hidden="false" customHeight="true" outlineLevel="0" collapsed="false">
      <c r="A1568" s="7" t="n">
        <f aca="false">'Raw Data'!A1568</f>
        <v>30</v>
      </c>
      <c r="B1568" s="7" t="n">
        <f aca="false">'Raw Data'!B1568</f>
        <v>59</v>
      </c>
      <c r="C1568" s="7" t="str">
        <f aca="false">'Raw Data'!C1568</f>
        <v>Female</v>
      </c>
      <c r="D1568" s="7" t="str">
        <f aca="false">'Raw Data'!D1568</f>
        <v>Former</v>
      </c>
      <c r="E1568" s="7" t="str">
        <f aca="false">'Raw Data'!J1568</f>
        <v>High</v>
      </c>
      <c r="F1568" s="7" t="n">
        <f aca="false">'Raw Data'!K1568</f>
        <v>158.8</v>
      </c>
      <c r="G1568" s="7" t="str">
        <f aca="false">'Raw Data'!L1568</f>
        <v>No</v>
      </c>
      <c r="H1568" s="7" t="str">
        <f aca="false">'Raw Data'!M1568</f>
        <v>Low</v>
      </c>
      <c r="I1568" s="7" t="n">
        <f aca="false">(IF(D1568="Current",3,IF(D1568="Former",1,0)))+(IF(E1568="High",3,IF(E1568="Normal",1,0)))+(IF(F1568&gt;=240,2,IF(F1568&gt;=200,1,0)))+(IF(G1568="Yes",2,0))+(IF(H1568="High",2,IF(H1568="Moderate",1,0)))</f>
        <v>4</v>
      </c>
      <c r="J1568" s="7" t="str">
        <f aca="false">IF(I1568&gt;=8,"High",IF(I1568&gt;=4,"Medium","Low"))</f>
        <v>Medium</v>
      </c>
    </row>
    <row r="1569" customFormat="false" ht="15" hidden="false" customHeight="true" outlineLevel="0" collapsed="false">
      <c r="A1569" s="7" t="n">
        <f aca="false">'Raw Data'!A1569</f>
        <v>42</v>
      </c>
      <c r="B1569" s="7" t="n">
        <f aca="false">'Raw Data'!B1569</f>
        <v>86</v>
      </c>
      <c r="C1569" s="7" t="str">
        <f aca="false">'Raw Data'!C1569</f>
        <v>Male</v>
      </c>
      <c r="D1569" s="7" t="str">
        <f aca="false">'Raw Data'!D1569</f>
        <v>Former</v>
      </c>
      <c r="E1569" s="7" t="str">
        <f aca="false">'Raw Data'!J1569</f>
        <v>High</v>
      </c>
      <c r="F1569" s="7" t="n">
        <f aca="false">'Raw Data'!K1569</f>
        <v>262.5</v>
      </c>
      <c r="G1569" s="7" t="str">
        <f aca="false">'Raw Data'!L1569</f>
        <v>No</v>
      </c>
      <c r="H1569" s="7" t="str">
        <f aca="false">'Raw Data'!M1569</f>
        <v>Low</v>
      </c>
      <c r="I1569" s="7" t="n">
        <f aca="false">(IF(D1569="Current",3,IF(D1569="Former",1,0)))+(IF(E1569="High",3,IF(E1569="Normal",1,0)))+(IF(F1569&gt;=240,2,IF(F1569&gt;=200,1,0)))+(IF(G1569="Yes",2,0))+(IF(H1569="High",2,IF(H1569="Moderate",1,0)))</f>
        <v>6</v>
      </c>
      <c r="J1569" s="7" t="str">
        <f aca="false">IF(I1569&gt;=8,"High",IF(I1569&gt;=4,"Medium","Low"))</f>
        <v>Medium</v>
      </c>
    </row>
    <row r="1570" customFormat="false" ht="15" hidden="false" customHeight="true" outlineLevel="0" collapsed="false">
      <c r="A1570" s="7" t="n">
        <f aca="false">'Raw Data'!A1570</f>
        <v>63</v>
      </c>
      <c r="B1570" s="7" t="n">
        <f aca="false">'Raw Data'!B1570</f>
        <v>43</v>
      </c>
      <c r="C1570" s="7" t="str">
        <f aca="false">'Raw Data'!C1570</f>
        <v>Female</v>
      </c>
      <c r="D1570" s="7" t="str">
        <f aca="false">'Raw Data'!D1570</f>
        <v>Former</v>
      </c>
      <c r="E1570" s="7" t="str">
        <f aca="false">'Raw Data'!J1570</f>
        <v>High</v>
      </c>
      <c r="F1570" s="7" t="n">
        <f aca="false">'Raw Data'!K1570</f>
        <v>212.1</v>
      </c>
      <c r="G1570" s="7" t="str">
        <f aca="false">'Raw Data'!L1570</f>
        <v>No</v>
      </c>
      <c r="H1570" s="7" t="str">
        <f aca="false">'Raw Data'!M1570</f>
        <v>Low</v>
      </c>
      <c r="I1570" s="7" t="n">
        <f aca="false">(IF(D1570="Current",3,IF(D1570="Former",1,0)))+(IF(E1570="High",3,IF(E1570="Normal",1,0)))+(IF(F1570&gt;=240,2,IF(F1570&gt;=200,1,0)))+(IF(G1570="Yes",2,0))+(IF(H1570="High",2,IF(H1570="Moderate",1,0)))</f>
        <v>5</v>
      </c>
      <c r="J1570" s="7" t="str">
        <f aca="false">IF(I1570&gt;=8,"High",IF(I1570&gt;=4,"Medium","Low"))</f>
        <v>Medium</v>
      </c>
    </row>
    <row r="1571" customFormat="false" ht="15" hidden="false" customHeight="true" outlineLevel="0" collapsed="false">
      <c r="A1571" s="7" t="n">
        <f aca="false">'Raw Data'!A1571</f>
        <v>109</v>
      </c>
      <c r="B1571" s="7" t="n">
        <f aca="false">'Raw Data'!B1571</f>
        <v>42</v>
      </c>
      <c r="C1571" s="7" t="str">
        <f aca="false">'Raw Data'!C1571</f>
        <v>Male</v>
      </c>
      <c r="D1571" s="7" t="str">
        <f aca="false">'Raw Data'!D1571</f>
        <v>Former</v>
      </c>
      <c r="E1571" s="7" t="str">
        <f aca="false">'Raw Data'!J1571</f>
        <v>High</v>
      </c>
      <c r="F1571" s="7" t="n">
        <f aca="false">'Raw Data'!K1571</f>
        <v>161.5</v>
      </c>
      <c r="G1571" s="7" t="str">
        <f aca="false">'Raw Data'!L1571</f>
        <v>No</v>
      </c>
      <c r="H1571" s="7" t="str">
        <f aca="false">'Raw Data'!M1571</f>
        <v>Low</v>
      </c>
      <c r="I1571" s="7" t="n">
        <f aca="false">(IF(D1571="Current",3,IF(D1571="Former",1,0)))+(IF(E1571="High",3,IF(E1571="Normal",1,0)))+(IF(F1571&gt;=240,2,IF(F1571&gt;=200,1,0)))+(IF(G1571="Yes",2,0))+(IF(H1571="High",2,IF(H1571="Moderate",1,0)))</f>
        <v>4</v>
      </c>
      <c r="J1571" s="7" t="str">
        <f aca="false">IF(I1571&gt;=8,"High",IF(I1571&gt;=4,"Medium","Low"))</f>
        <v>Medium</v>
      </c>
    </row>
    <row r="1572" customFormat="false" ht="15" hidden="false" customHeight="true" outlineLevel="0" collapsed="false">
      <c r="A1572" s="7" t="n">
        <f aca="false">'Raw Data'!A1572</f>
        <v>149</v>
      </c>
      <c r="B1572" s="7" t="n">
        <f aca="false">'Raw Data'!B1572</f>
        <v>21</v>
      </c>
      <c r="C1572" s="7" t="str">
        <f aca="false">'Raw Data'!C1572</f>
        <v>Female</v>
      </c>
      <c r="D1572" s="7" t="str">
        <f aca="false">'Raw Data'!D1572</f>
        <v>Former</v>
      </c>
      <c r="E1572" s="7" t="str">
        <f aca="false">'Raw Data'!J1572</f>
        <v>High</v>
      </c>
      <c r="F1572" s="7" t="n">
        <f aca="false">'Raw Data'!K1572</f>
        <v>198.4</v>
      </c>
      <c r="G1572" s="7" t="str">
        <f aca="false">'Raw Data'!L1572</f>
        <v>No</v>
      </c>
      <c r="H1572" s="7" t="str">
        <f aca="false">'Raw Data'!M1572</f>
        <v>Low</v>
      </c>
      <c r="I1572" s="7" t="n">
        <f aca="false">(IF(D1572="Current",3,IF(D1572="Former",1,0)))+(IF(E1572="High",3,IF(E1572="Normal",1,0)))+(IF(F1572&gt;=240,2,IF(F1572&gt;=200,1,0)))+(IF(G1572="Yes",2,0))+(IF(H1572="High",2,IF(H1572="Moderate",1,0)))</f>
        <v>4</v>
      </c>
      <c r="J1572" s="7" t="str">
        <f aca="false">IF(I1572&gt;=8,"High",IF(I1572&gt;=4,"Medium","Low"))</f>
        <v>Medium</v>
      </c>
    </row>
    <row r="1573" customFormat="false" ht="15" hidden="false" customHeight="true" outlineLevel="0" collapsed="false">
      <c r="A1573" s="7" t="n">
        <f aca="false">'Raw Data'!A1573</f>
        <v>168</v>
      </c>
      <c r="B1573" s="7" t="n">
        <f aca="false">'Raw Data'!B1573</f>
        <v>47</v>
      </c>
      <c r="C1573" s="7" t="str">
        <f aca="false">'Raw Data'!C1573</f>
        <v>Female</v>
      </c>
      <c r="D1573" s="7" t="str">
        <f aca="false">'Raw Data'!D1573</f>
        <v>Former</v>
      </c>
      <c r="E1573" s="7" t="str">
        <f aca="false">'Raw Data'!J1573</f>
        <v>High</v>
      </c>
      <c r="F1573" s="7" t="n">
        <f aca="false">'Raw Data'!K1573</f>
        <v>174.8</v>
      </c>
      <c r="G1573" s="7" t="str">
        <f aca="false">'Raw Data'!L1573</f>
        <v>Yes</v>
      </c>
      <c r="H1573" s="7" t="str">
        <f aca="false">'Raw Data'!M1573</f>
        <v>Low</v>
      </c>
      <c r="I1573" s="7" t="n">
        <f aca="false">(IF(D1573="Current",3,IF(D1573="Former",1,0)))+(IF(E1573="High",3,IF(E1573="Normal",1,0)))+(IF(F1573&gt;=240,2,IF(F1573&gt;=200,1,0)))+(IF(G1573="Yes",2,0))+(IF(H1573="High",2,IF(H1573="Moderate",1,0)))</f>
        <v>6</v>
      </c>
      <c r="J1573" s="7" t="str">
        <f aca="false">IF(I1573&gt;=8,"High",IF(I1573&gt;=4,"Medium","Low"))</f>
        <v>Medium</v>
      </c>
    </row>
    <row r="1574" customFormat="false" ht="15" hidden="false" customHeight="true" outlineLevel="0" collapsed="false">
      <c r="A1574" s="7" t="n">
        <f aca="false">'Raw Data'!A1574</f>
        <v>170</v>
      </c>
      <c r="B1574" s="7" t="n">
        <f aca="false">'Raw Data'!B1574</f>
        <v>71</v>
      </c>
      <c r="C1574" s="7" t="str">
        <f aca="false">'Raw Data'!C1574</f>
        <v>Female</v>
      </c>
      <c r="D1574" s="7" t="str">
        <f aca="false">'Raw Data'!D1574</f>
        <v>Former</v>
      </c>
      <c r="E1574" s="7" t="str">
        <f aca="false">'Raw Data'!J1574</f>
        <v>High</v>
      </c>
      <c r="F1574" s="7" t="n">
        <f aca="false">'Raw Data'!K1574</f>
        <v>239.9</v>
      </c>
      <c r="G1574" s="7" t="str">
        <f aca="false">'Raw Data'!L1574</f>
        <v>Yes</v>
      </c>
      <c r="H1574" s="7" t="str">
        <f aca="false">'Raw Data'!M1574</f>
        <v>Low</v>
      </c>
      <c r="I1574" s="7" t="n">
        <f aca="false">(IF(D1574="Current",3,IF(D1574="Former",1,0)))+(IF(E1574="High",3,IF(E1574="Normal",1,0)))+(IF(F1574&gt;=240,2,IF(F1574&gt;=200,1,0)))+(IF(G1574="Yes",2,0))+(IF(H1574="High",2,IF(H1574="Moderate",1,0)))</f>
        <v>7</v>
      </c>
      <c r="J1574" s="7" t="str">
        <f aca="false">IF(I1574&gt;=8,"High",IF(I1574&gt;=4,"Medium","Low"))</f>
        <v>Medium</v>
      </c>
    </row>
    <row r="1575" customFormat="false" ht="15" hidden="false" customHeight="true" outlineLevel="0" collapsed="false">
      <c r="A1575" s="7" t="n">
        <f aca="false">'Raw Data'!A1575</f>
        <v>199</v>
      </c>
      <c r="B1575" s="7" t="n">
        <f aca="false">'Raw Data'!B1575</f>
        <v>36</v>
      </c>
      <c r="C1575" s="7" t="str">
        <f aca="false">'Raw Data'!C1575</f>
        <v>Female</v>
      </c>
      <c r="D1575" s="7" t="str">
        <f aca="false">'Raw Data'!D1575</f>
        <v>Former</v>
      </c>
      <c r="E1575" s="7" t="str">
        <f aca="false">'Raw Data'!J1575</f>
        <v>High</v>
      </c>
      <c r="F1575" s="7" t="n">
        <f aca="false">'Raw Data'!K1575</f>
        <v>153.5</v>
      </c>
      <c r="G1575" s="7" t="str">
        <f aca="false">'Raw Data'!L1575</f>
        <v>No</v>
      </c>
      <c r="H1575" s="7" t="str">
        <f aca="false">'Raw Data'!M1575</f>
        <v>Low</v>
      </c>
      <c r="I1575" s="7" t="n">
        <f aca="false">(IF(D1575="Current",3,IF(D1575="Former",1,0)))+(IF(E1575="High",3,IF(E1575="Normal",1,0)))+(IF(F1575&gt;=240,2,IF(F1575&gt;=200,1,0)))+(IF(G1575="Yes",2,0))+(IF(H1575="High",2,IF(H1575="Moderate",1,0)))</f>
        <v>4</v>
      </c>
      <c r="J1575" s="7" t="str">
        <f aca="false">IF(I1575&gt;=8,"High",IF(I1575&gt;=4,"Medium","Low"))</f>
        <v>Medium</v>
      </c>
    </row>
    <row r="1576" customFormat="false" ht="15" hidden="false" customHeight="true" outlineLevel="0" collapsed="false">
      <c r="A1576" s="7" t="n">
        <f aca="false">'Raw Data'!A1576</f>
        <v>212</v>
      </c>
      <c r="B1576" s="7" t="n">
        <f aca="false">'Raw Data'!B1576</f>
        <v>87</v>
      </c>
      <c r="C1576" s="7" t="str">
        <f aca="false">'Raw Data'!C1576</f>
        <v>Female</v>
      </c>
      <c r="D1576" s="7" t="str">
        <f aca="false">'Raw Data'!D1576</f>
        <v>Former</v>
      </c>
      <c r="E1576" s="7" t="str">
        <f aca="false">'Raw Data'!J1576</f>
        <v>High</v>
      </c>
      <c r="F1576" s="7" t="n">
        <f aca="false">'Raw Data'!K1576</f>
        <v>169.8</v>
      </c>
      <c r="G1576" s="7" t="str">
        <f aca="false">'Raw Data'!L1576</f>
        <v>No</v>
      </c>
      <c r="H1576" s="7" t="str">
        <f aca="false">'Raw Data'!M1576</f>
        <v>Low</v>
      </c>
      <c r="I1576" s="7" t="n">
        <f aca="false">(IF(D1576="Current",3,IF(D1576="Former",1,0)))+(IF(E1576="High",3,IF(E1576="Normal",1,0)))+(IF(F1576&gt;=240,2,IF(F1576&gt;=200,1,0)))+(IF(G1576="Yes",2,0))+(IF(H1576="High",2,IF(H1576="Moderate",1,0)))</f>
        <v>4</v>
      </c>
      <c r="J1576" s="7" t="str">
        <f aca="false">IF(I1576&gt;=8,"High",IF(I1576&gt;=4,"Medium","Low"))</f>
        <v>Medium</v>
      </c>
    </row>
    <row r="1577" customFormat="false" ht="15" hidden="false" customHeight="true" outlineLevel="0" collapsed="false">
      <c r="A1577" s="7" t="n">
        <f aca="false">'Raw Data'!A1577</f>
        <v>251</v>
      </c>
      <c r="B1577" s="7" t="n">
        <f aca="false">'Raw Data'!B1577</f>
        <v>34</v>
      </c>
      <c r="C1577" s="7" t="str">
        <f aca="false">'Raw Data'!C1577</f>
        <v>Male</v>
      </c>
      <c r="D1577" s="7" t="str">
        <f aca="false">'Raw Data'!D1577</f>
        <v>Former</v>
      </c>
      <c r="E1577" s="7" t="str">
        <f aca="false">'Raw Data'!J1577</f>
        <v>High</v>
      </c>
      <c r="F1577" s="7" t="n">
        <f aca="false">'Raw Data'!K1577</f>
        <v>208.5</v>
      </c>
      <c r="G1577" s="7" t="str">
        <f aca="false">'Raw Data'!L1577</f>
        <v>No</v>
      </c>
      <c r="H1577" s="7" t="str">
        <f aca="false">'Raw Data'!M1577</f>
        <v>Low</v>
      </c>
      <c r="I1577" s="7" t="n">
        <f aca="false">(IF(D1577="Current",3,IF(D1577="Former",1,0)))+(IF(E1577="High",3,IF(E1577="Normal",1,0)))+(IF(F1577&gt;=240,2,IF(F1577&gt;=200,1,0)))+(IF(G1577="Yes",2,0))+(IF(H1577="High",2,IF(H1577="Moderate",1,0)))</f>
        <v>5</v>
      </c>
      <c r="J1577" s="7" t="str">
        <f aca="false">IF(I1577&gt;=8,"High",IF(I1577&gt;=4,"Medium","Low"))</f>
        <v>Medium</v>
      </c>
    </row>
    <row r="1578" customFormat="false" ht="15" hidden="false" customHeight="true" outlineLevel="0" collapsed="false">
      <c r="A1578" s="7" t="n">
        <f aca="false">'Raw Data'!A1578</f>
        <v>262</v>
      </c>
      <c r="B1578" s="7" t="n">
        <f aca="false">'Raw Data'!B1578</f>
        <v>76</v>
      </c>
      <c r="C1578" s="7" t="str">
        <f aca="false">'Raw Data'!C1578</f>
        <v>Male</v>
      </c>
      <c r="D1578" s="7" t="str">
        <f aca="false">'Raw Data'!D1578</f>
        <v>Former</v>
      </c>
      <c r="E1578" s="7" t="str">
        <f aca="false">'Raw Data'!J1578</f>
        <v>High</v>
      </c>
      <c r="F1578" s="7" t="n">
        <f aca="false">'Raw Data'!K1578</f>
        <v>268.3</v>
      </c>
      <c r="G1578" s="7" t="str">
        <f aca="false">'Raw Data'!L1578</f>
        <v>No</v>
      </c>
      <c r="H1578" s="7" t="str">
        <f aca="false">'Raw Data'!M1578</f>
        <v>Low</v>
      </c>
      <c r="I1578" s="7" t="n">
        <f aca="false">(IF(D1578="Current",3,IF(D1578="Former",1,0)))+(IF(E1578="High",3,IF(E1578="Normal",1,0)))+(IF(F1578&gt;=240,2,IF(F1578&gt;=200,1,0)))+(IF(G1578="Yes",2,0))+(IF(H1578="High",2,IF(H1578="Moderate",1,0)))</f>
        <v>6</v>
      </c>
      <c r="J1578" s="7" t="str">
        <f aca="false">IF(I1578&gt;=8,"High",IF(I1578&gt;=4,"Medium","Low"))</f>
        <v>Medium</v>
      </c>
    </row>
    <row r="1579" customFormat="false" ht="15" hidden="false" customHeight="true" outlineLevel="0" collapsed="false">
      <c r="A1579" s="7" t="n">
        <f aca="false">'Raw Data'!A1579</f>
        <v>268</v>
      </c>
      <c r="B1579" s="7" t="n">
        <f aca="false">'Raw Data'!B1579</f>
        <v>88</v>
      </c>
      <c r="C1579" s="7" t="str">
        <f aca="false">'Raw Data'!C1579</f>
        <v>Male</v>
      </c>
      <c r="D1579" s="7" t="str">
        <f aca="false">'Raw Data'!D1579</f>
        <v>Former</v>
      </c>
      <c r="E1579" s="7" t="str">
        <f aca="false">'Raw Data'!J1579</f>
        <v>High</v>
      </c>
      <c r="F1579" s="7" t="n">
        <f aca="false">'Raw Data'!K1579</f>
        <v>158.2</v>
      </c>
      <c r="G1579" s="7" t="str">
        <f aca="false">'Raw Data'!L1579</f>
        <v>No</v>
      </c>
      <c r="H1579" s="7" t="str">
        <f aca="false">'Raw Data'!M1579</f>
        <v>Low</v>
      </c>
      <c r="I1579" s="7" t="n">
        <f aca="false">(IF(D1579="Current",3,IF(D1579="Former",1,0)))+(IF(E1579="High",3,IF(E1579="Normal",1,0)))+(IF(F1579&gt;=240,2,IF(F1579&gt;=200,1,0)))+(IF(G1579="Yes",2,0))+(IF(H1579="High",2,IF(H1579="Moderate",1,0)))</f>
        <v>4</v>
      </c>
      <c r="J1579" s="7" t="str">
        <f aca="false">IF(I1579&gt;=8,"High",IF(I1579&gt;=4,"Medium","Low"))</f>
        <v>Medium</v>
      </c>
    </row>
    <row r="1580" customFormat="false" ht="15" hidden="false" customHeight="true" outlineLevel="0" collapsed="false">
      <c r="A1580" s="7" t="n">
        <f aca="false">'Raw Data'!A1580</f>
        <v>272</v>
      </c>
      <c r="B1580" s="7" t="n">
        <f aca="false">'Raw Data'!B1580</f>
        <v>77</v>
      </c>
      <c r="C1580" s="7" t="str">
        <f aca="false">'Raw Data'!C1580</f>
        <v>Female</v>
      </c>
      <c r="D1580" s="7" t="str">
        <f aca="false">'Raw Data'!D1580</f>
        <v>Former</v>
      </c>
      <c r="E1580" s="7" t="str">
        <f aca="false">'Raw Data'!J1580</f>
        <v>High</v>
      </c>
      <c r="F1580" s="7" t="n">
        <f aca="false">'Raw Data'!K1580</f>
        <v>213.8</v>
      </c>
      <c r="G1580" s="7" t="str">
        <f aca="false">'Raw Data'!L1580</f>
        <v>No</v>
      </c>
      <c r="H1580" s="7" t="str">
        <f aca="false">'Raw Data'!M1580</f>
        <v>Low</v>
      </c>
      <c r="I1580" s="7" t="n">
        <f aca="false">(IF(D1580="Current",3,IF(D1580="Former",1,0)))+(IF(E1580="High",3,IF(E1580="Normal",1,0)))+(IF(F1580&gt;=240,2,IF(F1580&gt;=200,1,0)))+(IF(G1580="Yes",2,0))+(IF(H1580="High",2,IF(H1580="Moderate",1,0)))</f>
        <v>5</v>
      </c>
      <c r="J1580" s="7" t="str">
        <f aca="false">IF(I1580&gt;=8,"High",IF(I1580&gt;=4,"Medium","Low"))</f>
        <v>Medium</v>
      </c>
    </row>
    <row r="1581" customFormat="false" ht="15" hidden="false" customHeight="true" outlineLevel="0" collapsed="false">
      <c r="A1581" s="7" t="n">
        <f aca="false">'Raw Data'!A1581</f>
        <v>530</v>
      </c>
      <c r="B1581" s="7" t="n">
        <f aca="false">'Raw Data'!B1581</f>
        <v>77</v>
      </c>
      <c r="C1581" s="7" t="str">
        <f aca="false">'Raw Data'!C1581</f>
        <v>Female</v>
      </c>
      <c r="D1581" s="7" t="str">
        <f aca="false">'Raw Data'!D1581</f>
        <v>Former</v>
      </c>
      <c r="E1581" s="7" t="str">
        <f aca="false">'Raw Data'!J1581</f>
        <v>High</v>
      </c>
      <c r="F1581" s="7" t="n">
        <f aca="false">'Raw Data'!K1581</f>
        <v>234.5</v>
      </c>
      <c r="G1581" s="7" t="str">
        <f aca="false">'Raw Data'!L1581</f>
        <v>No</v>
      </c>
      <c r="H1581" s="7" t="str">
        <f aca="false">'Raw Data'!M1581</f>
        <v>Low</v>
      </c>
      <c r="I1581" s="7" t="n">
        <f aca="false">(IF(D1581="Current",3,IF(D1581="Former",1,0)))+(IF(E1581="High",3,IF(E1581="Normal",1,0)))+(IF(F1581&gt;=240,2,IF(F1581&gt;=200,1,0)))+(IF(G1581="Yes",2,0))+(IF(H1581="High",2,IF(H1581="Moderate",1,0)))</f>
        <v>5</v>
      </c>
      <c r="J1581" s="7" t="str">
        <f aca="false">IF(I1581&gt;=8,"High",IF(I1581&gt;=4,"Medium","Low"))</f>
        <v>Medium</v>
      </c>
    </row>
    <row r="1582" customFormat="false" ht="15" hidden="false" customHeight="true" outlineLevel="0" collapsed="false">
      <c r="A1582" s="7" t="n">
        <f aca="false">'Raw Data'!A1582</f>
        <v>595</v>
      </c>
      <c r="B1582" s="7" t="n">
        <f aca="false">'Raw Data'!B1582</f>
        <v>65</v>
      </c>
      <c r="C1582" s="7" t="str">
        <f aca="false">'Raw Data'!C1582</f>
        <v>Female</v>
      </c>
      <c r="D1582" s="7" t="str">
        <f aca="false">'Raw Data'!D1582</f>
        <v>Former</v>
      </c>
      <c r="E1582" s="7" t="str">
        <f aca="false">'Raw Data'!J1582</f>
        <v>High</v>
      </c>
      <c r="F1582" s="7" t="n">
        <f aca="false">'Raw Data'!K1582</f>
        <v>272.2</v>
      </c>
      <c r="G1582" s="7" t="str">
        <f aca="false">'Raw Data'!L1582</f>
        <v>No</v>
      </c>
      <c r="H1582" s="7" t="str">
        <f aca="false">'Raw Data'!M1582</f>
        <v>Low</v>
      </c>
      <c r="I1582" s="7" t="n">
        <f aca="false">(IF(D1582="Current",3,IF(D1582="Former",1,0)))+(IF(E1582="High",3,IF(E1582="Normal",1,0)))+(IF(F1582&gt;=240,2,IF(F1582&gt;=200,1,0)))+(IF(G1582="Yes",2,0))+(IF(H1582="High",2,IF(H1582="Moderate",1,0)))</f>
        <v>6</v>
      </c>
      <c r="J1582" s="7" t="str">
        <f aca="false">IF(I1582&gt;=8,"High",IF(I1582&gt;=4,"Medium","Low"))</f>
        <v>Medium</v>
      </c>
    </row>
    <row r="1583" customFormat="false" ht="15" hidden="false" customHeight="true" outlineLevel="0" collapsed="false">
      <c r="A1583" s="7" t="n">
        <f aca="false">'Raw Data'!A1583</f>
        <v>642</v>
      </c>
      <c r="B1583" s="7" t="n">
        <f aca="false">'Raw Data'!B1583</f>
        <v>44</v>
      </c>
      <c r="C1583" s="7" t="str">
        <f aca="false">'Raw Data'!C1583</f>
        <v>Female</v>
      </c>
      <c r="D1583" s="7" t="str">
        <f aca="false">'Raw Data'!D1583</f>
        <v>Former</v>
      </c>
      <c r="E1583" s="7" t="str">
        <f aca="false">'Raw Data'!J1583</f>
        <v>High</v>
      </c>
      <c r="F1583" s="7" t="n">
        <f aca="false">'Raw Data'!K1583</f>
        <v>156.6</v>
      </c>
      <c r="G1583" s="7" t="str">
        <f aca="false">'Raw Data'!L1583</f>
        <v>No</v>
      </c>
      <c r="H1583" s="7" t="str">
        <f aca="false">'Raw Data'!M1583</f>
        <v>Low</v>
      </c>
      <c r="I1583" s="7" t="n">
        <f aca="false">(IF(D1583="Current",3,IF(D1583="Former",1,0)))+(IF(E1583="High",3,IF(E1583="Normal",1,0)))+(IF(F1583&gt;=240,2,IF(F1583&gt;=200,1,0)))+(IF(G1583="Yes",2,0))+(IF(H1583="High",2,IF(H1583="Moderate",1,0)))</f>
        <v>4</v>
      </c>
      <c r="J1583" s="7" t="str">
        <f aca="false">IF(I1583&gt;=8,"High",IF(I1583&gt;=4,"Medium","Low"))</f>
        <v>Medium</v>
      </c>
    </row>
    <row r="1584" customFormat="false" ht="15" hidden="false" customHeight="true" outlineLevel="0" collapsed="false">
      <c r="A1584" s="7" t="n">
        <f aca="false">'Raw Data'!A1584</f>
        <v>663</v>
      </c>
      <c r="B1584" s="7" t="n">
        <f aca="false">'Raw Data'!B1584</f>
        <v>87</v>
      </c>
      <c r="C1584" s="7" t="str">
        <f aca="false">'Raw Data'!C1584</f>
        <v>Female</v>
      </c>
      <c r="D1584" s="7" t="str">
        <f aca="false">'Raw Data'!D1584</f>
        <v>Former</v>
      </c>
      <c r="E1584" s="7" t="str">
        <f aca="false">'Raw Data'!J1584</f>
        <v>High</v>
      </c>
      <c r="F1584" s="7" t="n">
        <f aca="false">'Raw Data'!K1584</f>
        <v>164.6</v>
      </c>
      <c r="G1584" s="7" t="str">
        <f aca="false">'Raw Data'!L1584</f>
        <v>Yes</v>
      </c>
      <c r="H1584" s="7" t="str">
        <f aca="false">'Raw Data'!M1584</f>
        <v>Low</v>
      </c>
      <c r="I1584" s="7" t="n">
        <f aca="false">(IF(D1584="Current",3,IF(D1584="Former",1,0)))+(IF(E1584="High",3,IF(E1584="Normal",1,0)))+(IF(F1584&gt;=240,2,IF(F1584&gt;=200,1,0)))+(IF(G1584="Yes",2,0))+(IF(H1584="High",2,IF(H1584="Moderate",1,0)))</f>
        <v>6</v>
      </c>
      <c r="J1584" s="7" t="str">
        <f aca="false">IF(I1584&gt;=8,"High",IF(I1584&gt;=4,"Medium","Low"))</f>
        <v>Medium</v>
      </c>
    </row>
    <row r="1585" customFormat="false" ht="15" hidden="false" customHeight="true" outlineLevel="0" collapsed="false">
      <c r="A1585" s="7" t="n">
        <f aca="false">'Raw Data'!A1585</f>
        <v>692</v>
      </c>
      <c r="B1585" s="7" t="n">
        <f aca="false">'Raw Data'!B1585</f>
        <v>46</v>
      </c>
      <c r="C1585" s="7" t="str">
        <f aca="false">'Raw Data'!C1585</f>
        <v>Female</v>
      </c>
      <c r="D1585" s="7" t="str">
        <f aca="false">'Raw Data'!D1585</f>
        <v>Former</v>
      </c>
      <c r="E1585" s="7" t="str">
        <f aca="false">'Raw Data'!J1585</f>
        <v>High</v>
      </c>
      <c r="F1585" s="7" t="n">
        <f aca="false">'Raw Data'!K1585</f>
        <v>265.2</v>
      </c>
      <c r="G1585" s="7" t="str">
        <f aca="false">'Raw Data'!L1585</f>
        <v>Yes</v>
      </c>
      <c r="H1585" s="7" t="str">
        <f aca="false">'Raw Data'!M1585</f>
        <v>Low</v>
      </c>
      <c r="I1585" s="7" t="n">
        <f aca="false">(IF(D1585="Current",3,IF(D1585="Former",1,0)))+(IF(E1585="High",3,IF(E1585="Normal",1,0)))+(IF(F1585&gt;=240,2,IF(F1585&gt;=200,1,0)))+(IF(G1585="Yes",2,0))+(IF(H1585="High",2,IF(H1585="Moderate",1,0)))</f>
        <v>8</v>
      </c>
      <c r="J1585" s="7" t="str">
        <f aca="false">IF(I1585&gt;=8,"High",IF(I1585&gt;=4,"Medium","Low"))</f>
        <v>High</v>
      </c>
    </row>
    <row r="1586" customFormat="false" ht="15" hidden="false" customHeight="true" outlineLevel="0" collapsed="false">
      <c r="A1586" s="7" t="n">
        <f aca="false">'Raw Data'!A1586</f>
        <v>700</v>
      </c>
      <c r="B1586" s="7" t="n">
        <f aca="false">'Raw Data'!B1586</f>
        <v>73</v>
      </c>
      <c r="C1586" s="7" t="str">
        <f aca="false">'Raw Data'!C1586</f>
        <v>Male</v>
      </c>
      <c r="D1586" s="7" t="str">
        <f aca="false">'Raw Data'!D1586</f>
        <v>Former</v>
      </c>
      <c r="E1586" s="7" t="str">
        <f aca="false">'Raw Data'!J1586</f>
        <v>High</v>
      </c>
      <c r="F1586" s="7" t="n">
        <f aca="false">'Raw Data'!K1586</f>
        <v>258.8</v>
      </c>
      <c r="G1586" s="7" t="str">
        <f aca="false">'Raw Data'!L1586</f>
        <v>Yes</v>
      </c>
      <c r="H1586" s="7" t="str">
        <f aca="false">'Raw Data'!M1586</f>
        <v>Low</v>
      </c>
      <c r="I1586" s="7" t="n">
        <f aca="false">(IF(D1586="Current",3,IF(D1586="Former",1,0)))+(IF(E1586="High",3,IF(E1586="Normal",1,0)))+(IF(F1586&gt;=240,2,IF(F1586&gt;=200,1,0)))+(IF(G1586="Yes",2,0))+(IF(H1586="High",2,IF(H1586="Moderate",1,0)))</f>
        <v>8</v>
      </c>
      <c r="J1586" s="7" t="str">
        <f aca="false">IF(I1586&gt;=8,"High",IF(I1586&gt;=4,"Medium","Low"))</f>
        <v>High</v>
      </c>
    </row>
    <row r="1587" customFormat="false" ht="15" hidden="false" customHeight="true" outlineLevel="0" collapsed="false">
      <c r="A1587" s="7" t="n">
        <f aca="false">'Raw Data'!A1587</f>
        <v>712</v>
      </c>
      <c r="B1587" s="7" t="n">
        <f aca="false">'Raw Data'!B1587</f>
        <v>28</v>
      </c>
      <c r="C1587" s="7" t="str">
        <f aca="false">'Raw Data'!C1587</f>
        <v>Male</v>
      </c>
      <c r="D1587" s="7" t="str">
        <f aca="false">'Raw Data'!D1587</f>
        <v>Former</v>
      </c>
      <c r="E1587" s="7" t="str">
        <f aca="false">'Raw Data'!J1587</f>
        <v>High</v>
      </c>
      <c r="F1587" s="7" t="n">
        <f aca="false">'Raw Data'!K1587</f>
        <v>244.1</v>
      </c>
      <c r="G1587" s="7" t="str">
        <f aca="false">'Raw Data'!L1587</f>
        <v>Yes</v>
      </c>
      <c r="H1587" s="7" t="str">
        <f aca="false">'Raw Data'!M1587</f>
        <v>Low</v>
      </c>
      <c r="I1587" s="7" t="n">
        <f aca="false">(IF(D1587="Current",3,IF(D1587="Former",1,0)))+(IF(E1587="High",3,IF(E1587="Normal",1,0)))+(IF(F1587&gt;=240,2,IF(F1587&gt;=200,1,0)))+(IF(G1587="Yes",2,0))+(IF(H1587="High",2,IF(H1587="Moderate",1,0)))</f>
        <v>8</v>
      </c>
      <c r="J1587" s="7" t="str">
        <f aca="false">IF(I1587&gt;=8,"High",IF(I1587&gt;=4,"Medium","Low"))</f>
        <v>High</v>
      </c>
    </row>
    <row r="1588" customFormat="false" ht="15" hidden="false" customHeight="true" outlineLevel="0" collapsed="false">
      <c r="A1588" s="7" t="n">
        <f aca="false">'Raw Data'!A1588</f>
        <v>747</v>
      </c>
      <c r="B1588" s="7" t="n">
        <f aca="false">'Raw Data'!B1588</f>
        <v>52</v>
      </c>
      <c r="C1588" s="7" t="str">
        <f aca="false">'Raw Data'!C1588</f>
        <v>Female</v>
      </c>
      <c r="D1588" s="7" t="str">
        <f aca="false">'Raw Data'!D1588</f>
        <v>Former</v>
      </c>
      <c r="E1588" s="7" t="str">
        <f aca="false">'Raw Data'!J1588</f>
        <v>High</v>
      </c>
      <c r="F1588" s="7" t="n">
        <f aca="false">'Raw Data'!K1588</f>
        <v>213.7</v>
      </c>
      <c r="G1588" s="7" t="str">
        <f aca="false">'Raw Data'!L1588</f>
        <v>No</v>
      </c>
      <c r="H1588" s="7" t="str">
        <f aca="false">'Raw Data'!M1588</f>
        <v>Low</v>
      </c>
      <c r="I1588" s="7" t="n">
        <f aca="false">(IF(D1588="Current",3,IF(D1588="Former",1,0)))+(IF(E1588="High",3,IF(E1588="Normal",1,0)))+(IF(F1588&gt;=240,2,IF(F1588&gt;=200,1,0)))+(IF(G1588="Yes",2,0))+(IF(H1588="High",2,IF(H1588="Moderate",1,0)))</f>
        <v>5</v>
      </c>
      <c r="J1588" s="7" t="str">
        <f aca="false">IF(I1588&gt;=8,"High",IF(I1588&gt;=4,"Medium","Low"))</f>
        <v>Medium</v>
      </c>
    </row>
    <row r="1589" customFormat="false" ht="15" hidden="false" customHeight="true" outlineLevel="0" collapsed="false">
      <c r="A1589" s="7" t="n">
        <f aca="false">'Raw Data'!A1589</f>
        <v>768</v>
      </c>
      <c r="B1589" s="7" t="n">
        <f aca="false">'Raw Data'!B1589</f>
        <v>33</v>
      </c>
      <c r="C1589" s="7" t="str">
        <f aca="false">'Raw Data'!C1589</f>
        <v>Male</v>
      </c>
      <c r="D1589" s="7" t="str">
        <f aca="false">'Raw Data'!D1589</f>
        <v>Former</v>
      </c>
      <c r="E1589" s="7" t="str">
        <f aca="false">'Raw Data'!J1589</f>
        <v>High</v>
      </c>
      <c r="F1589" s="7" t="n">
        <f aca="false">'Raw Data'!K1589</f>
        <v>235.2</v>
      </c>
      <c r="G1589" s="7" t="str">
        <f aca="false">'Raw Data'!L1589</f>
        <v>Yes</v>
      </c>
      <c r="H1589" s="7" t="str">
        <f aca="false">'Raw Data'!M1589</f>
        <v>Low</v>
      </c>
      <c r="I1589" s="7" t="n">
        <f aca="false">(IF(D1589="Current",3,IF(D1589="Former",1,0)))+(IF(E1589="High",3,IF(E1589="Normal",1,0)))+(IF(F1589&gt;=240,2,IF(F1589&gt;=200,1,0)))+(IF(G1589="Yes",2,0))+(IF(H1589="High",2,IF(H1589="Moderate",1,0)))</f>
        <v>7</v>
      </c>
      <c r="J1589" s="7" t="str">
        <f aca="false">IF(I1589&gt;=8,"High",IF(I1589&gt;=4,"Medium","Low"))</f>
        <v>Medium</v>
      </c>
    </row>
    <row r="1590" customFormat="false" ht="15" hidden="false" customHeight="true" outlineLevel="0" collapsed="false">
      <c r="A1590" s="7" t="n">
        <f aca="false">'Raw Data'!A1590</f>
        <v>793</v>
      </c>
      <c r="B1590" s="7" t="n">
        <f aca="false">'Raw Data'!B1590</f>
        <v>44</v>
      </c>
      <c r="C1590" s="7" t="str">
        <f aca="false">'Raw Data'!C1590</f>
        <v>Male</v>
      </c>
      <c r="D1590" s="7" t="str">
        <f aca="false">'Raw Data'!D1590</f>
        <v>Former</v>
      </c>
      <c r="E1590" s="7" t="str">
        <f aca="false">'Raw Data'!J1590</f>
        <v>High</v>
      </c>
      <c r="F1590" s="7" t="n">
        <f aca="false">'Raw Data'!K1590</f>
        <v>247.1</v>
      </c>
      <c r="G1590" s="7" t="str">
        <f aca="false">'Raw Data'!L1590</f>
        <v>No</v>
      </c>
      <c r="H1590" s="7" t="str">
        <f aca="false">'Raw Data'!M1590</f>
        <v>Low</v>
      </c>
      <c r="I1590" s="7" t="n">
        <f aca="false">(IF(D1590="Current",3,IF(D1590="Former",1,0)))+(IF(E1590="High",3,IF(E1590="Normal",1,0)))+(IF(F1590&gt;=240,2,IF(F1590&gt;=200,1,0)))+(IF(G1590="Yes",2,0))+(IF(H1590="High",2,IF(H1590="Moderate",1,0)))</f>
        <v>6</v>
      </c>
      <c r="J1590" s="7" t="str">
        <f aca="false">IF(I1590&gt;=8,"High",IF(I1590&gt;=4,"Medium","Low"))</f>
        <v>Medium</v>
      </c>
    </row>
    <row r="1591" customFormat="false" ht="15" hidden="false" customHeight="true" outlineLevel="0" collapsed="false">
      <c r="A1591" s="7" t="n">
        <f aca="false">'Raw Data'!A1591</f>
        <v>818</v>
      </c>
      <c r="B1591" s="7" t="n">
        <f aca="false">'Raw Data'!B1591</f>
        <v>85</v>
      </c>
      <c r="C1591" s="7" t="str">
        <f aca="false">'Raw Data'!C1591</f>
        <v>Male</v>
      </c>
      <c r="D1591" s="7" t="str">
        <f aca="false">'Raw Data'!D1591</f>
        <v>Former</v>
      </c>
      <c r="E1591" s="7" t="str">
        <f aca="false">'Raw Data'!J1591</f>
        <v>High</v>
      </c>
      <c r="F1591" s="7" t="n">
        <f aca="false">'Raw Data'!K1591</f>
        <v>194.8</v>
      </c>
      <c r="G1591" s="7" t="str">
        <f aca="false">'Raw Data'!L1591</f>
        <v>No</v>
      </c>
      <c r="H1591" s="7" t="str">
        <f aca="false">'Raw Data'!M1591</f>
        <v>Low</v>
      </c>
      <c r="I1591" s="7" t="n">
        <f aca="false">(IF(D1591="Current",3,IF(D1591="Former",1,0)))+(IF(E1591="High",3,IF(E1591="Normal",1,0)))+(IF(F1591&gt;=240,2,IF(F1591&gt;=200,1,0)))+(IF(G1591="Yes",2,0))+(IF(H1591="High",2,IF(H1591="Moderate",1,0)))</f>
        <v>4</v>
      </c>
      <c r="J1591" s="7" t="str">
        <f aca="false">IF(I1591&gt;=8,"High",IF(I1591&gt;=4,"Medium","Low"))</f>
        <v>Medium</v>
      </c>
    </row>
    <row r="1592" customFormat="false" ht="15" hidden="false" customHeight="true" outlineLevel="0" collapsed="false">
      <c r="A1592" s="7" t="n">
        <f aca="false">'Raw Data'!A1592</f>
        <v>822</v>
      </c>
      <c r="B1592" s="7" t="n">
        <f aca="false">'Raw Data'!B1592</f>
        <v>25</v>
      </c>
      <c r="C1592" s="7" t="str">
        <f aca="false">'Raw Data'!C1592</f>
        <v>Male</v>
      </c>
      <c r="D1592" s="7" t="str">
        <f aca="false">'Raw Data'!D1592</f>
        <v>Former</v>
      </c>
      <c r="E1592" s="7" t="str">
        <f aca="false">'Raw Data'!J1592</f>
        <v>High</v>
      </c>
      <c r="F1592" s="7" t="n">
        <f aca="false">'Raw Data'!K1592</f>
        <v>173</v>
      </c>
      <c r="G1592" s="7" t="str">
        <f aca="false">'Raw Data'!L1592</f>
        <v>Yes</v>
      </c>
      <c r="H1592" s="7" t="str">
        <f aca="false">'Raw Data'!M1592</f>
        <v>Low</v>
      </c>
      <c r="I1592" s="7" t="n">
        <f aca="false">(IF(D1592="Current",3,IF(D1592="Former",1,0)))+(IF(E1592="High",3,IF(E1592="Normal",1,0)))+(IF(F1592&gt;=240,2,IF(F1592&gt;=200,1,0)))+(IF(G1592="Yes",2,0))+(IF(H1592="High",2,IF(H1592="Moderate",1,0)))</f>
        <v>6</v>
      </c>
      <c r="J1592" s="7" t="str">
        <f aca="false">IF(I1592&gt;=8,"High",IF(I1592&gt;=4,"Medium","Low"))</f>
        <v>Medium</v>
      </c>
    </row>
    <row r="1593" customFormat="false" ht="15" hidden="false" customHeight="true" outlineLevel="0" collapsed="false">
      <c r="A1593" s="7" t="n">
        <f aca="false">'Raw Data'!A1593</f>
        <v>846</v>
      </c>
      <c r="B1593" s="7" t="n">
        <f aca="false">'Raw Data'!B1593</f>
        <v>58</v>
      </c>
      <c r="C1593" s="7" t="str">
        <f aca="false">'Raw Data'!C1593</f>
        <v>Male</v>
      </c>
      <c r="D1593" s="7" t="str">
        <f aca="false">'Raw Data'!D1593</f>
        <v>Former</v>
      </c>
      <c r="E1593" s="7" t="str">
        <f aca="false">'Raw Data'!J1593</f>
        <v>High</v>
      </c>
      <c r="F1593" s="7" t="n">
        <f aca="false">'Raw Data'!K1593</f>
        <v>195.4</v>
      </c>
      <c r="G1593" s="7" t="str">
        <f aca="false">'Raw Data'!L1593</f>
        <v>No</v>
      </c>
      <c r="H1593" s="7" t="str">
        <f aca="false">'Raw Data'!M1593</f>
        <v>Low</v>
      </c>
      <c r="I1593" s="7" t="n">
        <f aca="false">(IF(D1593="Current",3,IF(D1593="Former",1,0)))+(IF(E1593="High",3,IF(E1593="Normal",1,0)))+(IF(F1593&gt;=240,2,IF(F1593&gt;=200,1,0)))+(IF(G1593="Yes",2,0))+(IF(H1593="High",2,IF(H1593="Moderate",1,0)))</f>
        <v>4</v>
      </c>
      <c r="J1593" s="7" t="str">
        <f aca="false">IF(I1593&gt;=8,"High",IF(I1593&gt;=4,"Medium","Low"))</f>
        <v>Medium</v>
      </c>
    </row>
    <row r="1594" customFormat="false" ht="15" hidden="false" customHeight="true" outlineLevel="0" collapsed="false">
      <c r="A1594" s="7" t="n">
        <f aca="false">'Raw Data'!A1594</f>
        <v>847</v>
      </c>
      <c r="B1594" s="7" t="n">
        <f aca="false">'Raw Data'!B1594</f>
        <v>71</v>
      </c>
      <c r="C1594" s="7" t="str">
        <f aca="false">'Raw Data'!C1594</f>
        <v>Male</v>
      </c>
      <c r="D1594" s="7" t="str">
        <f aca="false">'Raw Data'!D1594</f>
        <v>Former</v>
      </c>
      <c r="E1594" s="7" t="str">
        <f aca="false">'Raw Data'!J1594</f>
        <v>High</v>
      </c>
      <c r="F1594" s="7" t="n">
        <f aca="false">'Raw Data'!K1594</f>
        <v>164.4</v>
      </c>
      <c r="G1594" s="7" t="str">
        <f aca="false">'Raw Data'!L1594</f>
        <v>No</v>
      </c>
      <c r="H1594" s="7" t="str">
        <f aca="false">'Raw Data'!M1594</f>
        <v>Low</v>
      </c>
      <c r="I1594" s="7" t="n">
        <f aca="false">(IF(D1594="Current",3,IF(D1594="Former",1,0)))+(IF(E1594="High",3,IF(E1594="Normal",1,0)))+(IF(F1594&gt;=240,2,IF(F1594&gt;=200,1,0)))+(IF(G1594="Yes",2,0))+(IF(H1594="High",2,IF(H1594="Moderate",1,0)))</f>
        <v>4</v>
      </c>
      <c r="J1594" s="7" t="str">
        <f aca="false">IF(I1594&gt;=8,"High",IF(I1594&gt;=4,"Medium","Low"))</f>
        <v>Medium</v>
      </c>
    </row>
    <row r="1595" customFormat="false" ht="15" hidden="false" customHeight="true" outlineLevel="0" collapsed="false">
      <c r="A1595" s="7" t="n">
        <f aca="false">'Raw Data'!A1595</f>
        <v>854</v>
      </c>
      <c r="B1595" s="7" t="n">
        <f aca="false">'Raw Data'!B1595</f>
        <v>20</v>
      </c>
      <c r="C1595" s="7" t="str">
        <f aca="false">'Raw Data'!C1595</f>
        <v>Female</v>
      </c>
      <c r="D1595" s="7" t="str">
        <f aca="false">'Raw Data'!D1595</f>
        <v>Former</v>
      </c>
      <c r="E1595" s="7" t="str">
        <f aca="false">'Raw Data'!J1595</f>
        <v>High</v>
      </c>
      <c r="F1595" s="7" t="n">
        <f aca="false">'Raw Data'!K1595</f>
        <v>147.6</v>
      </c>
      <c r="G1595" s="7" t="str">
        <f aca="false">'Raw Data'!L1595</f>
        <v>No</v>
      </c>
      <c r="H1595" s="7" t="str">
        <f aca="false">'Raw Data'!M1595</f>
        <v>Low</v>
      </c>
      <c r="I1595" s="7" t="n">
        <f aca="false">(IF(D1595="Current",3,IF(D1595="Former",1,0)))+(IF(E1595="High",3,IF(E1595="Normal",1,0)))+(IF(F1595&gt;=240,2,IF(F1595&gt;=200,1,0)))+(IF(G1595="Yes",2,0))+(IF(H1595="High",2,IF(H1595="Moderate",1,0)))</f>
        <v>4</v>
      </c>
      <c r="J1595" s="7" t="str">
        <f aca="false">IF(I1595&gt;=8,"High",IF(I1595&gt;=4,"Medium","Low"))</f>
        <v>Medium</v>
      </c>
    </row>
    <row r="1596" customFormat="false" ht="15" hidden="false" customHeight="true" outlineLevel="0" collapsed="false">
      <c r="A1596" s="7" t="n">
        <f aca="false">'Raw Data'!A1596</f>
        <v>864</v>
      </c>
      <c r="B1596" s="7" t="n">
        <f aca="false">'Raw Data'!B1596</f>
        <v>73</v>
      </c>
      <c r="C1596" s="7" t="str">
        <f aca="false">'Raw Data'!C1596</f>
        <v>Male</v>
      </c>
      <c r="D1596" s="7" t="str">
        <f aca="false">'Raw Data'!D1596</f>
        <v>Former</v>
      </c>
      <c r="E1596" s="7" t="str">
        <f aca="false">'Raw Data'!J1596</f>
        <v>High</v>
      </c>
      <c r="F1596" s="7" t="n">
        <f aca="false">'Raw Data'!K1596</f>
        <v>298.8</v>
      </c>
      <c r="G1596" s="7" t="str">
        <f aca="false">'Raw Data'!L1596</f>
        <v>Yes</v>
      </c>
      <c r="H1596" s="7" t="str">
        <f aca="false">'Raw Data'!M1596</f>
        <v>Low</v>
      </c>
      <c r="I1596" s="7" t="n">
        <f aca="false">(IF(D1596="Current",3,IF(D1596="Former",1,0)))+(IF(E1596="High",3,IF(E1596="Normal",1,0)))+(IF(F1596&gt;=240,2,IF(F1596&gt;=200,1,0)))+(IF(G1596="Yes",2,0))+(IF(H1596="High",2,IF(H1596="Moderate",1,0)))</f>
        <v>8</v>
      </c>
      <c r="J1596" s="7" t="str">
        <f aca="false">IF(I1596&gt;=8,"High",IF(I1596&gt;=4,"Medium","Low"))</f>
        <v>High</v>
      </c>
    </row>
    <row r="1597" customFormat="false" ht="15" hidden="false" customHeight="true" outlineLevel="0" collapsed="false">
      <c r="A1597" s="7" t="n">
        <f aca="false">'Raw Data'!A1597</f>
        <v>870</v>
      </c>
      <c r="B1597" s="7" t="n">
        <f aca="false">'Raw Data'!B1597</f>
        <v>27</v>
      </c>
      <c r="C1597" s="7" t="str">
        <f aca="false">'Raw Data'!C1597</f>
        <v>Male</v>
      </c>
      <c r="D1597" s="7" t="str">
        <f aca="false">'Raw Data'!D1597</f>
        <v>Former</v>
      </c>
      <c r="E1597" s="7" t="str">
        <f aca="false">'Raw Data'!J1597</f>
        <v>High</v>
      </c>
      <c r="F1597" s="7" t="n">
        <f aca="false">'Raw Data'!K1597</f>
        <v>290.5</v>
      </c>
      <c r="G1597" s="7" t="str">
        <f aca="false">'Raw Data'!L1597</f>
        <v>Yes</v>
      </c>
      <c r="H1597" s="7" t="str">
        <f aca="false">'Raw Data'!M1597</f>
        <v>Low</v>
      </c>
      <c r="I1597" s="7" t="n">
        <f aca="false">(IF(D1597="Current",3,IF(D1597="Former",1,0)))+(IF(E1597="High",3,IF(E1597="Normal",1,0)))+(IF(F1597&gt;=240,2,IF(F1597&gt;=200,1,0)))+(IF(G1597="Yes",2,0))+(IF(H1597="High",2,IF(H1597="Moderate",1,0)))</f>
        <v>8</v>
      </c>
      <c r="J1597" s="7" t="str">
        <f aca="false">IF(I1597&gt;=8,"High",IF(I1597&gt;=4,"Medium","Low"))</f>
        <v>High</v>
      </c>
    </row>
    <row r="1598" customFormat="false" ht="15" hidden="false" customHeight="true" outlineLevel="0" collapsed="false">
      <c r="A1598" s="7" t="n">
        <f aca="false">'Raw Data'!A1598</f>
        <v>881</v>
      </c>
      <c r="B1598" s="7" t="n">
        <f aca="false">'Raw Data'!B1598</f>
        <v>23</v>
      </c>
      <c r="C1598" s="7" t="str">
        <f aca="false">'Raw Data'!C1598</f>
        <v>Male</v>
      </c>
      <c r="D1598" s="7" t="str">
        <f aca="false">'Raw Data'!D1598</f>
        <v>Former</v>
      </c>
      <c r="E1598" s="7" t="str">
        <f aca="false">'Raw Data'!J1598</f>
        <v>High</v>
      </c>
      <c r="F1598" s="7" t="n">
        <f aca="false">'Raw Data'!K1598</f>
        <v>183.2</v>
      </c>
      <c r="G1598" s="7" t="str">
        <f aca="false">'Raw Data'!L1598</f>
        <v>No</v>
      </c>
      <c r="H1598" s="7" t="str">
        <f aca="false">'Raw Data'!M1598</f>
        <v>Low</v>
      </c>
      <c r="I1598" s="7" t="n">
        <f aca="false">(IF(D1598="Current",3,IF(D1598="Former",1,0)))+(IF(E1598="High",3,IF(E1598="Normal",1,0)))+(IF(F1598&gt;=240,2,IF(F1598&gt;=200,1,0)))+(IF(G1598="Yes",2,0))+(IF(H1598="High",2,IF(H1598="Moderate",1,0)))</f>
        <v>4</v>
      </c>
      <c r="J1598" s="7" t="str">
        <f aca="false">IF(I1598&gt;=8,"High",IF(I1598&gt;=4,"Medium","Low"))</f>
        <v>Medium</v>
      </c>
    </row>
    <row r="1599" customFormat="false" ht="15" hidden="false" customHeight="true" outlineLevel="0" collapsed="false">
      <c r="A1599" s="7" t="n">
        <f aca="false">'Raw Data'!A1599</f>
        <v>896</v>
      </c>
      <c r="B1599" s="7" t="n">
        <f aca="false">'Raw Data'!B1599</f>
        <v>55</v>
      </c>
      <c r="C1599" s="7" t="str">
        <f aca="false">'Raw Data'!C1599</f>
        <v>Male</v>
      </c>
      <c r="D1599" s="7" t="str">
        <f aca="false">'Raw Data'!D1599</f>
        <v>Former</v>
      </c>
      <c r="E1599" s="7" t="str">
        <f aca="false">'Raw Data'!J1599</f>
        <v>High</v>
      </c>
      <c r="F1599" s="7" t="n">
        <f aca="false">'Raw Data'!K1599</f>
        <v>184.2</v>
      </c>
      <c r="G1599" s="7" t="str">
        <f aca="false">'Raw Data'!L1599</f>
        <v>Yes</v>
      </c>
      <c r="H1599" s="7" t="str">
        <f aca="false">'Raw Data'!M1599</f>
        <v>Low</v>
      </c>
      <c r="I1599" s="7" t="n">
        <f aca="false">(IF(D1599="Current",3,IF(D1599="Former",1,0)))+(IF(E1599="High",3,IF(E1599="Normal",1,0)))+(IF(F1599&gt;=240,2,IF(F1599&gt;=200,1,0)))+(IF(G1599="Yes",2,0))+(IF(H1599="High",2,IF(H1599="Moderate",1,0)))</f>
        <v>6</v>
      </c>
      <c r="J1599" s="7" t="str">
        <f aca="false">IF(I1599&gt;=8,"High",IF(I1599&gt;=4,"Medium","Low"))</f>
        <v>Medium</v>
      </c>
    </row>
    <row r="1600" customFormat="false" ht="15" hidden="false" customHeight="true" outlineLevel="0" collapsed="false">
      <c r="A1600" s="7" t="n">
        <f aca="false">'Raw Data'!A1600</f>
        <v>951</v>
      </c>
      <c r="B1600" s="7" t="n">
        <f aca="false">'Raw Data'!B1600</f>
        <v>21</v>
      </c>
      <c r="C1600" s="7" t="str">
        <f aca="false">'Raw Data'!C1600</f>
        <v>Female</v>
      </c>
      <c r="D1600" s="7" t="str">
        <f aca="false">'Raw Data'!D1600</f>
        <v>Former</v>
      </c>
      <c r="E1600" s="7" t="str">
        <f aca="false">'Raw Data'!J1600</f>
        <v>High</v>
      </c>
      <c r="F1600" s="7" t="n">
        <f aca="false">'Raw Data'!K1600</f>
        <v>283.7</v>
      </c>
      <c r="G1600" s="7" t="str">
        <f aca="false">'Raw Data'!L1600</f>
        <v>No</v>
      </c>
      <c r="H1600" s="7" t="str">
        <f aca="false">'Raw Data'!M1600</f>
        <v>Low</v>
      </c>
      <c r="I1600" s="7" t="n">
        <f aca="false">(IF(D1600="Current",3,IF(D1600="Former",1,0)))+(IF(E1600="High",3,IF(E1600="Normal",1,0)))+(IF(F1600&gt;=240,2,IF(F1600&gt;=200,1,0)))+(IF(G1600="Yes",2,0))+(IF(H1600="High",2,IF(H1600="Moderate",1,0)))</f>
        <v>6</v>
      </c>
      <c r="J1600" s="7" t="str">
        <f aca="false">IF(I1600&gt;=8,"High",IF(I1600&gt;=4,"Medium","Low"))</f>
        <v>Medium</v>
      </c>
    </row>
    <row r="1601" customFormat="false" ht="15" hidden="false" customHeight="true" outlineLevel="0" collapsed="false">
      <c r="A1601" s="7" t="n">
        <f aca="false">'Raw Data'!A1601</f>
        <v>952</v>
      </c>
      <c r="B1601" s="7" t="n">
        <f aca="false">'Raw Data'!B1601</f>
        <v>77</v>
      </c>
      <c r="C1601" s="7" t="str">
        <f aca="false">'Raw Data'!C1601</f>
        <v>Female</v>
      </c>
      <c r="D1601" s="7" t="str">
        <f aca="false">'Raw Data'!D1601</f>
        <v>Former</v>
      </c>
      <c r="E1601" s="7" t="str">
        <f aca="false">'Raw Data'!J1601</f>
        <v>High</v>
      </c>
      <c r="F1601" s="7" t="n">
        <f aca="false">'Raw Data'!K1601</f>
        <v>170.4</v>
      </c>
      <c r="G1601" s="7" t="str">
        <f aca="false">'Raw Data'!L1601</f>
        <v>Yes</v>
      </c>
      <c r="H1601" s="7" t="str">
        <f aca="false">'Raw Data'!M1601</f>
        <v>Low</v>
      </c>
      <c r="I1601" s="7" t="n">
        <f aca="false">(IF(D1601="Current",3,IF(D1601="Former",1,0)))+(IF(E1601="High",3,IF(E1601="Normal",1,0)))+(IF(F1601&gt;=240,2,IF(F1601&gt;=200,1,0)))+(IF(G1601="Yes",2,0))+(IF(H1601="High",2,IF(H1601="Moderate",1,0)))</f>
        <v>6</v>
      </c>
      <c r="J1601" s="7" t="str">
        <f aca="false">IF(I1601&gt;=8,"High",IF(I1601&gt;=4,"Medium","Low"))</f>
        <v>Medium</v>
      </c>
    </row>
    <row r="1602" customFormat="false" ht="15" hidden="false" customHeight="true" outlineLevel="0" collapsed="false">
      <c r="A1602" s="7" t="n">
        <f aca="false">'Raw Data'!A1602</f>
        <v>996</v>
      </c>
      <c r="B1602" s="7" t="n">
        <f aca="false">'Raw Data'!B1602</f>
        <v>89</v>
      </c>
      <c r="C1602" s="7" t="str">
        <f aca="false">'Raw Data'!C1602</f>
        <v>Male</v>
      </c>
      <c r="D1602" s="7" t="str">
        <f aca="false">'Raw Data'!D1602</f>
        <v>Former</v>
      </c>
      <c r="E1602" s="7" t="str">
        <f aca="false">'Raw Data'!J1602</f>
        <v>High</v>
      </c>
      <c r="F1602" s="7" t="n">
        <f aca="false">'Raw Data'!K1602</f>
        <v>186.1</v>
      </c>
      <c r="G1602" s="7" t="str">
        <f aca="false">'Raw Data'!L1602</f>
        <v>No</v>
      </c>
      <c r="H1602" s="7" t="str">
        <f aca="false">'Raw Data'!M1602</f>
        <v>Low</v>
      </c>
      <c r="I1602" s="7" t="n">
        <f aca="false">(IF(D1602="Current",3,IF(D1602="Former",1,0)))+(IF(E1602="High",3,IF(E1602="Normal",1,0)))+(IF(F1602&gt;=240,2,IF(F1602&gt;=200,1,0)))+(IF(G1602="Yes",2,0))+(IF(H1602="High",2,IF(H1602="Moderate",1,0)))</f>
        <v>4</v>
      </c>
      <c r="J1602" s="7" t="str">
        <f aca="false">IF(I1602&gt;=8,"High",IF(I1602&gt;=4,"Medium","Low"))</f>
        <v>Medium</v>
      </c>
    </row>
    <row r="1603" customFormat="false" ht="15" hidden="false" customHeight="true" outlineLevel="0" collapsed="false">
      <c r="A1603" s="7" t="n">
        <f aca="false">'Raw Data'!A1603</f>
        <v>1000</v>
      </c>
      <c r="B1603" s="7" t="n">
        <f aca="false">'Raw Data'!B1603</f>
        <v>78</v>
      </c>
      <c r="C1603" s="7" t="str">
        <f aca="false">'Raw Data'!C1603</f>
        <v>Male</v>
      </c>
      <c r="D1603" s="7" t="str">
        <f aca="false">'Raw Data'!D1603</f>
        <v>Former</v>
      </c>
      <c r="E1603" s="7" t="str">
        <f aca="false">'Raw Data'!J1603</f>
        <v>High</v>
      </c>
      <c r="F1603" s="7" t="n">
        <f aca="false">'Raw Data'!K1603</f>
        <v>258.6</v>
      </c>
      <c r="G1603" s="7" t="str">
        <f aca="false">'Raw Data'!L1603</f>
        <v>No</v>
      </c>
      <c r="H1603" s="7" t="str">
        <f aca="false">'Raw Data'!M1603</f>
        <v>Low</v>
      </c>
      <c r="I1603" s="7" t="n">
        <f aca="false">(IF(D1603="Current",3,IF(D1603="Former",1,0)))+(IF(E1603="High",3,IF(E1603="Normal",1,0)))+(IF(F1603&gt;=240,2,IF(F1603&gt;=200,1,0)))+(IF(G1603="Yes",2,0))+(IF(H1603="High",2,IF(H1603="Moderate",1,0)))</f>
        <v>6</v>
      </c>
      <c r="J1603" s="7" t="str">
        <f aca="false">IF(I1603&gt;=8,"High",IF(I1603&gt;=4,"Medium","Low"))</f>
        <v>Medium</v>
      </c>
    </row>
    <row r="1604" customFormat="false" ht="15" hidden="false" customHeight="true" outlineLevel="0" collapsed="false">
      <c r="A1604" s="7" t="n">
        <f aca="false">'Raw Data'!A1604</f>
        <v>1050</v>
      </c>
      <c r="B1604" s="7" t="n">
        <f aca="false">'Raw Data'!B1604</f>
        <v>59</v>
      </c>
      <c r="C1604" s="7" t="str">
        <f aca="false">'Raw Data'!C1604</f>
        <v>Male</v>
      </c>
      <c r="D1604" s="7" t="str">
        <f aca="false">'Raw Data'!D1604</f>
        <v>Former</v>
      </c>
      <c r="E1604" s="7" t="str">
        <f aca="false">'Raw Data'!J1604</f>
        <v>High</v>
      </c>
      <c r="F1604" s="7" t="n">
        <f aca="false">'Raw Data'!K1604</f>
        <v>228</v>
      </c>
      <c r="G1604" s="7" t="str">
        <f aca="false">'Raw Data'!L1604</f>
        <v>No</v>
      </c>
      <c r="H1604" s="7" t="str">
        <f aca="false">'Raw Data'!M1604</f>
        <v>Low</v>
      </c>
      <c r="I1604" s="7" t="n">
        <f aca="false">(IF(D1604="Current",3,IF(D1604="Former",1,0)))+(IF(E1604="High",3,IF(E1604="Normal",1,0)))+(IF(F1604&gt;=240,2,IF(F1604&gt;=200,1,0)))+(IF(G1604="Yes",2,0))+(IF(H1604="High",2,IF(H1604="Moderate",1,0)))</f>
        <v>5</v>
      </c>
      <c r="J1604" s="7" t="str">
        <f aca="false">IF(I1604&gt;=8,"High",IF(I1604&gt;=4,"Medium","Low"))</f>
        <v>Medium</v>
      </c>
    </row>
    <row r="1605" customFormat="false" ht="15" hidden="false" customHeight="true" outlineLevel="0" collapsed="false">
      <c r="A1605" s="7" t="n">
        <f aca="false">'Raw Data'!A1605</f>
        <v>1065</v>
      </c>
      <c r="B1605" s="7" t="n">
        <f aca="false">'Raw Data'!B1605</f>
        <v>86</v>
      </c>
      <c r="C1605" s="7" t="str">
        <f aca="false">'Raw Data'!C1605</f>
        <v>Male</v>
      </c>
      <c r="D1605" s="7" t="str">
        <f aca="false">'Raw Data'!D1605</f>
        <v>Former</v>
      </c>
      <c r="E1605" s="7" t="str">
        <f aca="false">'Raw Data'!J1605</f>
        <v>High</v>
      </c>
      <c r="F1605" s="7" t="n">
        <f aca="false">'Raw Data'!K1605</f>
        <v>209.4</v>
      </c>
      <c r="G1605" s="7" t="str">
        <f aca="false">'Raw Data'!L1605</f>
        <v>No</v>
      </c>
      <c r="H1605" s="7" t="str">
        <f aca="false">'Raw Data'!M1605</f>
        <v>Low</v>
      </c>
      <c r="I1605" s="7" t="n">
        <f aca="false">(IF(D1605="Current",3,IF(D1605="Former",1,0)))+(IF(E1605="High",3,IF(E1605="Normal",1,0)))+(IF(F1605&gt;=240,2,IF(F1605&gt;=200,1,0)))+(IF(G1605="Yes",2,0))+(IF(H1605="High",2,IF(H1605="Moderate",1,0)))</f>
        <v>5</v>
      </c>
      <c r="J1605" s="7" t="str">
        <f aca="false">IF(I1605&gt;=8,"High",IF(I1605&gt;=4,"Medium","Low"))</f>
        <v>Medium</v>
      </c>
    </row>
    <row r="1606" customFormat="false" ht="15" hidden="false" customHeight="true" outlineLevel="0" collapsed="false">
      <c r="A1606" s="7" t="n">
        <f aca="false">'Raw Data'!A1606</f>
        <v>1095</v>
      </c>
      <c r="B1606" s="7" t="n">
        <f aca="false">'Raw Data'!B1606</f>
        <v>66</v>
      </c>
      <c r="C1606" s="7" t="str">
        <f aca="false">'Raw Data'!C1606</f>
        <v>Female</v>
      </c>
      <c r="D1606" s="7" t="str">
        <f aca="false">'Raw Data'!D1606</f>
        <v>Former</v>
      </c>
      <c r="E1606" s="7" t="str">
        <f aca="false">'Raw Data'!J1606</f>
        <v>High</v>
      </c>
      <c r="F1606" s="7" t="n">
        <f aca="false">'Raw Data'!K1606</f>
        <v>296.7</v>
      </c>
      <c r="G1606" s="7" t="str">
        <f aca="false">'Raw Data'!L1606</f>
        <v>No</v>
      </c>
      <c r="H1606" s="7" t="str">
        <f aca="false">'Raw Data'!M1606</f>
        <v>Low</v>
      </c>
      <c r="I1606" s="7" t="n">
        <f aca="false">(IF(D1606="Current",3,IF(D1606="Former",1,0)))+(IF(E1606="High",3,IF(E1606="Normal",1,0)))+(IF(F1606&gt;=240,2,IF(F1606&gt;=200,1,0)))+(IF(G1606="Yes",2,0))+(IF(H1606="High",2,IF(H1606="Moderate",1,0)))</f>
        <v>6</v>
      </c>
      <c r="J1606" s="7" t="str">
        <f aca="false">IF(I1606&gt;=8,"High",IF(I1606&gt;=4,"Medium","Low"))</f>
        <v>Medium</v>
      </c>
    </row>
    <row r="1607" customFormat="false" ht="15" hidden="false" customHeight="true" outlineLevel="0" collapsed="false">
      <c r="A1607" s="7" t="n">
        <f aca="false">'Raw Data'!A1607</f>
        <v>1096</v>
      </c>
      <c r="B1607" s="7" t="n">
        <f aca="false">'Raw Data'!B1607</f>
        <v>18</v>
      </c>
      <c r="C1607" s="7" t="str">
        <f aca="false">'Raw Data'!C1607</f>
        <v>Male</v>
      </c>
      <c r="D1607" s="7" t="str">
        <f aca="false">'Raw Data'!D1607</f>
        <v>Former</v>
      </c>
      <c r="E1607" s="7" t="str">
        <f aca="false">'Raw Data'!J1607</f>
        <v>High</v>
      </c>
      <c r="F1607" s="7" t="n">
        <f aca="false">'Raw Data'!K1607</f>
        <v>176.7</v>
      </c>
      <c r="G1607" s="7" t="str">
        <f aca="false">'Raw Data'!L1607</f>
        <v>No</v>
      </c>
      <c r="H1607" s="7" t="str">
        <f aca="false">'Raw Data'!M1607</f>
        <v>Low</v>
      </c>
      <c r="I1607" s="7" t="n">
        <f aca="false">(IF(D1607="Current",3,IF(D1607="Former",1,0)))+(IF(E1607="High",3,IF(E1607="Normal",1,0)))+(IF(F1607&gt;=240,2,IF(F1607&gt;=200,1,0)))+(IF(G1607="Yes",2,0))+(IF(H1607="High",2,IF(H1607="Moderate",1,0)))</f>
        <v>4</v>
      </c>
      <c r="J1607" s="7" t="str">
        <f aca="false">IF(I1607&gt;=8,"High",IF(I1607&gt;=4,"Medium","Low"))</f>
        <v>Medium</v>
      </c>
    </row>
    <row r="1608" customFormat="false" ht="15" hidden="false" customHeight="true" outlineLevel="0" collapsed="false">
      <c r="A1608" s="7" t="n">
        <f aca="false">'Raw Data'!A1608</f>
        <v>1107</v>
      </c>
      <c r="B1608" s="7" t="n">
        <f aca="false">'Raw Data'!B1608</f>
        <v>70</v>
      </c>
      <c r="C1608" s="7" t="str">
        <f aca="false">'Raw Data'!C1608</f>
        <v>Male</v>
      </c>
      <c r="D1608" s="7" t="str">
        <f aca="false">'Raw Data'!D1608</f>
        <v>Former</v>
      </c>
      <c r="E1608" s="7" t="str">
        <f aca="false">'Raw Data'!J1608</f>
        <v>High</v>
      </c>
      <c r="F1608" s="7" t="n">
        <f aca="false">'Raw Data'!K1608</f>
        <v>186.3</v>
      </c>
      <c r="G1608" s="7" t="str">
        <f aca="false">'Raw Data'!L1608</f>
        <v>Yes</v>
      </c>
      <c r="H1608" s="7" t="str">
        <f aca="false">'Raw Data'!M1608</f>
        <v>Low</v>
      </c>
      <c r="I1608" s="7" t="n">
        <f aca="false">(IF(D1608="Current",3,IF(D1608="Former",1,0)))+(IF(E1608="High",3,IF(E1608="Normal",1,0)))+(IF(F1608&gt;=240,2,IF(F1608&gt;=200,1,0)))+(IF(G1608="Yes",2,0))+(IF(H1608="High",2,IF(H1608="Moderate",1,0)))</f>
        <v>6</v>
      </c>
      <c r="J1608" s="7" t="str">
        <f aca="false">IF(I1608&gt;=8,"High",IF(I1608&gt;=4,"Medium","Low"))</f>
        <v>Medium</v>
      </c>
    </row>
    <row r="1609" customFormat="false" ht="15" hidden="false" customHeight="true" outlineLevel="0" collapsed="false">
      <c r="A1609" s="7" t="n">
        <f aca="false">'Raw Data'!A1609</f>
        <v>1140</v>
      </c>
      <c r="B1609" s="7" t="n">
        <f aca="false">'Raw Data'!B1609</f>
        <v>20</v>
      </c>
      <c r="C1609" s="7" t="str">
        <f aca="false">'Raw Data'!C1609</f>
        <v>Male</v>
      </c>
      <c r="D1609" s="7" t="str">
        <f aca="false">'Raw Data'!D1609</f>
        <v>Former</v>
      </c>
      <c r="E1609" s="7" t="str">
        <f aca="false">'Raw Data'!J1609</f>
        <v>High</v>
      </c>
      <c r="F1609" s="7" t="n">
        <f aca="false">'Raw Data'!K1609</f>
        <v>196.4</v>
      </c>
      <c r="G1609" s="7" t="str">
        <f aca="false">'Raw Data'!L1609</f>
        <v>No</v>
      </c>
      <c r="H1609" s="7" t="str">
        <f aca="false">'Raw Data'!M1609</f>
        <v>Low</v>
      </c>
      <c r="I1609" s="7" t="n">
        <f aca="false">(IF(D1609="Current",3,IF(D1609="Former",1,0)))+(IF(E1609="High",3,IF(E1609="Normal",1,0)))+(IF(F1609&gt;=240,2,IF(F1609&gt;=200,1,0)))+(IF(G1609="Yes",2,0))+(IF(H1609="High",2,IF(H1609="Moderate",1,0)))</f>
        <v>4</v>
      </c>
      <c r="J1609" s="7" t="str">
        <f aca="false">IF(I1609&gt;=8,"High",IF(I1609&gt;=4,"Medium","Low"))</f>
        <v>Medium</v>
      </c>
    </row>
    <row r="1610" customFormat="false" ht="15" hidden="false" customHeight="true" outlineLevel="0" collapsed="false">
      <c r="A1610" s="7" t="n">
        <f aca="false">'Raw Data'!A1610</f>
        <v>1142</v>
      </c>
      <c r="B1610" s="7" t="n">
        <f aca="false">'Raw Data'!B1610</f>
        <v>29</v>
      </c>
      <c r="C1610" s="7" t="str">
        <f aca="false">'Raw Data'!C1610</f>
        <v>Male</v>
      </c>
      <c r="D1610" s="7" t="str">
        <f aca="false">'Raw Data'!D1610</f>
        <v>Former</v>
      </c>
      <c r="E1610" s="7" t="str">
        <f aca="false">'Raw Data'!J1610</f>
        <v>High</v>
      </c>
      <c r="F1610" s="7" t="n">
        <f aca="false">'Raw Data'!K1610</f>
        <v>215.4</v>
      </c>
      <c r="G1610" s="7" t="str">
        <f aca="false">'Raw Data'!L1610</f>
        <v>No</v>
      </c>
      <c r="H1610" s="7" t="str">
        <f aca="false">'Raw Data'!M1610</f>
        <v>Low</v>
      </c>
      <c r="I1610" s="7" t="n">
        <f aca="false">(IF(D1610="Current",3,IF(D1610="Former",1,0)))+(IF(E1610="High",3,IF(E1610="Normal",1,0)))+(IF(F1610&gt;=240,2,IF(F1610&gt;=200,1,0)))+(IF(G1610="Yes",2,0))+(IF(H1610="High",2,IF(H1610="Moderate",1,0)))</f>
        <v>5</v>
      </c>
      <c r="J1610" s="7" t="str">
        <f aca="false">IF(I1610&gt;=8,"High",IF(I1610&gt;=4,"Medium","Low"))</f>
        <v>Medium</v>
      </c>
    </row>
    <row r="1611" customFormat="false" ht="15" hidden="false" customHeight="true" outlineLevel="0" collapsed="false">
      <c r="A1611" s="7" t="n">
        <f aca="false">'Raw Data'!A1611</f>
        <v>1147</v>
      </c>
      <c r="B1611" s="7" t="n">
        <f aca="false">'Raw Data'!B1611</f>
        <v>72</v>
      </c>
      <c r="C1611" s="7" t="str">
        <f aca="false">'Raw Data'!C1611</f>
        <v>Female</v>
      </c>
      <c r="D1611" s="7" t="str">
        <f aca="false">'Raw Data'!D1611</f>
        <v>Former</v>
      </c>
      <c r="E1611" s="7" t="str">
        <f aca="false">'Raw Data'!J1611</f>
        <v>High</v>
      </c>
      <c r="F1611" s="7" t="n">
        <f aca="false">'Raw Data'!K1611</f>
        <v>198</v>
      </c>
      <c r="G1611" s="7" t="str">
        <f aca="false">'Raw Data'!L1611</f>
        <v>No</v>
      </c>
      <c r="H1611" s="7" t="str">
        <f aca="false">'Raw Data'!M1611</f>
        <v>Low</v>
      </c>
      <c r="I1611" s="7" t="n">
        <f aca="false">(IF(D1611="Current",3,IF(D1611="Former",1,0)))+(IF(E1611="High",3,IF(E1611="Normal",1,0)))+(IF(F1611&gt;=240,2,IF(F1611&gt;=200,1,0)))+(IF(G1611="Yes",2,0))+(IF(H1611="High",2,IF(H1611="Moderate",1,0)))</f>
        <v>4</v>
      </c>
      <c r="J1611" s="7" t="str">
        <f aca="false">IF(I1611&gt;=8,"High",IF(I1611&gt;=4,"Medium","Low"))</f>
        <v>Medium</v>
      </c>
    </row>
    <row r="1612" customFormat="false" ht="15" hidden="false" customHeight="true" outlineLevel="0" collapsed="false">
      <c r="A1612" s="7" t="n">
        <f aca="false">'Raw Data'!A1612</f>
        <v>1156</v>
      </c>
      <c r="B1612" s="7" t="n">
        <f aca="false">'Raw Data'!B1612</f>
        <v>89</v>
      </c>
      <c r="C1612" s="7" t="str">
        <f aca="false">'Raw Data'!C1612</f>
        <v>Female</v>
      </c>
      <c r="D1612" s="7" t="str">
        <f aca="false">'Raw Data'!D1612</f>
        <v>Former</v>
      </c>
      <c r="E1612" s="7" t="str">
        <f aca="false">'Raw Data'!J1612</f>
        <v>High</v>
      </c>
      <c r="F1612" s="7" t="n">
        <f aca="false">'Raw Data'!K1612</f>
        <v>197.8</v>
      </c>
      <c r="G1612" s="7" t="str">
        <f aca="false">'Raw Data'!L1612</f>
        <v>No</v>
      </c>
      <c r="H1612" s="7" t="str">
        <f aca="false">'Raw Data'!M1612</f>
        <v>Low</v>
      </c>
      <c r="I1612" s="7" t="n">
        <f aca="false">(IF(D1612="Current",3,IF(D1612="Former",1,0)))+(IF(E1612="High",3,IF(E1612="Normal",1,0)))+(IF(F1612&gt;=240,2,IF(F1612&gt;=200,1,0)))+(IF(G1612="Yes",2,0))+(IF(H1612="High",2,IF(H1612="Moderate",1,0)))</f>
        <v>4</v>
      </c>
      <c r="J1612" s="7" t="str">
        <f aca="false">IF(I1612&gt;=8,"High",IF(I1612&gt;=4,"Medium","Low"))</f>
        <v>Medium</v>
      </c>
    </row>
    <row r="1613" customFormat="false" ht="15" hidden="false" customHeight="true" outlineLevel="0" collapsed="false">
      <c r="A1613" s="7" t="n">
        <f aca="false">'Raw Data'!A1613</f>
        <v>1200</v>
      </c>
      <c r="B1613" s="7" t="n">
        <f aca="false">'Raw Data'!B1613</f>
        <v>86</v>
      </c>
      <c r="C1613" s="7" t="str">
        <f aca="false">'Raw Data'!C1613</f>
        <v>Male</v>
      </c>
      <c r="D1613" s="7" t="str">
        <f aca="false">'Raw Data'!D1613</f>
        <v>Former</v>
      </c>
      <c r="E1613" s="7" t="str">
        <f aca="false">'Raw Data'!J1613</f>
        <v>High</v>
      </c>
      <c r="F1613" s="7" t="n">
        <f aca="false">'Raw Data'!K1613</f>
        <v>160.5</v>
      </c>
      <c r="G1613" s="7" t="str">
        <f aca="false">'Raw Data'!L1613</f>
        <v>No</v>
      </c>
      <c r="H1613" s="7" t="str">
        <f aca="false">'Raw Data'!M1613</f>
        <v>Low</v>
      </c>
      <c r="I1613" s="7" t="n">
        <f aca="false">(IF(D1613="Current",3,IF(D1613="Former",1,0)))+(IF(E1613="High",3,IF(E1613="Normal",1,0)))+(IF(F1613&gt;=240,2,IF(F1613&gt;=200,1,0)))+(IF(G1613="Yes",2,0))+(IF(H1613="High",2,IF(H1613="Moderate",1,0)))</f>
        <v>4</v>
      </c>
      <c r="J1613" s="7" t="str">
        <f aca="false">IF(I1613&gt;=8,"High",IF(I1613&gt;=4,"Medium","Low"))</f>
        <v>Medium</v>
      </c>
    </row>
    <row r="1614" customFormat="false" ht="15" hidden="false" customHeight="true" outlineLevel="0" collapsed="false">
      <c r="A1614" s="7" t="n">
        <f aca="false">'Raw Data'!A1614</f>
        <v>1209</v>
      </c>
      <c r="B1614" s="7" t="n">
        <f aca="false">'Raw Data'!B1614</f>
        <v>52</v>
      </c>
      <c r="C1614" s="7" t="str">
        <f aca="false">'Raw Data'!C1614</f>
        <v>Female</v>
      </c>
      <c r="D1614" s="7" t="str">
        <f aca="false">'Raw Data'!D1614</f>
        <v>Former</v>
      </c>
      <c r="E1614" s="7" t="str">
        <f aca="false">'Raw Data'!J1614</f>
        <v>High</v>
      </c>
      <c r="F1614" s="7" t="n">
        <f aca="false">'Raw Data'!K1614</f>
        <v>253.7</v>
      </c>
      <c r="G1614" s="7" t="str">
        <f aca="false">'Raw Data'!L1614</f>
        <v>No</v>
      </c>
      <c r="H1614" s="7" t="str">
        <f aca="false">'Raw Data'!M1614</f>
        <v>Low</v>
      </c>
      <c r="I1614" s="7" t="n">
        <f aca="false">(IF(D1614="Current",3,IF(D1614="Former",1,0)))+(IF(E1614="High",3,IF(E1614="Normal",1,0)))+(IF(F1614&gt;=240,2,IF(F1614&gt;=200,1,0)))+(IF(G1614="Yes",2,0))+(IF(H1614="High",2,IF(H1614="Moderate",1,0)))</f>
        <v>6</v>
      </c>
      <c r="J1614" s="7" t="str">
        <f aca="false">IF(I1614&gt;=8,"High",IF(I1614&gt;=4,"Medium","Low"))</f>
        <v>Medium</v>
      </c>
    </row>
    <row r="1615" customFormat="false" ht="15" hidden="false" customHeight="true" outlineLevel="0" collapsed="false">
      <c r="A1615" s="7" t="n">
        <f aca="false">'Raw Data'!A1615</f>
        <v>1253</v>
      </c>
      <c r="B1615" s="7" t="n">
        <f aca="false">'Raw Data'!B1615</f>
        <v>78</v>
      </c>
      <c r="C1615" s="7" t="str">
        <f aca="false">'Raw Data'!C1615</f>
        <v>Male</v>
      </c>
      <c r="D1615" s="7" t="str">
        <f aca="false">'Raw Data'!D1615</f>
        <v>Former</v>
      </c>
      <c r="E1615" s="7" t="str">
        <f aca="false">'Raw Data'!J1615</f>
        <v>High</v>
      </c>
      <c r="F1615" s="7" t="n">
        <f aca="false">'Raw Data'!K1615</f>
        <v>269.1</v>
      </c>
      <c r="G1615" s="7" t="str">
        <f aca="false">'Raw Data'!L1615</f>
        <v>No</v>
      </c>
      <c r="H1615" s="7" t="str">
        <f aca="false">'Raw Data'!M1615</f>
        <v>Low</v>
      </c>
      <c r="I1615" s="7" t="n">
        <f aca="false">(IF(D1615="Current",3,IF(D1615="Former",1,0)))+(IF(E1615="High",3,IF(E1615="Normal",1,0)))+(IF(F1615&gt;=240,2,IF(F1615&gt;=200,1,0)))+(IF(G1615="Yes",2,0))+(IF(H1615="High",2,IF(H1615="Moderate",1,0)))</f>
        <v>6</v>
      </c>
      <c r="J1615" s="7" t="str">
        <f aca="false">IF(I1615&gt;=8,"High",IF(I1615&gt;=4,"Medium","Low"))</f>
        <v>Medium</v>
      </c>
    </row>
    <row r="1616" customFormat="false" ht="15" hidden="false" customHeight="true" outlineLevel="0" collapsed="false">
      <c r="A1616" s="7" t="n">
        <f aca="false">'Raw Data'!A1616</f>
        <v>1272</v>
      </c>
      <c r="B1616" s="7" t="n">
        <f aca="false">'Raw Data'!B1616</f>
        <v>68</v>
      </c>
      <c r="C1616" s="7" t="str">
        <f aca="false">'Raw Data'!C1616</f>
        <v>Male</v>
      </c>
      <c r="D1616" s="7" t="str">
        <f aca="false">'Raw Data'!D1616</f>
        <v>Former</v>
      </c>
      <c r="E1616" s="7" t="str">
        <f aca="false">'Raw Data'!J1616</f>
        <v>High</v>
      </c>
      <c r="F1616" s="7" t="n">
        <f aca="false">'Raw Data'!K1616</f>
        <v>230.3</v>
      </c>
      <c r="G1616" s="7" t="str">
        <f aca="false">'Raw Data'!L1616</f>
        <v>Yes</v>
      </c>
      <c r="H1616" s="7" t="str">
        <f aca="false">'Raw Data'!M1616</f>
        <v>Low</v>
      </c>
      <c r="I1616" s="7" t="n">
        <f aca="false">(IF(D1616="Current",3,IF(D1616="Former",1,0)))+(IF(E1616="High",3,IF(E1616="Normal",1,0)))+(IF(F1616&gt;=240,2,IF(F1616&gt;=200,1,0)))+(IF(G1616="Yes",2,0))+(IF(H1616="High",2,IF(H1616="Moderate",1,0)))</f>
        <v>7</v>
      </c>
      <c r="J1616" s="7" t="str">
        <f aca="false">IF(I1616&gt;=8,"High",IF(I1616&gt;=4,"Medium","Low"))</f>
        <v>Medium</v>
      </c>
    </row>
    <row r="1617" customFormat="false" ht="15" hidden="false" customHeight="true" outlineLevel="0" collapsed="false">
      <c r="A1617" s="7" t="n">
        <f aca="false">'Raw Data'!A1617</f>
        <v>1274</v>
      </c>
      <c r="B1617" s="7" t="n">
        <f aca="false">'Raw Data'!B1617</f>
        <v>36</v>
      </c>
      <c r="C1617" s="7" t="str">
        <f aca="false">'Raw Data'!C1617</f>
        <v>Female</v>
      </c>
      <c r="D1617" s="7" t="str">
        <f aca="false">'Raw Data'!D1617</f>
        <v>Former</v>
      </c>
      <c r="E1617" s="7" t="str">
        <f aca="false">'Raw Data'!J1617</f>
        <v>High</v>
      </c>
      <c r="F1617" s="7" t="n">
        <f aca="false">'Raw Data'!K1617</f>
        <v>135</v>
      </c>
      <c r="G1617" s="7" t="str">
        <f aca="false">'Raw Data'!L1617</f>
        <v>Yes</v>
      </c>
      <c r="H1617" s="7" t="str">
        <f aca="false">'Raw Data'!M1617</f>
        <v>Low</v>
      </c>
      <c r="I1617" s="7" t="n">
        <f aca="false">(IF(D1617="Current",3,IF(D1617="Former",1,0)))+(IF(E1617="High",3,IF(E1617="Normal",1,0)))+(IF(F1617&gt;=240,2,IF(F1617&gt;=200,1,0)))+(IF(G1617="Yes",2,0))+(IF(H1617="High",2,IF(H1617="Moderate",1,0)))</f>
        <v>6</v>
      </c>
      <c r="J1617" s="7" t="str">
        <f aca="false">IF(I1617&gt;=8,"High",IF(I1617&gt;=4,"Medium","Low"))</f>
        <v>Medium</v>
      </c>
    </row>
    <row r="1618" customFormat="false" ht="15" hidden="false" customHeight="true" outlineLevel="0" collapsed="false">
      <c r="A1618" s="7" t="n">
        <f aca="false">'Raw Data'!A1618</f>
        <v>1294</v>
      </c>
      <c r="B1618" s="7" t="n">
        <f aca="false">'Raw Data'!B1618</f>
        <v>61</v>
      </c>
      <c r="C1618" s="7" t="str">
        <f aca="false">'Raw Data'!C1618</f>
        <v>Female</v>
      </c>
      <c r="D1618" s="7" t="str">
        <f aca="false">'Raw Data'!D1618</f>
        <v>Former</v>
      </c>
      <c r="E1618" s="7" t="str">
        <f aca="false">'Raw Data'!J1618</f>
        <v>High</v>
      </c>
      <c r="F1618" s="7" t="n">
        <f aca="false">'Raw Data'!K1618</f>
        <v>242.7</v>
      </c>
      <c r="G1618" s="7" t="str">
        <f aca="false">'Raw Data'!L1618</f>
        <v>Yes</v>
      </c>
      <c r="H1618" s="7" t="str">
        <f aca="false">'Raw Data'!M1618</f>
        <v>Low</v>
      </c>
      <c r="I1618" s="7" t="n">
        <f aca="false">(IF(D1618="Current",3,IF(D1618="Former",1,0)))+(IF(E1618="High",3,IF(E1618="Normal",1,0)))+(IF(F1618&gt;=240,2,IF(F1618&gt;=200,1,0)))+(IF(G1618="Yes",2,0))+(IF(H1618="High",2,IF(H1618="Moderate",1,0)))</f>
        <v>8</v>
      </c>
      <c r="J1618" s="7" t="str">
        <f aca="false">IF(I1618&gt;=8,"High",IF(I1618&gt;=4,"Medium","Low"))</f>
        <v>High</v>
      </c>
    </row>
    <row r="1619" customFormat="false" ht="15" hidden="false" customHeight="true" outlineLevel="0" collapsed="false">
      <c r="A1619" s="7" t="n">
        <f aca="false">'Raw Data'!A1619</f>
        <v>1331</v>
      </c>
      <c r="B1619" s="7" t="n">
        <f aca="false">'Raw Data'!B1619</f>
        <v>64</v>
      </c>
      <c r="C1619" s="7" t="str">
        <f aca="false">'Raw Data'!C1619</f>
        <v>Female</v>
      </c>
      <c r="D1619" s="7" t="str">
        <f aca="false">'Raw Data'!D1619</f>
        <v>Former</v>
      </c>
      <c r="E1619" s="7" t="str">
        <f aca="false">'Raw Data'!J1619</f>
        <v>High</v>
      </c>
      <c r="F1619" s="7" t="n">
        <f aca="false">'Raw Data'!K1619</f>
        <v>212.3</v>
      </c>
      <c r="G1619" s="7" t="str">
        <f aca="false">'Raw Data'!L1619</f>
        <v>No</v>
      </c>
      <c r="H1619" s="7" t="str">
        <f aca="false">'Raw Data'!M1619</f>
        <v>Low</v>
      </c>
      <c r="I1619" s="7" t="n">
        <f aca="false">(IF(D1619="Current",3,IF(D1619="Former",1,0)))+(IF(E1619="High",3,IF(E1619="Normal",1,0)))+(IF(F1619&gt;=240,2,IF(F1619&gt;=200,1,0)))+(IF(G1619="Yes",2,0))+(IF(H1619="High",2,IF(H1619="Moderate",1,0)))</f>
        <v>5</v>
      </c>
      <c r="J1619" s="7" t="str">
        <f aca="false">IF(I1619&gt;=8,"High",IF(I1619&gt;=4,"Medium","Low"))</f>
        <v>Medium</v>
      </c>
    </row>
    <row r="1620" customFormat="false" ht="15" hidden="false" customHeight="true" outlineLevel="0" collapsed="false">
      <c r="A1620" s="7" t="n">
        <f aca="false">'Raw Data'!A1620</f>
        <v>1338</v>
      </c>
      <c r="B1620" s="7" t="n">
        <f aca="false">'Raw Data'!B1620</f>
        <v>35</v>
      </c>
      <c r="C1620" s="7" t="str">
        <f aca="false">'Raw Data'!C1620</f>
        <v>Male</v>
      </c>
      <c r="D1620" s="7" t="str">
        <f aca="false">'Raw Data'!D1620</f>
        <v>Former</v>
      </c>
      <c r="E1620" s="7" t="str">
        <f aca="false">'Raw Data'!J1620</f>
        <v>High</v>
      </c>
      <c r="F1620" s="7" t="n">
        <f aca="false">'Raw Data'!K1620</f>
        <v>234.2</v>
      </c>
      <c r="G1620" s="7" t="str">
        <f aca="false">'Raw Data'!L1620</f>
        <v>No</v>
      </c>
      <c r="H1620" s="7" t="str">
        <f aca="false">'Raw Data'!M1620</f>
        <v>Low</v>
      </c>
      <c r="I1620" s="7" t="n">
        <f aca="false">(IF(D1620="Current",3,IF(D1620="Former",1,0)))+(IF(E1620="High",3,IF(E1620="Normal",1,0)))+(IF(F1620&gt;=240,2,IF(F1620&gt;=200,1,0)))+(IF(G1620="Yes",2,0))+(IF(H1620="High",2,IF(H1620="Moderate",1,0)))</f>
        <v>5</v>
      </c>
      <c r="J1620" s="7" t="str">
        <f aca="false">IF(I1620&gt;=8,"High",IF(I1620&gt;=4,"Medium","Low"))</f>
        <v>Medium</v>
      </c>
    </row>
    <row r="1621" customFormat="false" ht="15" hidden="false" customHeight="true" outlineLevel="0" collapsed="false">
      <c r="A1621" s="7" t="n">
        <f aca="false">'Raw Data'!A1621</f>
        <v>1350</v>
      </c>
      <c r="B1621" s="7" t="n">
        <f aca="false">'Raw Data'!B1621</f>
        <v>80</v>
      </c>
      <c r="C1621" s="7" t="str">
        <f aca="false">'Raw Data'!C1621</f>
        <v>Female</v>
      </c>
      <c r="D1621" s="7" t="str">
        <f aca="false">'Raw Data'!D1621</f>
        <v>Former</v>
      </c>
      <c r="E1621" s="7" t="str">
        <f aca="false">'Raw Data'!J1621</f>
        <v>High</v>
      </c>
      <c r="F1621" s="7" t="n">
        <f aca="false">'Raw Data'!K1621</f>
        <v>150.1</v>
      </c>
      <c r="G1621" s="7" t="str">
        <f aca="false">'Raw Data'!L1621</f>
        <v>Yes</v>
      </c>
      <c r="H1621" s="7" t="str">
        <f aca="false">'Raw Data'!M1621</f>
        <v>Low</v>
      </c>
      <c r="I1621" s="7" t="n">
        <f aca="false">(IF(D1621="Current",3,IF(D1621="Former",1,0)))+(IF(E1621="High",3,IF(E1621="Normal",1,0)))+(IF(F1621&gt;=240,2,IF(F1621&gt;=200,1,0)))+(IF(G1621="Yes",2,0))+(IF(H1621="High",2,IF(H1621="Moderate",1,0)))</f>
        <v>6</v>
      </c>
      <c r="J1621" s="7" t="str">
        <f aca="false">IF(I1621&gt;=8,"High",IF(I1621&gt;=4,"Medium","Low"))</f>
        <v>Medium</v>
      </c>
    </row>
    <row r="1622" customFormat="false" ht="15" hidden="false" customHeight="true" outlineLevel="0" collapsed="false">
      <c r="A1622" s="7" t="n">
        <f aca="false">'Raw Data'!A1622</f>
        <v>1495</v>
      </c>
      <c r="B1622" s="7" t="n">
        <f aca="false">'Raw Data'!B1622</f>
        <v>83</v>
      </c>
      <c r="C1622" s="7" t="str">
        <f aca="false">'Raw Data'!C1622</f>
        <v>Female</v>
      </c>
      <c r="D1622" s="7" t="str">
        <f aca="false">'Raw Data'!D1622</f>
        <v>Former</v>
      </c>
      <c r="E1622" s="7" t="str">
        <f aca="false">'Raw Data'!J1622</f>
        <v>High</v>
      </c>
      <c r="F1622" s="7" t="n">
        <f aca="false">'Raw Data'!K1622</f>
        <v>243.8</v>
      </c>
      <c r="G1622" s="7" t="str">
        <f aca="false">'Raw Data'!L1622</f>
        <v>No</v>
      </c>
      <c r="H1622" s="7" t="str">
        <f aca="false">'Raw Data'!M1622</f>
        <v>Low</v>
      </c>
      <c r="I1622" s="7" t="n">
        <f aca="false">(IF(D1622="Current",3,IF(D1622="Former",1,0)))+(IF(E1622="High",3,IF(E1622="Normal",1,0)))+(IF(F1622&gt;=240,2,IF(F1622&gt;=200,1,0)))+(IF(G1622="Yes",2,0))+(IF(H1622="High",2,IF(H1622="Moderate",1,0)))</f>
        <v>6</v>
      </c>
      <c r="J1622" s="7" t="str">
        <f aca="false">IF(I1622&gt;=8,"High",IF(I1622&gt;=4,"Medium","Low"))</f>
        <v>Medium</v>
      </c>
    </row>
    <row r="1623" customFormat="false" ht="15" hidden="false" customHeight="true" outlineLevel="0" collapsed="false">
      <c r="A1623" s="7" t="n">
        <f aca="false">'Raw Data'!A1623</f>
        <v>1589</v>
      </c>
      <c r="B1623" s="7" t="n">
        <f aca="false">'Raw Data'!B1623</f>
        <v>33</v>
      </c>
      <c r="C1623" s="7" t="str">
        <f aca="false">'Raw Data'!C1623</f>
        <v>Female</v>
      </c>
      <c r="D1623" s="7" t="str">
        <f aca="false">'Raw Data'!D1623</f>
        <v>Former</v>
      </c>
      <c r="E1623" s="7" t="str">
        <f aca="false">'Raw Data'!J1623</f>
        <v>High</v>
      </c>
      <c r="F1623" s="7" t="n">
        <f aca="false">'Raw Data'!K1623</f>
        <v>263.5</v>
      </c>
      <c r="G1623" s="7" t="str">
        <f aca="false">'Raw Data'!L1623</f>
        <v>No</v>
      </c>
      <c r="H1623" s="7" t="str">
        <f aca="false">'Raw Data'!M1623</f>
        <v>Low</v>
      </c>
      <c r="I1623" s="7" t="n">
        <f aca="false">(IF(D1623="Current",3,IF(D1623="Former",1,0)))+(IF(E1623="High",3,IF(E1623="Normal",1,0)))+(IF(F1623&gt;=240,2,IF(F1623&gt;=200,1,0)))+(IF(G1623="Yes",2,0))+(IF(H1623="High",2,IF(H1623="Moderate",1,0)))</f>
        <v>6</v>
      </c>
      <c r="J1623" s="7" t="str">
        <f aca="false">IF(I1623&gt;=8,"High",IF(I1623&gt;=4,"Medium","Low"))</f>
        <v>Medium</v>
      </c>
    </row>
    <row r="1624" customFormat="false" ht="15" hidden="false" customHeight="true" outlineLevel="0" collapsed="false">
      <c r="A1624" s="7" t="n">
        <f aca="false">'Raw Data'!A1624</f>
        <v>1601</v>
      </c>
      <c r="B1624" s="7" t="n">
        <f aca="false">'Raw Data'!B1624</f>
        <v>59</v>
      </c>
      <c r="C1624" s="7" t="str">
        <f aca="false">'Raw Data'!C1624</f>
        <v>Female</v>
      </c>
      <c r="D1624" s="7" t="str">
        <f aca="false">'Raw Data'!D1624</f>
        <v>Former</v>
      </c>
      <c r="E1624" s="7" t="str">
        <f aca="false">'Raw Data'!J1624</f>
        <v>High</v>
      </c>
      <c r="F1624" s="7" t="n">
        <f aca="false">'Raw Data'!K1624</f>
        <v>293.7</v>
      </c>
      <c r="G1624" s="7" t="str">
        <f aca="false">'Raw Data'!L1624</f>
        <v>No</v>
      </c>
      <c r="H1624" s="7" t="str">
        <f aca="false">'Raw Data'!M1624</f>
        <v>Low</v>
      </c>
      <c r="I1624" s="7" t="n">
        <f aca="false">(IF(D1624="Current",3,IF(D1624="Former",1,0)))+(IF(E1624="High",3,IF(E1624="Normal",1,0)))+(IF(F1624&gt;=240,2,IF(F1624&gt;=200,1,0)))+(IF(G1624="Yes",2,0))+(IF(H1624="High",2,IF(H1624="Moderate",1,0)))</f>
        <v>6</v>
      </c>
      <c r="J1624" s="7" t="str">
        <f aca="false">IF(I1624&gt;=8,"High",IF(I1624&gt;=4,"Medium","Low"))</f>
        <v>Medium</v>
      </c>
    </row>
    <row r="1625" customFormat="false" ht="15" hidden="false" customHeight="true" outlineLevel="0" collapsed="false">
      <c r="A1625" s="7" t="n">
        <f aca="false">'Raw Data'!A1625</f>
        <v>1649</v>
      </c>
      <c r="B1625" s="7" t="n">
        <f aca="false">'Raw Data'!B1625</f>
        <v>28</v>
      </c>
      <c r="C1625" s="7" t="str">
        <f aca="false">'Raw Data'!C1625</f>
        <v>Female</v>
      </c>
      <c r="D1625" s="7" t="str">
        <f aca="false">'Raw Data'!D1625</f>
        <v>Former</v>
      </c>
      <c r="E1625" s="7" t="str">
        <f aca="false">'Raw Data'!J1625</f>
        <v>High</v>
      </c>
      <c r="F1625" s="7" t="n">
        <f aca="false">'Raw Data'!K1625</f>
        <v>254.9</v>
      </c>
      <c r="G1625" s="7" t="str">
        <f aca="false">'Raw Data'!L1625</f>
        <v>No</v>
      </c>
      <c r="H1625" s="7" t="str">
        <f aca="false">'Raw Data'!M1625</f>
        <v>Low</v>
      </c>
      <c r="I1625" s="7" t="n">
        <f aca="false">(IF(D1625="Current",3,IF(D1625="Former",1,0)))+(IF(E1625="High",3,IF(E1625="Normal",1,0)))+(IF(F1625&gt;=240,2,IF(F1625&gt;=200,1,0)))+(IF(G1625="Yes",2,0))+(IF(H1625="High",2,IF(H1625="Moderate",1,0)))</f>
        <v>6</v>
      </c>
      <c r="J1625" s="7" t="str">
        <f aca="false">IF(I1625&gt;=8,"High",IF(I1625&gt;=4,"Medium","Low"))</f>
        <v>Medium</v>
      </c>
    </row>
    <row r="1626" customFormat="false" ht="15" hidden="false" customHeight="true" outlineLevel="0" collapsed="false">
      <c r="A1626" s="7" t="n">
        <f aca="false">'Raw Data'!A1626</f>
        <v>1692</v>
      </c>
      <c r="B1626" s="7" t="n">
        <f aca="false">'Raw Data'!B1626</f>
        <v>37</v>
      </c>
      <c r="C1626" s="7" t="str">
        <f aca="false">'Raw Data'!C1626</f>
        <v>Male</v>
      </c>
      <c r="D1626" s="7" t="str">
        <f aca="false">'Raw Data'!D1626</f>
        <v>Former</v>
      </c>
      <c r="E1626" s="7" t="str">
        <f aca="false">'Raw Data'!J1626</f>
        <v>High</v>
      </c>
      <c r="F1626" s="7" t="n">
        <f aca="false">'Raw Data'!K1626</f>
        <v>171.4</v>
      </c>
      <c r="G1626" s="7" t="str">
        <f aca="false">'Raw Data'!L1626</f>
        <v>Yes</v>
      </c>
      <c r="H1626" s="7" t="str">
        <f aca="false">'Raw Data'!M1626</f>
        <v>Low</v>
      </c>
      <c r="I1626" s="7" t="n">
        <f aca="false">(IF(D1626="Current",3,IF(D1626="Former",1,0)))+(IF(E1626="High",3,IF(E1626="Normal",1,0)))+(IF(F1626&gt;=240,2,IF(F1626&gt;=200,1,0)))+(IF(G1626="Yes",2,0))+(IF(H1626="High",2,IF(H1626="Moderate",1,0)))</f>
        <v>6</v>
      </c>
      <c r="J1626" s="7" t="str">
        <f aca="false">IF(I1626&gt;=8,"High",IF(I1626&gt;=4,"Medium","Low"))</f>
        <v>Medium</v>
      </c>
    </row>
    <row r="1627" customFormat="false" ht="15" hidden="false" customHeight="true" outlineLevel="0" collapsed="false">
      <c r="A1627" s="7" t="n">
        <f aca="false">'Raw Data'!A1627</f>
        <v>1699</v>
      </c>
      <c r="B1627" s="7" t="n">
        <f aca="false">'Raw Data'!B1627</f>
        <v>68</v>
      </c>
      <c r="C1627" s="7" t="str">
        <f aca="false">'Raw Data'!C1627</f>
        <v>Male</v>
      </c>
      <c r="D1627" s="7" t="str">
        <f aca="false">'Raw Data'!D1627</f>
        <v>Former</v>
      </c>
      <c r="E1627" s="7" t="str">
        <f aca="false">'Raw Data'!J1627</f>
        <v>High</v>
      </c>
      <c r="F1627" s="7" t="n">
        <f aca="false">'Raw Data'!K1627</f>
        <v>149.8</v>
      </c>
      <c r="G1627" s="7" t="str">
        <f aca="false">'Raw Data'!L1627</f>
        <v>No</v>
      </c>
      <c r="H1627" s="7" t="str">
        <f aca="false">'Raw Data'!M1627</f>
        <v>Low</v>
      </c>
      <c r="I1627" s="7" t="n">
        <f aca="false">(IF(D1627="Current",3,IF(D1627="Former",1,0)))+(IF(E1627="High",3,IF(E1627="Normal",1,0)))+(IF(F1627&gt;=240,2,IF(F1627&gt;=200,1,0)))+(IF(G1627="Yes",2,0))+(IF(H1627="High",2,IF(H1627="Moderate",1,0)))</f>
        <v>4</v>
      </c>
      <c r="J1627" s="7" t="str">
        <f aca="false">IF(I1627&gt;=8,"High",IF(I1627&gt;=4,"Medium","Low"))</f>
        <v>Medium</v>
      </c>
    </row>
    <row r="1628" customFormat="false" ht="15" hidden="false" customHeight="true" outlineLevel="0" collapsed="false">
      <c r="A1628" s="7" t="n">
        <f aca="false">'Raw Data'!A1628</f>
        <v>1711</v>
      </c>
      <c r="B1628" s="7" t="n">
        <f aca="false">'Raw Data'!B1628</f>
        <v>20</v>
      </c>
      <c r="C1628" s="7" t="str">
        <f aca="false">'Raw Data'!C1628</f>
        <v>Male</v>
      </c>
      <c r="D1628" s="7" t="str">
        <f aca="false">'Raw Data'!D1628</f>
        <v>Former</v>
      </c>
      <c r="E1628" s="7" t="str">
        <f aca="false">'Raw Data'!J1628</f>
        <v>High</v>
      </c>
      <c r="F1628" s="7" t="n">
        <f aca="false">'Raw Data'!K1628</f>
        <v>288.1</v>
      </c>
      <c r="G1628" s="7" t="str">
        <f aca="false">'Raw Data'!L1628</f>
        <v>No</v>
      </c>
      <c r="H1628" s="7" t="str">
        <f aca="false">'Raw Data'!M1628</f>
        <v>Low</v>
      </c>
      <c r="I1628" s="7" t="n">
        <f aca="false">(IF(D1628="Current",3,IF(D1628="Former",1,0)))+(IF(E1628="High",3,IF(E1628="Normal",1,0)))+(IF(F1628&gt;=240,2,IF(F1628&gt;=200,1,0)))+(IF(G1628="Yes",2,0))+(IF(H1628="High",2,IF(H1628="Moderate",1,0)))</f>
        <v>6</v>
      </c>
      <c r="J1628" s="7" t="str">
        <f aca="false">IF(I1628&gt;=8,"High",IF(I1628&gt;=4,"Medium","Low"))</f>
        <v>Medium</v>
      </c>
    </row>
    <row r="1629" customFormat="false" ht="15" hidden="false" customHeight="true" outlineLevel="0" collapsed="false">
      <c r="A1629" s="7" t="n">
        <f aca="false">'Raw Data'!A1629</f>
        <v>1723</v>
      </c>
      <c r="B1629" s="7" t="n">
        <f aca="false">'Raw Data'!B1629</f>
        <v>54</v>
      </c>
      <c r="C1629" s="7" t="str">
        <f aca="false">'Raw Data'!C1629</f>
        <v>Male</v>
      </c>
      <c r="D1629" s="7" t="str">
        <f aca="false">'Raw Data'!D1629</f>
        <v>Former</v>
      </c>
      <c r="E1629" s="7" t="str">
        <f aca="false">'Raw Data'!J1629</f>
        <v>High</v>
      </c>
      <c r="F1629" s="7" t="n">
        <f aca="false">'Raw Data'!K1629</f>
        <v>145.9</v>
      </c>
      <c r="G1629" s="7" t="str">
        <f aca="false">'Raw Data'!L1629</f>
        <v>No</v>
      </c>
      <c r="H1629" s="7" t="str">
        <f aca="false">'Raw Data'!M1629</f>
        <v>Low</v>
      </c>
      <c r="I1629" s="7" t="n">
        <f aca="false">(IF(D1629="Current",3,IF(D1629="Former",1,0)))+(IF(E1629="High",3,IF(E1629="Normal",1,0)))+(IF(F1629&gt;=240,2,IF(F1629&gt;=200,1,0)))+(IF(G1629="Yes",2,0))+(IF(H1629="High",2,IF(H1629="Moderate",1,0)))</f>
        <v>4</v>
      </c>
      <c r="J1629" s="7" t="str">
        <f aca="false">IF(I1629&gt;=8,"High",IF(I1629&gt;=4,"Medium","Low"))</f>
        <v>Medium</v>
      </c>
    </row>
    <row r="1630" customFormat="false" ht="15" hidden="false" customHeight="true" outlineLevel="0" collapsed="false">
      <c r="A1630" s="7" t="n">
        <f aca="false">'Raw Data'!A1630</f>
        <v>1787</v>
      </c>
      <c r="B1630" s="7" t="n">
        <f aca="false">'Raw Data'!B1630</f>
        <v>74</v>
      </c>
      <c r="C1630" s="7" t="str">
        <f aca="false">'Raw Data'!C1630</f>
        <v>Female</v>
      </c>
      <c r="D1630" s="7" t="str">
        <f aca="false">'Raw Data'!D1630</f>
        <v>Former</v>
      </c>
      <c r="E1630" s="7" t="str">
        <f aca="false">'Raw Data'!J1630</f>
        <v>High</v>
      </c>
      <c r="F1630" s="7" t="n">
        <f aca="false">'Raw Data'!K1630</f>
        <v>121.7</v>
      </c>
      <c r="G1630" s="7" t="str">
        <f aca="false">'Raw Data'!L1630</f>
        <v>No</v>
      </c>
      <c r="H1630" s="7" t="str">
        <f aca="false">'Raw Data'!M1630</f>
        <v>Low</v>
      </c>
      <c r="I1630" s="7" t="n">
        <f aca="false">(IF(D1630="Current",3,IF(D1630="Former",1,0)))+(IF(E1630="High",3,IF(E1630="Normal",1,0)))+(IF(F1630&gt;=240,2,IF(F1630&gt;=200,1,0)))+(IF(G1630="Yes",2,0))+(IF(H1630="High",2,IF(H1630="Moderate",1,0)))</f>
        <v>4</v>
      </c>
      <c r="J1630" s="7" t="str">
        <f aca="false">IF(I1630&gt;=8,"High",IF(I1630&gt;=4,"Medium","Low"))</f>
        <v>Medium</v>
      </c>
    </row>
    <row r="1631" customFormat="false" ht="15" hidden="false" customHeight="true" outlineLevel="0" collapsed="false">
      <c r="A1631" s="7" t="n">
        <f aca="false">'Raw Data'!A1631</f>
        <v>1826</v>
      </c>
      <c r="B1631" s="7" t="n">
        <f aca="false">'Raw Data'!B1631</f>
        <v>38</v>
      </c>
      <c r="C1631" s="7" t="str">
        <f aca="false">'Raw Data'!C1631</f>
        <v>Female</v>
      </c>
      <c r="D1631" s="7" t="str">
        <f aca="false">'Raw Data'!D1631</f>
        <v>Former</v>
      </c>
      <c r="E1631" s="7" t="str">
        <f aca="false">'Raw Data'!J1631</f>
        <v>High</v>
      </c>
      <c r="F1631" s="7" t="n">
        <f aca="false">'Raw Data'!K1631</f>
        <v>261.2</v>
      </c>
      <c r="G1631" s="7" t="str">
        <f aca="false">'Raw Data'!L1631</f>
        <v>Yes</v>
      </c>
      <c r="H1631" s="7" t="str">
        <f aca="false">'Raw Data'!M1631</f>
        <v>Low</v>
      </c>
      <c r="I1631" s="7" t="n">
        <f aca="false">(IF(D1631="Current",3,IF(D1631="Former",1,0)))+(IF(E1631="High",3,IF(E1631="Normal",1,0)))+(IF(F1631&gt;=240,2,IF(F1631&gt;=200,1,0)))+(IF(G1631="Yes",2,0))+(IF(H1631="High",2,IF(H1631="Moderate",1,0)))</f>
        <v>8</v>
      </c>
      <c r="J1631" s="7" t="str">
        <f aca="false">IF(I1631&gt;=8,"High",IF(I1631&gt;=4,"Medium","Low"))</f>
        <v>High</v>
      </c>
    </row>
    <row r="1632" customFormat="false" ht="15" hidden="false" customHeight="true" outlineLevel="0" collapsed="false">
      <c r="A1632" s="7" t="n">
        <f aca="false">'Raw Data'!A1632</f>
        <v>1838</v>
      </c>
      <c r="B1632" s="7" t="n">
        <f aca="false">'Raw Data'!B1632</f>
        <v>26</v>
      </c>
      <c r="C1632" s="7" t="str">
        <f aca="false">'Raw Data'!C1632</f>
        <v>Male</v>
      </c>
      <c r="D1632" s="7" t="str">
        <f aca="false">'Raw Data'!D1632</f>
        <v>Former</v>
      </c>
      <c r="E1632" s="7" t="str">
        <f aca="false">'Raw Data'!J1632</f>
        <v>High</v>
      </c>
      <c r="F1632" s="7" t="n">
        <f aca="false">'Raw Data'!K1632</f>
        <v>241.1</v>
      </c>
      <c r="G1632" s="7" t="str">
        <f aca="false">'Raw Data'!L1632</f>
        <v>No</v>
      </c>
      <c r="H1632" s="7" t="str">
        <f aca="false">'Raw Data'!M1632</f>
        <v>Low</v>
      </c>
      <c r="I1632" s="7" t="n">
        <f aca="false">(IF(D1632="Current",3,IF(D1632="Former",1,0)))+(IF(E1632="High",3,IF(E1632="Normal",1,0)))+(IF(F1632&gt;=240,2,IF(F1632&gt;=200,1,0)))+(IF(G1632="Yes",2,0))+(IF(H1632="High",2,IF(H1632="Moderate",1,0)))</f>
        <v>6</v>
      </c>
      <c r="J1632" s="7" t="str">
        <f aca="false">IF(I1632&gt;=8,"High",IF(I1632&gt;=4,"Medium","Low"))</f>
        <v>Medium</v>
      </c>
    </row>
    <row r="1633" customFormat="false" ht="15" hidden="false" customHeight="true" outlineLevel="0" collapsed="false">
      <c r="A1633" s="7" t="n">
        <f aca="false">'Raw Data'!A1633</f>
        <v>1887</v>
      </c>
      <c r="B1633" s="7" t="n">
        <f aca="false">'Raw Data'!B1633</f>
        <v>56</v>
      </c>
      <c r="C1633" s="7" t="str">
        <f aca="false">'Raw Data'!C1633</f>
        <v>Male</v>
      </c>
      <c r="D1633" s="7" t="str">
        <f aca="false">'Raw Data'!D1633</f>
        <v>Former</v>
      </c>
      <c r="E1633" s="7" t="str">
        <f aca="false">'Raw Data'!J1633</f>
        <v>High</v>
      </c>
      <c r="F1633" s="7" t="n">
        <f aca="false">'Raw Data'!K1633</f>
        <v>148.9</v>
      </c>
      <c r="G1633" s="7" t="str">
        <f aca="false">'Raw Data'!L1633</f>
        <v>No</v>
      </c>
      <c r="H1633" s="7" t="str">
        <f aca="false">'Raw Data'!M1633</f>
        <v>Low</v>
      </c>
      <c r="I1633" s="7" t="n">
        <f aca="false">(IF(D1633="Current",3,IF(D1633="Former",1,0)))+(IF(E1633="High",3,IF(E1633="Normal",1,0)))+(IF(F1633&gt;=240,2,IF(F1633&gt;=200,1,0)))+(IF(G1633="Yes",2,0))+(IF(H1633="High",2,IF(H1633="Moderate",1,0)))</f>
        <v>4</v>
      </c>
      <c r="J1633" s="7" t="str">
        <f aca="false">IF(I1633&gt;=8,"High",IF(I1633&gt;=4,"Medium","Low"))</f>
        <v>Medium</v>
      </c>
    </row>
    <row r="1634" customFormat="false" ht="15" hidden="false" customHeight="true" outlineLevel="0" collapsed="false">
      <c r="A1634" s="7" t="n">
        <f aca="false">'Raw Data'!A1634</f>
        <v>1905</v>
      </c>
      <c r="B1634" s="7" t="n">
        <f aca="false">'Raw Data'!B1634</f>
        <v>57</v>
      </c>
      <c r="C1634" s="7" t="str">
        <f aca="false">'Raw Data'!C1634</f>
        <v>Male</v>
      </c>
      <c r="D1634" s="7" t="str">
        <f aca="false">'Raw Data'!D1634</f>
        <v>Former</v>
      </c>
      <c r="E1634" s="7" t="str">
        <f aca="false">'Raw Data'!J1634</f>
        <v>High</v>
      </c>
      <c r="F1634" s="7" t="n">
        <f aca="false">'Raw Data'!K1634</f>
        <v>124.6</v>
      </c>
      <c r="G1634" s="7" t="str">
        <f aca="false">'Raw Data'!L1634</f>
        <v>No</v>
      </c>
      <c r="H1634" s="7" t="str">
        <f aca="false">'Raw Data'!M1634</f>
        <v>Low</v>
      </c>
      <c r="I1634" s="7" t="n">
        <f aca="false">(IF(D1634="Current",3,IF(D1634="Former",1,0)))+(IF(E1634="High",3,IF(E1634="Normal",1,0)))+(IF(F1634&gt;=240,2,IF(F1634&gt;=200,1,0)))+(IF(G1634="Yes",2,0))+(IF(H1634="High",2,IF(H1634="Moderate",1,0)))</f>
        <v>4</v>
      </c>
      <c r="J1634" s="7" t="str">
        <f aca="false">IF(I1634&gt;=8,"High",IF(I1634&gt;=4,"Medium","Low"))</f>
        <v>Medium</v>
      </c>
    </row>
    <row r="1635" customFormat="false" ht="15" hidden="false" customHeight="true" outlineLevel="0" collapsed="false">
      <c r="A1635" s="7" t="n">
        <f aca="false">'Raw Data'!A1635</f>
        <v>1909</v>
      </c>
      <c r="B1635" s="7" t="n">
        <f aca="false">'Raw Data'!B1635</f>
        <v>76</v>
      </c>
      <c r="C1635" s="7" t="str">
        <f aca="false">'Raw Data'!C1635</f>
        <v>Female</v>
      </c>
      <c r="D1635" s="7" t="str">
        <f aca="false">'Raw Data'!D1635</f>
        <v>Former</v>
      </c>
      <c r="E1635" s="7" t="str">
        <f aca="false">'Raw Data'!J1635</f>
        <v>High</v>
      </c>
      <c r="F1635" s="7" t="n">
        <f aca="false">'Raw Data'!K1635</f>
        <v>211.2</v>
      </c>
      <c r="G1635" s="7" t="str">
        <f aca="false">'Raw Data'!L1635</f>
        <v>No</v>
      </c>
      <c r="H1635" s="7" t="str">
        <f aca="false">'Raw Data'!M1635</f>
        <v>Low</v>
      </c>
      <c r="I1635" s="7" t="n">
        <f aca="false">(IF(D1635="Current",3,IF(D1635="Former",1,0)))+(IF(E1635="High",3,IF(E1635="Normal",1,0)))+(IF(F1635&gt;=240,2,IF(F1635&gt;=200,1,0)))+(IF(G1635="Yes",2,0))+(IF(H1635="High",2,IF(H1635="Moderate",1,0)))</f>
        <v>5</v>
      </c>
      <c r="J1635" s="7" t="str">
        <f aca="false">IF(I1635&gt;=8,"High",IF(I1635&gt;=4,"Medium","Low"))</f>
        <v>Medium</v>
      </c>
    </row>
    <row r="1636" customFormat="false" ht="15" hidden="false" customHeight="true" outlineLevel="0" collapsed="false">
      <c r="A1636" s="7" t="n">
        <f aca="false">'Raw Data'!A1636</f>
        <v>1944</v>
      </c>
      <c r="B1636" s="7" t="n">
        <f aca="false">'Raw Data'!B1636</f>
        <v>50</v>
      </c>
      <c r="C1636" s="7" t="str">
        <f aca="false">'Raw Data'!C1636</f>
        <v>Male</v>
      </c>
      <c r="D1636" s="7" t="str">
        <f aca="false">'Raw Data'!D1636</f>
        <v>Former</v>
      </c>
      <c r="E1636" s="7" t="str">
        <f aca="false">'Raw Data'!J1636</f>
        <v>High</v>
      </c>
      <c r="F1636" s="7" t="n">
        <f aca="false">'Raw Data'!K1636</f>
        <v>150.7</v>
      </c>
      <c r="G1636" s="7" t="str">
        <f aca="false">'Raw Data'!L1636</f>
        <v>Yes</v>
      </c>
      <c r="H1636" s="7" t="str">
        <f aca="false">'Raw Data'!M1636</f>
        <v>Low</v>
      </c>
      <c r="I1636" s="7" t="n">
        <f aca="false">(IF(D1636="Current",3,IF(D1636="Former",1,0)))+(IF(E1636="High",3,IF(E1636="Normal",1,0)))+(IF(F1636&gt;=240,2,IF(F1636&gt;=200,1,0)))+(IF(G1636="Yes",2,0))+(IF(H1636="High",2,IF(H1636="Moderate",1,0)))</f>
        <v>6</v>
      </c>
      <c r="J1636" s="7" t="str">
        <f aca="false">IF(I1636&gt;=8,"High",IF(I1636&gt;=4,"Medium","Low"))</f>
        <v>Medium</v>
      </c>
    </row>
    <row r="1637" customFormat="false" ht="15" hidden="false" customHeight="true" outlineLevel="0" collapsed="false">
      <c r="A1637" s="7" t="n">
        <f aca="false">'Raw Data'!A1637</f>
        <v>1946</v>
      </c>
      <c r="B1637" s="7" t="n">
        <f aca="false">'Raw Data'!B1637</f>
        <v>54</v>
      </c>
      <c r="C1637" s="7" t="str">
        <f aca="false">'Raw Data'!C1637</f>
        <v>Male</v>
      </c>
      <c r="D1637" s="7" t="str">
        <f aca="false">'Raw Data'!D1637</f>
        <v>Former</v>
      </c>
      <c r="E1637" s="7" t="str">
        <f aca="false">'Raw Data'!J1637</f>
        <v>High</v>
      </c>
      <c r="F1637" s="7" t="n">
        <f aca="false">'Raw Data'!K1637</f>
        <v>130.8</v>
      </c>
      <c r="G1637" s="7" t="str">
        <f aca="false">'Raw Data'!L1637</f>
        <v>No</v>
      </c>
      <c r="H1637" s="7" t="str">
        <f aca="false">'Raw Data'!M1637</f>
        <v>Low</v>
      </c>
      <c r="I1637" s="7" t="n">
        <f aca="false">(IF(D1637="Current",3,IF(D1637="Former",1,0)))+(IF(E1637="High",3,IF(E1637="Normal",1,0)))+(IF(F1637&gt;=240,2,IF(F1637&gt;=200,1,0)))+(IF(G1637="Yes",2,0))+(IF(H1637="High",2,IF(H1637="Moderate",1,0)))</f>
        <v>4</v>
      </c>
      <c r="J1637" s="7" t="str">
        <f aca="false">IF(I1637&gt;=8,"High",IF(I1637&gt;=4,"Medium","Low"))</f>
        <v>Medium</v>
      </c>
    </row>
    <row r="1638" customFormat="false" ht="15" hidden="false" customHeight="true" outlineLevel="0" collapsed="false">
      <c r="A1638" s="7" t="n">
        <f aca="false">'Raw Data'!A1638</f>
        <v>1949</v>
      </c>
      <c r="B1638" s="7" t="n">
        <f aca="false">'Raw Data'!B1638</f>
        <v>69</v>
      </c>
      <c r="C1638" s="7" t="str">
        <f aca="false">'Raw Data'!C1638</f>
        <v>Female</v>
      </c>
      <c r="D1638" s="7" t="str">
        <f aca="false">'Raw Data'!D1638</f>
        <v>Former</v>
      </c>
      <c r="E1638" s="7" t="str">
        <f aca="false">'Raw Data'!J1638</f>
        <v>High</v>
      </c>
      <c r="F1638" s="7" t="n">
        <f aca="false">'Raw Data'!K1638</f>
        <v>152.2</v>
      </c>
      <c r="G1638" s="7" t="str">
        <f aca="false">'Raw Data'!L1638</f>
        <v>No</v>
      </c>
      <c r="H1638" s="7" t="str">
        <f aca="false">'Raw Data'!M1638</f>
        <v>Low</v>
      </c>
      <c r="I1638" s="7" t="n">
        <f aca="false">(IF(D1638="Current",3,IF(D1638="Former",1,0)))+(IF(E1638="High",3,IF(E1638="Normal",1,0)))+(IF(F1638&gt;=240,2,IF(F1638&gt;=200,1,0)))+(IF(G1638="Yes",2,0))+(IF(H1638="High",2,IF(H1638="Moderate",1,0)))</f>
        <v>4</v>
      </c>
      <c r="J1638" s="7" t="str">
        <f aca="false">IF(I1638&gt;=8,"High",IF(I1638&gt;=4,"Medium","Low"))</f>
        <v>Medium</v>
      </c>
    </row>
    <row r="1639" customFormat="false" ht="15" hidden="false" customHeight="true" outlineLevel="0" collapsed="false">
      <c r="A1639" s="7" t="n">
        <f aca="false">'Raw Data'!A1639</f>
        <v>2107</v>
      </c>
      <c r="B1639" s="7" t="n">
        <f aca="false">'Raw Data'!B1639</f>
        <v>34</v>
      </c>
      <c r="C1639" s="7" t="str">
        <f aca="false">'Raw Data'!C1639</f>
        <v>Male</v>
      </c>
      <c r="D1639" s="7" t="str">
        <f aca="false">'Raw Data'!D1639</f>
        <v>Former</v>
      </c>
      <c r="E1639" s="7" t="str">
        <f aca="false">'Raw Data'!J1639</f>
        <v>High</v>
      </c>
      <c r="F1639" s="7" t="n">
        <f aca="false">'Raw Data'!K1639</f>
        <v>175</v>
      </c>
      <c r="G1639" s="7" t="str">
        <f aca="false">'Raw Data'!L1639</f>
        <v>No</v>
      </c>
      <c r="H1639" s="7" t="str">
        <f aca="false">'Raw Data'!M1639</f>
        <v>Low</v>
      </c>
      <c r="I1639" s="7" t="n">
        <f aca="false">(IF(D1639="Current",3,IF(D1639="Former",1,0)))+(IF(E1639="High",3,IF(E1639="Normal",1,0)))+(IF(F1639&gt;=240,2,IF(F1639&gt;=200,1,0)))+(IF(G1639="Yes",2,0))+(IF(H1639="High",2,IF(H1639="Moderate",1,0)))</f>
        <v>4</v>
      </c>
      <c r="J1639" s="7" t="str">
        <f aca="false">IF(I1639&gt;=8,"High",IF(I1639&gt;=4,"Medium","Low"))</f>
        <v>Medium</v>
      </c>
    </row>
    <row r="1640" customFormat="false" ht="15" hidden="false" customHeight="true" outlineLevel="0" collapsed="false">
      <c r="A1640" s="7" t="n">
        <f aca="false">'Raw Data'!A1640</f>
        <v>2126</v>
      </c>
      <c r="B1640" s="7" t="n">
        <f aca="false">'Raw Data'!B1640</f>
        <v>74</v>
      </c>
      <c r="C1640" s="7" t="str">
        <f aca="false">'Raw Data'!C1640</f>
        <v>Male</v>
      </c>
      <c r="D1640" s="7" t="str">
        <f aca="false">'Raw Data'!D1640</f>
        <v>Former</v>
      </c>
      <c r="E1640" s="7" t="str">
        <f aca="false">'Raw Data'!J1640</f>
        <v>High</v>
      </c>
      <c r="F1640" s="7" t="n">
        <f aca="false">'Raw Data'!K1640</f>
        <v>216.7</v>
      </c>
      <c r="G1640" s="7" t="str">
        <f aca="false">'Raw Data'!L1640</f>
        <v>No</v>
      </c>
      <c r="H1640" s="7" t="str">
        <f aca="false">'Raw Data'!M1640</f>
        <v>Low</v>
      </c>
      <c r="I1640" s="7" t="n">
        <f aca="false">(IF(D1640="Current",3,IF(D1640="Former",1,0)))+(IF(E1640="High",3,IF(E1640="Normal",1,0)))+(IF(F1640&gt;=240,2,IF(F1640&gt;=200,1,0)))+(IF(G1640="Yes",2,0))+(IF(H1640="High",2,IF(H1640="Moderate",1,0)))</f>
        <v>5</v>
      </c>
      <c r="J1640" s="7" t="str">
        <f aca="false">IF(I1640&gt;=8,"High",IF(I1640&gt;=4,"Medium","Low"))</f>
        <v>Medium</v>
      </c>
    </row>
    <row r="1641" customFormat="false" ht="15" hidden="false" customHeight="true" outlineLevel="0" collapsed="false">
      <c r="A1641" s="7" t="n">
        <f aca="false">'Raw Data'!A1641</f>
        <v>2129</v>
      </c>
      <c r="B1641" s="7" t="n">
        <f aca="false">'Raw Data'!B1641</f>
        <v>36</v>
      </c>
      <c r="C1641" s="7" t="str">
        <f aca="false">'Raw Data'!C1641</f>
        <v>Male</v>
      </c>
      <c r="D1641" s="7" t="str">
        <f aca="false">'Raw Data'!D1641</f>
        <v>Former</v>
      </c>
      <c r="E1641" s="7" t="str">
        <f aca="false">'Raw Data'!J1641</f>
        <v>High</v>
      </c>
      <c r="F1641" s="7" t="n">
        <f aca="false">'Raw Data'!K1641</f>
        <v>267.5</v>
      </c>
      <c r="G1641" s="7" t="str">
        <f aca="false">'Raw Data'!L1641</f>
        <v>No</v>
      </c>
      <c r="H1641" s="7" t="str">
        <f aca="false">'Raw Data'!M1641</f>
        <v>Low</v>
      </c>
      <c r="I1641" s="7" t="n">
        <f aca="false">(IF(D1641="Current",3,IF(D1641="Former",1,0)))+(IF(E1641="High",3,IF(E1641="Normal",1,0)))+(IF(F1641&gt;=240,2,IF(F1641&gt;=200,1,0)))+(IF(G1641="Yes",2,0))+(IF(H1641="High",2,IF(H1641="Moderate",1,0)))</f>
        <v>6</v>
      </c>
      <c r="J1641" s="7" t="str">
        <f aca="false">IF(I1641&gt;=8,"High",IF(I1641&gt;=4,"Medium","Low"))</f>
        <v>Medium</v>
      </c>
    </row>
    <row r="1642" customFormat="false" ht="15" hidden="false" customHeight="true" outlineLevel="0" collapsed="false">
      <c r="A1642" s="7" t="n">
        <f aca="false">'Raw Data'!A1642</f>
        <v>2140</v>
      </c>
      <c r="B1642" s="7" t="n">
        <f aca="false">'Raw Data'!B1642</f>
        <v>31</v>
      </c>
      <c r="C1642" s="7" t="str">
        <f aca="false">'Raw Data'!C1642</f>
        <v>Male</v>
      </c>
      <c r="D1642" s="7" t="str">
        <f aca="false">'Raw Data'!D1642</f>
        <v>Former</v>
      </c>
      <c r="E1642" s="7" t="str">
        <f aca="false">'Raw Data'!J1642</f>
        <v>High</v>
      </c>
      <c r="F1642" s="7" t="n">
        <f aca="false">'Raw Data'!K1642</f>
        <v>256.7</v>
      </c>
      <c r="G1642" s="7" t="str">
        <f aca="false">'Raw Data'!L1642</f>
        <v>No</v>
      </c>
      <c r="H1642" s="7" t="str">
        <f aca="false">'Raw Data'!M1642</f>
        <v>Low</v>
      </c>
      <c r="I1642" s="7" t="n">
        <f aca="false">(IF(D1642="Current",3,IF(D1642="Former",1,0)))+(IF(E1642="High",3,IF(E1642="Normal",1,0)))+(IF(F1642&gt;=240,2,IF(F1642&gt;=200,1,0)))+(IF(G1642="Yes",2,0))+(IF(H1642="High",2,IF(H1642="Moderate",1,0)))</f>
        <v>6</v>
      </c>
      <c r="J1642" s="7" t="str">
        <f aca="false">IF(I1642&gt;=8,"High",IF(I1642&gt;=4,"Medium","Low"))</f>
        <v>Medium</v>
      </c>
    </row>
    <row r="1643" customFormat="false" ht="15" hidden="false" customHeight="true" outlineLevel="0" collapsed="false">
      <c r="A1643" s="7" t="n">
        <f aca="false">'Raw Data'!A1643</f>
        <v>2205</v>
      </c>
      <c r="B1643" s="7" t="n">
        <f aca="false">'Raw Data'!B1643</f>
        <v>57</v>
      </c>
      <c r="C1643" s="7" t="str">
        <f aca="false">'Raw Data'!C1643</f>
        <v>Female</v>
      </c>
      <c r="D1643" s="7" t="str">
        <f aca="false">'Raw Data'!D1643</f>
        <v>Former</v>
      </c>
      <c r="E1643" s="7" t="str">
        <f aca="false">'Raw Data'!J1643</f>
        <v>High</v>
      </c>
      <c r="F1643" s="7" t="n">
        <f aca="false">'Raw Data'!K1643</f>
        <v>273.8</v>
      </c>
      <c r="G1643" s="7" t="str">
        <f aca="false">'Raw Data'!L1643</f>
        <v>No</v>
      </c>
      <c r="H1643" s="7" t="str">
        <f aca="false">'Raw Data'!M1643</f>
        <v>Low</v>
      </c>
      <c r="I1643" s="7" t="n">
        <f aca="false">(IF(D1643="Current",3,IF(D1643="Former",1,0)))+(IF(E1643="High",3,IF(E1643="Normal",1,0)))+(IF(F1643&gt;=240,2,IF(F1643&gt;=200,1,0)))+(IF(G1643="Yes",2,0))+(IF(H1643="High",2,IF(H1643="Moderate",1,0)))</f>
        <v>6</v>
      </c>
      <c r="J1643" s="7" t="str">
        <f aca="false">IF(I1643&gt;=8,"High",IF(I1643&gt;=4,"Medium","Low"))</f>
        <v>Medium</v>
      </c>
    </row>
    <row r="1644" customFormat="false" ht="15" hidden="false" customHeight="true" outlineLevel="0" collapsed="false">
      <c r="A1644" s="7" t="n">
        <f aca="false">'Raw Data'!A1644</f>
        <v>2275</v>
      </c>
      <c r="B1644" s="7" t="n">
        <f aca="false">'Raw Data'!B1644</f>
        <v>49</v>
      </c>
      <c r="C1644" s="7" t="str">
        <f aca="false">'Raw Data'!C1644</f>
        <v>Male</v>
      </c>
      <c r="D1644" s="7" t="str">
        <f aca="false">'Raw Data'!D1644</f>
        <v>Former</v>
      </c>
      <c r="E1644" s="7" t="str">
        <f aca="false">'Raw Data'!J1644</f>
        <v>High</v>
      </c>
      <c r="F1644" s="7" t="n">
        <f aca="false">'Raw Data'!K1644</f>
        <v>290.2</v>
      </c>
      <c r="G1644" s="7" t="str">
        <f aca="false">'Raw Data'!L1644</f>
        <v>No</v>
      </c>
      <c r="H1644" s="7" t="str">
        <f aca="false">'Raw Data'!M1644</f>
        <v>Low</v>
      </c>
      <c r="I1644" s="7" t="n">
        <f aca="false">(IF(D1644="Current",3,IF(D1644="Former",1,0)))+(IF(E1644="High",3,IF(E1644="Normal",1,0)))+(IF(F1644&gt;=240,2,IF(F1644&gt;=200,1,0)))+(IF(G1644="Yes",2,0))+(IF(H1644="High",2,IF(H1644="Moderate",1,0)))</f>
        <v>6</v>
      </c>
      <c r="J1644" s="7" t="str">
        <f aca="false">IF(I1644&gt;=8,"High",IF(I1644&gt;=4,"Medium","Low"))</f>
        <v>Medium</v>
      </c>
    </row>
    <row r="1645" customFormat="false" ht="15" hidden="false" customHeight="true" outlineLevel="0" collapsed="false">
      <c r="A1645" s="7" t="n">
        <f aca="false">'Raw Data'!A1645</f>
        <v>2303</v>
      </c>
      <c r="B1645" s="7" t="n">
        <f aca="false">'Raw Data'!B1645</f>
        <v>70</v>
      </c>
      <c r="C1645" s="7" t="str">
        <f aca="false">'Raw Data'!C1645</f>
        <v>Male</v>
      </c>
      <c r="D1645" s="7" t="str">
        <f aca="false">'Raw Data'!D1645</f>
        <v>Former</v>
      </c>
      <c r="E1645" s="7" t="str">
        <f aca="false">'Raw Data'!J1645</f>
        <v>High</v>
      </c>
      <c r="F1645" s="7" t="n">
        <f aca="false">'Raw Data'!K1645</f>
        <v>261.8</v>
      </c>
      <c r="G1645" s="7" t="str">
        <f aca="false">'Raw Data'!L1645</f>
        <v>No</v>
      </c>
      <c r="H1645" s="7" t="str">
        <f aca="false">'Raw Data'!M1645</f>
        <v>Low</v>
      </c>
      <c r="I1645" s="7" t="n">
        <f aca="false">(IF(D1645="Current",3,IF(D1645="Former",1,0)))+(IF(E1645="High",3,IF(E1645="Normal",1,0)))+(IF(F1645&gt;=240,2,IF(F1645&gt;=200,1,0)))+(IF(G1645="Yes",2,0))+(IF(H1645="High",2,IF(H1645="Moderate",1,0)))</f>
        <v>6</v>
      </c>
      <c r="J1645" s="7" t="str">
        <f aca="false">IF(I1645&gt;=8,"High",IF(I1645&gt;=4,"Medium","Low"))</f>
        <v>Medium</v>
      </c>
    </row>
    <row r="1646" customFormat="false" ht="15" hidden="false" customHeight="true" outlineLevel="0" collapsed="false">
      <c r="A1646" s="7" t="n">
        <f aca="false">'Raw Data'!A1646</f>
        <v>2354</v>
      </c>
      <c r="B1646" s="7" t="n">
        <f aca="false">'Raw Data'!B1646</f>
        <v>77</v>
      </c>
      <c r="C1646" s="7" t="str">
        <f aca="false">'Raw Data'!C1646</f>
        <v>Female</v>
      </c>
      <c r="D1646" s="7" t="str">
        <f aca="false">'Raw Data'!D1646</f>
        <v>Former</v>
      </c>
      <c r="E1646" s="7" t="str">
        <f aca="false">'Raw Data'!J1646</f>
        <v>High</v>
      </c>
      <c r="F1646" s="7" t="n">
        <f aca="false">'Raw Data'!K1646</f>
        <v>174.4</v>
      </c>
      <c r="G1646" s="7" t="str">
        <f aca="false">'Raw Data'!L1646</f>
        <v>No</v>
      </c>
      <c r="H1646" s="7" t="str">
        <f aca="false">'Raw Data'!M1646</f>
        <v>Low</v>
      </c>
      <c r="I1646" s="7" t="n">
        <f aca="false">(IF(D1646="Current",3,IF(D1646="Former",1,0)))+(IF(E1646="High",3,IF(E1646="Normal",1,0)))+(IF(F1646&gt;=240,2,IF(F1646&gt;=200,1,0)))+(IF(G1646="Yes",2,0))+(IF(H1646="High",2,IF(H1646="Moderate",1,0)))</f>
        <v>4</v>
      </c>
      <c r="J1646" s="7" t="str">
        <f aca="false">IF(I1646&gt;=8,"High",IF(I1646&gt;=4,"Medium","Low"))</f>
        <v>Medium</v>
      </c>
    </row>
    <row r="1647" customFormat="false" ht="15" hidden="false" customHeight="true" outlineLevel="0" collapsed="false">
      <c r="A1647" s="7" t="n">
        <f aca="false">'Raw Data'!A1647</f>
        <v>2369</v>
      </c>
      <c r="B1647" s="7" t="n">
        <f aca="false">'Raw Data'!B1647</f>
        <v>87</v>
      </c>
      <c r="C1647" s="7" t="str">
        <f aca="false">'Raw Data'!C1647</f>
        <v>Female</v>
      </c>
      <c r="D1647" s="7" t="str">
        <f aca="false">'Raw Data'!D1647</f>
        <v>Former</v>
      </c>
      <c r="E1647" s="7" t="str">
        <f aca="false">'Raw Data'!J1647</f>
        <v>High</v>
      </c>
      <c r="F1647" s="7" t="n">
        <f aca="false">'Raw Data'!K1647</f>
        <v>199.5</v>
      </c>
      <c r="G1647" s="7" t="str">
        <f aca="false">'Raw Data'!L1647</f>
        <v>Yes</v>
      </c>
      <c r="H1647" s="7" t="str">
        <f aca="false">'Raw Data'!M1647</f>
        <v>Low</v>
      </c>
      <c r="I1647" s="7" t="n">
        <f aca="false">(IF(D1647="Current",3,IF(D1647="Former",1,0)))+(IF(E1647="High",3,IF(E1647="Normal",1,0)))+(IF(F1647&gt;=240,2,IF(F1647&gt;=200,1,0)))+(IF(G1647="Yes",2,0))+(IF(H1647="High",2,IF(H1647="Moderate",1,0)))</f>
        <v>6</v>
      </c>
      <c r="J1647" s="7" t="str">
        <f aca="false">IF(I1647&gt;=8,"High",IF(I1647&gt;=4,"Medium","Low"))</f>
        <v>Medium</v>
      </c>
    </row>
    <row r="1648" customFormat="false" ht="15" hidden="false" customHeight="true" outlineLevel="0" collapsed="false">
      <c r="A1648" s="7" t="n">
        <f aca="false">'Raw Data'!A1648</f>
        <v>2396</v>
      </c>
      <c r="B1648" s="7" t="n">
        <f aca="false">'Raw Data'!B1648</f>
        <v>30</v>
      </c>
      <c r="C1648" s="7" t="str">
        <f aca="false">'Raw Data'!C1648</f>
        <v>Male</v>
      </c>
      <c r="D1648" s="7" t="str">
        <f aca="false">'Raw Data'!D1648</f>
        <v>Former</v>
      </c>
      <c r="E1648" s="7" t="str">
        <f aca="false">'Raw Data'!J1648</f>
        <v>High</v>
      </c>
      <c r="F1648" s="7" t="n">
        <f aca="false">'Raw Data'!K1648</f>
        <v>228.9</v>
      </c>
      <c r="G1648" s="7" t="str">
        <f aca="false">'Raw Data'!L1648</f>
        <v>No</v>
      </c>
      <c r="H1648" s="7" t="str">
        <f aca="false">'Raw Data'!M1648</f>
        <v>Low</v>
      </c>
      <c r="I1648" s="7" t="n">
        <f aca="false">(IF(D1648="Current",3,IF(D1648="Former",1,0)))+(IF(E1648="High",3,IF(E1648="Normal",1,0)))+(IF(F1648&gt;=240,2,IF(F1648&gt;=200,1,0)))+(IF(G1648="Yes",2,0))+(IF(H1648="High",2,IF(H1648="Moderate",1,0)))</f>
        <v>5</v>
      </c>
      <c r="J1648" s="7" t="str">
        <f aca="false">IF(I1648&gt;=8,"High",IF(I1648&gt;=4,"Medium","Low"))</f>
        <v>Medium</v>
      </c>
    </row>
    <row r="1649" customFormat="false" ht="15" hidden="false" customHeight="true" outlineLevel="0" collapsed="false">
      <c r="A1649" s="7" t="n">
        <f aca="false">'Raw Data'!A1649</f>
        <v>2400</v>
      </c>
      <c r="B1649" s="7" t="n">
        <f aca="false">'Raw Data'!B1649</f>
        <v>49</v>
      </c>
      <c r="C1649" s="7" t="str">
        <f aca="false">'Raw Data'!C1649</f>
        <v>Male</v>
      </c>
      <c r="D1649" s="7" t="str">
        <f aca="false">'Raw Data'!D1649</f>
        <v>Former</v>
      </c>
      <c r="E1649" s="7" t="str">
        <f aca="false">'Raw Data'!J1649</f>
        <v>High</v>
      </c>
      <c r="F1649" s="7" t="n">
        <f aca="false">'Raw Data'!K1649</f>
        <v>165.9</v>
      </c>
      <c r="G1649" s="7" t="str">
        <f aca="false">'Raw Data'!L1649</f>
        <v>Yes</v>
      </c>
      <c r="H1649" s="7" t="str">
        <f aca="false">'Raw Data'!M1649</f>
        <v>Low</v>
      </c>
      <c r="I1649" s="7" t="n">
        <f aca="false">(IF(D1649="Current",3,IF(D1649="Former",1,0)))+(IF(E1649="High",3,IF(E1649="Normal",1,0)))+(IF(F1649&gt;=240,2,IF(F1649&gt;=200,1,0)))+(IF(G1649="Yes",2,0))+(IF(H1649="High",2,IF(H1649="Moderate",1,0)))</f>
        <v>6</v>
      </c>
      <c r="J1649" s="7" t="str">
        <f aca="false">IF(I1649&gt;=8,"High",IF(I1649&gt;=4,"Medium","Low"))</f>
        <v>Medium</v>
      </c>
    </row>
    <row r="1650" customFormat="false" ht="15" hidden="false" customHeight="true" outlineLevel="0" collapsed="false">
      <c r="A1650" s="7" t="n">
        <f aca="false">'Raw Data'!A1650</f>
        <v>2412</v>
      </c>
      <c r="B1650" s="7" t="n">
        <f aca="false">'Raw Data'!B1650</f>
        <v>54</v>
      </c>
      <c r="C1650" s="7" t="str">
        <f aca="false">'Raw Data'!C1650</f>
        <v>Male</v>
      </c>
      <c r="D1650" s="7" t="str">
        <f aca="false">'Raw Data'!D1650</f>
        <v>Former</v>
      </c>
      <c r="E1650" s="7" t="str">
        <f aca="false">'Raw Data'!J1650</f>
        <v>High</v>
      </c>
      <c r="F1650" s="7" t="n">
        <f aca="false">'Raw Data'!K1650</f>
        <v>183</v>
      </c>
      <c r="G1650" s="7" t="str">
        <f aca="false">'Raw Data'!L1650</f>
        <v>No</v>
      </c>
      <c r="H1650" s="7" t="str">
        <f aca="false">'Raw Data'!M1650</f>
        <v>Low</v>
      </c>
      <c r="I1650" s="7" t="n">
        <f aca="false">(IF(D1650="Current",3,IF(D1650="Former",1,0)))+(IF(E1650="High",3,IF(E1650="Normal",1,0)))+(IF(F1650&gt;=240,2,IF(F1650&gt;=200,1,0)))+(IF(G1650="Yes",2,0))+(IF(H1650="High",2,IF(H1650="Moderate",1,0)))</f>
        <v>4</v>
      </c>
      <c r="J1650" s="7" t="str">
        <f aca="false">IF(I1650&gt;=8,"High",IF(I1650&gt;=4,"Medium","Low"))</f>
        <v>Medium</v>
      </c>
    </row>
    <row r="1651" customFormat="false" ht="15" hidden="false" customHeight="true" outlineLevel="0" collapsed="false">
      <c r="A1651" s="7" t="n">
        <f aca="false">'Raw Data'!A1651</f>
        <v>2430</v>
      </c>
      <c r="B1651" s="7" t="n">
        <f aca="false">'Raw Data'!B1651</f>
        <v>47</v>
      </c>
      <c r="C1651" s="7" t="str">
        <f aca="false">'Raw Data'!C1651</f>
        <v>Male</v>
      </c>
      <c r="D1651" s="7" t="str">
        <f aca="false">'Raw Data'!D1651</f>
        <v>Former</v>
      </c>
      <c r="E1651" s="7" t="str">
        <f aca="false">'Raw Data'!J1651</f>
        <v>High</v>
      </c>
      <c r="F1651" s="7" t="n">
        <f aca="false">'Raw Data'!K1651</f>
        <v>177</v>
      </c>
      <c r="G1651" s="7" t="str">
        <f aca="false">'Raw Data'!L1651</f>
        <v>No</v>
      </c>
      <c r="H1651" s="7" t="str">
        <f aca="false">'Raw Data'!M1651</f>
        <v>Low</v>
      </c>
      <c r="I1651" s="7" t="n">
        <f aca="false">(IF(D1651="Current",3,IF(D1651="Former",1,0)))+(IF(E1651="High",3,IF(E1651="Normal",1,0)))+(IF(F1651&gt;=240,2,IF(F1651&gt;=200,1,0)))+(IF(G1651="Yes",2,0))+(IF(H1651="High",2,IF(H1651="Moderate",1,0)))</f>
        <v>4</v>
      </c>
      <c r="J1651" s="7" t="str">
        <f aca="false">IF(I1651&gt;=8,"High",IF(I1651&gt;=4,"Medium","Low"))</f>
        <v>Medium</v>
      </c>
    </row>
    <row r="1652" customFormat="false" ht="15" hidden="false" customHeight="true" outlineLevel="0" collapsed="false">
      <c r="A1652" s="7" t="n">
        <f aca="false">'Raw Data'!A1652</f>
        <v>2442</v>
      </c>
      <c r="B1652" s="7" t="n">
        <f aca="false">'Raw Data'!B1652</f>
        <v>72</v>
      </c>
      <c r="C1652" s="7" t="str">
        <f aca="false">'Raw Data'!C1652</f>
        <v>Male</v>
      </c>
      <c r="D1652" s="7" t="str">
        <f aca="false">'Raw Data'!D1652</f>
        <v>Former</v>
      </c>
      <c r="E1652" s="7" t="str">
        <f aca="false">'Raw Data'!J1652</f>
        <v>High</v>
      </c>
      <c r="F1652" s="7" t="n">
        <f aca="false">'Raw Data'!K1652</f>
        <v>229</v>
      </c>
      <c r="G1652" s="7" t="str">
        <f aca="false">'Raw Data'!L1652</f>
        <v>Yes</v>
      </c>
      <c r="H1652" s="7" t="str">
        <f aca="false">'Raw Data'!M1652</f>
        <v>Low</v>
      </c>
      <c r="I1652" s="7" t="n">
        <f aca="false">(IF(D1652="Current",3,IF(D1652="Former",1,0)))+(IF(E1652="High",3,IF(E1652="Normal",1,0)))+(IF(F1652&gt;=240,2,IF(F1652&gt;=200,1,0)))+(IF(G1652="Yes",2,0))+(IF(H1652="High",2,IF(H1652="Moderate",1,0)))</f>
        <v>7</v>
      </c>
      <c r="J1652" s="7" t="str">
        <f aca="false">IF(I1652&gt;=8,"High",IF(I1652&gt;=4,"Medium","Low"))</f>
        <v>Medium</v>
      </c>
    </row>
    <row r="1653" customFormat="false" ht="15" hidden="false" customHeight="true" outlineLevel="0" collapsed="false">
      <c r="A1653" s="7" t="n">
        <f aca="false">'Raw Data'!A1653</f>
        <v>2448</v>
      </c>
      <c r="B1653" s="7" t="n">
        <f aca="false">'Raw Data'!B1653</f>
        <v>32</v>
      </c>
      <c r="C1653" s="7" t="str">
        <f aca="false">'Raw Data'!C1653</f>
        <v>Male</v>
      </c>
      <c r="D1653" s="7" t="str">
        <f aca="false">'Raw Data'!D1653</f>
        <v>Former</v>
      </c>
      <c r="E1653" s="7" t="str">
        <f aca="false">'Raw Data'!J1653</f>
        <v>High</v>
      </c>
      <c r="F1653" s="7" t="n">
        <f aca="false">'Raw Data'!K1653</f>
        <v>159.6</v>
      </c>
      <c r="G1653" s="7" t="str">
        <f aca="false">'Raw Data'!L1653</f>
        <v>No</v>
      </c>
      <c r="H1653" s="7" t="str">
        <f aca="false">'Raw Data'!M1653</f>
        <v>Low</v>
      </c>
      <c r="I1653" s="7" t="n">
        <f aca="false">(IF(D1653="Current",3,IF(D1653="Former",1,0)))+(IF(E1653="High",3,IF(E1653="Normal",1,0)))+(IF(F1653&gt;=240,2,IF(F1653&gt;=200,1,0)))+(IF(G1653="Yes",2,0))+(IF(H1653="High",2,IF(H1653="Moderate",1,0)))</f>
        <v>4</v>
      </c>
      <c r="J1653" s="7" t="str">
        <f aca="false">IF(I1653&gt;=8,"High",IF(I1653&gt;=4,"Medium","Low"))</f>
        <v>Medium</v>
      </c>
    </row>
    <row r="1654" customFormat="false" ht="15" hidden="false" customHeight="true" outlineLevel="0" collapsed="false">
      <c r="A1654" s="7" t="n">
        <f aca="false">'Raw Data'!A1654</f>
        <v>2474</v>
      </c>
      <c r="B1654" s="7" t="n">
        <f aca="false">'Raw Data'!B1654</f>
        <v>61</v>
      </c>
      <c r="C1654" s="7" t="str">
        <f aca="false">'Raw Data'!C1654</f>
        <v>Female</v>
      </c>
      <c r="D1654" s="7" t="str">
        <f aca="false">'Raw Data'!D1654</f>
        <v>Former</v>
      </c>
      <c r="E1654" s="7" t="str">
        <f aca="false">'Raw Data'!J1654</f>
        <v>High</v>
      </c>
      <c r="F1654" s="7" t="n">
        <f aca="false">'Raw Data'!K1654</f>
        <v>133.3</v>
      </c>
      <c r="G1654" s="7" t="str">
        <f aca="false">'Raw Data'!L1654</f>
        <v>Yes</v>
      </c>
      <c r="H1654" s="7" t="str">
        <f aca="false">'Raw Data'!M1654</f>
        <v>Low</v>
      </c>
      <c r="I1654" s="7" t="n">
        <f aca="false">(IF(D1654="Current",3,IF(D1654="Former",1,0)))+(IF(E1654="High",3,IF(E1654="Normal",1,0)))+(IF(F1654&gt;=240,2,IF(F1654&gt;=200,1,0)))+(IF(G1654="Yes",2,0))+(IF(H1654="High",2,IF(H1654="Moderate",1,0)))</f>
        <v>6</v>
      </c>
      <c r="J1654" s="7" t="str">
        <f aca="false">IF(I1654&gt;=8,"High",IF(I1654&gt;=4,"Medium","Low"))</f>
        <v>Medium</v>
      </c>
    </row>
    <row r="1655" customFormat="false" ht="15" hidden="false" customHeight="true" outlineLevel="0" collapsed="false">
      <c r="A1655" s="7" t="n">
        <f aca="false">'Raw Data'!A1655</f>
        <v>8</v>
      </c>
      <c r="B1655" s="7" t="n">
        <f aca="false">'Raw Data'!B1655</f>
        <v>50</v>
      </c>
      <c r="C1655" s="7" t="str">
        <f aca="false">'Raw Data'!C1655</f>
        <v>Male</v>
      </c>
      <c r="D1655" s="7" t="str">
        <f aca="false">'Raw Data'!D1655</f>
        <v>Current</v>
      </c>
      <c r="E1655" s="7" t="str">
        <f aca="false">'Raw Data'!J1655</f>
        <v>High</v>
      </c>
      <c r="F1655" s="7" t="n">
        <f aca="false">'Raw Data'!K1655</f>
        <v>273</v>
      </c>
      <c r="G1655" s="7" t="str">
        <f aca="false">'Raw Data'!L1655</f>
        <v>No</v>
      </c>
      <c r="H1655" s="7" t="str">
        <f aca="false">'Raw Data'!M1655</f>
        <v>Low</v>
      </c>
      <c r="I1655" s="7" t="n">
        <f aca="false">(IF(D1655="Current",3,IF(D1655="Former",1,0)))+(IF(E1655="High",3,IF(E1655="Normal",1,0)))+(IF(F1655&gt;=240,2,IF(F1655&gt;=200,1,0)))+(IF(G1655="Yes",2,0))+(IF(H1655="High",2,IF(H1655="Moderate",1,0)))</f>
        <v>8</v>
      </c>
      <c r="J1655" s="7" t="str">
        <f aca="false">IF(I1655&gt;=8,"High",IF(I1655&gt;=4,"Medium","Low"))</f>
        <v>High</v>
      </c>
    </row>
    <row r="1656" customFormat="false" ht="15" hidden="false" customHeight="true" outlineLevel="0" collapsed="false">
      <c r="A1656" s="7" t="n">
        <f aca="false">'Raw Data'!A1656</f>
        <v>21</v>
      </c>
      <c r="B1656" s="7" t="n">
        <f aca="false">'Raw Data'!B1656</f>
        <v>89</v>
      </c>
      <c r="C1656" s="7" t="str">
        <f aca="false">'Raw Data'!C1656</f>
        <v>Female</v>
      </c>
      <c r="D1656" s="7" t="str">
        <f aca="false">'Raw Data'!D1656</f>
        <v>Current</v>
      </c>
      <c r="E1656" s="7" t="str">
        <f aca="false">'Raw Data'!J1656</f>
        <v>High</v>
      </c>
      <c r="F1656" s="7" t="n">
        <f aca="false">'Raw Data'!K1656</f>
        <v>295.3</v>
      </c>
      <c r="G1656" s="7" t="str">
        <f aca="false">'Raw Data'!L1656</f>
        <v>Yes</v>
      </c>
      <c r="H1656" s="7" t="str">
        <f aca="false">'Raw Data'!M1656</f>
        <v>Low</v>
      </c>
      <c r="I1656" s="7" t="n">
        <f aca="false">(IF(D1656="Current",3,IF(D1656="Former",1,0)))+(IF(E1656="High",3,IF(E1656="Normal",1,0)))+(IF(F1656&gt;=240,2,IF(F1656&gt;=200,1,0)))+(IF(G1656="Yes",2,0))+(IF(H1656="High",2,IF(H1656="Moderate",1,0)))</f>
        <v>10</v>
      </c>
      <c r="J1656" s="7" t="str">
        <f aca="false">IF(I1656&gt;=8,"High",IF(I1656&gt;=4,"Medium","Low"))</f>
        <v>High</v>
      </c>
    </row>
    <row r="1657" customFormat="false" ht="15" hidden="false" customHeight="true" outlineLevel="0" collapsed="false">
      <c r="A1657" s="7" t="n">
        <f aca="false">'Raw Data'!A1657</f>
        <v>32</v>
      </c>
      <c r="B1657" s="7" t="n">
        <f aca="false">'Raw Data'!B1657</f>
        <v>79</v>
      </c>
      <c r="C1657" s="7" t="str">
        <f aca="false">'Raw Data'!C1657</f>
        <v>Male</v>
      </c>
      <c r="D1657" s="7" t="str">
        <f aca="false">'Raw Data'!D1657</f>
        <v>Current</v>
      </c>
      <c r="E1657" s="7" t="str">
        <f aca="false">'Raw Data'!J1657</f>
        <v>High</v>
      </c>
      <c r="F1657" s="7" t="n">
        <f aca="false">'Raw Data'!K1657</f>
        <v>199.6</v>
      </c>
      <c r="G1657" s="7" t="str">
        <f aca="false">'Raw Data'!L1657</f>
        <v>Yes</v>
      </c>
      <c r="H1657" s="7" t="str">
        <f aca="false">'Raw Data'!M1657</f>
        <v>Low</v>
      </c>
      <c r="I1657" s="7" t="n">
        <f aca="false">(IF(D1657="Current",3,IF(D1657="Former",1,0)))+(IF(E1657="High",3,IF(E1657="Normal",1,0)))+(IF(F1657&gt;=240,2,IF(F1657&gt;=200,1,0)))+(IF(G1657="Yes",2,0))+(IF(H1657="High",2,IF(H1657="Moderate",1,0)))</f>
        <v>8</v>
      </c>
      <c r="J1657" s="7" t="str">
        <f aca="false">IF(I1657&gt;=8,"High",IF(I1657&gt;=4,"Medium","Low"))</f>
        <v>High</v>
      </c>
    </row>
    <row r="1658" customFormat="false" ht="15" hidden="false" customHeight="true" outlineLevel="0" collapsed="false">
      <c r="A1658" s="7" t="n">
        <f aca="false">'Raw Data'!A1658</f>
        <v>77</v>
      </c>
      <c r="B1658" s="7" t="n">
        <f aca="false">'Raw Data'!B1658</f>
        <v>83</v>
      </c>
      <c r="C1658" s="7" t="str">
        <f aca="false">'Raw Data'!C1658</f>
        <v>Female</v>
      </c>
      <c r="D1658" s="7" t="str">
        <f aca="false">'Raw Data'!D1658</f>
        <v>Current</v>
      </c>
      <c r="E1658" s="7" t="str">
        <f aca="false">'Raw Data'!J1658</f>
        <v>High</v>
      </c>
      <c r="F1658" s="7" t="n">
        <f aca="false">'Raw Data'!K1658</f>
        <v>139.9</v>
      </c>
      <c r="G1658" s="7" t="str">
        <f aca="false">'Raw Data'!L1658</f>
        <v>No</v>
      </c>
      <c r="H1658" s="7" t="str">
        <f aca="false">'Raw Data'!M1658</f>
        <v>Low</v>
      </c>
      <c r="I1658" s="7" t="n">
        <f aca="false">(IF(D1658="Current",3,IF(D1658="Former",1,0)))+(IF(E1658="High",3,IF(E1658="Normal",1,0)))+(IF(F1658&gt;=240,2,IF(F1658&gt;=200,1,0)))+(IF(G1658="Yes",2,0))+(IF(H1658="High",2,IF(H1658="Moderate",1,0)))</f>
        <v>6</v>
      </c>
      <c r="J1658" s="7" t="str">
        <f aca="false">IF(I1658&gt;=8,"High",IF(I1658&gt;=4,"Medium","Low"))</f>
        <v>Medium</v>
      </c>
    </row>
    <row r="1659" customFormat="false" ht="15" hidden="false" customHeight="true" outlineLevel="0" collapsed="false">
      <c r="A1659" s="7" t="n">
        <f aca="false">'Raw Data'!A1659</f>
        <v>98</v>
      </c>
      <c r="B1659" s="7" t="n">
        <f aca="false">'Raw Data'!B1659</f>
        <v>50</v>
      </c>
      <c r="C1659" s="7" t="str">
        <f aca="false">'Raw Data'!C1659</f>
        <v>Female</v>
      </c>
      <c r="D1659" s="7" t="str">
        <f aca="false">'Raw Data'!D1659</f>
        <v>Current</v>
      </c>
      <c r="E1659" s="7" t="str">
        <f aca="false">'Raw Data'!J1659</f>
        <v>High</v>
      </c>
      <c r="F1659" s="7" t="n">
        <f aca="false">'Raw Data'!K1659</f>
        <v>272.4</v>
      </c>
      <c r="G1659" s="7" t="str">
        <f aca="false">'Raw Data'!L1659</f>
        <v>No</v>
      </c>
      <c r="H1659" s="7" t="str">
        <f aca="false">'Raw Data'!M1659</f>
        <v>Low</v>
      </c>
      <c r="I1659" s="7" t="n">
        <f aca="false">(IF(D1659="Current",3,IF(D1659="Former",1,0)))+(IF(E1659="High",3,IF(E1659="Normal",1,0)))+(IF(F1659&gt;=240,2,IF(F1659&gt;=200,1,0)))+(IF(G1659="Yes",2,0))+(IF(H1659="High",2,IF(H1659="Moderate",1,0)))</f>
        <v>8</v>
      </c>
      <c r="J1659" s="7" t="str">
        <f aca="false">IF(I1659&gt;=8,"High",IF(I1659&gt;=4,"Medium","Low"))</f>
        <v>High</v>
      </c>
    </row>
    <row r="1660" customFormat="false" ht="15" hidden="false" customHeight="true" outlineLevel="0" collapsed="false">
      <c r="A1660" s="7" t="n">
        <f aca="false">'Raw Data'!A1660</f>
        <v>102</v>
      </c>
      <c r="B1660" s="7" t="n">
        <f aca="false">'Raw Data'!B1660</f>
        <v>33</v>
      </c>
      <c r="C1660" s="7" t="str">
        <f aca="false">'Raw Data'!C1660</f>
        <v>Male</v>
      </c>
      <c r="D1660" s="7" t="str">
        <f aca="false">'Raw Data'!D1660</f>
        <v>Current</v>
      </c>
      <c r="E1660" s="7" t="str">
        <f aca="false">'Raw Data'!J1660</f>
        <v>High</v>
      </c>
      <c r="F1660" s="7" t="n">
        <f aca="false">'Raw Data'!K1660</f>
        <v>126.1</v>
      </c>
      <c r="G1660" s="7" t="str">
        <f aca="false">'Raw Data'!L1660</f>
        <v>No</v>
      </c>
      <c r="H1660" s="7" t="str">
        <f aca="false">'Raw Data'!M1660</f>
        <v>Low</v>
      </c>
      <c r="I1660" s="7" t="n">
        <f aca="false">(IF(D1660="Current",3,IF(D1660="Former",1,0)))+(IF(E1660="High",3,IF(E1660="Normal",1,0)))+(IF(F1660&gt;=240,2,IF(F1660&gt;=200,1,0)))+(IF(G1660="Yes",2,0))+(IF(H1660="High",2,IF(H1660="Moderate",1,0)))</f>
        <v>6</v>
      </c>
      <c r="J1660" s="7" t="str">
        <f aca="false">IF(I1660&gt;=8,"High",IF(I1660&gt;=4,"Medium","Low"))</f>
        <v>Medium</v>
      </c>
    </row>
    <row r="1661" customFormat="false" ht="15" hidden="false" customHeight="true" outlineLevel="0" collapsed="false">
      <c r="A1661" s="7" t="n">
        <f aca="false">'Raw Data'!A1661</f>
        <v>147</v>
      </c>
      <c r="B1661" s="7" t="n">
        <f aca="false">'Raw Data'!B1661</f>
        <v>63</v>
      </c>
      <c r="C1661" s="7" t="str">
        <f aca="false">'Raw Data'!C1661</f>
        <v>Female</v>
      </c>
      <c r="D1661" s="7" t="str">
        <f aca="false">'Raw Data'!D1661</f>
        <v>Current</v>
      </c>
      <c r="E1661" s="7" t="str">
        <f aca="false">'Raw Data'!J1661</f>
        <v>High</v>
      </c>
      <c r="F1661" s="7" t="n">
        <f aca="false">'Raw Data'!K1661</f>
        <v>240.1</v>
      </c>
      <c r="G1661" s="7" t="str">
        <f aca="false">'Raw Data'!L1661</f>
        <v>No</v>
      </c>
      <c r="H1661" s="7" t="str">
        <f aca="false">'Raw Data'!M1661</f>
        <v>Low</v>
      </c>
      <c r="I1661" s="7" t="n">
        <f aca="false">(IF(D1661="Current",3,IF(D1661="Former",1,0)))+(IF(E1661="High",3,IF(E1661="Normal",1,0)))+(IF(F1661&gt;=240,2,IF(F1661&gt;=200,1,0)))+(IF(G1661="Yes",2,0))+(IF(H1661="High",2,IF(H1661="Moderate",1,0)))</f>
        <v>8</v>
      </c>
      <c r="J1661" s="7" t="str">
        <f aca="false">IF(I1661&gt;=8,"High",IF(I1661&gt;=4,"Medium","Low"))</f>
        <v>High</v>
      </c>
    </row>
    <row r="1662" customFormat="false" ht="15" hidden="false" customHeight="true" outlineLevel="0" collapsed="false">
      <c r="A1662" s="7" t="n">
        <f aca="false">'Raw Data'!A1662</f>
        <v>153</v>
      </c>
      <c r="B1662" s="7" t="n">
        <f aca="false">'Raw Data'!B1662</f>
        <v>32</v>
      </c>
      <c r="C1662" s="7" t="str">
        <f aca="false">'Raw Data'!C1662</f>
        <v>Male</v>
      </c>
      <c r="D1662" s="7" t="str">
        <f aca="false">'Raw Data'!D1662</f>
        <v>Current</v>
      </c>
      <c r="E1662" s="7" t="str">
        <f aca="false">'Raw Data'!J1662</f>
        <v>High</v>
      </c>
      <c r="F1662" s="7" t="n">
        <f aca="false">'Raw Data'!K1662</f>
        <v>183.3</v>
      </c>
      <c r="G1662" s="7" t="str">
        <f aca="false">'Raw Data'!L1662</f>
        <v>Yes</v>
      </c>
      <c r="H1662" s="7" t="str">
        <f aca="false">'Raw Data'!M1662</f>
        <v>Low</v>
      </c>
      <c r="I1662" s="7" t="n">
        <f aca="false">(IF(D1662="Current",3,IF(D1662="Former",1,0)))+(IF(E1662="High",3,IF(E1662="Normal",1,0)))+(IF(F1662&gt;=240,2,IF(F1662&gt;=200,1,0)))+(IF(G1662="Yes",2,0))+(IF(H1662="High",2,IF(H1662="Moderate",1,0)))</f>
        <v>8</v>
      </c>
      <c r="J1662" s="7" t="str">
        <f aca="false">IF(I1662&gt;=8,"High",IF(I1662&gt;=4,"Medium","Low"))</f>
        <v>High</v>
      </c>
    </row>
    <row r="1663" customFormat="false" ht="15" hidden="false" customHeight="true" outlineLevel="0" collapsed="false">
      <c r="A1663" s="7" t="n">
        <f aca="false">'Raw Data'!A1663</f>
        <v>286</v>
      </c>
      <c r="B1663" s="7" t="n">
        <f aca="false">'Raw Data'!B1663</f>
        <v>88</v>
      </c>
      <c r="C1663" s="7" t="str">
        <f aca="false">'Raw Data'!C1663</f>
        <v>Male</v>
      </c>
      <c r="D1663" s="7" t="str">
        <f aca="false">'Raw Data'!D1663</f>
        <v>Current</v>
      </c>
      <c r="E1663" s="7" t="str">
        <f aca="false">'Raw Data'!J1663</f>
        <v>High</v>
      </c>
      <c r="F1663" s="7" t="n">
        <f aca="false">'Raw Data'!K1663</f>
        <v>291.2</v>
      </c>
      <c r="G1663" s="7" t="str">
        <f aca="false">'Raw Data'!L1663</f>
        <v>No</v>
      </c>
      <c r="H1663" s="7" t="str">
        <f aca="false">'Raw Data'!M1663</f>
        <v>Low</v>
      </c>
      <c r="I1663" s="7" t="n">
        <f aca="false">(IF(D1663="Current",3,IF(D1663="Former",1,0)))+(IF(E1663="High",3,IF(E1663="Normal",1,0)))+(IF(F1663&gt;=240,2,IF(F1663&gt;=200,1,0)))+(IF(G1663="Yes",2,0))+(IF(H1663="High",2,IF(H1663="Moderate",1,0)))</f>
        <v>8</v>
      </c>
      <c r="J1663" s="7" t="str">
        <f aca="false">IF(I1663&gt;=8,"High",IF(I1663&gt;=4,"Medium","Low"))</f>
        <v>High</v>
      </c>
    </row>
    <row r="1664" customFormat="false" ht="15" hidden="false" customHeight="true" outlineLevel="0" collapsed="false">
      <c r="A1664" s="7" t="n">
        <f aca="false">'Raw Data'!A1664</f>
        <v>315</v>
      </c>
      <c r="B1664" s="7" t="n">
        <f aca="false">'Raw Data'!B1664</f>
        <v>55</v>
      </c>
      <c r="C1664" s="7" t="str">
        <f aca="false">'Raw Data'!C1664</f>
        <v>Male</v>
      </c>
      <c r="D1664" s="7" t="str">
        <f aca="false">'Raw Data'!D1664</f>
        <v>Current</v>
      </c>
      <c r="E1664" s="7" t="str">
        <f aca="false">'Raw Data'!J1664</f>
        <v>High</v>
      </c>
      <c r="F1664" s="7" t="n">
        <f aca="false">'Raw Data'!K1664</f>
        <v>191.5</v>
      </c>
      <c r="G1664" s="7" t="str">
        <f aca="false">'Raw Data'!L1664</f>
        <v>No</v>
      </c>
      <c r="H1664" s="7" t="str">
        <f aca="false">'Raw Data'!M1664</f>
        <v>Low</v>
      </c>
      <c r="I1664" s="7" t="n">
        <f aca="false">(IF(D1664="Current",3,IF(D1664="Former",1,0)))+(IF(E1664="High",3,IF(E1664="Normal",1,0)))+(IF(F1664&gt;=240,2,IF(F1664&gt;=200,1,0)))+(IF(G1664="Yes",2,0))+(IF(H1664="High",2,IF(H1664="Moderate",1,0)))</f>
        <v>6</v>
      </c>
      <c r="J1664" s="7" t="str">
        <f aca="false">IF(I1664&gt;=8,"High",IF(I1664&gt;=4,"Medium","Low"))</f>
        <v>Medium</v>
      </c>
    </row>
    <row r="1665" customFormat="false" ht="15" hidden="false" customHeight="true" outlineLevel="0" collapsed="false">
      <c r="A1665" s="7" t="n">
        <f aca="false">'Raw Data'!A1665</f>
        <v>331</v>
      </c>
      <c r="B1665" s="7" t="n">
        <f aca="false">'Raw Data'!B1665</f>
        <v>39</v>
      </c>
      <c r="C1665" s="7" t="str">
        <f aca="false">'Raw Data'!C1665</f>
        <v>Female</v>
      </c>
      <c r="D1665" s="7" t="str">
        <f aca="false">'Raw Data'!D1665</f>
        <v>Current</v>
      </c>
      <c r="E1665" s="7" t="str">
        <f aca="false">'Raw Data'!J1665</f>
        <v>High</v>
      </c>
      <c r="F1665" s="7" t="n">
        <f aca="false">'Raw Data'!K1665</f>
        <v>218.2</v>
      </c>
      <c r="G1665" s="7" t="str">
        <f aca="false">'Raw Data'!L1665</f>
        <v>No</v>
      </c>
      <c r="H1665" s="7" t="str">
        <f aca="false">'Raw Data'!M1665</f>
        <v>Low</v>
      </c>
      <c r="I1665" s="7" t="n">
        <f aca="false">(IF(D1665="Current",3,IF(D1665="Former",1,0)))+(IF(E1665="High",3,IF(E1665="Normal",1,0)))+(IF(F1665&gt;=240,2,IF(F1665&gt;=200,1,0)))+(IF(G1665="Yes",2,0))+(IF(H1665="High",2,IF(H1665="Moderate",1,0)))</f>
        <v>7</v>
      </c>
      <c r="J1665" s="7" t="str">
        <f aca="false">IF(I1665&gt;=8,"High",IF(I1665&gt;=4,"Medium","Low"))</f>
        <v>Medium</v>
      </c>
    </row>
    <row r="1666" customFormat="false" ht="15" hidden="false" customHeight="true" outlineLevel="0" collapsed="false">
      <c r="A1666" s="7" t="n">
        <f aca="false">'Raw Data'!A1666</f>
        <v>342</v>
      </c>
      <c r="B1666" s="7" t="n">
        <f aca="false">'Raw Data'!B1666</f>
        <v>52</v>
      </c>
      <c r="C1666" s="7" t="str">
        <f aca="false">'Raw Data'!C1666</f>
        <v>Male</v>
      </c>
      <c r="D1666" s="7" t="str">
        <f aca="false">'Raw Data'!D1666</f>
        <v>Current</v>
      </c>
      <c r="E1666" s="7" t="str">
        <f aca="false">'Raw Data'!J1666</f>
        <v>High</v>
      </c>
      <c r="F1666" s="7" t="n">
        <f aca="false">'Raw Data'!K1666</f>
        <v>272.9</v>
      </c>
      <c r="G1666" s="7" t="str">
        <f aca="false">'Raw Data'!L1666</f>
        <v>No</v>
      </c>
      <c r="H1666" s="7" t="str">
        <f aca="false">'Raw Data'!M1666</f>
        <v>Low</v>
      </c>
      <c r="I1666" s="7" t="n">
        <f aca="false">(IF(D1666="Current",3,IF(D1666="Former",1,0)))+(IF(E1666="High",3,IF(E1666="Normal",1,0)))+(IF(F1666&gt;=240,2,IF(F1666&gt;=200,1,0)))+(IF(G1666="Yes",2,0))+(IF(H1666="High",2,IF(H1666="Moderate",1,0)))</f>
        <v>8</v>
      </c>
      <c r="J1666" s="7" t="str">
        <f aca="false">IF(I1666&gt;=8,"High",IF(I1666&gt;=4,"Medium","Low"))</f>
        <v>High</v>
      </c>
    </row>
    <row r="1667" customFormat="false" ht="15" hidden="false" customHeight="true" outlineLevel="0" collapsed="false">
      <c r="A1667" s="7" t="n">
        <f aca="false">'Raw Data'!A1667</f>
        <v>396</v>
      </c>
      <c r="B1667" s="7" t="n">
        <f aca="false">'Raw Data'!B1667</f>
        <v>65</v>
      </c>
      <c r="C1667" s="7" t="str">
        <f aca="false">'Raw Data'!C1667</f>
        <v>Female</v>
      </c>
      <c r="D1667" s="7" t="str">
        <f aca="false">'Raw Data'!D1667</f>
        <v>Current</v>
      </c>
      <c r="E1667" s="7" t="str">
        <f aca="false">'Raw Data'!J1667</f>
        <v>High</v>
      </c>
      <c r="F1667" s="7" t="n">
        <f aca="false">'Raw Data'!K1667</f>
        <v>295.4</v>
      </c>
      <c r="G1667" s="7" t="str">
        <f aca="false">'Raw Data'!L1667</f>
        <v>Yes</v>
      </c>
      <c r="H1667" s="7" t="str">
        <f aca="false">'Raw Data'!M1667</f>
        <v>Low</v>
      </c>
      <c r="I1667" s="7" t="n">
        <f aca="false">(IF(D1667="Current",3,IF(D1667="Former",1,0)))+(IF(E1667="High",3,IF(E1667="Normal",1,0)))+(IF(F1667&gt;=240,2,IF(F1667&gt;=200,1,0)))+(IF(G1667="Yes",2,0))+(IF(H1667="High",2,IF(H1667="Moderate",1,0)))</f>
        <v>10</v>
      </c>
      <c r="J1667" s="7" t="str">
        <f aca="false">IF(I1667&gt;=8,"High",IF(I1667&gt;=4,"Medium","Low"))</f>
        <v>High</v>
      </c>
    </row>
    <row r="1668" customFormat="false" ht="15" hidden="false" customHeight="true" outlineLevel="0" collapsed="false">
      <c r="A1668" s="7" t="n">
        <f aca="false">'Raw Data'!A1668</f>
        <v>417</v>
      </c>
      <c r="B1668" s="7" t="n">
        <f aca="false">'Raw Data'!B1668</f>
        <v>46</v>
      </c>
      <c r="C1668" s="7" t="str">
        <f aca="false">'Raw Data'!C1668</f>
        <v>Female</v>
      </c>
      <c r="D1668" s="7" t="str">
        <f aca="false">'Raw Data'!D1668</f>
        <v>Current</v>
      </c>
      <c r="E1668" s="7" t="str">
        <f aca="false">'Raw Data'!J1668</f>
        <v>High</v>
      </c>
      <c r="F1668" s="7" t="n">
        <f aca="false">'Raw Data'!K1668</f>
        <v>160.6</v>
      </c>
      <c r="G1668" s="7" t="str">
        <f aca="false">'Raw Data'!L1668</f>
        <v>No</v>
      </c>
      <c r="H1668" s="7" t="str">
        <f aca="false">'Raw Data'!M1668</f>
        <v>Low</v>
      </c>
      <c r="I1668" s="7" t="n">
        <f aca="false">(IF(D1668="Current",3,IF(D1668="Former",1,0)))+(IF(E1668="High",3,IF(E1668="Normal",1,0)))+(IF(F1668&gt;=240,2,IF(F1668&gt;=200,1,0)))+(IF(G1668="Yes",2,0))+(IF(H1668="High",2,IF(H1668="Moderate",1,0)))</f>
        <v>6</v>
      </c>
      <c r="J1668" s="7" t="str">
        <f aca="false">IF(I1668&gt;=8,"High",IF(I1668&gt;=4,"Medium","Low"))</f>
        <v>Medium</v>
      </c>
    </row>
    <row r="1669" customFormat="false" ht="15" hidden="false" customHeight="true" outlineLevel="0" collapsed="false">
      <c r="A1669" s="7" t="n">
        <f aca="false">'Raw Data'!A1669</f>
        <v>457</v>
      </c>
      <c r="B1669" s="7" t="n">
        <f aca="false">'Raw Data'!B1669</f>
        <v>25</v>
      </c>
      <c r="C1669" s="7" t="str">
        <f aca="false">'Raw Data'!C1669</f>
        <v>Male</v>
      </c>
      <c r="D1669" s="7" t="str">
        <f aca="false">'Raw Data'!D1669</f>
        <v>Current</v>
      </c>
      <c r="E1669" s="7" t="str">
        <f aca="false">'Raw Data'!J1669</f>
        <v>High</v>
      </c>
      <c r="F1669" s="7" t="n">
        <f aca="false">'Raw Data'!K1669</f>
        <v>124.4</v>
      </c>
      <c r="G1669" s="7" t="str">
        <f aca="false">'Raw Data'!L1669</f>
        <v>Yes</v>
      </c>
      <c r="H1669" s="7" t="str">
        <f aca="false">'Raw Data'!M1669</f>
        <v>Low</v>
      </c>
      <c r="I1669" s="7" t="n">
        <f aca="false">(IF(D1669="Current",3,IF(D1669="Former",1,0)))+(IF(E1669="High",3,IF(E1669="Normal",1,0)))+(IF(F1669&gt;=240,2,IF(F1669&gt;=200,1,0)))+(IF(G1669="Yes",2,0))+(IF(H1669="High",2,IF(H1669="Moderate",1,0)))</f>
        <v>8</v>
      </c>
      <c r="J1669" s="7" t="str">
        <f aca="false">IF(I1669&gt;=8,"High",IF(I1669&gt;=4,"Medium","Low"))</f>
        <v>High</v>
      </c>
    </row>
    <row r="1670" customFormat="false" ht="15" hidden="false" customHeight="true" outlineLevel="0" collapsed="false">
      <c r="A1670" s="7" t="n">
        <f aca="false">'Raw Data'!A1670</f>
        <v>482</v>
      </c>
      <c r="B1670" s="7" t="n">
        <f aca="false">'Raw Data'!B1670</f>
        <v>76</v>
      </c>
      <c r="C1670" s="7" t="str">
        <f aca="false">'Raw Data'!C1670</f>
        <v>Male</v>
      </c>
      <c r="D1670" s="7" t="str">
        <f aca="false">'Raw Data'!D1670</f>
        <v>Current</v>
      </c>
      <c r="E1670" s="7" t="str">
        <f aca="false">'Raw Data'!J1670</f>
        <v>High</v>
      </c>
      <c r="F1670" s="7" t="n">
        <f aca="false">'Raw Data'!K1670</f>
        <v>291.5</v>
      </c>
      <c r="G1670" s="7" t="str">
        <f aca="false">'Raw Data'!L1670</f>
        <v>No</v>
      </c>
      <c r="H1670" s="7" t="str">
        <f aca="false">'Raw Data'!M1670</f>
        <v>Low</v>
      </c>
      <c r="I1670" s="7" t="n">
        <f aca="false">(IF(D1670="Current",3,IF(D1670="Former",1,0)))+(IF(E1670="High",3,IF(E1670="Normal",1,0)))+(IF(F1670&gt;=240,2,IF(F1670&gt;=200,1,0)))+(IF(G1670="Yes",2,0))+(IF(H1670="High",2,IF(H1670="Moderate",1,0)))</f>
        <v>8</v>
      </c>
      <c r="J1670" s="7" t="str">
        <f aca="false">IF(I1670&gt;=8,"High",IF(I1670&gt;=4,"Medium","Low"))</f>
        <v>High</v>
      </c>
    </row>
    <row r="1671" customFormat="false" ht="15" hidden="false" customHeight="true" outlineLevel="0" collapsed="false">
      <c r="A1671" s="7" t="n">
        <f aca="false">'Raw Data'!A1671</f>
        <v>604</v>
      </c>
      <c r="B1671" s="7" t="n">
        <f aca="false">'Raw Data'!B1671</f>
        <v>33</v>
      </c>
      <c r="C1671" s="7" t="str">
        <f aca="false">'Raw Data'!C1671</f>
        <v>Female</v>
      </c>
      <c r="D1671" s="7" t="str">
        <f aca="false">'Raw Data'!D1671</f>
        <v>Current</v>
      </c>
      <c r="E1671" s="7" t="str">
        <f aca="false">'Raw Data'!J1671</f>
        <v>High</v>
      </c>
      <c r="F1671" s="7" t="n">
        <f aca="false">'Raw Data'!K1671</f>
        <v>137.9</v>
      </c>
      <c r="G1671" s="7" t="str">
        <f aca="false">'Raw Data'!L1671</f>
        <v>Yes</v>
      </c>
      <c r="H1671" s="7" t="str">
        <f aca="false">'Raw Data'!M1671</f>
        <v>Low</v>
      </c>
      <c r="I1671" s="7" t="n">
        <f aca="false">(IF(D1671="Current",3,IF(D1671="Former",1,0)))+(IF(E1671="High",3,IF(E1671="Normal",1,0)))+(IF(F1671&gt;=240,2,IF(F1671&gt;=200,1,0)))+(IF(G1671="Yes",2,0))+(IF(H1671="High",2,IF(H1671="Moderate",1,0)))</f>
        <v>8</v>
      </c>
      <c r="J1671" s="7" t="str">
        <f aca="false">IF(I1671&gt;=8,"High",IF(I1671&gt;=4,"Medium","Low"))</f>
        <v>High</v>
      </c>
    </row>
    <row r="1672" customFormat="false" ht="15" hidden="false" customHeight="true" outlineLevel="0" collapsed="false">
      <c r="A1672" s="7" t="n">
        <f aca="false">'Raw Data'!A1672</f>
        <v>614</v>
      </c>
      <c r="B1672" s="7" t="n">
        <f aca="false">'Raw Data'!B1672</f>
        <v>47</v>
      </c>
      <c r="C1672" s="7" t="str">
        <f aca="false">'Raw Data'!C1672</f>
        <v>Male</v>
      </c>
      <c r="D1672" s="7" t="str">
        <f aca="false">'Raw Data'!D1672</f>
        <v>Current</v>
      </c>
      <c r="E1672" s="7" t="str">
        <f aca="false">'Raw Data'!J1672</f>
        <v>High</v>
      </c>
      <c r="F1672" s="7" t="n">
        <f aca="false">'Raw Data'!K1672</f>
        <v>261.6</v>
      </c>
      <c r="G1672" s="7" t="str">
        <f aca="false">'Raw Data'!L1672</f>
        <v>No</v>
      </c>
      <c r="H1672" s="7" t="str">
        <f aca="false">'Raw Data'!M1672</f>
        <v>Low</v>
      </c>
      <c r="I1672" s="7" t="n">
        <f aca="false">(IF(D1672="Current",3,IF(D1672="Former",1,0)))+(IF(E1672="High",3,IF(E1672="Normal",1,0)))+(IF(F1672&gt;=240,2,IF(F1672&gt;=200,1,0)))+(IF(G1672="Yes",2,0))+(IF(H1672="High",2,IF(H1672="Moderate",1,0)))</f>
        <v>8</v>
      </c>
      <c r="J1672" s="7" t="str">
        <f aca="false">IF(I1672&gt;=8,"High",IF(I1672&gt;=4,"Medium","Low"))</f>
        <v>High</v>
      </c>
    </row>
    <row r="1673" customFormat="false" ht="15" hidden="false" customHeight="true" outlineLevel="0" collapsed="false">
      <c r="A1673" s="7" t="n">
        <f aca="false">'Raw Data'!A1673</f>
        <v>638</v>
      </c>
      <c r="B1673" s="7" t="n">
        <f aca="false">'Raw Data'!B1673</f>
        <v>72</v>
      </c>
      <c r="C1673" s="7" t="str">
        <f aca="false">'Raw Data'!C1673</f>
        <v>Male</v>
      </c>
      <c r="D1673" s="7" t="str">
        <f aca="false">'Raw Data'!D1673</f>
        <v>Current</v>
      </c>
      <c r="E1673" s="7" t="str">
        <f aca="false">'Raw Data'!J1673</f>
        <v>High</v>
      </c>
      <c r="F1673" s="7" t="n">
        <f aca="false">'Raw Data'!K1673</f>
        <v>285.5</v>
      </c>
      <c r="G1673" s="7" t="str">
        <f aca="false">'Raw Data'!L1673</f>
        <v>No</v>
      </c>
      <c r="H1673" s="7" t="str">
        <f aca="false">'Raw Data'!M1673</f>
        <v>Low</v>
      </c>
      <c r="I1673" s="7" t="n">
        <f aca="false">(IF(D1673="Current",3,IF(D1673="Former",1,0)))+(IF(E1673="High",3,IF(E1673="Normal",1,0)))+(IF(F1673&gt;=240,2,IF(F1673&gt;=200,1,0)))+(IF(G1673="Yes",2,0))+(IF(H1673="High",2,IF(H1673="Moderate",1,0)))</f>
        <v>8</v>
      </c>
      <c r="J1673" s="7" t="str">
        <f aca="false">IF(I1673&gt;=8,"High",IF(I1673&gt;=4,"Medium","Low"))</f>
        <v>High</v>
      </c>
    </row>
    <row r="1674" customFormat="false" ht="15" hidden="false" customHeight="true" outlineLevel="0" collapsed="false">
      <c r="A1674" s="7" t="n">
        <f aca="false">'Raw Data'!A1674</f>
        <v>664</v>
      </c>
      <c r="B1674" s="7" t="n">
        <f aca="false">'Raw Data'!B1674</f>
        <v>89</v>
      </c>
      <c r="C1674" s="7" t="str">
        <f aca="false">'Raw Data'!C1674</f>
        <v>Male</v>
      </c>
      <c r="D1674" s="7" t="str">
        <f aca="false">'Raw Data'!D1674</f>
        <v>Current</v>
      </c>
      <c r="E1674" s="7" t="str">
        <f aca="false">'Raw Data'!J1674</f>
        <v>High</v>
      </c>
      <c r="F1674" s="7" t="n">
        <f aca="false">'Raw Data'!K1674</f>
        <v>295.1</v>
      </c>
      <c r="G1674" s="7" t="str">
        <f aca="false">'Raw Data'!L1674</f>
        <v>Yes</v>
      </c>
      <c r="H1674" s="7" t="str">
        <f aca="false">'Raw Data'!M1674</f>
        <v>Low</v>
      </c>
      <c r="I1674" s="7" t="n">
        <f aca="false">(IF(D1674="Current",3,IF(D1674="Former",1,0)))+(IF(E1674="High",3,IF(E1674="Normal",1,0)))+(IF(F1674&gt;=240,2,IF(F1674&gt;=200,1,0)))+(IF(G1674="Yes",2,0))+(IF(H1674="High",2,IF(H1674="Moderate",1,0)))</f>
        <v>10</v>
      </c>
      <c r="J1674" s="7" t="str">
        <f aca="false">IF(I1674&gt;=8,"High",IF(I1674&gt;=4,"Medium","Low"))</f>
        <v>High</v>
      </c>
    </row>
    <row r="1675" customFormat="false" ht="15" hidden="false" customHeight="true" outlineLevel="0" collapsed="false">
      <c r="A1675" s="7" t="n">
        <f aca="false">'Raw Data'!A1675</f>
        <v>691</v>
      </c>
      <c r="B1675" s="7" t="n">
        <f aca="false">'Raw Data'!B1675</f>
        <v>72</v>
      </c>
      <c r="C1675" s="7" t="str">
        <f aca="false">'Raw Data'!C1675</f>
        <v>Female</v>
      </c>
      <c r="D1675" s="7" t="str">
        <f aca="false">'Raw Data'!D1675</f>
        <v>Current</v>
      </c>
      <c r="E1675" s="7" t="str">
        <f aca="false">'Raw Data'!J1675</f>
        <v>High</v>
      </c>
      <c r="F1675" s="7" t="n">
        <f aca="false">'Raw Data'!K1675</f>
        <v>139.1</v>
      </c>
      <c r="G1675" s="7" t="str">
        <f aca="false">'Raw Data'!L1675</f>
        <v>No</v>
      </c>
      <c r="H1675" s="7" t="str">
        <f aca="false">'Raw Data'!M1675</f>
        <v>Low</v>
      </c>
      <c r="I1675" s="7" t="n">
        <f aca="false">(IF(D1675="Current",3,IF(D1675="Former",1,0)))+(IF(E1675="High",3,IF(E1675="Normal",1,0)))+(IF(F1675&gt;=240,2,IF(F1675&gt;=200,1,0)))+(IF(G1675="Yes",2,0))+(IF(H1675="High",2,IF(H1675="Moderate",1,0)))</f>
        <v>6</v>
      </c>
      <c r="J1675" s="7" t="str">
        <f aca="false">IF(I1675&gt;=8,"High",IF(I1675&gt;=4,"Medium","Low"))</f>
        <v>Medium</v>
      </c>
    </row>
    <row r="1676" customFormat="false" ht="15" hidden="false" customHeight="true" outlineLevel="0" collapsed="false">
      <c r="A1676" s="7" t="n">
        <f aca="false">'Raw Data'!A1676</f>
        <v>702</v>
      </c>
      <c r="B1676" s="7" t="n">
        <f aca="false">'Raw Data'!B1676</f>
        <v>20</v>
      </c>
      <c r="C1676" s="7" t="str">
        <f aca="false">'Raw Data'!C1676</f>
        <v>Female</v>
      </c>
      <c r="D1676" s="7" t="str">
        <f aca="false">'Raw Data'!D1676</f>
        <v>Current</v>
      </c>
      <c r="E1676" s="7" t="str">
        <f aca="false">'Raw Data'!J1676</f>
        <v>High</v>
      </c>
      <c r="F1676" s="7" t="n">
        <f aca="false">'Raw Data'!K1676</f>
        <v>182.2</v>
      </c>
      <c r="G1676" s="7" t="str">
        <f aca="false">'Raw Data'!L1676</f>
        <v>No</v>
      </c>
      <c r="H1676" s="7" t="str">
        <f aca="false">'Raw Data'!M1676</f>
        <v>Low</v>
      </c>
      <c r="I1676" s="7" t="n">
        <f aca="false">(IF(D1676="Current",3,IF(D1676="Former",1,0)))+(IF(E1676="High",3,IF(E1676="Normal",1,0)))+(IF(F1676&gt;=240,2,IF(F1676&gt;=200,1,0)))+(IF(G1676="Yes",2,0))+(IF(H1676="High",2,IF(H1676="Moderate",1,0)))</f>
        <v>6</v>
      </c>
      <c r="J1676" s="7" t="str">
        <f aca="false">IF(I1676&gt;=8,"High",IF(I1676&gt;=4,"Medium","Low"))</f>
        <v>Medium</v>
      </c>
    </row>
    <row r="1677" customFormat="false" ht="15" hidden="false" customHeight="true" outlineLevel="0" collapsed="false">
      <c r="A1677" s="7" t="n">
        <f aca="false">'Raw Data'!A1677</f>
        <v>707</v>
      </c>
      <c r="B1677" s="7" t="n">
        <f aca="false">'Raw Data'!B1677</f>
        <v>38</v>
      </c>
      <c r="C1677" s="7" t="str">
        <f aca="false">'Raw Data'!C1677</f>
        <v>Male</v>
      </c>
      <c r="D1677" s="7" t="str">
        <f aca="false">'Raw Data'!D1677</f>
        <v>Current</v>
      </c>
      <c r="E1677" s="7" t="str">
        <f aca="false">'Raw Data'!J1677</f>
        <v>High</v>
      </c>
      <c r="F1677" s="7" t="n">
        <f aca="false">'Raw Data'!K1677</f>
        <v>189</v>
      </c>
      <c r="G1677" s="7" t="str">
        <f aca="false">'Raw Data'!L1677</f>
        <v>No</v>
      </c>
      <c r="H1677" s="7" t="str">
        <f aca="false">'Raw Data'!M1677</f>
        <v>Low</v>
      </c>
      <c r="I1677" s="7" t="n">
        <f aca="false">(IF(D1677="Current",3,IF(D1677="Former",1,0)))+(IF(E1677="High",3,IF(E1677="Normal",1,0)))+(IF(F1677&gt;=240,2,IF(F1677&gt;=200,1,0)))+(IF(G1677="Yes",2,0))+(IF(H1677="High",2,IF(H1677="Moderate",1,0)))</f>
        <v>6</v>
      </c>
      <c r="J1677" s="7" t="str">
        <f aca="false">IF(I1677&gt;=8,"High",IF(I1677&gt;=4,"Medium","Low"))</f>
        <v>Medium</v>
      </c>
    </row>
    <row r="1678" customFormat="false" ht="15" hidden="false" customHeight="true" outlineLevel="0" collapsed="false">
      <c r="A1678" s="7" t="n">
        <f aca="false">'Raw Data'!A1678</f>
        <v>726</v>
      </c>
      <c r="B1678" s="7" t="n">
        <f aca="false">'Raw Data'!B1678</f>
        <v>21</v>
      </c>
      <c r="C1678" s="7" t="str">
        <f aca="false">'Raw Data'!C1678</f>
        <v>Male</v>
      </c>
      <c r="D1678" s="7" t="str">
        <f aca="false">'Raw Data'!D1678</f>
        <v>Current</v>
      </c>
      <c r="E1678" s="7" t="str">
        <f aca="false">'Raw Data'!J1678</f>
        <v>High</v>
      </c>
      <c r="F1678" s="7" t="n">
        <f aca="false">'Raw Data'!K1678</f>
        <v>171.2</v>
      </c>
      <c r="G1678" s="7" t="str">
        <f aca="false">'Raw Data'!L1678</f>
        <v>No</v>
      </c>
      <c r="H1678" s="7" t="str">
        <f aca="false">'Raw Data'!M1678</f>
        <v>Low</v>
      </c>
      <c r="I1678" s="7" t="n">
        <f aca="false">(IF(D1678="Current",3,IF(D1678="Former",1,0)))+(IF(E1678="High",3,IF(E1678="Normal",1,0)))+(IF(F1678&gt;=240,2,IF(F1678&gt;=200,1,0)))+(IF(G1678="Yes",2,0))+(IF(H1678="High",2,IF(H1678="Moderate",1,0)))</f>
        <v>6</v>
      </c>
      <c r="J1678" s="7" t="str">
        <f aca="false">IF(I1678&gt;=8,"High",IF(I1678&gt;=4,"Medium","Low"))</f>
        <v>Medium</v>
      </c>
    </row>
    <row r="1679" customFormat="false" ht="15" hidden="false" customHeight="true" outlineLevel="0" collapsed="false">
      <c r="A1679" s="7" t="n">
        <f aca="false">'Raw Data'!A1679</f>
        <v>730</v>
      </c>
      <c r="B1679" s="7" t="n">
        <f aca="false">'Raw Data'!B1679</f>
        <v>64</v>
      </c>
      <c r="C1679" s="7" t="str">
        <f aca="false">'Raw Data'!C1679</f>
        <v>Male</v>
      </c>
      <c r="D1679" s="7" t="str">
        <f aca="false">'Raw Data'!D1679</f>
        <v>Current</v>
      </c>
      <c r="E1679" s="7" t="str">
        <f aca="false">'Raw Data'!J1679</f>
        <v>High</v>
      </c>
      <c r="F1679" s="7" t="n">
        <f aca="false">'Raw Data'!K1679</f>
        <v>142.7</v>
      </c>
      <c r="G1679" s="7" t="str">
        <f aca="false">'Raw Data'!L1679</f>
        <v>Yes</v>
      </c>
      <c r="H1679" s="7" t="str">
        <f aca="false">'Raw Data'!M1679</f>
        <v>Low</v>
      </c>
      <c r="I1679" s="7" t="n">
        <f aca="false">(IF(D1679="Current",3,IF(D1679="Former",1,0)))+(IF(E1679="High",3,IF(E1679="Normal",1,0)))+(IF(F1679&gt;=240,2,IF(F1679&gt;=200,1,0)))+(IF(G1679="Yes",2,0))+(IF(H1679="High",2,IF(H1679="Moderate",1,0)))</f>
        <v>8</v>
      </c>
      <c r="J1679" s="7" t="str">
        <f aca="false">IF(I1679&gt;=8,"High",IF(I1679&gt;=4,"Medium","Low"))</f>
        <v>High</v>
      </c>
    </row>
    <row r="1680" customFormat="false" ht="15" hidden="false" customHeight="true" outlineLevel="0" collapsed="false">
      <c r="A1680" s="7" t="n">
        <f aca="false">'Raw Data'!A1680</f>
        <v>751</v>
      </c>
      <c r="B1680" s="7" t="n">
        <f aca="false">'Raw Data'!B1680</f>
        <v>46</v>
      </c>
      <c r="C1680" s="7" t="str">
        <f aca="false">'Raw Data'!C1680</f>
        <v>Male</v>
      </c>
      <c r="D1680" s="7" t="str">
        <f aca="false">'Raw Data'!D1680</f>
        <v>Current</v>
      </c>
      <c r="E1680" s="7" t="str">
        <f aca="false">'Raw Data'!J1680</f>
        <v>High</v>
      </c>
      <c r="F1680" s="7" t="n">
        <f aca="false">'Raw Data'!K1680</f>
        <v>145.2</v>
      </c>
      <c r="G1680" s="7" t="str">
        <f aca="false">'Raw Data'!L1680</f>
        <v>No</v>
      </c>
      <c r="H1680" s="7" t="str">
        <f aca="false">'Raw Data'!M1680</f>
        <v>Low</v>
      </c>
      <c r="I1680" s="7" t="n">
        <f aca="false">(IF(D1680="Current",3,IF(D1680="Former",1,0)))+(IF(E1680="High",3,IF(E1680="Normal",1,0)))+(IF(F1680&gt;=240,2,IF(F1680&gt;=200,1,0)))+(IF(G1680="Yes",2,0))+(IF(H1680="High",2,IF(H1680="Moderate",1,0)))</f>
        <v>6</v>
      </c>
      <c r="J1680" s="7" t="str">
        <f aca="false">IF(I1680&gt;=8,"High",IF(I1680&gt;=4,"Medium","Low"))</f>
        <v>Medium</v>
      </c>
    </row>
    <row r="1681" customFormat="false" ht="15" hidden="false" customHeight="true" outlineLevel="0" collapsed="false">
      <c r="A1681" s="7" t="n">
        <f aca="false">'Raw Data'!A1681</f>
        <v>767</v>
      </c>
      <c r="B1681" s="7" t="n">
        <f aca="false">'Raw Data'!B1681</f>
        <v>62</v>
      </c>
      <c r="C1681" s="7" t="str">
        <f aca="false">'Raw Data'!C1681</f>
        <v>Male</v>
      </c>
      <c r="D1681" s="7" t="str">
        <f aca="false">'Raw Data'!D1681</f>
        <v>Current</v>
      </c>
      <c r="E1681" s="7" t="str">
        <f aca="false">'Raw Data'!J1681</f>
        <v>High</v>
      </c>
      <c r="F1681" s="7" t="n">
        <f aca="false">'Raw Data'!K1681</f>
        <v>286</v>
      </c>
      <c r="G1681" s="7" t="str">
        <f aca="false">'Raw Data'!L1681</f>
        <v>Yes</v>
      </c>
      <c r="H1681" s="7" t="str">
        <f aca="false">'Raw Data'!M1681</f>
        <v>Low</v>
      </c>
      <c r="I1681" s="7" t="n">
        <f aca="false">(IF(D1681="Current",3,IF(D1681="Former",1,0)))+(IF(E1681="High",3,IF(E1681="Normal",1,0)))+(IF(F1681&gt;=240,2,IF(F1681&gt;=200,1,0)))+(IF(G1681="Yes",2,0))+(IF(H1681="High",2,IF(H1681="Moderate",1,0)))</f>
        <v>10</v>
      </c>
      <c r="J1681" s="7" t="str">
        <f aca="false">IF(I1681&gt;=8,"High",IF(I1681&gt;=4,"Medium","Low"))</f>
        <v>High</v>
      </c>
    </row>
    <row r="1682" customFormat="false" ht="15" hidden="false" customHeight="true" outlineLevel="0" collapsed="false">
      <c r="A1682" s="7" t="n">
        <f aca="false">'Raw Data'!A1682</f>
        <v>770</v>
      </c>
      <c r="B1682" s="7" t="n">
        <f aca="false">'Raw Data'!B1682</f>
        <v>47</v>
      </c>
      <c r="C1682" s="7" t="str">
        <f aca="false">'Raw Data'!C1682</f>
        <v>Male</v>
      </c>
      <c r="D1682" s="7" t="str">
        <f aca="false">'Raw Data'!D1682</f>
        <v>Current</v>
      </c>
      <c r="E1682" s="7" t="str">
        <f aca="false">'Raw Data'!J1682</f>
        <v>High</v>
      </c>
      <c r="F1682" s="7" t="n">
        <f aca="false">'Raw Data'!K1682</f>
        <v>194.7</v>
      </c>
      <c r="G1682" s="7" t="str">
        <f aca="false">'Raw Data'!L1682</f>
        <v>No</v>
      </c>
      <c r="H1682" s="7" t="str">
        <f aca="false">'Raw Data'!M1682</f>
        <v>Low</v>
      </c>
      <c r="I1682" s="7" t="n">
        <f aca="false">(IF(D1682="Current",3,IF(D1682="Former",1,0)))+(IF(E1682="High",3,IF(E1682="Normal",1,0)))+(IF(F1682&gt;=240,2,IF(F1682&gt;=200,1,0)))+(IF(G1682="Yes",2,0))+(IF(H1682="High",2,IF(H1682="Moderate",1,0)))</f>
        <v>6</v>
      </c>
      <c r="J1682" s="7" t="str">
        <f aca="false">IF(I1682&gt;=8,"High",IF(I1682&gt;=4,"Medium","Low"))</f>
        <v>Medium</v>
      </c>
    </row>
    <row r="1683" customFormat="false" ht="15" hidden="false" customHeight="true" outlineLevel="0" collapsed="false">
      <c r="A1683" s="7" t="n">
        <f aca="false">'Raw Data'!A1683</f>
        <v>836</v>
      </c>
      <c r="B1683" s="7" t="n">
        <f aca="false">'Raw Data'!B1683</f>
        <v>75</v>
      </c>
      <c r="C1683" s="7" t="str">
        <f aca="false">'Raw Data'!C1683</f>
        <v>Female</v>
      </c>
      <c r="D1683" s="7" t="str">
        <f aca="false">'Raw Data'!D1683</f>
        <v>Current</v>
      </c>
      <c r="E1683" s="7" t="str">
        <f aca="false">'Raw Data'!J1683</f>
        <v>High</v>
      </c>
      <c r="F1683" s="7" t="n">
        <f aca="false">'Raw Data'!K1683</f>
        <v>254.4</v>
      </c>
      <c r="G1683" s="7" t="str">
        <f aca="false">'Raw Data'!L1683</f>
        <v>No</v>
      </c>
      <c r="H1683" s="7" t="str">
        <f aca="false">'Raw Data'!M1683</f>
        <v>Low</v>
      </c>
      <c r="I1683" s="7" t="n">
        <f aca="false">(IF(D1683="Current",3,IF(D1683="Former",1,0)))+(IF(E1683="High",3,IF(E1683="Normal",1,0)))+(IF(F1683&gt;=240,2,IF(F1683&gt;=200,1,0)))+(IF(G1683="Yes",2,0))+(IF(H1683="High",2,IF(H1683="Moderate",1,0)))</f>
        <v>8</v>
      </c>
      <c r="J1683" s="7" t="str">
        <f aca="false">IF(I1683&gt;=8,"High",IF(I1683&gt;=4,"Medium","Low"))</f>
        <v>High</v>
      </c>
    </row>
    <row r="1684" customFormat="false" ht="15" hidden="false" customHeight="true" outlineLevel="0" collapsed="false">
      <c r="A1684" s="7" t="n">
        <f aca="false">'Raw Data'!A1684</f>
        <v>858</v>
      </c>
      <c r="B1684" s="7" t="n">
        <f aca="false">'Raw Data'!B1684</f>
        <v>86</v>
      </c>
      <c r="C1684" s="7" t="str">
        <f aca="false">'Raw Data'!C1684</f>
        <v>Female</v>
      </c>
      <c r="D1684" s="7" t="str">
        <f aca="false">'Raw Data'!D1684</f>
        <v>Current</v>
      </c>
      <c r="E1684" s="7" t="str">
        <f aca="false">'Raw Data'!J1684</f>
        <v>High</v>
      </c>
      <c r="F1684" s="7" t="n">
        <f aca="false">'Raw Data'!K1684</f>
        <v>264.5</v>
      </c>
      <c r="G1684" s="7" t="str">
        <f aca="false">'Raw Data'!L1684</f>
        <v>No</v>
      </c>
      <c r="H1684" s="7" t="str">
        <f aca="false">'Raw Data'!M1684</f>
        <v>Low</v>
      </c>
      <c r="I1684" s="7" t="n">
        <f aca="false">(IF(D1684="Current",3,IF(D1684="Former",1,0)))+(IF(E1684="High",3,IF(E1684="Normal",1,0)))+(IF(F1684&gt;=240,2,IF(F1684&gt;=200,1,0)))+(IF(G1684="Yes",2,0))+(IF(H1684="High",2,IF(H1684="Moderate",1,0)))</f>
        <v>8</v>
      </c>
      <c r="J1684" s="7" t="str">
        <f aca="false">IF(I1684&gt;=8,"High",IF(I1684&gt;=4,"Medium","Low"))</f>
        <v>High</v>
      </c>
    </row>
    <row r="1685" customFormat="false" ht="15" hidden="false" customHeight="true" outlineLevel="0" collapsed="false">
      <c r="A1685" s="7" t="n">
        <f aca="false">'Raw Data'!A1685</f>
        <v>860</v>
      </c>
      <c r="B1685" s="7" t="n">
        <f aca="false">'Raw Data'!B1685</f>
        <v>59</v>
      </c>
      <c r="C1685" s="7" t="str">
        <f aca="false">'Raw Data'!C1685</f>
        <v>Female</v>
      </c>
      <c r="D1685" s="7" t="str">
        <f aca="false">'Raw Data'!D1685</f>
        <v>Current</v>
      </c>
      <c r="E1685" s="7" t="str">
        <f aca="false">'Raw Data'!J1685</f>
        <v>High</v>
      </c>
      <c r="F1685" s="7" t="n">
        <f aca="false">'Raw Data'!K1685</f>
        <v>199.9</v>
      </c>
      <c r="G1685" s="7" t="str">
        <f aca="false">'Raw Data'!L1685</f>
        <v>Yes</v>
      </c>
      <c r="H1685" s="7" t="str">
        <f aca="false">'Raw Data'!M1685</f>
        <v>Low</v>
      </c>
      <c r="I1685" s="7" t="n">
        <f aca="false">(IF(D1685="Current",3,IF(D1685="Former",1,0)))+(IF(E1685="High",3,IF(E1685="Normal",1,0)))+(IF(F1685&gt;=240,2,IF(F1685&gt;=200,1,0)))+(IF(G1685="Yes",2,0))+(IF(H1685="High",2,IF(H1685="Moderate",1,0)))</f>
        <v>8</v>
      </c>
      <c r="J1685" s="7" t="str">
        <f aca="false">IF(I1685&gt;=8,"High",IF(I1685&gt;=4,"Medium","Low"))</f>
        <v>High</v>
      </c>
    </row>
    <row r="1686" customFormat="false" ht="15" hidden="false" customHeight="true" outlineLevel="0" collapsed="false">
      <c r="A1686" s="7" t="n">
        <f aca="false">'Raw Data'!A1686</f>
        <v>885</v>
      </c>
      <c r="B1686" s="7" t="n">
        <f aca="false">'Raw Data'!B1686</f>
        <v>84</v>
      </c>
      <c r="C1686" s="7" t="str">
        <f aca="false">'Raw Data'!C1686</f>
        <v>Male</v>
      </c>
      <c r="D1686" s="7" t="str">
        <f aca="false">'Raw Data'!D1686</f>
        <v>Current</v>
      </c>
      <c r="E1686" s="7" t="str">
        <f aca="false">'Raw Data'!J1686</f>
        <v>High</v>
      </c>
      <c r="F1686" s="7" t="n">
        <f aca="false">'Raw Data'!K1686</f>
        <v>246.5</v>
      </c>
      <c r="G1686" s="7" t="str">
        <f aca="false">'Raw Data'!L1686</f>
        <v>Yes</v>
      </c>
      <c r="H1686" s="7" t="str">
        <f aca="false">'Raw Data'!M1686</f>
        <v>Low</v>
      </c>
      <c r="I1686" s="7" t="n">
        <f aca="false">(IF(D1686="Current",3,IF(D1686="Former",1,0)))+(IF(E1686="High",3,IF(E1686="Normal",1,0)))+(IF(F1686&gt;=240,2,IF(F1686&gt;=200,1,0)))+(IF(G1686="Yes",2,0))+(IF(H1686="High",2,IF(H1686="Moderate",1,0)))</f>
        <v>10</v>
      </c>
      <c r="J1686" s="7" t="str">
        <f aca="false">IF(I1686&gt;=8,"High",IF(I1686&gt;=4,"Medium","Low"))</f>
        <v>High</v>
      </c>
    </row>
    <row r="1687" customFormat="false" ht="15" hidden="false" customHeight="true" outlineLevel="0" collapsed="false">
      <c r="A1687" s="7" t="n">
        <f aca="false">'Raw Data'!A1687</f>
        <v>891</v>
      </c>
      <c r="B1687" s="7" t="n">
        <f aca="false">'Raw Data'!B1687</f>
        <v>64</v>
      </c>
      <c r="C1687" s="7" t="str">
        <f aca="false">'Raw Data'!C1687</f>
        <v>Male</v>
      </c>
      <c r="D1687" s="7" t="str">
        <f aca="false">'Raw Data'!D1687</f>
        <v>Current</v>
      </c>
      <c r="E1687" s="7" t="str">
        <f aca="false">'Raw Data'!J1687</f>
        <v>High</v>
      </c>
      <c r="F1687" s="7" t="n">
        <f aca="false">'Raw Data'!K1687</f>
        <v>284.5</v>
      </c>
      <c r="G1687" s="7" t="str">
        <f aca="false">'Raw Data'!L1687</f>
        <v>No</v>
      </c>
      <c r="H1687" s="7" t="str">
        <f aca="false">'Raw Data'!M1687</f>
        <v>Low</v>
      </c>
      <c r="I1687" s="7" t="n">
        <f aca="false">(IF(D1687="Current",3,IF(D1687="Former",1,0)))+(IF(E1687="High",3,IF(E1687="Normal",1,0)))+(IF(F1687&gt;=240,2,IF(F1687&gt;=200,1,0)))+(IF(G1687="Yes",2,0))+(IF(H1687="High",2,IF(H1687="Moderate",1,0)))</f>
        <v>8</v>
      </c>
      <c r="J1687" s="7" t="str">
        <f aca="false">IF(I1687&gt;=8,"High",IF(I1687&gt;=4,"Medium","Low"))</f>
        <v>High</v>
      </c>
    </row>
    <row r="1688" customFormat="false" ht="15" hidden="false" customHeight="true" outlineLevel="0" collapsed="false">
      <c r="A1688" s="7" t="n">
        <f aca="false">'Raw Data'!A1688</f>
        <v>902</v>
      </c>
      <c r="B1688" s="7" t="n">
        <f aca="false">'Raw Data'!B1688</f>
        <v>28</v>
      </c>
      <c r="C1688" s="7" t="str">
        <f aca="false">'Raw Data'!C1688</f>
        <v>Male</v>
      </c>
      <c r="D1688" s="7" t="str">
        <f aca="false">'Raw Data'!D1688</f>
        <v>Current</v>
      </c>
      <c r="E1688" s="7" t="str">
        <f aca="false">'Raw Data'!J1688</f>
        <v>High</v>
      </c>
      <c r="F1688" s="7" t="n">
        <f aca="false">'Raw Data'!K1688</f>
        <v>267.2</v>
      </c>
      <c r="G1688" s="7" t="str">
        <f aca="false">'Raw Data'!L1688</f>
        <v>No</v>
      </c>
      <c r="H1688" s="7" t="str">
        <f aca="false">'Raw Data'!M1688</f>
        <v>Low</v>
      </c>
      <c r="I1688" s="7" t="n">
        <f aca="false">(IF(D1688="Current",3,IF(D1688="Former",1,0)))+(IF(E1688="High",3,IF(E1688="Normal",1,0)))+(IF(F1688&gt;=240,2,IF(F1688&gt;=200,1,0)))+(IF(G1688="Yes",2,0))+(IF(H1688="High",2,IF(H1688="Moderate",1,0)))</f>
        <v>8</v>
      </c>
      <c r="J1688" s="7" t="str">
        <f aca="false">IF(I1688&gt;=8,"High",IF(I1688&gt;=4,"Medium","Low"))</f>
        <v>High</v>
      </c>
    </row>
    <row r="1689" customFormat="false" ht="15" hidden="false" customHeight="true" outlineLevel="0" collapsed="false">
      <c r="A1689" s="7" t="n">
        <f aca="false">'Raw Data'!A1689</f>
        <v>905</v>
      </c>
      <c r="B1689" s="7" t="n">
        <f aca="false">'Raw Data'!B1689</f>
        <v>74</v>
      </c>
      <c r="C1689" s="7" t="str">
        <f aca="false">'Raw Data'!C1689</f>
        <v>Male</v>
      </c>
      <c r="D1689" s="7" t="str">
        <f aca="false">'Raw Data'!D1689</f>
        <v>Current</v>
      </c>
      <c r="E1689" s="7" t="str">
        <f aca="false">'Raw Data'!J1689</f>
        <v>High</v>
      </c>
      <c r="F1689" s="7" t="n">
        <f aca="false">'Raw Data'!K1689</f>
        <v>231</v>
      </c>
      <c r="G1689" s="7" t="str">
        <f aca="false">'Raw Data'!L1689</f>
        <v>No</v>
      </c>
      <c r="H1689" s="7" t="str">
        <f aca="false">'Raw Data'!M1689</f>
        <v>Low</v>
      </c>
      <c r="I1689" s="7" t="n">
        <f aca="false">(IF(D1689="Current",3,IF(D1689="Former",1,0)))+(IF(E1689="High",3,IF(E1689="Normal",1,0)))+(IF(F1689&gt;=240,2,IF(F1689&gt;=200,1,0)))+(IF(G1689="Yes",2,0))+(IF(H1689="High",2,IF(H1689="Moderate",1,0)))</f>
        <v>7</v>
      </c>
      <c r="J1689" s="7" t="str">
        <f aca="false">IF(I1689&gt;=8,"High",IF(I1689&gt;=4,"Medium","Low"))</f>
        <v>Medium</v>
      </c>
    </row>
    <row r="1690" customFormat="false" ht="15" hidden="false" customHeight="true" outlineLevel="0" collapsed="false">
      <c r="A1690" s="7" t="n">
        <f aca="false">'Raw Data'!A1690</f>
        <v>950</v>
      </c>
      <c r="B1690" s="7" t="n">
        <f aca="false">'Raw Data'!B1690</f>
        <v>33</v>
      </c>
      <c r="C1690" s="7" t="str">
        <f aca="false">'Raw Data'!C1690</f>
        <v>Male</v>
      </c>
      <c r="D1690" s="7" t="str">
        <f aca="false">'Raw Data'!D1690</f>
        <v>Current</v>
      </c>
      <c r="E1690" s="7" t="str">
        <f aca="false">'Raw Data'!J1690</f>
        <v>High</v>
      </c>
      <c r="F1690" s="7" t="n">
        <f aca="false">'Raw Data'!K1690</f>
        <v>174.9</v>
      </c>
      <c r="G1690" s="7" t="str">
        <f aca="false">'Raw Data'!L1690</f>
        <v>No</v>
      </c>
      <c r="H1690" s="7" t="str">
        <f aca="false">'Raw Data'!M1690</f>
        <v>Low</v>
      </c>
      <c r="I1690" s="7" t="n">
        <f aca="false">(IF(D1690="Current",3,IF(D1690="Former",1,0)))+(IF(E1690="High",3,IF(E1690="Normal",1,0)))+(IF(F1690&gt;=240,2,IF(F1690&gt;=200,1,0)))+(IF(G1690="Yes",2,0))+(IF(H1690="High",2,IF(H1690="Moderate",1,0)))</f>
        <v>6</v>
      </c>
      <c r="J1690" s="7" t="str">
        <f aca="false">IF(I1690&gt;=8,"High",IF(I1690&gt;=4,"Medium","Low"))</f>
        <v>Medium</v>
      </c>
    </row>
    <row r="1691" customFormat="false" ht="15" hidden="false" customHeight="true" outlineLevel="0" collapsed="false">
      <c r="A1691" s="7" t="n">
        <f aca="false">'Raw Data'!A1691</f>
        <v>961</v>
      </c>
      <c r="B1691" s="7" t="n">
        <f aca="false">'Raw Data'!B1691</f>
        <v>38</v>
      </c>
      <c r="C1691" s="7" t="str">
        <f aca="false">'Raw Data'!C1691</f>
        <v>Female</v>
      </c>
      <c r="D1691" s="7" t="str">
        <f aca="false">'Raw Data'!D1691</f>
        <v>Current</v>
      </c>
      <c r="E1691" s="7" t="str">
        <f aca="false">'Raw Data'!J1691</f>
        <v>High</v>
      </c>
      <c r="F1691" s="7" t="n">
        <f aca="false">'Raw Data'!K1691</f>
        <v>209.3</v>
      </c>
      <c r="G1691" s="7" t="str">
        <f aca="false">'Raw Data'!L1691</f>
        <v>No</v>
      </c>
      <c r="H1691" s="7" t="str">
        <f aca="false">'Raw Data'!M1691</f>
        <v>Low</v>
      </c>
      <c r="I1691" s="7" t="n">
        <f aca="false">(IF(D1691="Current",3,IF(D1691="Former",1,0)))+(IF(E1691="High",3,IF(E1691="Normal",1,0)))+(IF(F1691&gt;=240,2,IF(F1691&gt;=200,1,0)))+(IF(G1691="Yes",2,0))+(IF(H1691="High",2,IF(H1691="Moderate",1,0)))</f>
        <v>7</v>
      </c>
      <c r="J1691" s="7" t="str">
        <f aca="false">IF(I1691&gt;=8,"High",IF(I1691&gt;=4,"Medium","Low"))</f>
        <v>Medium</v>
      </c>
    </row>
    <row r="1692" customFormat="false" ht="15" hidden="false" customHeight="true" outlineLevel="0" collapsed="false">
      <c r="A1692" s="7" t="n">
        <f aca="false">'Raw Data'!A1692</f>
        <v>1013</v>
      </c>
      <c r="B1692" s="7" t="n">
        <f aca="false">'Raw Data'!B1692</f>
        <v>80</v>
      </c>
      <c r="C1692" s="7" t="str">
        <f aca="false">'Raw Data'!C1692</f>
        <v>Male</v>
      </c>
      <c r="D1692" s="7" t="str">
        <f aca="false">'Raw Data'!D1692</f>
        <v>Current</v>
      </c>
      <c r="E1692" s="7" t="str">
        <f aca="false">'Raw Data'!J1692</f>
        <v>High</v>
      </c>
      <c r="F1692" s="7" t="n">
        <f aca="false">'Raw Data'!K1692</f>
        <v>231.2</v>
      </c>
      <c r="G1692" s="7" t="str">
        <f aca="false">'Raw Data'!L1692</f>
        <v>No</v>
      </c>
      <c r="H1692" s="7" t="str">
        <f aca="false">'Raw Data'!M1692</f>
        <v>Low</v>
      </c>
      <c r="I1692" s="7" t="n">
        <f aca="false">(IF(D1692="Current",3,IF(D1692="Former",1,0)))+(IF(E1692="High",3,IF(E1692="Normal",1,0)))+(IF(F1692&gt;=240,2,IF(F1692&gt;=200,1,0)))+(IF(G1692="Yes",2,0))+(IF(H1692="High",2,IF(H1692="Moderate",1,0)))</f>
        <v>7</v>
      </c>
      <c r="J1692" s="7" t="str">
        <f aca="false">IF(I1692&gt;=8,"High",IF(I1692&gt;=4,"Medium","Low"))</f>
        <v>Medium</v>
      </c>
    </row>
    <row r="1693" customFormat="false" ht="15" hidden="false" customHeight="true" outlineLevel="0" collapsed="false">
      <c r="A1693" s="7" t="n">
        <f aca="false">'Raw Data'!A1693</f>
        <v>1033</v>
      </c>
      <c r="B1693" s="7" t="n">
        <f aca="false">'Raw Data'!B1693</f>
        <v>83</v>
      </c>
      <c r="C1693" s="7" t="str">
        <f aca="false">'Raw Data'!C1693</f>
        <v>Male</v>
      </c>
      <c r="D1693" s="7" t="str">
        <f aca="false">'Raw Data'!D1693</f>
        <v>Current</v>
      </c>
      <c r="E1693" s="7" t="str">
        <f aca="false">'Raw Data'!J1693</f>
        <v>High</v>
      </c>
      <c r="F1693" s="7" t="n">
        <f aca="false">'Raw Data'!K1693</f>
        <v>175.7</v>
      </c>
      <c r="G1693" s="7" t="str">
        <f aca="false">'Raw Data'!L1693</f>
        <v>No</v>
      </c>
      <c r="H1693" s="7" t="str">
        <f aca="false">'Raw Data'!M1693</f>
        <v>Low</v>
      </c>
      <c r="I1693" s="7" t="n">
        <f aca="false">(IF(D1693="Current",3,IF(D1693="Former",1,0)))+(IF(E1693="High",3,IF(E1693="Normal",1,0)))+(IF(F1693&gt;=240,2,IF(F1693&gt;=200,1,0)))+(IF(G1693="Yes",2,0))+(IF(H1693="High",2,IF(H1693="Moderate",1,0)))</f>
        <v>6</v>
      </c>
      <c r="J1693" s="7" t="str">
        <f aca="false">IF(I1693&gt;=8,"High",IF(I1693&gt;=4,"Medium","Low"))</f>
        <v>Medium</v>
      </c>
    </row>
    <row r="1694" customFormat="false" ht="15" hidden="false" customHeight="true" outlineLevel="0" collapsed="false">
      <c r="A1694" s="7" t="n">
        <f aca="false">'Raw Data'!A1694</f>
        <v>1058</v>
      </c>
      <c r="B1694" s="7" t="n">
        <f aca="false">'Raw Data'!B1694</f>
        <v>65</v>
      </c>
      <c r="C1694" s="7" t="str">
        <f aca="false">'Raw Data'!C1694</f>
        <v>Female</v>
      </c>
      <c r="D1694" s="7" t="str">
        <f aca="false">'Raw Data'!D1694</f>
        <v>Current</v>
      </c>
      <c r="E1694" s="7" t="str">
        <f aca="false">'Raw Data'!J1694</f>
        <v>High</v>
      </c>
      <c r="F1694" s="7" t="n">
        <f aca="false">'Raw Data'!K1694</f>
        <v>121.8</v>
      </c>
      <c r="G1694" s="7" t="str">
        <f aca="false">'Raw Data'!L1694</f>
        <v>No</v>
      </c>
      <c r="H1694" s="7" t="str">
        <f aca="false">'Raw Data'!M1694</f>
        <v>Low</v>
      </c>
      <c r="I1694" s="7" t="n">
        <f aca="false">(IF(D1694="Current",3,IF(D1694="Former",1,0)))+(IF(E1694="High",3,IF(E1694="Normal",1,0)))+(IF(F1694&gt;=240,2,IF(F1694&gt;=200,1,0)))+(IF(G1694="Yes",2,0))+(IF(H1694="High",2,IF(H1694="Moderate",1,0)))</f>
        <v>6</v>
      </c>
      <c r="J1694" s="7" t="str">
        <f aca="false">IF(I1694&gt;=8,"High",IF(I1694&gt;=4,"Medium","Low"))</f>
        <v>Medium</v>
      </c>
    </row>
    <row r="1695" customFormat="false" ht="15" hidden="false" customHeight="true" outlineLevel="0" collapsed="false">
      <c r="A1695" s="7" t="n">
        <f aca="false">'Raw Data'!A1695</f>
        <v>1071</v>
      </c>
      <c r="B1695" s="7" t="n">
        <f aca="false">'Raw Data'!B1695</f>
        <v>66</v>
      </c>
      <c r="C1695" s="7" t="str">
        <f aca="false">'Raw Data'!C1695</f>
        <v>Female</v>
      </c>
      <c r="D1695" s="7" t="str">
        <f aca="false">'Raw Data'!D1695</f>
        <v>Current</v>
      </c>
      <c r="E1695" s="7" t="str">
        <f aca="false">'Raw Data'!J1695</f>
        <v>High</v>
      </c>
      <c r="F1695" s="7" t="n">
        <f aca="false">'Raw Data'!K1695</f>
        <v>257.2</v>
      </c>
      <c r="G1695" s="7" t="str">
        <f aca="false">'Raw Data'!L1695</f>
        <v>No</v>
      </c>
      <c r="H1695" s="7" t="str">
        <f aca="false">'Raw Data'!M1695</f>
        <v>Low</v>
      </c>
      <c r="I1695" s="7" t="n">
        <f aca="false">(IF(D1695="Current",3,IF(D1695="Former",1,0)))+(IF(E1695="High",3,IF(E1695="Normal",1,0)))+(IF(F1695&gt;=240,2,IF(F1695&gt;=200,1,0)))+(IF(G1695="Yes",2,0))+(IF(H1695="High",2,IF(H1695="Moderate",1,0)))</f>
        <v>8</v>
      </c>
      <c r="J1695" s="7" t="str">
        <f aca="false">IF(I1695&gt;=8,"High",IF(I1695&gt;=4,"Medium","Low"))</f>
        <v>High</v>
      </c>
    </row>
    <row r="1696" customFormat="false" ht="15" hidden="false" customHeight="true" outlineLevel="0" collapsed="false">
      <c r="A1696" s="7" t="n">
        <f aca="false">'Raw Data'!A1696</f>
        <v>1121</v>
      </c>
      <c r="B1696" s="7" t="n">
        <f aca="false">'Raw Data'!B1696</f>
        <v>86</v>
      </c>
      <c r="C1696" s="7" t="str">
        <f aca="false">'Raw Data'!C1696</f>
        <v>Male</v>
      </c>
      <c r="D1696" s="7" t="str">
        <f aca="false">'Raw Data'!D1696</f>
        <v>Current</v>
      </c>
      <c r="E1696" s="7" t="str">
        <f aca="false">'Raw Data'!J1696</f>
        <v>High</v>
      </c>
      <c r="F1696" s="7" t="n">
        <f aca="false">'Raw Data'!K1696</f>
        <v>299.6</v>
      </c>
      <c r="G1696" s="7" t="str">
        <f aca="false">'Raw Data'!L1696</f>
        <v>Yes</v>
      </c>
      <c r="H1696" s="7" t="str">
        <f aca="false">'Raw Data'!M1696</f>
        <v>Low</v>
      </c>
      <c r="I1696" s="7" t="n">
        <f aca="false">(IF(D1696="Current",3,IF(D1696="Former",1,0)))+(IF(E1696="High",3,IF(E1696="Normal",1,0)))+(IF(F1696&gt;=240,2,IF(F1696&gt;=200,1,0)))+(IF(G1696="Yes",2,0))+(IF(H1696="High",2,IF(H1696="Moderate",1,0)))</f>
        <v>10</v>
      </c>
      <c r="J1696" s="7" t="str">
        <f aca="false">IF(I1696&gt;=8,"High",IF(I1696&gt;=4,"Medium","Low"))</f>
        <v>High</v>
      </c>
    </row>
    <row r="1697" customFormat="false" ht="15" hidden="false" customHeight="true" outlineLevel="0" collapsed="false">
      <c r="A1697" s="7" t="n">
        <f aca="false">'Raw Data'!A1697</f>
        <v>1132</v>
      </c>
      <c r="B1697" s="7" t="n">
        <f aca="false">'Raw Data'!B1697</f>
        <v>69</v>
      </c>
      <c r="C1697" s="7" t="str">
        <f aca="false">'Raw Data'!C1697</f>
        <v>Male</v>
      </c>
      <c r="D1697" s="7" t="str">
        <f aca="false">'Raw Data'!D1697</f>
        <v>Current</v>
      </c>
      <c r="E1697" s="7" t="str">
        <f aca="false">'Raw Data'!J1697</f>
        <v>High</v>
      </c>
      <c r="F1697" s="7" t="n">
        <f aca="false">'Raw Data'!K1697</f>
        <v>122.4</v>
      </c>
      <c r="G1697" s="7" t="str">
        <f aca="false">'Raw Data'!L1697</f>
        <v>No</v>
      </c>
      <c r="H1697" s="7" t="str">
        <f aca="false">'Raw Data'!M1697</f>
        <v>Low</v>
      </c>
      <c r="I1697" s="7" t="n">
        <f aca="false">(IF(D1697="Current",3,IF(D1697="Former",1,0)))+(IF(E1697="High",3,IF(E1697="Normal",1,0)))+(IF(F1697&gt;=240,2,IF(F1697&gt;=200,1,0)))+(IF(G1697="Yes",2,0))+(IF(H1697="High",2,IF(H1697="Moderate",1,0)))</f>
        <v>6</v>
      </c>
      <c r="J1697" s="7" t="str">
        <f aca="false">IF(I1697&gt;=8,"High",IF(I1697&gt;=4,"Medium","Low"))</f>
        <v>Medium</v>
      </c>
    </row>
    <row r="1698" customFormat="false" ht="15" hidden="false" customHeight="true" outlineLevel="0" collapsed="false">
      <c r="A1698" s="7" t="n">
        <f aca="false">'Raw Data'!A1698</f>
        <v>1133</v>
      </c>
      <c r="B1698" s="7" t="n">
        <f aca="false">'Raw Data'!B1698</f>
        <v>63</v>
      </c>
      <c r="C1698" s="7" t="str">
        <f aca="false">'Raw Data'!C1698</f>
        <v>Female</v>
      </c>
      <c r="D1698" s="7" t="str">
        <f aca="false">'Raw Data'!D1698</f>
        <v>Current</v>
      </c>
      <c r="E1698" s="7" t="str">
        <f aca="false">'Raw Data'!J1698</f>
        <v>High</v>
      </c>
      <c r="F1698" s="7" t="n">
        <f aca="false">'Raw Data'!K1698</f>
        <v>181.2</v>
      </c>
      <c r="G1698" s="7" t="str">
        <f aca="false">'Raw Data'!L1698</f>
        <v>No</v>
      </c>
      <c r="H1698" s="7" t="str">
        <f aca="false">'Raw Data'!M1698</f>
        <v>Low</v>
      </c>
      <c r="I1698" s="7" t="n">
        <f aca="false">(IF(D1698="Current",3,IF(D1698="Former",1,0)))+(IF(E1698="High",3,IF(E1698="Normal",1,0)))+(IF(F1698&gt;=240,2,IF(F1698&gt;=200,1,0)))+(IF(G1698="Yes",2,0))+(IF(H1698="High",2,IF(H1698="Moderate",1,0)))</f>
        <v>6</v>
      </c>
      <c r="J1698" s="7" t="str">
        <f aca="false">IF(I1698&gt;=8,"High",IF(I1698&gt;=4,"Medium","Low"))</f>
        <v>Medium</v>
      </c>
    </row>
    <row r="1699" customFormat="false" ht="15" hidden="false" customHeight="true" outlineLevel="0" collapsed="false">
      <c r="A1699" s="7" t="n">
        <f aca="false">'Raw Data'!A1699</f>
        <v>1182</v>
      </c>
      <c r="B1699" s="7" t="n">
        <f aca="false">'Raw Data'!B1699</f>
        <v>54</v>
      </c>
      <c r="C1699" s="7" t="str">
        <f aca="false">'Raw Data'!C1699</f>
        <v>Male</v>
      </c>
      <c r="D1699" s="7" t="str">
        <f aca="false">'Raw Data'!D1699</f>
        <v>Current</v>
      </c>
      <c r="E1699" s="7" t="str">
        <f aca="false">'Raw Data'!J1699</f>
        <v>High</v>
      </c>
      <c r="F1699" s="7" t="n">
        <f aca="false">'Raw Data'!K1699</f>
        <v>155.8</v>
      </c>
      <c r="G1699" s="7" t="str">
        <f aca="false">'Raw Data'!L1699</f>
        <v>No</v>
      </c>
      <c r="H1699" s="7" t="str">
        <f aca="false">'Raw Data'!M1699</f>
        <v>Low</v>
      </c>
      <c r="I1699" s="7" t="n">
        <f aca="false">(IF(D1699="Current",3,IF(D1699="Former",1,0)))+(IF(E1699="High",3,IF(E1699="Normal",1,0)))+(IF(F1699&gt;=240,2,IF(F1699&gt;=200,1,0)))+(IF(G1699="Yes",2,0))+(IF(H1699="High",2,IF(H1699="Moderate",1,0)))</f>
        <v>6</v>
      </c>
      <c r="J1699" s="7" t="str">
        <f aca="false">IF(I1699&gt;=8,"High",IF(I1699&gt;=4,"Medium","Low"))</f>
        <v>Medium</v>
      </c>
    </row>
    <row r="1700" customFormat="false" ht="15" hidden="false" customHeight="true" outlineLevel="0" collapsed="false">
      <c r="A1700" s="7" t="n">
        <f aca="false">'Raw Data'!A1700</f>
        <v>1196</v>
      </c>
      <c r="B1700" s="7" t="n">
        <f aca="false">'Raw Data'!B1700</f>
        <v>61</v>
      </c>
      <c r="C1700" s="7" t="str">
        <f aca="false">'Raw Data'!C1700</f>
        <v>Male</v>
      </c>
      <c r="D1700" s="7" t="str">
        <f aca="false">'Raw Data'!D1700</f>
        <v>Current</v>
      </c>
      <c r="E1700" s="7" t="str">
        <f aca="false">'Raw Data'!J1700</f>
        <v>High</v>
      </c>
      <c r="F1700" s="7" t="n">
        <f aca="false">'Raw Data'!K1700</f>
        <v>137.1</v>
      </c>
      <c r="G1700" s="7" t="str">
        <f aca="false">'Raw Data'!L1700</f>
        <v>No</v>
      </c>
      <c r="H1700" s="7" t="str">
        <f aca="false">'Raw Data'!M1700</f>
        <v>Low</v>
      </c>
      <c r="I1700" s="7" t="n">
        <f aca="false">(IF(D1700="Current",3,IF(D1700="Former",1,0)))+(IF(E1700="High",3,IF(E1700="Normal",1,0)))+(IF(F1700&gt;=240,2,IF(F1700&gt;=200,1,0)))+(IF(G1700="Yes",2,0))+(IF(H1700="High",2,IF(H1700="Moderate",1,0)))</f>
        <v>6</v>
      </c>
      <c r="J1700" s="7" t="str">
        <f aca="false">IF(I1700&gt;=8,"High",IF(I1700&gt;=4,"Medium","Low"))</f>
        <v>Medium</v>
      </c>
    </row>
    <row r="1701" customFormat="false" ht="15" hidden="false" customHeight="true" outlineLevel="0" collapsed="false">
      <c r="A1701" s="7" t="n">
        <f aca="false">'Raw Data'!A1701</f>
        <v>1204</v>
      </c>
      <c r="B1701" s="7" t="n">
        <f aca="false">'Raw Data'!B1701</f>
        <v>63</v>
      </c>
      <c r="C1701" s="7" t="str">
        <f aca="false">'Raw Data'!C1701</f>
        <v>Female</v>
      </c>
      <c r="D1701" s="7" t="str">
        <f aca="false">'Raw Data'!D1701</f>
        <v>Current</v>
      </c>
      <c r="E1701" s="7" t="str">
        <f aca="false">'Raw Data'!J1701</f>
        <v>High</v>
      </c>
      <c r="F1701" s="7" t="n">
        <f aca="false">'Raw Data'!K1701</f>
        <v>148.8</v>
      </c>
      <c r="G1701" s="7" t="str">
        <f aca="false">'Raw Data'!L1701</f>
        <v>Yes</v>
      </c>
      <c r="H1701" s="7" t="str">
        <f aca="false">'Raw Data'!M1701</f>
        <v>Low</v>
      </c>
      <c r="I1701" s="7" t="n">
        <f aca="false">(IF(D1701="Current",3,IF(D1701="Former",1,0)))+(IF(E1701="High",3,IF(E1701="Normal",1,0)))+(IF(F1701&gt;=240,2,IF(F1701&gt;=200,1,0)))+(IF(G1701="Yes",2,0))+(IF(H1701="High",2,IF(H1701="Moderate",1,0)))</f>
        <v>8</v>
      </c>
      <c r="J1701" s="7" t="str">
        <f aca="false">IF(I1701&gt;=8,"High",IF(I1701&gt;=4,"Medium","Low"))</f>
        <v>High</v>
      </c>
    </row>
    <row r="1702" customFormat="false" ht="15" hidden="false" customHeight="true" outlineLevel="0" collapsed="false">
      <c r="A1702" s="7" t="n">
        <f aca="false">'Raw Data'!A1702</f>
        <v>1235</v>
      </c>
      <c r="B1702" s="7" t="n">
        <f aca="false">'Raw Data'!B1702</f>
        <v>74</v>
      </c>
      <c r="C1702" s="7" t="str">
        <f aca="false">'Raw Data'!C1702</f>
        <v>Female</v>
      </c>
      <c r="D1702" s="7" t="str">
        <f aca="false">'Raw Data'!D1702</f>
        <v>Current</v>
      </c>
      <c r="E1702" s="7" t="str">
        <f aca="false">'Raw Data'!J1702</f>
        <v>High</v>
      </c>
      <c r="F1702" s="7" t="n">
        <f aca="false">'Raw Data'!K1702</f>
        <v>259.3</v>
      </c>
      <c r="G1702" s="7" t="str">
        <f aca="false">'Raw Data'!L1702</f>
        <v>Yes</v>
      </c>
      <c r="H1702" s="7" t="str">
        <f aca="false">'Raw Data'!M1702</f>
        <v>Low</v>
      </c>
      <c r="I1702" s="7" t="n">
        <f aca="false">(IF(D1702="Current",3,IF(D1702="Former",1,0)))+(IF(E1702="High",3,IF(E1702="Normal",1,0)))+(IF(F1702&gt;=240,2,IF(F1702&gt;=200,1,0)))+(IF(G1702="Yes",2,0))+(IF(H1702="High",2,IF(H1702="Moderate",1,0)))</f>
        <v>10</v>
      </c>
      <c r="J1702" s="7" t="str">
        <f aca="false">IF(I1702&gt;=8,"High",IF(I1702&gt;=4,"Medium","Low"))</f>
        <v>High</v>
      </c>
    </row>
    <row r="1703" customFormat="false" ht="15" hidden="false" customHeight="true" outlineLevel="0" collapsed="false">
      <c r="A1703" s="7" t="n">
        <f aca="false">'Raw Data'!A1703</f>
        <v>1276</v>
      </c>
      <c r="B1703" s="7" t="n">
        <f aca="false">'Raw Data'!B1703</f>
        <v>86</v>
      </c>
      <c r="C1703" s="7" t="str">
        <f aca="false">'Raw Data'!C1703</f>
        <v>Male</v>
      </c>
      <c r="D1703" s="7" t="str">
        <f aca="false">'Raw Data'!D1703</f>
        <v>Current</v>
      </c>
      <c r="E1703" s="7" t="str">
        <f aca="false">'Raw Data'!J1703</f>
        <v>High</v>
      </c>
      <c r="F1703" s="7" t="n">
        <f aca="false">'Raw Data'!K1703</f>
        <v>158.4</v>
      </c>
      <c r="G1703" s="7" t="str">
        <f aca="false">'Raw Data'!L1703</f>
        <v>No</v>
      </c>
      <c r="H1703" s="7" t="str">
        <f aca="false">'Raw Data'!M1703</f>
        <v>Low</v>
      </c>
      <c r="I1703" s="7" t="n">
        <f aca="false">(IF(D1703="Current",3,IF(D1703="Former",1,0)))+(IF(E1703="High",3,IF(E1703="Normal",1,0)))+(IF(F1703&gt;=240,2,IF(F1703&gt;=200,1,0)))+(IF(G1703="Yes",2,0))+(IF(H1703="High",2,IF(H1703="Moderate",1,0)))</f>
        <v>6</v>
      </c>
      <c r="J1703" s="7" t="str">
        <f aca="false">IF(I1703&gt;=8,"High",IF(I1703&gt;=4,"Medium","Low"))</f>
        <v>Medium</v>
      </c>
    </row>
    <row r="1704" customFormat="false" ht="15" hidden="false" customHeight="true" outlineLevel="0" collapsed="false">
      <c r="A1704" s="7" t="n">
        <f aca="false">'Raw Data'!A1704</f>
        <v>1282</v>
      </c>
      <c r="B1704" s="7" t="n">
        <f aca="false">'Raw Data'!B1704</f>
        <v>78</v>
      </c>
      <c r="C1704" s="7" t="str">
        <f aca="false">'Raw Data'!C1704</f>
        <v>Male</v>
      </c>
      <c r="D1704" s="7" t="str">
        <f aca="false">'Raw Data'!D1704</f>
        <v>Current</v>
      </c>
      <c r="E1704" s="7" t="str">
        <f aca="false">'Raw Data'!J1704</f>
        <v>High</v>
      </c>
      <c r="F1704" s="7" t="n">
        <f aca="false">'Raw Data'!K1704</f>
        <v>196.9</v>
      </c>
      <c r="G1704" s="7" t="str">
        <f aca="false">'Raw Data'!L1704</f>
        <v>No</v>
      </c>
      <c r="H1704" s="7" t="str">
        <f aca="false">'Raw Data'!M1704</f>
        <v>Low</v>
      </c>
      <c r="I1704" s="7" t="n">
        <f aca="false">(IF(D1704="Current",3,IF(D1704="Former",1,0)))+(IF(E1704="High",3,IF(E1704="Normal",1,0)))+(IF(F1704&gt;=240,2,IF(F1704&gt;=200,1,0)))+(IF(G1704="Yes",2,0))+(IF(H1704="High",2,IF(H1704="Moderate",1,0)))</f>
        <v>6</v>
      </c>
      <c r="J1704" s="7" t="str">
        <f aca="false">IF(I1704&gt;=8,"High",IF(I1704&gt;=4,"Medium","Low"))</f>
        <v>Medium</v>
      </c>
    </row>
    <row r="1705" customFormat="false" ht="15" hidden="false" customHeight="true" outlineLevel="0" collapsed="false">
      <c r="A1705" s="7" t="n">
        <f aca="false">'Raw Data'!A1705</f>
        <v>1299</v>
      </c>
      <c r="B1705" s="7" t="n">
        <f aca="false">'Raw Data'!B1705</f>
        <v>52</v>
      </c>
      <c r="C1705" s="7" t="str">
        <f aca="false">'Raw Data'!C1705</f>
        <v>Female</v>
      </c>
      <c r="D1705" s="7" t="str">
        <f aca="false">'Raw Data'!D1705</f>
        <v>Current</v>
      </c>
      <c r="E1705" s="7" t="str">
        <f aca="false">'Raw Data'!J1705</f>
        <v>High</v>
      </c>
      <c r="F1705" s="7" t="n">
        <f aca="false">'Raw Data'!K1705</f>
        <v>288.3</v>
      </c>
      <c r="G1705" s="7" t="str">
        <f aca="false">'Raw Data'!L1705</f>
        <v>Yes</v>
      </c>
      <c r="H1705" s="7" t="str">
        <f aca="false">'Raw Data'!M1705</f>
        <v>Low</v>
      </c>
      <c r="I1705" s="7" t="n">
        <f aca="false">(IF(D1705="Current",3,IF(D1705="Former",1,0)))+(IF(E1705="High",3,IF(E1705="Normal",1,0)))+(IF(F1705&gt;=240,2,IF(F1705&gt;=200,1,0)))+(IF(G1705="Yes",2,0))+(IF(H1705="High",2,IF(H1705="Moderate",1,0)))</f>
        <v>10</v>
      </c>
      <c r="J1705" s="7" t="str">
        <f aca="false">IF(I1705&gt;=8,"High",IF(I1705&gt;=4,"Medium","Low"))</f>
        <v>High</v>
      </c>
    </row>
    <row r="1706" customFormat="false" ht="15" hidden="false" customHeight="true" outlineLevel="0" collapsed="false">
      <c r="A1706" s="7" t="n">
        <f aca="false">'Raw Data'!A1706</f>
        <v>1314</v>
      </c>
      <c r="B1706" s="7" t="n">
        <f aca="false">'Raw Data'!B1706</f>
        <v>51</v>
      </c>
      <c r="C1706" s="7" t="str">
        <f aca="false">'Raw Data'!C1706</f>
        <v>Female</v>
      </c>
      <c r="D1706" s="7" t="str">
        <f aca="false">'Raw Data'!D1706</f>
        <v>Current</v>
      </c>
      <c r="E1706" s="7" t="str">
        <f aca="false">'Raw Data'!J1706</f>
        <v>High</v>
      </c>
      <c r="F1706" s="7" t="n">
        <f aca="false">'Raw Data'!K1706</f>
        <v>120.8</v>
      </c>
      <c r="G1706" s="7" t="str">
        <f aca="false">'Raw Data'!L1706</f>
        <v>No</v>
      </c>
      <c r="H1706" s="7" t="str">
        <f aca="false">'Raw Data'!M1706</f>
        <v>Low</v>
      </c>
      <c r="I1706" s="7" t="n">
        <f aca="false">(IF(D1706="Current",3,IF(D1706="Former",1,0)))+(IF(E1706="High",3,IF(E1706="Normal",1,0)))+(IF(F1706&gt;=240,2,IF(F1706&gt;=200,1,0)))+(IF(G1706="Yes",2,0))+(IF(H1706="High",2,IF(H1706="Moderate",1,0)))</f>
        <v>6</v>
      </c>
      <c r="J1706" s="7" t="str">
        <f aca="false">IF(I1706&gt;=8,"High",IF(I1706&gt;=4,"Medium","Low"))</f>
        <v>Medium</v>
      </c>
    </row>
    <row r="1707" customFormat="false" ht="15" hidden="false" customHeight="true" outlineLevel="0" collapsed="false">
      <c r="A1707" s="7" t="n">
        <f aca="false">'Raw Data'!A1707</f>
        <v>1343</v>
      </c>
      <c r="B1707" s="7" t="n">
        <f aca="false">'Raw Data'!B1707</f>
        <v>86</v>
      </c>
      <c r="C1707" s="7" t="str">
        <f aca="false">'Raw Data'!C1707</f>
        <v>Female</v>
      </c>
      <c r="D1707" s="7" t="str">
        <f aca="false">'Raw Data'!D1707</f>
        <v>Current</v>
      </c>
      <c r="E1707" s="7" t="str">
        <f aca="false">'Raw Data'!J1707</f>
        <v>High</v>
      </c>
      <c r="F1707" s="7" t="n">
        <f aca="false">'Raw Data'!K1707</f>
        <v>182.4</v>
      </c>
      <c r="G1707" s="7" t="str">
        <f aca="false">'Raw Data'!L1707</f>
        <v>No</v>
      </c>
      <c r="H1707" s="7" t="str">
        <f aca="false">'Raw Data'!M1707</f>
        <v>Low</v>
      </c>
      <c r="I1707" s="7" t="n">
        <f aca="false">(IF(D1707="Current",3,IF(D1707="Former",1,0)))+(IF(E1707="High",3,IF(E1707="Normal",1,0)))+(IF(F1707&gt;=240,2,IF(F1707&gt;=200,1,0)))+(IF(G1707="Yes",2,0))+(IF(H1707="High",2,IF(H1707="Moderate",1,0)))</f>
        <v>6</v>
      </c>
      <c r="J1707" s="7" t="str">
        <f aca="false">IF(I1707&gt;=8,"High",IF(I1707&gt;=4,"Medium","Low"))</f>
        <v>Medium</v>
      </c>
    </row>
    <row r="1708" customFormat="false" ht="15" hidden="false" customHeight="true" outlineLevel="0" collapsed="false">
      <c r="A1708" s="7" t="n">
        <f aca="false">'Raw Data'!A1708</f>
        <v>1393</v>
      </c>
      <c r="B1708" s="7" t="n">
        <f aca="false">'Raw Data'!B1708</f>
        <v>86</v>
      </c>
      <c r="C1708" s="7" t="str">
        <f aca="false">'Raw Data'!C1708</f>
        <v>Female</v>
      </c>
      <c r="D1708" s="7" t="str">
        <f aca="false">'Raw Data'!D1708</f>
        <v>Current</v>
      </c>
      <c r="E1708" s="7" t="str">
        <f aca="false">'Raw Data'!J1708</f>
        <v>High</v>
      </c>
      <c r="F1708" s="7" t="n">
        <f aca="false">'Raw Data'!K1708</f>
        <v>158.3</v>
      </c>
      <c r="G1708" s="7" t="str">
        <f aca="false">'Raw Data'!L1708</f>
        <v>Yes</v>
      </c>
      <c r="H1708" s="7" t="str">
        <f aca="false">'Raw Data'!M1708</f>
        <v>Low</v>
      </c>
      <c r="I1708" s="7" t="n">
        <f aca="false">(IF(D1708="Current",3,IF(D1708="Former",1,0)))+(IF(E1708="High",3,IF(E1708="Normal",1,0)))+(IF(F1708&gt;=240,2,IF(F1708&gt;=200,1,0)))+(IF(G1708="Yes",2,0))+(IF(H1708="High",2,IF(H1708="Moderate",1,0)))</f>
        <v>8</v>
      </c>
      <c r="J1708" s="7" t="str">
        <f aca="false">IF(I1708&gt;=8,"High",IF(I1708&gt;=4,"Medium","Low"))</f>
        <v>High</v>
      </c>
    </row>
    <row r="1709" customFormat="false" ht="15" hidden="false" customHeight="true" outlineLevel="0" collapsed="false">
      <c r="A1709" s="7" t="n">
        <f aca="false">'Raw Data'!A1709</f>
        <v>1425</v>
      </c>
      <c r="B1709" s="7" t="n">
        <f aca="false">'Raw Data'!B1709</f>
        <v>53</v>
      </c>
      <c r="C1709" s="7" t="str">
        <f aca="false">'Raw Data'!C1709</f>
        <v>Female</v>
      </c>
      <c r="D1709" s="7" t="str">
        <f aca="false">'Raw Data'!D1709</f>
        <v>Current</v>
      </c>
      <c r="E1709" s="7" t="str">
        <f aca="false">'Raw Data'!J1709</f>
        <v>High</v>
      </c>
      <c r="F1709" s="7" t="n">
        <f aca="false">'Raw Data'!K1709</f>
        <v>279.9</v>
      </c>
      <c r="G1709" s="7" t="str">
        <f aca="false">'Raw Data'!L1709</f>
        <v>No</v>
      </c>
      <c r="H1709" s="7" t="str">
        <f aca="false">'Raw Data'!M1709</f>
        <v>Low</v>
      </c>
      <c r="I1709" s="7" t="n">
        <f aca="false">(IF(D1709="Current",3,IF(D1709="Former",1,0)))+(IF(E1709="High",3,IF(E1709="Normal",1,0)))+(IF(F1709&gt;=240,2,IF(F1709&gt;=200,1,0)))+(IF(G1709="Yes",2,0))+(IF(H1709="High",2,IF(H1709="Moderate",1,0)))</f>
        <v>8</v>
      </c>
      <c r="J1709" s="7" t="str">
        <f aca="false">IF(I1709&gt;=8,"High",IF(I1709&gt;=4,"Medium","Low"))</f>
        <v>High</v>
      </c>
    </row>
    <row r="1710" customFormat="false" ht="15" hidden="false" customHeight="true" outlineLevel="0" collapsed="false">
      <c r="A1710" s="7" t="n">
        <f aca="false">'Raw Data'!A1710</f>
        <v>1476</v>
      </c>
      <c r="B1710" s="7" t="n">
        <f aca="false">'Raw Data'!B1710</f>
        <v>81</v>
      </c>
      <c r="C1710" s="7" t="str">
        <f aca="false">'Raw Data'!C1710</f>
        <v>Female</v>
      </c>
      <c r="D1710" s="7" t="str">
        <f aca="false">'Raw Data'!D1710</f>
        <v>Current</v>
      </c>
      <c r="E1710" s="7" t="str">
        <f aca="false">'Raw Data'!J1710</f>
        <v>High</v>
      </c>
      <c r="F1710" s="7" t="n">
        <f aca="false">'Raw Data'!K1710</f>
        <v>174.3</v>
      </c>
      <c r="G1710" s="7" t="str">
        <f aca="false">'Raw Data'!L1710</f>
        <v>Yes</v>
      </c>
      <c r="H1710" s="7" t="str">
        <f aca="false">'Raw Data'!M1710</f>
        <v>Low</v>
      </c>
      <c r="I1710" s="7" t="n">
        <f aca="false">(IF(D1710="Current",3,IF(D1710="Former",1,0)))+(IF(E1710="High",3,IF(E1710="Normal",1,0)))+(IF(F1710&gt;=240,2,IF(F1710&gt;=200,1,0)))+(IF(G1710="Yes",2,0))+(IF(H1710="High",2,IF(H1710="Moderate",1,0)))</f>
        <v>8</v>
      </c>
      <c r="J1710" s="7" t="str">
        <f aca="false">IF(I1710&gt;=8,"High",IF(I1710&gt;=4,"Medium","Low"))</f>
        <v>High</v>
      </c>
    </row>
    <row r="1711" customFormat="false" ht="15" hidden="false" customHeight="true" outlineLevel="0" collapsed="false">
      <c r="A1711" s="7" t="n">
        <f aca="false">'Raw Data'!A1711</f>
        <v>1552</v>
      </c>
      <c r="B1711" s="7" t="n">
        <f aca="false">'Raw Data'!B1711</f>
        <v>66</v>
      </c>
      <c r="C1711" s="7" t="str">
        <f aca="false">'Raw Data'!C1711</f>
        <v>Male</v>
      </c>
      <c r="D1711" s="7" t="str">
        <f aca="false">'Raw Data'!D1711</f>
        <v>Current</v>
      </c>
      <c r="E1711" s="7" t="str">
        <f aca="false">'Raw Data'!J1711</f>
        <v>High</v>
      </c>
      <c r="F1711" s="7" t="n">
        <f aca="false">'Raw Data'!K1711</f>
        <v>280.9</v>
      </c>
      <c r="G1711" s="7" t="str">
        <f aca="false">'Raw Data'!L1711</f>
        <v>No</v>
      </c>
      <c r="H1711" s="7" t="str">
        <f aca="false">'Raw Data'!M1711</f>
        <v>Low</v>
      </c>
      <c r="I1711" s="7" t="n">
        <f aca="false">(IF(D1711="Current",3,IF(D1711="Former",1,0)))+(IF(E1711="High",3,IF(E1711="Normal",1,0)))+(IF(F1711&gt;=240,2,IF(F1711&gt;=200,1,0)))+(IF(G1711="Yes",2,0))+(IF(H1711="High",2,IF(H1711="Moderate",1,0)))</f>
        <v>8</v>
      </c>
      <c r="J1711" s="7" t="str">
        <f aca="false">IF(I1711&gt;=8,"High",IF(I1711&gt;=4,"Medium","Low"))</f>
        <v>High</v>
      </c>
    </row>
    <row r="1712" customFormat="false" ht="15" hidden="false" customHeight="true" outlineLevel="0" collapsed="false">
      <c r="A1712" s="7" t="n">
        <f aca="false">'Raw Data'!A1712</f>
        <v>1557</v>
      </c>
      <c r="B1712" s="7" t="n">
        <f aca="false">'Raw Data'!B1712</f>
        <v>77</v>
      </c>
      <c r="C1712" s="7" t="str">
        <f aca="false">'Raw Data'!C1712</f>
        <v>Female</v>
      </c>
      <c r="D1712" s="7" t="str">
        <f aca="false">'Raw Data'!D1712</f>
        <v>Current</v>
      </c>
      <c r="E1712" s="7" t="str">
        <f aca="false">'Raw Data'!J1712</f>
        <v>High</v>
      </c>
      <c r="F1712" s="7" t="n">
        <f aca="false">'Raw Data'!K1712</f>
        <v>283.4</v>
      </c>
      <c r="G1712" s="7" t="str">
        <f aca="false">'Raw Data'!L1712</f>
        <v>No</v>
      </c>
      <c r="H1712" s="7" t="str">
        <f aca="false">'Raw Data'!M1712</f>
        <v>Low</v>
      </c>
      <c r="I1712" s="7" t="n">
        <f aca="false">(IF(D1712="Current",3,IF(D1712="Former",1,0)))+(IF(E1712="High",3,IF(E1712="Normal",1,0)))+(IF(F1712&gt;=240,2,IF(F1712&gt;=200,1,0)))+(IF(G1712="Yes",2,0))+(IF(H1712="High",2,IF(H1712="Moderate",1,0)))</f>
        <v>8</v>
      </c>
      <c r="J1712" s="7" t="str">
        <f aca="false">IF(I1712&gt;=8,"High",IF(I1712&gt;=4,"Medium","Low"))</f>
        <v>High</v>
      </c>
    </row>
    <row r="1713" customFormat="false" ht="15" hidden="false" customHeight="true" outlineLevel="0" collapsed="false">
      <c r="A1713" s="7" t="n">
        <f aca="false">'Raw Data'!A1713</f>
        <v>1570</v>
      </c>
      <c r="B1713" s="7" t="n">
        <f aca="false">'Raw Data'!B1713</f>
        <v>73</v>
      </c>
      <c r="C1713" s="7" t="str">
        <f aca="false">'Raw Data'!C1713</f>
        <v>Female</v>
      </c>
      <c r="D1713" s="7" t="str">
        <f aca="false">'Raw Data'!D1713</f>
        <v>Current</v>
      </c>
      <c r="E1713" s="7" t="str">
        <f aca="false">'Raw Data'!J1713</f>
        <v>High</v>
      </c>
      <c r="F1713" s="7" t="n">
        <f aca="false">'Raw Data'!K1713</f>
        <v>168.5</v>
      </c>
      <c r="G1713" s="7" t="str">
        <f aca="false">'Raw Data'!L1713</f>
        <v>No</v>
      </c>
      <c r="H1713" s="7" t="str">
        <f aca="false">'Raw Data'!M1713</f>
        <v>Low</v>
      </c>
      <c r="I1713" s="7" t="n">
        <f aca="false">(IF(D1713="Current",3,IF(D1713="Former",1,0)))+(IF(E1713="High",3,IF(E1713="Normal",1,0)))+(IF(F1713&gt;=240,2,IF(F1713&gt;=200,1,0)))+(IF(G1713="Yes",2,0))+(IF(H1713="High",2,IF(H1713="Moderate",1,0)))</f>
        <v>6</v>
      </c>
      <c r="J1713" s="7" t="str">
        <f aca="false">IF(I1713&gt;=8,"High",IF(I1713&gt;=4,"Medium","Low"))</f>
        <v>Medium</v>
      </c>
    </row>
    <row r="1714" customFormat="false" ht="15" hidden="false" customHeight="true" outlineLevel="0" collapsed="false">
      <c r="A1714" s="7" t="n">
        <f aca="false">'Raw Data'!A1714</f>
        <v>1579</v>
      </c>
      <c r="B1714" s="7" t="n">
        <f aca="false">'Raw Data'!B1714</f>
        <v>20</v>
      </c>
      <c r="C1714" s="7" t="str">
        <f aca="false">'Raw Data'!C1714</f>
        <v>Female</v>
      </c>
      <c r="D1714" s="7" t="str">
        <f aca="false">'Raw Data'!D1714</f>
        <v>Current</v>
      </c>
      <c r="E1714" s="7" t="str">
        <f aca="false">'Raw Data'!J1714</f>
        <v>High</v>
      </c>
      <c r="F1714" s="7" t="n">
        <f aca="false">'Raw Data'!K1714</f>
        <v>137.8</v>
      </c>
      <c r="G1714" s="7" t="str">
        <f aca="false">'Raw Data'!L1714</f>
        <v>No</v>
      </c>
      <c r="H1714" s="7" t="str">
        <f aca="false">'Raw Data'!M1714</f>
        <v>Low</v>
      </c>
      <c r="I1714" s="7" t="n">
        <f aca="false">(IF(D1714="Current",3,IF(D1714="Former",1,0)))+(IF(E1714="High",3,IF(E1714="Normal",1,0)))+(IF(F1714&gt;=240,2,IF(F1714&gt;=200,1,0)))+(IF(G1714="Yes",2,0))+(IF(H1714="High",2,IF(H1714="Moderate",1,0)))</f>
        <v>6</v>
      </c>
      <c r="J1714" s="7" t="str">
        <f aca="false">IF(I1714&gt;=8,"High",IF(I1714&gt;=4,"Medium","Low"))</f>
        <v>Medium</v>
      </c>
    </row>
    <row r="1715" customFormat="false" ht="15" hidden="false" customHeight="true" outlineLevel="0" collapsed="false">
      <c r="A1715" s="7" t="n">
        <f aca="false">'Raw Data'!A1715</f>
        <v>1646</v>
      </c>
      <c r="B1715" s="7" t="n">
        <f aca="false">'Raw Data'!B1715</f>
        <v>41</v>
      </c>
      <c r="C1715" s="7" t="str">
        <f aca="false">'Raw Data'!C1715</f>
        <v>Male</v>
      </c>
      <c r="D1715" s="7" t="str">
        <f aca="false">'Raw Data'!D1715</f>
        <v>Current</v>
      </c>
      <c r="E1715" s="7" t="str">
        <f aca="false">'Raw Data'!J1715</f>
        <v>High</v>
      </c>
      <c r="F1715" s="7" t="n">
        <f aca="false">'Raw Data'!K1715</f>
        <v>159.6</v>
      </c>
      <c r="G1715" s="7" t="str">
        <f aca="false">'Raw Data'!L1715</f>
        <v>No</v>
      </c>
      <c r="H1715" s="7" t="str">
        <f aca="false">'Raw Data'!M1715</f>
        <v>Low</v>
      </c>
      <c r="I1715" s="7" t="n">
        <f aca="false">(IF(D1715="Current",3,IF(D1715="Former",1,0)))+(IF(E1715="High",3,IF(E1715="Normal",1,0)))+(IF(F1715&gt;=240,2,IF(F1715&gt;=200,1,0)))+(IF(G1715="Yes",2,0))+(IF(H1715="High",2,IF(H1715="Moderate",1,0)))</f>
        <v>6</v>
      </c>
      <c r="J1715" s="7" t="str">
        <f aca="false">IF(I1715&gt;=8,"High",IF(I1715&gt;=4,"Medium","Low"))</f>
        <v>Medium</v>
      </c>
    </row>
    <row r="1716" customFormat="false" ht="15" hidden="false" customHeight="true" outlineLevel="0" collapsed="false">
      <c r="A1716" s="7" t="n">
        <f aca="false">'Raw Data'!A1716</f>
        <v>1659</v>
      </c>
      <c r="B1716" s="7" t="n">
        <f aca="false">'Raw Data'!B1716</f>
        <v>39</v>
      </c>
      <c r="C1716" s="7" t="str">
        <f aca="false">'Raw Data'!C1716</f>
        <v>Male</v>
      </c>
      <c r="D1716" s="7" t="str">
        <f aca="false">'Raw Data'!D1716</f>
        <v>Current</v>
      </c>
      <c r="E1716" s="7" t="str">
        <f aca="false">'Raw Data'!J1716</f>
        <v>High</v>
      </c>
      <c r="F1716" s="7" t="n">
        <f aca="false">'Raw Data'!K1716</f>
        <v>149.5</v>
      </c>
      <c r="G1716" s="7" t="str">
        <f aca="false">'Raw Data'!L1716</f>
        <v>Yes</v>
      </c>
      <c r="H1716" s="7" t="str">
        <f aca="false">'Raw Data'!M1716</f>
        <v>Low</v>
      </c>
      <c r="I1716" s="7" t="n">
        <f aca="false">(IF(D1716="Current",3,IF(D1716="Former",1,0)))+(IF(E1716="High",3,IF(E1716="Normal",1,0)))+(IF(F1716&gt;=240,2,IF(F1716&gt;=200,1,0)))+(IF(G1716="Yes",2,0))+(IF(H1716="High",2,IF(H1716="Moderate",1,0)))</f>
        <v>8</v>
      </c>
      <c r="J1716" s="7" t="str">
        <f aca="false">IF(I1716&gt;=8,"High",IF(I1716&gt;=4,"Medium","Low"))</f>
        <v>High</v>
      </c>
    </row>
    <row r="1717" customFormat="false" ht="15" hidden="false" customHeight="true" outlineLevel="0" collapsed="false">
      <c r="A1717" s="7" t="n">
        <f aca="false">'Raw Data'!A1717</f>
        <v>1701</v>
      </c>
      <c r="B1717" s="7" t="n">
        <f aca="false">'Raw Data'!B1717</f>
        <v>52</v>
      </c>
      <c r="C1717" s="7" t="str">
        <f aca="false">'Raw Data'!C1717</f>
        <v>Female</v>
      </c>
      <c r="D1717" s="7" t="str">
        <f aca="false">'Raw Data'!D1717</f>
        <v>Current</v>
      </c>
      <c r="E1717" s="7" t="str">
        <f aca="false">'Raw Data'!J1717</f>
        <v>High</v>
      </c>
      <c r="F1717" s="7" t="n">
        <f aca="false">'Raw Data'!K1717</f>
        <v>237.2</v>
      </c>
      <c r="G1717" s="7" t="str">
        <f aca="false">'Raw Data'!L1717</f>
        <v>No</v>
      </c>
      <c r="H1717" s="7" t="str">
        <f aca="false">'Raw Data'!M1717</f>
        <v>Low</v>
      </c>
      <c r="I1717" s="7" t="n">
        <f aca="false">(IF(D1717="Current",3,IF(D1717="Former",1,0)))+(IF(E1717="High",3,IF(E1717="Normal",1,0)))+(IF(F1717&gt;=240,2,IF(F1717&gt;=200,1,0)))+(IF(G1717="Yes",2,0))+(IF(H1717="High",2,IF(H1717="Moderate",1,0)))</f>
        <v>7</v>
      </c>
      <c r="J1717" s="7" t="str">
        <f aca="false">IF(I1717&gt;=8,"High",IF(I1717&gt;=4,"Medium","Low"))</f>
        <v>Medium</v>
      </c>
    </row>
    <row r="1718" customFormat="false" ht="15" hidden="false" customHeight="true" outlineLevel="0" collapsed="false">
      <c r="A1718" s="7" t="n">
        <f aca="false">'Raw Data'!A1718</f>
        <v>1751</v>
      </c>
      <c r="B1718" s="7" t="n">
        <f aca="false">'Raw Data'!B1718</f>
        <v>50</v>
      </c>
      <c r="C1718" s="7" t="str">
        <f aca="false">'Raw Data'!C1718</f>
        <v>Male</v>
      </c>
      <c r="D1718" s="7" t="str">
        <f aca="false">'Raw Data'!D1718</f>
        <v>Current</v>
      </c>
      <c r="E1718" s="7" t="str">
        <f aca="false">'Raw Data'!J1718</f>
        <v>High</v>
      </c>
      <c r="F1718" s="7" t="n">
        <f aca="false">'Raw Data'!K1718</f>
        <v>136</v>
      </c>
      <c r="G1718" s="7" t="str">
        <f aca="false">'Raw Data'!L1718</f>
        <v>No</v>
      </c>
      <c r="H1718" s="7" t="str">
        <f aca="false">'Raw Data'!M1718</f>
        <v>Low</v>
      </c>
      <c r="I1718" s="7" t="n">
        <f aca="false">(IF(D1718="Current",3,IF(D1718="Former",1,0)))+(IF(E1718="High",3,IF(E1718="Normal",1,0)))+(IF(F1718&gt;=240,2,IF(F1718&gt;=200,1,0)))+(IF(G1718="Yes",2,0))+(IF(H1718="High",2,IF(H1718="Moderate",1,0)))</f>
        <v>6</v>
      </c>
      <c r="J1718" s="7" t="str">
        <f aca="false">IF(I1718&gt;=8,"High",IF(I1718&gt;=4,"Medium","Low"))</f>
        <v>Medium</v>
      </c>
    </row>
    <row r="1719" customFormat="false" ht="15" hidden="false" customHeight="true" outlineLevel="0" collapsed="false">
      <c r="A1719" s="7" t="n">
        <f aca="false">'Raw Data'!A1719</f>
        <v>1811</v>
      </c>
      <c r="B1719" s="7" t="n">
        <f aca="false">'Raw Data'!B1719</f>
        <v>31</v>
      </c>
      <c r="C1719" s="7" t="str">
        <f aca="false">'Raw Data'!C1719</f>
        <v>Male</v>
      </c>
      <c r="D1719" s="7" t="str">
        <f aca="false">'Raw Data'!D1719</f>
        <v>Current</v>
      </c>
      <c r="E1719" s="7" t="str">
        <f aca="false">'Raw Data'!J1719</f>
        <v>High</v>
      </c>
      <c r="F1719" s="7" t="n">
        <f aca="false">'Raw Data'!K1719</f>
        <v>290.3</v>
      </c>
      <c r="G1719" s="7" t="str">
        <f aca="false">'Raw Data'!L1719</f>
        <v>No</v>
      </c>
      <c r="H1719" s="7" t="str">
        <f aca="false">'Raw Data'!M1719</f>
        <v>Low</v>
      </c>
      <c r="I1719" s="7" t="n">
        <f aca="false">(IF(D1719="Current",3,IF(D1719="Former",1,0)))+(IF(E1719="High",3,IF(E1719="Normal",1,0)))+(IF(F1719&gt;=240,2,IF(F1719&gt;=200,1,0)))+(IF(G1719="Yes",2,0))+(IF(H1719="High",2,IF(H1719="Moderate",1,0)))</f>
        <v>8</v>
      </c>
      <c r="J1719" s="7" t="str">
        <f aca="false">IF(I1719&gt;=8,"High",IF(I1719&gt;=4,"Medium","Low"))</f>
        <v>High</v>
      </c>
    </row>
    <row r="1720" customFormat="false" ht="15" hidden="false" customHeight="true" outlineLevel="0" collapsed="false">
      <c r="A1720" s="7" t="n">
        <f aca="false">'Raw Data'!A1720</f>
        <v>1836</v>
      </c>
      <c r="B1720" s="7" t="n">
        <f aca="false">'Raw Data'!B1720</f>
        <v>61</v>
      </c>
      <c r="C1720" s="7" t="str">
        <f aca="false">'Raw Data'!C1720</f>
        <v>Male</v>
      </c>
      <c r="D1720" s="7" t="str">
        <f aca="false">'Raw Data'!D1720</f>
        <v>Current</v>
      </c>
      <c r="E1720" s="7" t="str">
        <f aca="false">'Raw Data'!J1720</f>
        <v>High</v>
      </c>
      <c r="F1720" s="7" t="n">
        <f aca="false">'Raw Data'!K1720</f>
        <v>161.5</v>
      </c>
      <c r="G1720" s="7" t="str">
        <f aca="false">'Raw Data'!L1720</f>
        <v>Yes</v>
      </c>
      <c r="H1720" s="7" t="str">
        <f aca="false">'Raw Data'!M1720</f>
        <v>Low</v>
      </c>
      <c r="I1720" s="7" t="n">
        <f aca="false">(IF(D1720="Current",3,IF(D1720="Former",1,0)))+(IF(E1720="High",3,IF(E1720="Normal",1,0)))+(IF(F1720&gt;=240,2,IF(F1720&gt;=200,1,0)))+(IF(G1720="Yes",2,0))+(IF(H1720="High",2,IF(H1720="Moderate",1,0)))</f>
        <v>8</v>
      </c>
      <c r="J1720" s="7" t="str">
        <f aca="false">IF(I1720&gt;=8,"High",IF(I1720&gt;=4,"Medium","Low"))</f>
        <v>High</v>
      </c>
    </row>
    <row r="1721" customFormat="false" ht="15" hidden="false" customHeight="true" outlineLevel="0" collapsed="false">
      <c r="A1721" s="7" t="n">
        <f aca="false">'Raw Data'!A1721</f>
        <v>1874</v>
      </c>
      <c r="B1721" s="7" t="n">
        <f aca="false">'Raw Data'!B1721</f>
        <v>70</v>
      </c>
      <c r="C1721" s="7" t="str">
        <f aca="false">'Raw Data'!C1721</f>
        <v>Male</v>
      </c>
      <c r="D1721" s="7" t="str">
        <f aca="false">'Raw Data'!D1721</f>
        <v>Current</v>
      </c>
      <c r="E1721" s="7" t="str">
        <f aca="false">'Raw Data'!J1721</f>
        <v>High</v>
      </c>
      <c r="F1721" s="7" t="n">
        <f aca="false">'Raw Data'!K1721</f>
        <v>265.2</v>
      </c>
      <c r="G1721" s="7" t="str">
        <f aca="false">'Raw Data'!L1721</f>
        <v>Yes</v>
      </c>
      <c r="H1721" s="7" t="str">
        <f aca="false">'Raw Data'!M1721</f>
        <v>Low</v>
      </c>
      <c r="I1721" s="7" t="n">
        <f aca="false">(IF(D1721="Current",3,IF(D1721="Former",1,0)))+(IF(E1721="High",3,IF(E1721="Normal",1,0)))+(IF(F1721&gt;=240,2,IF(F1721&gt;=200,1,0)))+(IF(G1721="Yes",2,0))+(IF(H1721="High",2,IF(H1721="Moderate",1,0)))</f>
        <v>10</v>
      </c>
      <c r="J1721" s="7" t="str">
        <f aca="false">IF(I1721&gt;=8,"High",IF(I1721&gt;=4,"Medium","Low"))</f>
        <v>High</v>
      </c>
    </row>
    <row r="1722" customFormat="false" ht="15" hidden="false" customHeight="true" outlineLevel="0" collapsed="false">
      <c r="A1722" s="7" t="n">
        <f aca="false">'Raw Data'!A1722</f>
        <v>1926</v>
      </c>
      <c r="B1722" s="7" t="n">
        <f aca="false">'Raw Data'!B1722</f>
        <v>77</v>
      </c>
      <c r="C1722" s="7" t="str">
        <f aca="false">'Raw Data'!C1722</f>
        <v>Female</v>
      </c>
      <c r="D1722" s="7" t="str">
        <f aca="false">'Raw Data'!D1722</f>
        <v>Current</v>
      </c>
      <c r="E1722" s="7" t="str">
        <f aca="false">'Raw Data'!J1722</f>
        <v>High</v>
      </c>
      <c r="F1722" s="7" t="n">
        <f aca="false">'Raw Data'!K1722</f>
        <v>126.8</v>
      </c>
      <c r="G1722" s="7" t="str">
        <f aca="false">'Raw Data'!L1722</f>
        <v>Yes</v>
      </c>
      <c r="H1722" s="7" t="str">
        <f aca="false">'Raw Data'!M1722</f>
        <v>Low</v>
      </c>
      <c r="I1722" s="7" t="n">
        <f aca="false">(IF(D1722="Current",3,IF(D1722="Former",1,0)))+(IF(E1722="High",3,IF(E1722="Normal",1,0)))+(IF(F1722&gt;=240,2,IF(F1722&gt;=200,1,0)))+(IF(G1722="Yes",2,0))+(IF(H1722="High",2,IF(H1722="Moderate",1,0)))</f>
        <v>8</v>
      </c>
      <c r="J1722" s="7" t="str">
        <f aca="false">IF(I1722&gt;=8,"High",IF(I1722&gt;=4,"Medium","Low"))</f>
        <v>High</v>
      </c>
    </row>
    <row r="1723" customFormat="false" ht="15" hidden="false" customHeight="true" outlineLevel="0" collapsed="false">
      <c r="A1723" s="7" t="n">
        <f aca="false">'Raw Data'!A1723</f>
        <v>1931</v>
      </c>
      <c r="B1723" s="7" t="n">
        <f aca="false">'Raw Data'!B1723</f>
        <v>88</v>
      </c>
      <c r="C1723" s="7" t="str">
        <f aca="false">'Raw Data'!C1723</f>
        <v>Male</v>
      </c>
      <c r="D1723" s="7" t="str">
        <f aca="false">'Raw Data'!D1723</f>
        <v>Current</v>
      </c>
      <c r="E1723" s="7" t="str">
        <f aca="false">'Raw Data'!J1723</f>
        <v>High</v>
      </c>
      <c r="F1723" s="7" t="n">
        <f aca="false">'Raw Data'!K1723</f>
        <v>288.3</v>
      </c>
      <c r="G1723" s="7" t="str">
        <f aca="false">'Raw Data'!L1723</f>
        <v>Yes</v>
      </c>
      <c r="H1723" s="7" t="str">
        <f aca="false">'Raw Data'!M1723</f>
        <v>Low</v>
      </c>
      <c r="I1723" s="7" t="n">
        <f aca="false">(IF(D1723="Current",3,IF(D1723="Former",1,0)))+(IF(E1723="High",3,IF(E1723="Normal",1,0)))+(IF(F1723&gt;=240,2,IF(F1723&gt;=200,1,0)))+(IF(G1723="Yes",2,0))+(IF(H1723="High",2,IF(H1723="Moderate",1,0)))</f>
        <v>10</v>
      </c>
      <c r="J1723" s="7" t="str">
        <f aca="false">IF(I1723&gt;=8,"High",IF(I1723&gt;=4,"Medium","Low"))</f>
        <v>High</v>
      </c>
    </row>
    <row r="1724" customFormat="false" ht="15" hidden="false" customHeight="true" outlineLevel="0" collapsed="false">
      <c r="A1724" s="7" t="n">
        <f aca="false">'Raw Data'!A1724</f>
        <v>1943</v>
      </c>
      <c r="B1724" s="7" t="n">
        <f aca="false">'Raw Data'!B1724</f>
        <v>22</v>
      </c>
      <c r="C1724" s="7" t="str">
        <f aca="false">'Raw Data'!C1724</f>
        <v>Female</v>
      </c>
      <c r="D1724" s="7" t="str">
        <f aca="false">'Raw Data'!D1724</f>
        <v>Current</v>
      </c>
      <c r="E1724" s="7" t="str">
        <f aca="false">'Raw Data'!J1724</f>
        <v>High</v>
      </c>
      <c r="F1724" s="7" t="n">
        <f aca="false">'Raw Data'!K1724</f>
        <v>270.2</v>
      </c>
      <c r="G1724" s="7" t="str">
        <f aca="false">'Raw Data'!L1724</f>
        <v>Yes</v>
      </c>
      <c r="H1724" s="7" t="str">
        <f aca="false">'Raw Data'!M1724</f>
        <v>Low</v>
      </c>
      <c r="I1724" s="7" t="n">
        <f aca="false">(IF(D1724="Current",3,IF(D1724="Former",1,0)))+(IF(E1724="High",3,IF(E1724="Normal",1,0)))+(IF(F1724&gt;=240,2,IF(F1724&gt;=200,1,0)))+(IF(G1724="Yes",2,0))+(IF(H1724="High",2,IF(H1724="Moderate",1,0)))</f>
        <v>10</v>
      </c>
      <c r="J1724" s="7" t="str">
        <f aca="false">IF(I1724&gt;=8,"High",IF(I1724&gt;=4,"Medium","Low"))</f>
        <v>High</v>
      </c>
    </row>
    <row r="1725" customFormat="false" ht="15" hidden="false" customHeight="true" outlineLevel="0" collapsed="false">
      <c r="A1725" s="7" t="n">
        <f aca="false">'Raw Data'!A1725</f>
        <v>1958</v>
      </c>
      <c r="B1725" s="7" t="n">
        <f aca="false">'Raw Data'!B1725</f>
        <v>35</v>
      </c>
      <c r="C1725" s="7" t="str">
        <f aca="false">'Raw Data'!C1725</f>
        <v>Male</v>
      </c>
      <c r="D1725" s="7" t="str">
        <f aca="false">'Raw Data'!D1725</f>
        <v>Current</v>
      </c>
      <c r="E1725" s="7" t="str">
        <f aca="false">'Raw Data'!J1725</f>
        <v>High</v>
      </c>
      <c r="F1725" s="7" t="n">
        <f aca="false">'Raw Data'!K1725</f>
        <v>154.7</v>
      </c>
      <c r="G1725" s="7" t="str">
        <f aca="false">'Raw Data'!L1725</f>
        <v>No</v>
      </c>
      <c r="H1725" s="7" t="str">
        <f aca="false">'Raw Data'!M1725</f>
        <v>Low</v>
      </c>
      <c r="I1725" s="7" t="n">
        <f aca="false">(IF(D1725="Current",3,IF(D1725="Former",1,0)))+(IF(E1725="High",3,IF(E1725="Normal",1,0)))+(IF(F1725&gt;=240,2,IF(F1725&gt;=200,1,0)))+(IF(G1725="Yes",2,0))+(IF(H1725="High",2,IF(H1725="Moderate",1,0)))</f>
        <v>6</v>
      </c>
      <c r="J1725" s="7" t="str">
        <f aca="false">IF(I1725&gt;=8,"High",IF(I1725&gt;=4,"Medium","Low"))</f>
        <v>Medium</v>
      </c>
    </row>
    <row r="1726" customFormat="false" ht="15" hidden="false" customHeight="true" outlineLevel="0" collapsed="false">
      <c r="A1726" s="7" t="n">
        <f aca="false">'Raw Data'!A1726</f>
        <v>2010</v>
      </c>
      <c r="B1726" s="7" t="n">
        <f aca="false">'Raw Data'!B1726</f>
        <v>31</v>
      </c>
      <c r="C1726" s="7" t="str">
        <f aca="false">'Raw Data'!C1726</f>
        <v>Male</v>
      </c>
      <c r="D1726" s="7" t="str">
        <f aca="false">'Raw Data'!D1726</f>
        <v>Current</v>
      </c>
      <c r="E1726" s="7" t="str">
        <f aca="false">'Raw Data'!J1726</f>
        <v>High</v>
      </c>
      <c r="F1726" s="7" t="n">
        <f aca="false">'Raw Data'!K1726</f>
        <v>154.7</v>
      </c>
      <c r="G1726" s="7" t="str">
        <f aca="false">'Raw Data'!L1726</f>
        <v>No</v>
      </c>
      <c r="H1726" s="7" t="str">
        <f aca="false">'Raw Data'!M1726</f>
        <v>Low</v>
      </c>
      <c r="I1726" s="7" t="n">
        <f aca="false">(IF(D1726="Current",3,IF(D1726="Former",1,0)))+(IF(E1726="High",3,IF(E1726="Normal",1,0)))+(IF(F1726&gt;=240,2,IF(F1726&gt;=200,1,0)))+(IF(G1726="Yes",2,0))+(IF(H1726="High",2,IF(H1726="Moderate",1,0)))</f>
        <v>6</v>
      </c>
      <c r="J1726" s="7" t="str">
        <f aca="false">IF(I1726&gt;=8,"High",IF(I1726&gt;=4,"Medium","Low"))</f>
        <v>Medium</v>
      </c>
    </row>
    <row r="1727" customFormat="false" ht="15" hidden="false" customHeight="true" outlineLevel="0" collapsed="false">
      <c r="A1727" s="7" t="n">
        <f aca="false">'Raw Data'!A1727</f>
        <v>2018</v>
      </c>
      <c r="B1727" s="7" t="n">
        <f aca="false">'Raw Data'!B1727</f>
        <v>48</v>
      </c>
      <c r="C1727" s="7" t="str">
        <f aca="false">'Raw Data'!C1727</f>
        <v>Female</v>
      </c>
      <c r="D1727" s="7" t="str">
        <f aca="false">'Raw Data'!D1727</f>
        <v>Current</v>
      </c>
      <c r="E1727" s="7" t="str">
        <f aca="false">'Raw Data'!J1727</f>
        <v>High</v>
      </c>
      <c r="F1727" s="7" t="n">
        <f aca="false">'Raw Data'!K1727</f>
        <v>124.2</v>
      </c>
      <c r="G1727" s="7" t="str">
        <f aca="false">'Raw Data'!L1727</f>
        <v>No</v>
      </c>
      <c r="H1727" s="7" t="str">
        <f aca="false">'Raw Data'!M1727</f>
        <v>Low</v>
      </c>
      <c r="I1727" s="7" t="n">
        <f aca="false">(IF(D1727="Current",3,IF(D1727="Former",1,0)))+(IF(E1727="High",3,IF(E1727="Normal",1,0)))+(IF(F1727&gt;=240,2,IF(F1727&gt;=200,1,0)))+(IF(G1727="Yes",2,0))+(IF(H1727="High",2,IF(H1727="Moderate",1,0)))</f>
        <v>6</v>
      </c>
      <c r="J1727" s="7" t="str">
        <f aca="false">IF(I1727&gt;=8,"High",IF(I1727&gt;=4,"Medium","Low"))</f>
        <v>Medium</v>
      </c>
    </row>
    <row r="1728" customFormat="false" ht="15" hidden="false" customHeight="true" outlineLevel="0" collapsed="false">
      <c r="A1728" s="7" t="n">
        <f aca="false">'Raw Data'!A1728</f>
        <v>2033</v>
      </c>
      <c r="B1728" s="7" t="n">
        <f aca="false">'Raw Data'!B1728</f>
        <v>23</v>
      </c>
      <c r="C1728" s="7" t="str">
        <f aca="false">'Raw Data'!C1728</f>
        <v>Male</v>
      </c>
      <c r="D1728" s="7" t="str">
        <f aca="false">'Raw Data'!D1728</f>
        <v>Current</v>
      </c>
      <c r="E1728" s="7" t="str">
        <f aca="false">'Raw Data'!J1728</f>
        <v>High</v>
      </c>
      <c r="F1728" s="7" t="n">
        <f aca="false">'Raw Data'!K1728</f>
        <v>163.9</v>
      </c>
      <c r="G1728" s="7" t="str">
        <f aca="false">'Raw Data'!L1728</f>
        <v>Yes</v>
      </c>
      <c r="H1728" s="7" t="str">
        <f aca="false">'Raw Data'!M1728</f>
        <v>Low</v>
      </c>
      <c r="I1728" s="7" t="n">
        <f aca="false">(IF(D1728="Current",3,IF(D1728="Former",1,0)))+(IF(E1728="High",3,IF(E1728="Normal",1,0)))+(IF(F1728&gt;=240,2,IF(F1728&gt;=200,1,0)))+(IF(G1728="Yes",2,0))+(IF(H1728="High",2,IF(H1728="Moderate",1,0)))</f>
        <v>8</v>
      </c>
      <c r="J1728" s="7" t="str">
        <f aca="false">IF(I1728&gt;=8,"High",IF(I1728&gt;=4,"Medium","Low"))</f>
        <v>High</v>
      </c>
    </row>
    <row r="1729" customFormat="false" ht="15" hidden="false" customHeight="true" outlineLevel="0" collapsed="false">
      <c r="A1729" s="7" t="n">
        <f aca="false">'Raw Data'!A1729</f>
        <v>2035</v>
      </c>
      <c r="B1729" s="7" t="n">
        <f aca="false">'Raw Data'!B1729</f>
        <v>48</v>
      </c>
      <c r="C1729" s="7" t="str">
        <f aca="false">'Raw Data'!C1729</f>
        <v>Female</v>
      </c>
      <c r="D1729" s="7" t="str">
        <f aca="false">'Raw Data'!D1729</f>
        <v>Current</v>
      </c>
      <c r="E1729" s="7" t="str">
        <f aca="false">'Raw Data'!J1729</f>
        <v>High</v>
      </c>
      <c r="F1729" s="7" t="n">
        <f aca="false">'Raw Data'!K1729</f>
        <v>215.4</v>
      </c>
      <c r="G1729" s="7" t="str">
        <f aca="false">'Raw Data'!L1729</f>
        <v>Yes</v>
      </c>
      <c r="H1729" s="7" t="str">
        <f aca="false">'Raw Data'!M1729</f>
        <v>Low</v>
      </c>
      <c r="I1729" s="7" t="n">
        <f aca="false">(IF(D1729="Current",3,IF(D1729="Former",1,0)))+(IF(E1729="High",3,IF(E1729="Normal",1,0)))+(IF(F1729&gt;=240,2,IF(F1729&gt;=200,1,0)))+(IF(G1729="Yes",2,0))+(IF(H1729="High",2,IF(H1729="Moderate",1,0)))</f>
        <v>9</v>
      </c>
      <c r="J1729" s="7" t="str">
        <f aca="false">IF(I1729&gt;=8,"High",IF(I1729&gt;=4,"Medium","Low"))</f>
        <v>High</v>
      </c>
    </row>
    <row r="1730" customFormat="false" ht="15" hidden="false" customHeight="true" outlineLevel="0" collapsed="false">
      <c r="A1730" s="7" t="n">
        <f aca="false">'Raw Data'!A1730</f>
        <v>2110</v>
      </c>
      <c r="B1730" s="7" t="n">
        <f aca="false">'Raw Data'!B1730</f>
        <v>45</v>
      </c>
      <c r="C1730" s="7" t="str">
        <f aca="false">'Raw Data'!C1730</f>
        <v>Female</v>
      </c>
      <c r="D1730" s="7" t="str">
        <f aca="false">'Raw Data'!D1730</f>
        <v>Current</v>
      </c>
      <c r="E1730" s="7" t="str">
        <f aca="false">'Raw Data'!J1730</f>
        <v>High</v>
      </c>
      <c r="F1730" s="7" t="n">
        <f aca="false">'Raw Data'!K1730</f>
        <v>122.8</v>
      </c>
      <c r="G1730" s="7" t="str">
        <f aca="false">'Raw Data'!L1730</f>
        <v>No</v>
      </c>
      <c r="H1730" s="7" t="str">
        <f aca="false">'Raw Data'!M1730</f>
        <v>Low</v>
      </c>
      <c r="I1730" s="7" t="n">
        <f aca="false">(IF(D1730="Current",3,IF(D1730="Former",1,0)))+(IF(E1730="High",3,IF(E1730="Normal",1,0)))+(IF(F1730&gt;=240,2,IF(F1730&gt;=200,1,0)))+(IF(G1730="Yes",2,0))+(IF(H1730="High",2,IF(H1730="Moderate",1,0)))</f>
        <v>6</v>
      </c>
      <c r="J1730" s="7" t="str">
        <f aca="false">IF(I1730&gt;=8,"High",IF(I1730&gt;=4,"Medium","Low"))</f>
        <v>Medium</v>
      </c>
    </row>
    <row r="1731" customFormat="false" ht="15" hidden="false" customHeight="true" outlineLevel="0" collapsed="false">
      <c r="A1731" s="7" t="n">
        <f aca="false">'Raw Data'!A1731</f>
        <v>2248</v>
      </c>
      <c r="B1731" s="7" t="n">
        <f aca="false">'Raw Data'!B1731</f>
        <v>76</v>
      </c>
      <c r="C1731" s="7" t="str">
        <f aca="false">'Raw Data'!C1731</f>
        <v>Male</v>
      </c>
      <c r="D1731" s="7" t="str">
        <f aca="false">'Raw Data'!D1731</f>
        <v>Current</v>
      </c>
      <c r="E1731" s="7" t="str">
        <f aca="false">'Raw Data'!J1731</f>
        <v>High</v>
      </c>
      <c r="F1731" s="7" t="n">
        <f aca="false">'Raw Data'!K1731</f>
        <v>282.8</v>
      </c>
      <c r="G1731" s="7" t="str">
        <f aca="false">'Raw Data'!L1731</f>
        <v>No</v>
      </c>
      <c r="H1731" s="7" t="str">
        <f aca="false">'Raw Data'!M1731</f>
        <v>Low</v>
      </c>
      <c r="I1731" s="7" t="n">
        <f aca="false">(IF(D1731="Current",3,IF(D1731="Former",1,0)))+(IF(E1731="High",3,IF(E1731="Normal",1,0)))+(IF(F1731&gt;=240,2,IF(F1731&gt;=200,1,0)))+(IF(G1731="Yes",2,0))+(IF(H1731="High",2,IF(H1731="Moderate",1,0)))</f>
        <v>8</v>
      </c>
      <c r="J1731" s="7" t="str">
        <f aca="false">IF(I1731&gt;=8,"High",IF(I1731&gt;=4,"Medium","Low"))</f>
        <v>High</v>
      </c>
    </row>
    <row r="1732" customFormat="false" ht="15" hidden="false" customHeight="true" outlineLevel="0" collapsed="false">
      <c r="A1732" s="7" t="n">
        <f aca="false">'Raw Data'!A1732</f>
        <v>2249</v>
      </c>
      <c r="B1732" s="7" t="n">
        <f aca="false">'Raw Data'!B1732</f>
        <v>80</v>
      </c>
      <c r="C1732" s="7" t="str">
        <f aca="false">'Raw Data'!C1732</f>
        <v>Male</v>
      </c>
      <c r="D1732" s="7" t="str">
        <f aca="false">'Raw Data'!D1732</f>
        <v>Current</v>
      </c>
      <c r="E1732" s="7" t="str">
        <f aca="false">'Raw Data'!J1732</f>
        <v>High</v>
      </c>
      <c r="F1732" s="7" t="n">
        <f aca="false">'Raw Data'!K1732</f>
        <v>178.6</v>
      </c>
      <c r="G1732" s="7" t="str">
        <f aca="false">'Raw Data'!L1732</f>
        <v>No</v>
      </c>
      <c r="H1732" s="7" t="str">
        <f aca="false">'Raw Data'!M1732</f>
        <v>Low</v>
      </c>
      <c r="I1732" s="7" t="n">
        <f aca="false">(IF(D1732="Current",3,IF(D1732="Former",1,0)))+(IF(E1732="High",3,IF(E1732="Normal",1,0)))+(IF(F1732&gt;=240,2,IF(F1732&gt;=200,1,0)))+(IF(G1732="Yes",2,0))+(IF(H1732="High",2,IF(H1732="Moderate",1,0)))</f>
        <v>6</v>
      </c>
      <c r="J1732" s="7" t="str">
        <f aca="false">IF(I1732&gt;=8,"High",IF(I1732&gt;=4,"Medium","Low"))</f>
        <v>Medium</v>
      </c>
    </row>
    <row r="1733" customFormat="false" ht="15" hidden="false" customHeight="true" outlineLevel="0" collapsed="false">
      <c r="A1733" s="7" t="n">
        <f aca="false">'Raw Data'!A1733</f>
        <v>2293</v>
      </c>
      <c r="B1733" s="7" t="n">
        <f aca="false">'Raw Data'!B1733</f>
        <v>88</v>
      </c>
      <c r="C1733" s="7" t="str">
        <f aca="false">'Raw Data'!C1733</f>
        <v>Female</v>
      </c>
      <c r="D1733" s="7" t="str">
        <f aca="false">'Raw Data'!D1733</f>
        <v>Current</v>
      </c>
      <c r="E1733" s="7" t="str">
        <f aca="false">'Raw Data'!J1733</f>
        <v>High</v>
      </c>
      <c r="F1733" s="7" t="n">
        <f aca="false">'Raw Data'!K1733</f>
        <v>141.4</v>
      </c>
      <c r="G1733" s="7" t="str">
        <f aca="false">'Raw Data'!L1733</f>
        <v>No</v>
      </c>
      <c r="H1733" s="7" t="str">
        <f aca="false">'Raw Data'!M1733</f>
        <v>Low</v>
      </c>
      <c r="I1733" s="7" t="n">
        <f aca="false">(IF(D1733="Current",3,IF(D1733="Former",1,0)))+(IF(E1733="High",3,IF(E1733="Normal",1,0)))+(IF(F1733&gt;=240,2,IF(F1733&gt;=200,1,0)))+(IF(G1733="Yes",2,0))+(IF(H1733="High",2,IF(H1733="Moderate",1,0)))</f>
        <v>6</v>
      </c>
      <c r="J1733" s="7" t="str">
        <f aca="false">IF(I1733&gt;=8,"High",IF(I1733&gt;=4,"Medium","Low"))</f>
        <v>Medium</v>
      </c>
    </row>
    <row r="1734" customFormat="false" ht="15" hidden="false" customHeight="true" outlineLevel="0" collapsed="false">
      <c r="A1734" s="7" t="n">
        <f aca="false">'Raw Data'!A1734</f>
        <v>2324</v>
      </c>
      <c r="B1734" s="7" t="n">
        <f aca="false">'Raw Data'!B1734</f>
        <v>60</v>
      </c>
      <c r="C1734" s="7" t="str">
        <f aca="false">'Raw Data'!C1734</f>
        <v>Female</v>
      </c>
      <c r="D1734" s="7" t="str">
        <f aca="false">'Raw Data'!D1734</f>
        <v>Current</v>
      </c>
      <c r="E1734" s="7" t="str">
        <f aca="false">'Raw Data'!J1734</f>
        <v>High</v>
      </c>
      <c r="F1734" s="7" t="n">
        <f aca="false">'Raw Data'!K1734</f>
        <v>178.1</v>
      </c>
      <c r="G1734" s="7" t="str">
        <f aca="false">'Raw Data'!L1734</f>
        <v>No</v>
      </c>
      <c r="H1734" s="7" t="str">
        <f aca="false">'Raw Data'!M1734</f>
        <v>Low</v>
      </c>
      <c r="I1734" s="7" t="n">
        <f aca="false">(IF(D1734="Current",3,IF(D1734="Former",1,0)))+(IF(E1734="High",3,IF(E1734="Normal",1,0)))+(IF(F1734&gt;=240,2,IF(F1734&gt;=200,1,0)))+(IF(G1734="Yes",2,0))+(IF(H1734="High",2,IF(H1734="Moderate",1,0)))</f>
        <v>6</v>
      </c>
      <c r="J1734" s="7" t="str">
        <f aca="false">IF(I1734&gt;=8,"High",IF(I1734&gt;=4,"Medium","Low"))</f>
        <v>Medium</v>
      </c>
    </row>
    <row r="1735" customFormat="false" ht="15" hidden="false" customHeight="true" outlineLevel="0" collapsed="false">
      <c r="A1735" s="7" t="n">
        <f aca="false">'Raw Data'!A1735</f>
        <v>2339</v>
      </c>
      <c r="B1735" s="7" t="n">
        <f aca="false">'Raw Data'!B1735</f>
        <v>18</v>
      </c>
      <c r="C1735" s="7" t="str">
        <f aca="false">'Raw Data'!C1735</f>
        <v>Male</v>
      </c>
      <c r="D1735" s="7" t="str">
        <f aca="false">'Raw Data'!D1735</f>
        <v>Current</v>
      </c>
      <c r="E1735" s="7" t="str">
        <f aca="false">'Raw Data'!J1735</f>
        <v>High</v>
      </c>
      <c r="F1735" s="7" t="n">
        <f aca="false">'Raw Data'!K1735</f>
        <v>147.8</v>
      </c>
      <c r="G1735" s="7" t="str">
        <f aca="false">'Raw Data'!L1735</f>
        <v>No</v>
      </c>
      <c r="H1735" s="7" t="str">
        <f aca="false">'Raw Data'!M1735</f>
        <v>Low</v>
      </c>
      <c r="I1735" s="7" t="n">
        <f aca="false">(IF(D1735="Current",3,IF(D1735="Former",1,0)))+(IF(E1735="High",3,IF(E1735="Normal",1,0)))+(IF(F1735&gt;=240,2,IF(F1735&gt;=200,1,0)))+(IF(G1735="Yes",2,0))+(IF(H1735="High",2,IF(H1735="Moderate",1,0)))</f>
        <v>6</v>
      </c>
      <c r="J1735" s="7" t="str">
        <f aca="false">IF(I1735&gt;=8,"High",IF(I1735&gt;=4,"Medium","Low"))</f>
        <v>Medium</v>
      </c>
    </row>
    <row r="1736" customFormat="false" ht="15" hidden="false" customHeight="true" outlineLevel="0" collapsed="false">
      <c r="A1736" s="7" t="n">
        <f aca="false">'Raw Data'!A1736</f>
        <v>2349</v>
      </c>
      <c r="B1736" s="7" t="n">
        <f aca="false">'Raw Data'!B1736</f>
        <v>60</v>
      </c>
      <c r="C1736" s="7" t="str">
        <f aca="false">'Raw Data'!C1736</f>
        <v>Female</v>
      </c>
      <c r="D1736" s="7" t="str">
        <f aca="false">'Raw Data'!D1736</f>
        <v>Current</v>
      </c>
      <c r="E1736" s="7" t="str">
        <f aca="false">'Raw Data'!J1736</f>
        <v>High</v>
      </c>
      <c r="F1736" s="7" t="n">
        <f aca="false">'Raw Data'!K1736</f>
        <v>174</v>
      </c>
      <c r="G1736" s="7" t="str">
        <f aca="false">'Raw Data'!L1736</f>
        <v>No</v>
      </c>
      <c r="H1736" s="7" t="str">
        <f aca="false">'Raw Data'!M1736</f>
        <v>Low</v>
      </c>
      <c r="I1736" s="7" t="n">
        <f aca="false">(IF(D1736="Current",3,IF(D1736="Former",1,0)))+(IF(E1736="High",3,IF(E1736="Normal",1,0)))+(IF(F1736&gt;=240,2,IF(F1736&gt;=200,1,0)))+(IF(G1736="Yes",2,0))+(IF(H1736="High",2,IF(H1736="Moderate",1,0)))</f>
        <v>6</v>
      </c>
      <c r="J1736" s="7" t="str">
        <f aca="false">IF(I1736&gt;=8,"High",IF(I1736&gt;=4,"Medium","Low"))</f>
        <v>Medium</v>
      </c>
    </row>
    <row r="1737" customFormat="false" ht="15" hidden="false" customHeight="true" outlineLevel="0" collapsed="false">
      <c r="A1737" s="7" t="n">
        <f aca="false">'Raw Data'!A1737</f>
        <v>2353</v>
      </c>
      <c r="B1737" s="7" t="n">
        <f aca="false">'Raw Data'!B1737</f>
        <v>61</v>
      </c>
      <c r="C1737" s="7" t="str">
        <f aca="false">'Raw Data'!C1737</f>
        <v>Male</v>
      </c>
      <c r="D1737" s="7" t="str">
        <f aca="false">'Raw Data'!D1737</f>
        <v>Current</v>
      </c>
      <c r="E1737" s="7" t="str">
        <f aca="false">'Raw Data'!J1737</f>
        <v>High</v>
      </c>
      <c r="F1737" s="7" t="n">
        <f aca="false">'Raw Data'!K1737</f>
        <v>198.7</v>
      </c>
      <c r="G1737" s="7" t="str">
        <f aca="false">'Raw Data'!L1737</f>
        <v>No</v>
      </c>
      <c r="H1737" s="7" t="str">
        <f aca="false">'Raw Data'!M1737</f>
        <v>Low</v>
      </c>
      <c r="I1737" s="7" t="n">
        <f aca="false">(IF(D1737="Current",3,IF(D1737="Former",1,0)))+(IF(E1737="High",3,IF(E1737="Normal",1,0)))+(IF(F1737&gt;=240,2,IF(F1737&gt;=200,1,0)))+(IF(G1737="Yes",2,0))+(IF(H1737="High",2,IF(H1737="Moderate",1,0)))</f>
        <v>6</v>
      </c>
      <c r="J1737" s="7" t="str">
        <f aca="false">IF(I1737&gt;=8,"High",IF(I1737&gt;=4,"Medium","Low"))</f>
        <v>Medium</v>
      </c>
    </row>
    <row r="1738" customFormat="false" ht="15" hidden="false" customHeight="true" outlineLevel="0" collapsed="false">
      <c r="A1738" s="7" t="n">
        <f aca="false">'Raw Data'!A1738</f>
        <v>2372</v>
      </c>
      <c r="B1738" s="7" t="n">
        <f aca="false">'Raw Data'!B1738</f>
        <v>20</v>
      </c>
      <c r="C1738" s="7" t="str">
        <f aca="false">'Raw Data'!C1738</f>
        <v>Male</v>
      </c>
      <c r="D1738" s="7" t="str">
        <f aca="false">'Raw Data'!D1738</f>
        <v>Current</v>
      </c>
      <c r="E1738" s="7" t="str">
        <f aca="false">'Raw Data'!J1738</f>
        <v>High</v>
      </c>
      <c r="F1738" s="7" t="n">
        <f aca="false">'Raw Data'!K1738</f>
        <v>240.7</v>
      </c>
      <c r="G1738" s="7" t="str">
        <f aca="false">'Raw Data'!L1738</f>
        <v>No</v>
      </c>
      <c r="H1738" s="7" t="str">
        <f aca="false">'Raw Data'!M1738</f>
        <v>Low</v>
      </c>
      <c r="I1738" s="7" t="n">
        <f aca="false">(IF(D1738="Current",3,IF(D1738="Former",1,0)))+(IF(E1738="High",3,IF(E1738="Normal",1,0)))+(IF(F1738&gt;=240,2,IF(F1738&gt;=200,1,0)))+(IF(G1738="Yes",2,0))+(IF(H1738="High",2,IF(H1738="Moderate",1,0)))</f>
        <v>8</v>
      </c>
      <c r="J1738" s="7" t="str">
        <f aca="false">IF(I1738&gt;=8,"High",IF(I1738&gt;=4,"Medium","Low"))</f>
        <v>High</v>
      </c>
    </row>
    <row r="1739" customFormat="false" ht="15" hidden="false" customHeight="true" outlineLevel="0" collapsed="false">
      <c r="A1739" s="7" t="n">
        <f aca="false">'Raw Data'!A1739</f>
        <v>2389</v>
      </c>
      <c r="B1739" s="7" t="n">
        <f aca="false">'Raw Data'!B1739</f>
        <v>58</v>
      </c>
      <c r="C1739" s="7" t="str">
        <f aca="false">'Raw Data'!C1739</f>
        <v>Female</v>
      </c>
      <c r="D1739" s="7" t="str">
        <f aca="false">'Raw Data'!D1739</f>
        <v>Current</v>
      </c>
      <c r="E1739" s="7" t="str">
        <f aca="false">'Raw Data'!J1739</f>
        <v>High</v>
      </c>
      <c r="F1739" s="7" t="n">
        <f aca="false">'Raw Data'!K1739</f>
        <v>135.4</v>
      </c>
      <c r="G1739" s="7" t="str">
        <f aca="false">'Raw Data'!L1739</f>
        <v>No</v>
      </c>
      <c r="H1739" s="7" t="str">
        <f aca="false">'Raw Data'!M1739</f>
        <v>Low</v>
      </c>
      <c r="I1739" s="7" t="n">
        <f aca="false">(IF(D1739="Current",3,IF(D1739="Former",1,0)))+(IF(E1739="High",3,IF(E1739="Normal",1,0)))+(IF(F1739&gt;=240,2,IF(F1739&gt;=200,1,0)))+(IF(G1739="Yes",2,0))+(IF(H1739="High",2,IF(H1739="Moderate",1,0)))</f>
        <v>6</v>
      </c>
      <c r="J1739" s="7" t="str">
        <f aca="false">IF(I1739&gt;=8,"High",IF(I1739&gt;=4,"Medium","Low"))</f>
        <v>Medium</v>
      </c>
    </row>
    <row r="1740" customFormat="false" ht="15" hidden="false" customHeight="true" outlineLevel="0" collapsed="false">
      <c r="A1740" s="7" t="n">
        <f aca="false">'Raw Data'!A1740</f>
        <v>2408</v>
      </c>
      <c r="B1740" s="7" t="n">
        <f aca="false">'Raw Data'!B1740</f>
        <v>84</v>
      </c>
      <c r="C1740" s="7" t="str">
        <f aca="false">'Raw Data'!C1740</f>
        <v>Female</v>
      </c>
      <c r="D1740" s="7" t="str">
        <f aca="false">'Raw Data'!D1740</f>
        <v>Current</v>
      </c>
      <c r="E1740" s="7" t="str">
        <f aca="false">'Raw Data'!J1740</f>
        <v>High</v>
      </c>
      <c r="F1740" s="7" t="n">
        <f aca="false">'Raw Data'!K1740</f>
        <v>260</v>
      </c>
      <c r="G1740" s="7" t="str">
        <f aca="false">'Raw Data'!L1740</f>
        <v>No</v>
      </c>
      <c r="H1740" s="7" t="str">
        <f aca="false">'Raw Data'!M1740</f>
        <v>Low</v>
      </c>
      <c r="I1740" s="7" t="n">
        <f aca="false">(IF(D1740="Current",3,IF(D1740="Former",1,0)))+(IF(E1740="High",3,IF(E1740="Normal",1,0)))+(IF(F1740&gt;=240,2,IF(F1740&gt;=200,1,0)))+(IF(G1740="Yes",2,0))+(IF(H1740="High",2,IF(H1740="Moderate",1,0)))</f>
        <v>8</v>
      </c>
      <c r="J1740" s="7" t="str">
        <f aca="false">IF(I1740&gt;=8,"High",IF(I1740&gt;=4,"Medium","Low"))</f>
        <v>High</v>
      </c>
    </row>
    <row r="1741" customFormat="false" ht="15" hidden="false" customHeight="true" outlineLevel="0" collapsed="false">
      <c r="A1741" s="7" t="n">
        <f aca="false">'Raw Data'!A1741</f>
        <v>2417</v>
      </c>
      <c r="B1741" s="7" t="n">
        <f aca="false">'Raw Data'!B1741</f>
        <v>44</v>
      </c>
      <c r="C1741" s="7" t="str">
        <f aca="false">'Raw Data'!C1741</f>
        <v>Female</v>
      </c>
      <c r="D1741" s="7" t="str">
        <f aca="false">'Raw Data'!D1741</f>
        <v>Current</v>
      </c>
      <c r="E1741" s="7" t="str">
        <f aca="false">'Raw Data'!J1741</f>
        <v>High</v>
      </c>
      <c r="F1741" s="7" t="n">
        <f aca="false">'Raw Data'!K1741</f>
        <v>150</v>
      </c>
      <c r="G1741" s="7" t="str">
        <f aca="false">'Raw Data'!L1741</f>
        <v>No</v>
      </c>
      <c r="H1741" s="7" t="str">
        <f aca="false">'Raw Data'!M1741</f>
        <v>Low</v>
      </c>
      <c r="I1741" s="7" t="n">
        <f aca="false">(IF(D1741="Current",3,IF(D1741="Former",1,0)))+(IF(E1741="High",3,IF(E1741="Normal",1,0)))+(IF(F1741&gt;=240,2,IF(F1741&gt;=200,1,0)))+(IF(G1741="Yes",2,0))+(IF(H1741="High",2,IF(H1741="Moderate",1,0)))</f>
        <v>6</v>
      </c>
      <c r="J1741" s="7" t="str">
        <f aca="false">IF(I1741&gt;=8,"High",IF(I1741&gt;=4,"Medium","Low"))</f>
        <v>Medium</v>
      </c>
    </row>
    <row r="1742" customFormat="false" ht="15" hidden="false" customHeight="true" outlineLevel="0" collapsed="false">
      <c r="A1742" s="7" t="n">
        <f aca="false">'Raw Data'!A1742</f>
        <v>2425</v>
      </c>
      <c r="B1742" s="7" t="n">
        <f aca="false">'Raw Data'!B1742</f>
        <v>33</v>
      </c>
      <c r="C1742" s="7" t="str">
        <f aca="false">'Raw Data'!C1742</f>
        <v>Male</v>
      </c>
      <c r="D1742" s="7" t="str">
        <f aca="false">'Raw Data'!D1742</f>
        <v>Current</v>
      </c>
      <c r="E1742" s="7" t="str">
        <f aca="false">'Raw Data'!J1742</f>
        <v>High</v>
      </c>
      <c r="F1742" s="7" t="n">
        <f aca="false">'Raw Data'!K1742</f>
        <v>139.2</v>
      </c>
      <c r="G1742" s="7" t="str">
        <f aca="false">'Raw Data'!L1742</f>
        <v>No</v>
      </c>
      <c r="H1742" s="7" t="str">
        <f aca="false">'Raw Data'!M1742</f>
        <v>Low</v>
      </c>
      <c r="I1742" s="7" t="n">
        <f aca="false">(IF(D1742="Current",3,IF(D1742="Former",1,0)))+(IF(E1742="High",3,IF(E1742="Normal",1,0)))+(IF(F1742&gt;=240,2,IF(F1742&gt;=200,1,0)))+(IF(G1742="Yes",2,0))+(IF(H1742="High",2,IF(H1742="Moderate",1,0)))</f>
        <v>6</v>
      </c>
      <c r="J1742" s="7" t="str">
        <f aca="false">IF(I1742&gt;=8,"High",IF(I1742&gt;=4,"Medium","Low"))</f>
        <v>Medium</v>
      </c>
    </row>
    <row r="1743" customFormat="false" ht="15" hidden="false" customHeight="true" outlineLevel="0" collapsed="false">
      <c r="A1743" s="7" t="n">
        <f aca="false">'Raw Data'!A1743</f>
        <v>2438</v>
      </c>
      <c r="B1743" s="7" t="n">
        <f aca="false">'Raw Data'!B1743</f>
        <v>46</v>
      </c>
      <c r="C1743" s="7" t="str">
        <f aca="false">'Raw Data'!C1743</f>
        <v>Female</v>
      </c>
      <c r="D1743" s="7" t="str">
        <f aca="false">'Raw Data'!D1743</f>
        <v>Current</v>
      </c>
      <c r="E1743" s="7" t="str">
        <f aca="false">'Raw Data'!J1743</f>
        <v>High</v>
      </c>
      <c r="F1743" s="7" t="n">
        <f aca="false">'Raw Data'!K1743</f>
        <v>201.1</v>
      </c>
      <c r="G1743" s="7" t="str">
        <f aca="false">'Raw Data'!L1743</f>
        <v>Yes</v>
      </c>
      <c r="H1743" s="7" t="str">
        <f aca="false">'Raw Data'!M1743</f>
        <v>Low</v>
      </c>
      <c r="I1743" s="7" t="n">
        <f aca="false">(IF(D1743="Current",3,IF(D1743="Former",1,0)))+(IF(E1743="High",3,IF(E1743="Normal",1,0)))+(IF(F1743&gt;=240,2,IF(F1743&gt;=200,1,0)))+(IF(G1743="Yes",2,0))+(IF(H1743="High",2,IF(H1743="Moderate",1,0)))</f>
        <v>9</v>
      </c>
      <c r="J1743" s="7" t="str">
        <f aca="false">IF(I1743&gt;=8,"High",IF(I1743&gt;=4,"Medium","Low"))</f>
        <v>High</v>
      </c>
    </row>
    <row r="1744" customFormat="false" ht="15" hidden="false" customHeight="true" outlineLevel="0" collapsed="false">
      <c r="A1744" s="7" t="n">
        <f aca="false">'Raw Data'!A1744</f>
        <v>2486</v>
      </c>
      <c r="B1744" s="7" t="n">
        <f aca="false">'Raw Data'!B1744</f>
        <v>28</v>
      </c>
      <c r="C1744" s="7" t="str">
        <f aca="false">'Raw Data'!C1744</f>
        <v>Male</v>
      </c>
      <c r="D1744" s="7" t="str">
        <f aca="false">'Raw Data'!D1744</f>
        <v>Current</v>
      </c>
      <c r="E1744" s="7" t="str">
        <f aca="false">'Raw Data'!J1744</f>
        <v>High</v>
      </c>
      <c r="F1744" s="7" t="n">
        <f aca="false">'Raw Data'!K1744</f>
        <v>138.9</v>
      </c>
      <c r="G1744" s="7" t="str">
        <f aca="false">'Raw Data'!L1744</f>
        <v>No</v>
      </c>
      <c r="H1744" s="7" t="str">
        <f aca="false">'Raw Data'!M1744</f>
        <v>Low</v>
      </c>
      <c r="I1744" s="7" t="n">
        <f aca="false">(IF(D1744="Current",3,IF(D1744="Former",1,0)))+(IF(E1744="High",3,IF(E1744="Normal",1,0)))+(IF(F1744&gt;=240,2,IF(F1744&gt;=200,1,0)))+(IF(G1744="Yes",2,0))+(IF(H1744="High",2,IF(H1744="Moderate",1,0)))</f>
        <v>6</v>
      </c>
      <c r="J1744" s="7" t="str">
        <f aca="false">IF(I1744&gt;=8,"High",IF(I1744&gt;=4,"Medium","Low"))</f>
        <v>Medium</v>
      </c>
    </row>
    <row r="1745" customFormat="false" ht="15" hidden="false" customHeight="true" outlineLevel="0" collapsed="false">
      <c r="A1745" s="7" t="n">
        <f aca="false">'Raw Data'!A1745</f>
        <v>2495</v>
      </c>
      <c r="B1745" s="7" t="n">
        <f aca="false">'Raw Data'!B1745</f>
        <v>65</v>
      </c>
      <c r="C1745" s="7" t="str">
        <f aca="false">'Raw Data'!C1745</f>
        <v>Female</v>
      </c>
      <c r="D1745" s="7" t="str">
        <f aca="false">'Raw Data'!D1745</f>
        <v>Current</v>
      </c>
      <c r="E1745" s="7" t="str">
        <f aca="false">'Raw Data'!J1745</f>
        <v>High</v>
      </c>
      <c r="F1745" s="7" t="n">
        <f aca="false">'Raw Data'!K1745</f>
        <v>209</v>
      </c>
      <c r="G1745" s="7" t="str">
        <f aca="false">'Raw Data'!L1745</f>
        <v>Yes</v>
      </c>
      <c r="H1745" s="7" t="str">
        <f aca="false">'Raw Data'!M1745</f>
        <v>Low</v>
      </c>
      <c r="I1745" s="7" t="n">
        <f aca="false">(IF(D1745="Current",3,IF(D1745="Former",1,0)))+(IF(E1745="High",3,IF(E1745="Normal",1,0)))+(IF(F1745&gt;=240,2,IF(F1745&gt;=200,1,0)))+(IF(G1745="Yes",2,0))+(IF(H1745="High",2,IF(H1745="Moderate",1,0)))</f>
        <v>9</v>
      </c>
      <c r="J1745" s="7" t="str">
        <f aca="false">IF(I1745&gt;=8,"High",IF(I1745&gt;=4,"Medium","Low"))</f>
        <v>High</v>
      </c>
    </row>
    <row r="1746" customFormat="false" ht="15" hidden="false" customHeight="true" outlineLevel="0" collapsed="false">
      <c r="A1746" s="7" t="n">
        <f aca="false">'Raw Data'!A1746</f>
        <v>16</v>
      </c>
      <c r="B1746" s="7" t="n">
        <f aca="false">'Raw Data'!B1746</f>
        <v>18</v>
      </c>
      <c r="C1746" s="7" t="str">
        <f aca="false">'Raw Data'!C1746</f>
        <v>Male</v>
      </c>
      <c r="D1746" s="7" t="str">
        <f aca="false">'Raw Data'!D1746</f>
        <v>Former</v>
      </c>
      <c r="E1746" s="7" t="str">
        <f aca="false">'Raw Data'!J1746</f>
        <v>Normal</v>
      </c>
      <c r="F1746" s="7" t="n">
        <f aca="false">'Raw Data'!K1746</f>
        <v>226.7</v>
      </c>
      <c r="G1746" s="7" t="str">
        <f aca="false">'Raw Data'!L1746</f>
        <v>Yes</v>
      </c>
      <c r="H1746" s="7" t="str">
        <f aca="false">'Raw Data'!M1746</f>
        <v>Low</v>
      </c>
      <c r="I1746" s="7" t="n">
        <f aca="false">(IF(D1746="Current",3,IF(D1746="Former",1,0)))+(IF(E1746="High",3,IF(E1746="Normal",1,0)))+(IF(F1746&gt;=240,2,IF(F1746&gt;=200,1,0)))+(IF(G1746="Yes",2,0))+(IF(H1746="High",2,IF(H1746="Moderate",1,0)))</f>
        <v>5</v>
      </c>
      <c r="J1746" s="7" t="str">
        <f aca="false">IF(I1746&gt;=8,"High",IF(I1746&gt;=4,"Medium","Low"))</f>
        <v>Medium</v>
      </c>
    </row>
    <row r="1747" customFormat="false" ht="15" hidden="false" customHeight="true" outlineLevel="0" collapsed="false">
      <c r="A1747" s="7" t="n">
        <f aca="false">'Raw Data'!A1747</f>
        <v>19</v>
      </c>
      <c r="B1747" s="7" t="n">
        <f aca="false">'Raw Data'!B1747</f>
        <v>18</v>
      </c>
      <c r="C1747" s="7" t="str">
        <f aca="false">'Raw Data'!C1747</f>
        <v>Male</v>
      </c>
      <c r="D1747" s="7" t="str">
        <f aca="false">'Raw Data'!D1747</f>
        <v>Former</v>
      </c>
      <c r="E1747" s="7" t="str">
        <f aca="false">'Raw Data'!J1747</f>
        <v>Normal</v>
      </c>
      <c r="F1747" s="7" t="n">
        <f aca="false">'Raw Data'!K1747</f>
        <v>245.2</v>
      </c>
      <c r="G1747" s="7" t="str">
        <f aca="false">'Raw Data'!L1747</f>
        <v>Yes</v>
      </c>
      <c r="H1747" s="7" t="str">
        <f aca="false">'Raw Data'!M1747</f>
        <v>Low</v>
      </c>
      <c r="I1747" s="7" t="n">
        <f aca="false">(IF(D1747="Current",3,IF(D1747="Former",1,0)))+(IF(E1747="High",3,IF(E1747="Normal",1,0)))+(IF(F1747&gt;=240,2,IF(F1747&gt;=200,1,0)))+(IF(G1747="Yes",2,0))+(IF(H1747="High",2,IF(H1747="Moderate",1,0)))</f>
        <v>6</v>
      </c>
      <c r="J1747" s="7" t="str">
        <f aca="false">IF(I1747&gt;=8,"High",IF(I1747&gt;=4,"Medium","Low"))</f>
        <v>Medium</v>
      </c>
    </row>
    <row r="1748" customFormat="false" ht="15" hidden="false" customHeight="true" outlineLevel="0" collapsed="false">
      <c r="A1748" s="7" t="n">
        <f aca="false">'Raw Data'!A1748</f>
        <v>128</v>
      </c>
      <c r="B1748" s="7" t="n">
        <f aca="false">'Raw Data'!B1748</f>
        <v>58</v>
      </c>
      <c r="C1748" s="7" t="str">
        <f aca="false">'Raw Data'!C1748</f>
        <v>Female</v>
      </c>
      <c r="D1748" s="7" t="str">
        <f aca="false">'Raw Data'!D1748</f>
        <v>Former</v>
      </c>
      <c r="E1748" s="7" t="str">
        <f aca="false">'Raw Data'!J1748</f>
        <v>Normal</v>
      </c>
      <c r="F1748" s="7" t="n">
        <f aca="false">'Raw Data'!K1748</f>
        <v>297.6</v>
      </c>
      <c r="G1748" s="7" t="str">
        <f aca="false">'Raw Data'!L1748</f>
        <v>Yes</v>
      </c>
      <c r="H1748" s="7" t="str">
        <f aca="false">'Raw Data'!M1748</f>
        <v>Low</v>
      </c>
      <c r="I1748" s="7" t="n">
        <f aca="false">(IF(D1748="Current",3,IF(D1748="Former",1,0)))+(IF(E1748="High",3,IF(E1748="Normal",1,0)))+(IF(F1748&gt;=240,2,IF(F1748&gt;=200,1,0)))+(IF(G1748="Yes",2,0))+(IF(H1748="High",2,IF(H1748="Moderate",1,0)))</f>
        <v>6</v>
      </c>
      <c r="J1748" s="7" t="str">
        <f aca="false">IF(I1748&gt;=8,"High",IF(I1748&gt;=4,"Medium","Low"))</f>
        <v>Medium</v>
      </c>
    </row>
    <row r="1749" customFormat="false" ht="15" hidden="false" customHeight="true" outlineLevel="0" collapsed="false">
      <c r="A1749" s="7" t="n">
        <f aca="false">'Raw Data'!A1749</f>
        <v>151</v>
      </c>
      <c r="B1749" s="7" t="n">
        <f aca="false">'Raw Data'!B1749</f>
        <v>83</v>
      </c>
      <c r="C1749" s="7" t="str">
        <f aca="false">'Raw Data'!C1749</f>
        <v>Female</v>
      </c>
      <c r="D1749" s="7" t="str">
        <f aca="false">'Raw Data'!D1749</f>
        <v>Former</v>
      </c>
      <c r="E1749" s="7" t="str">
        <f aca="false">'Raw Data'!J1749</f>
        <v>Normal</v>
      </c>
      <c r="F1749" s="7" t="n">
        <f aca="false">'Raw Data'!K1749</f>
        <v>206.3</v>
      </c>
      <c r="G1749" s="7" t="str">
        <f aca="false">'Raw Data'!L1749</f>
        <v>Yes</v>
      </c>
      <c r="H1749" s="7" t="str">
        <f aca="false">'Raw Data'!M1749</f>
        <v>Low</v>
      </c>
      <c r="I1749" s="7" t="n">
        <f aca="false">(IF(D1749="Current",3,IF(D1749="Former",1,0)))+(IF(E1749="High",3,IF(E1749="Normal",1,0)))+(IF(F1749&gt;=240,2,IF(F1749&gt;=200,1,0)))+(IF(G1749="Yes",2,0))+(IF(H1749="High",2,IF(H1749="Moderate",1,0)))</f>
        <v>5</v>
      </c>
      <c r="J1749" s="7" t="str">
        <f aca="false">IF(I1749&gt;=8,"High",IF(I1749&gt;=4,"Medium","Low"))</f>
        <v>Medium</v>
      </c>
    </row>
    <row r="1750" customFormat="false" ht="15" hidden="false" customHeight="true" outlineLevel="0" collapsed="false">
      <c r="A1750" s="7" t="n">
        <f aca="false">'Raw Data'!A1750</f>
        <v>162</v>
      </c>
      <c r="B1750" s="7" t="n">
        <f aca="false">'Raw Data'!B1750</f>
        <v>22</v>
      </c>
      <c r="C1750" s="7" t="str">
        <f aca="false">'Raw Data'!C1750</f>
        <v>Female</v>
      </c>
      <c r="D1750" s="7" t="str">
        <f aca="false">'Raw Data'!D1750</f>
        <v>Former</v>
      </c>
      <c r="E1750" s="7" t="str">
        <f aca="false">'Raw Data'!J1750</f>
        <v>Normal</v>
      </c>
      <c r="F1750" s="7" t="n">
        <f aca="false">'Raw Data'!K1750</f>
        <v>242.4</v>
      </c>
      <c r="G1750" s="7" t="str">
        <f aca="false">'Raw Data'!L1750</f>
        <v>Yes</v>
      </c>
      <c r="H1750" s="7" t="str">
        <f aca="false">'Raw Data'!M1750</f>
        <v>Low</v>
      </c>
      <c r="I1750" s="7" t="n">
        <f aca="false">(IF(D1750="Current",3,IF(D1750="Former",1,0)))+(IF(E1750="High",3,IF(E1750="Normal",1,0)))+(IF(F1750&gt;=240,2,IF(F1750&gt;=200,1,0)))+(IF(G1750="Yes",2,0))+(IF(H1750="High",2,IF(H1750="Moderate",1,0)))</f>
        <v>6</v>
      </c>
      <c r="J1750" s="7" t="str">
        <f aca="false">IF(I1750&gt;=8,"High",IF(I1750&gt;=4,"Medium","Low"))</f>
        <v>Medium</v>
      </c>
    </row>
    <row r="1751" customFormat="false" ht="15" hidden="false" customHeight="true" outlineLevel="0" collapsed="false">
      <c r="A1751" s="7" t="n">
        <f aca="false">'Raw Data'!A1751</f>
        <v>180</v>
      </c>
      <c r="B1751" s="7" t="n">
        <f aca="false">'Raw Data'!B1751</f>
        <v>77</v>
      </c>
      <c r="C1751" s="7" t="str">
        <f aca="false">'Raw Data'!C1751</f>
        <v>Male</v>
      </c>
      <c r="D1751" s="7" t="str">
        <f aca="false">'Raw Data'!D1751</f>
        <v>Former</v>
      </c>
      <c r="E1751" s="7" t="str">
        <f aca="false">'Raw Data'!J1751</f>
        <v>Normal</v>
      </c>
      <c r="F1751" s="7" t="n">
        <f aca="false">'Raw Data'!K1751</f>
        <v>242.4</v>
      </c>
      <c r="G1751" s="7" t="str">
        <f aca="false">'Raw Data'!L1751</f>
        <v>Yes</v>
      </c>
      <c r="H1751" s="7" t="str">
        <f aca="false">'Raw Data'!M1751</f>
        <v>Low</v>
      </c>
      <c r="I1751" s="7" t="n">
        <f aca="false">(IF(D1751="Current",3,IF(D1751="Former",1,0)))+(IF(E1751="High",3,IF(E1751="Normal",1,0)))+(IF(F1751&gt;=240,2,IF(F1751&gt;=200,1,0)))+(IF(G1751="Yes",2,0))+(IF(H1751="High",2,IF(H1751="Moderate",1,0)))</f>
        <v>6</v>
      </c>
      <c r="J1751" s="7" t="str">
        <f aca="false">IF(I1751&gt;=8,"High",IF(I1751&gt;=4,"Medium","Low"))</f>
        <v>Medium</v>
      </c>
    </row>
    <row r="1752" customFormat="false" ht="15" hidden="false" customHeight="true" outlineLevel="0" collapsed="false">
      <c r="A1752" s="7" t="n">
        <f aca="false">'Raw Data'!A1752</f>
        <v>194</v>
      </c>
      <c r="B1752" s="7" t="n">
        <f aca="false">'Raw Data'!B1752</f>
        <v>74</v>
      </c>
      <c r="C1752" s="7" t="str">
        <f aca="false">'Raw Data'!C1752</f>
        <v>Male</v>
      </c>
      <c r="D1752" s="7" t="str">
        <f aca="false">'Raw Data'!D1752</f>
        <v>Former</v>
      </c>
      <c r="E1752" s="7" t="str">
        <f aca="false">'Raw Data'!J1752</f>
        <v>Normal</v>
      </c>
      <c r="F1752" s="7" t="n">
        <f aca="false">'Raw Data'!K1752</f>
        <v>250.2</v>
      </c>
      <c r="G1752" s="7" t="str">
        <f aca="false">'Raw Data'!L1752</f>
        <v>Yes</v>
      </c>
      <c r="H1752" s="7" t="str">
        <f aca="false">'Raw Data'!M1752</f>
        <v>Low</v>
      </c>
      <c r="I1752" s="7" t="n">
        <f aca="false">(IF(D1752="Current",3,IF(D1752="Former",1,0)))+(IF(E1752="High",3,IF(E1752="Normal",1,0)))+(IF(F1752&gt;=240,2,IF(F1752&gt;=200,1,0)))+(IF(G1752="Yes",2,0))+(IF(H1752="High",2,IF(H1752="Moderate",1,0)))</f>
        <v>6</v>
      </c>
      <c r="J1752" s="7" t="str">
        <f aca="false">IF(I1752&gt;=8,"High",IF(I1752&gt;=4,"Medium","Low"))</f>
        <v>Medium</v>
      </c>
    </row>
    <row r="1753" customFormat="false" ht="15" hidden="false" customHeight="true" outlineLevel="0" collapsed="false">
      <c r="A1753" s="7" t="n">
        <f aca="false">'Raw Data'!A1753</f>
        <v>232</v>
      </c>
      <c r="B1753" s="7" t="n">
        <f aca="false">'Raw Data'!B1753</f>
        <v>79</v>
      </c>
      <c r="C1753" s="7" t="str">
        <f aca="false">'Raw Data'!C1753</f>
        <v>Female</v>
      </c>
      <c r="D1753" s="7" t="str">
        <f aca="false">'Raw Data'!D1753</f>
        <v>Former</v>
      </c>
      <c r="E1753" s="7" t="str">
        <f aca="false">'Raw Data'!J1753</f>
        <v>Normal</v>
      </c>
      <c r="F1753" s="7" t="n">
        <f aca="false">'Raw Data'!K1753</f>
        <v>198.9</v>
      </c>
      <c r="G1753" s="7" t="str">
        <f aca="false">'Raw Data'!L1753</f>
        <v>Yes</v>
      </c>
      <c r="H1753" s="7" t="str">
        <f aca="false">'Raw Data'!M1753</f>
        <v>Low</v>
      </c>
      <c r="I1753" s="7" t="n">
        <f aca="false">(IF(D1753="Current",3,IF(D1753="Former",1,0)))+(IF(E1753="High",3,IF(E1753="Normal",1,0)))+(IF(F1753&gt;=240,2,IF(F1753&gt;=200,1,0)))+(IF(G1753="Yes",2,0))+(IF(H1753="High",2,IF(H1753="Moderate",1,0)))</f>
        <v>4</v>
      </c>
      <c r="J1753" s="7" t="str">
        <f aca="false">IF(I1753&gt;=8,"High",IF(I1753&gt;=4,"Medium","Low"))</f>
        <v>Medium</v>
      </c>
    </row>
    <row r="1754" customFormat="false" ht="15" hidden="false" customHeight="true" outlineLevel="0" collapsed="false">
      <c r="A1754" s="7" t="n">
        <f aca="false">'Raw Data'!A1754</f>
        <v>253</v>
      </c>
      <c r="B1754" s="7" t="n">
        <f aca="false">'Raw Data'!B1754</f>
        <v>65</v>
      </c>
      <c r="C1754" s="7" t="str">
        <f aca="false">'Raw Data'!C1754</f>
        <v>Male</v>
      </c>
      <c r="D1754" s="7" t="str">
        <f aca="false">'Raw Data'!D1754</f>
        <v>Former</v>
      </c>
      <c r="E1754" s="7" t="str">
        <f aca="false">'Raw Data'!J1754</f>
        <v>Normal</v>
      </c>
      <c r="F1754" s="7" t="n">
        <f aca="false">'Raw Data'!K1754</f>
        <v>173.7</v>
      </c>
      <c r="G1754" s="7" t="str">
        <f aca="false">'Raw Data'!L1754</f>
        <v>Yes</v>
      </c>
      <c r="H1754" s="7" t="str">
        <f aca="false">'Raw Data'!M1754</f>
        <v>Low</v>
      </c>
      <c r="I1754" s="7" t="n">
        <f aca="false">(IF(D1754="Current",3,IF(D1754="Former",1,0)))+(IF(E1754="High",3,IF(E1754="Normal",1,0)))+(IF(F1754&gt;=240,2,IF(F1754&gt;=200,1,0)))+(IF(G1754="Yes",2,0))+(IF(H1754="High",2,IF(H1754="Moderate",1,0)))</f>
        <v>4</v>
      </c>
      <c r="J1754" s="7" t="str">
        <f aca="false">IF(I1754&gt;=8,"High",IF(I1754&gt;=4,"Medium","Low"))</f>
        <v>Medium</v>
      </c>
    </row>
    <row r="1755" customFormat="false" ht="15" hidden="false" customHeight="true" outlineLevel="0" collapsed="false">
      <c r="A1755" s="7" t="n">
        <f aca="false">'Raw Data'!A1755</f>
        <v>259</v>
      </c>
      <c r="B1755" s="7" t="n">
        <f aca="false">'Raw Data'!B1755</f>
        <v>30</v>
      </c>
      <c r="C1755" s="7" t="str">
        <f aca="false">'Raw Data'!C1755</f>
        <v>Female</v>
      </c>
      <c r="D1755" s="7" t="str">
        <f aca="false">'Raw Data'!D1755</f>
        <v>Former</v>
      </c>
      <c r="E1755" s="7" t="str">
        <f aca="false">'Raw Data'!J1755</f>
        <v>Normal</v>
      </c>
      <c r="F1755" s="7" t="n">
        <f aca="false">'Raw Data'!K1755</f>
        <v>147.4</v>
      </c>
      <c r="G1755" s="7" t="str">
        <f aca="false">'Raw Data'!L1755</f>
        <v>Yes</v>
      </c>
      <c r="H1755" s="7" t="str">
        <f aca="false">'Raw Data'!M1755</f>
        <v>Low</v>
      </c>
      <c r="I1755" s="7" t="n">
        <f aca="false">(IF(D1755="Current",3,IF(D1755="Former",1,0)))+(IF(E1755="High",3,IF(E1755="Normal",1,0)))+(IF(F1755&gt;=240,2,IF(F1755&gt;=200,1,0)))+(IF(G1755="Yes",2,0))+(IF(H1755="High",2,IF(H1755="Moderate",1,0)))</f>
        <v>4</v>
      </c>
      <c r="J1755" s="7" t="str">
        <f aca="false">IF(I1755&gt;=8,"High",IF(I1755&gt;=4,"Medium","Low"))</f>
        <v>Medium</v>
      </c>
    </row>
    <row r="1756" customFormat="false" ht="15" hidden="false" customHeight="true" outlineLevel="0" collapsed="false">
      <c r="A1756" s="7" t="n">
        <f aca="false">'Raw Data'!A1756</f>
        <v>284</v>
      </c>
      <c r="B1756" s="7" t="n">
        <f aca="false">'Raw Data'!B1756</f>
        <v>54</v>
      </c>
      <c r="C1756" s="7" t="str">
        <f aca="false">'Raw Data'!C1756</f>
        <v>Female</v>
      </c>
      <c r="D1756" s="7" t="str">
        <f aca="false">'Raw Data'!D1756</f>
        <v>Former</v>
      </c>
      <c r="E1756" s="7" t="str">
        <f aca="false">'Raw Data'!J1756</f>
        <v>Normal</v>
      </c>
      <c r="F1756" s="7" t="n">
        <f aca="false">'Raw Data'!K1756</f>
        <v>234.2</v>
      </c>
      <c r="G1756" s="7" t="str">
        <f aca="false">'Raw Data'!L1756</f>
        <v>Yes</v>
      </c>
      <c r="H1756" s="7" t="str">
        <f aca="false">'Raw Data'!M1756</f>
        <v>Low</v>
      </c>
      <c r="I1756" s="7" t="n">
        <f aca="false">(IF(D1756="Current",3,IF(D1756="Former",1,0)))+(IF(E1756="High",3,IF(E1756="Normal",1,0)))+(IF(F1756&gt;=240,2,IF(F1756&gt;=200,1,0)))+(IF(G1756="Yes",2,0))+(IF(H1756="High",2,IF(H1756="Moderate",1,0)))</f>
        <v>5</v>
      </c>
      <c r="J1756" s="7" t="str">
        <f aca="false">IF(I1756&gt;=8,"High",IF(I1756&gt;=4,"Medium","Low"))</f>
        <v>Medium</v>
      </c>
    </row>
    <row r="1757" customFormat="false" ht="15" hidden="false" customHeight="true" outlineLevel="0" collapsed="false">
      <c r="A1757" s="7" t="n">
        <f aca="false">'Raw Data'!A1757</f>
        <v>294</v>
      </c>
      <c r="B1757" s="7" t="n">
        <f aca="false">'Raw Data'!B1757</f>
        <v>30</v>
      </c>
      <c r="C1757" s="7" t="str">
        <f aca="false">'Raw Data'!C1757</f>
        <v>Male</v>
      </c>
      <c r="D1757" s="7" t="str">
        <f aca="false">'Raw Data'!D1757</f>
        <v>Former</v>
      </c>
      <c r="E1757" s="7" t="str">
        <f aca="false">'Raw Data'!J1757</f>
        <v>Normal</v>
      </c>
      <c r="F1757" s="7" t="n">
        <f aca="false">'Raw Data'!K1757</f>
        <v>267</v>
      </c>
      <c r="G1757" s="7" t="str">
        <f aca="false">'Raw Data'!L1757</f>
        <v>Yes</v>
      </c>
      <c r="H1757" s="7" t="str">
        <f aca="false">'Raw Data'!M1757</f>
        <v>Low</v>
      </c>
      <c r="I1757" s="7" t="n">
        <f aca="false">(IF(D1757="Current",3,IF(D1757="Former",1,0)))+(IF(E1757="High",3,IF(E1757="Normal",1,0)))+(IF(F1757&gt;=240,2,IF(F1757&gt;=200,1,0)))+(IF(G1757="Yes",2,0))+(IF(H1757="High",2,IF(H1757="Moderate",1,0)))</f>
        <v>6</v>
      </c>
      <c r="J1757" s="7" t="str">
        <f aca="false">IF(I1757&gt;=8,"High",IF(I1757&gt;=4,"Medium","Low"))</f>
        <v>Medium</v>
      </c>
    </row>
    <row r="1758" customFormat="false" ht="15" hidden="false" customHeight="true" outlineLevel="0" collapsed="false">
      <c r="A1758" s="7" t="n">
        <f aca="false">'Raw Data'!A1758</f>
        <v>357</v>
      </c>
      <c r="B1758" s="7" t="n">
        <f aca="false">'Raw Data'!B1758</f>
        <v>79</v>
      </c>
      <c r="C1758" s="7" t="str">
        <f aca="false">'Raw Data'!C1758</f>
        <v>Male</v>
      </c>
      <c r="D1758" s="7" t="str">
        <f aca="false">'Raw Data'!D1758</f>
        <v>Former</v>
      </c>
      <c r="E1758" s="7" t="str">
        <f aca="false">'Raw Data'!J1758</f>
        <v>Normal</v>
      </c>
      <c r="F1758" s="7" t="n">
        <f aca="false">'Raw Data'!K1758</f>
        <v>248.7</v>
      </c>
      <c r="G1758" s="7" t="str">
        <f aca="false">'Raw Data'!L1758</f>
        <v>Yes</v>
      </c>
      <c r="H1758" s="7" t="str">
        <f aca="false">'Raw Data'!M1758</f>
        <v>Low</v>
      </c>
      <c r="I1758" s="7" t="n">
        <f aca="false">(IF(D1758="Current",3,IF(D1758="Former",1,0)))+(IF(E1758="High",3,IF(E1758="Normal",1,0)))+(IF(F1758&gt;=240,2,IF(F1758&gt;=200,1,0)))+(IF(G1758="Yes",2,0))+(IF(H1758="High",2,IF(H1758="Moderate",1,0)))</f>
        <v>6</v>
      </c>
      <c r="J1758" s="7" t="str">
        <f aca="false">IF(I1758&gt;=8,"High",IF(I1758&gt;=4,"Medium","Low"))</f>
        <v>Medium</v>
      </c>
    </row>
    <row r="1759" customFormat="false" ht="15" hidden="false" customHeight="true" outlineLevel="0" collapsed="false">
      <c r="A1759" s="7" t="n">
        <f aca="false">'Raw Data'!A1759</f>
        <v>420</v>
      </c>
      <c r="B1759" s="7" t="n">
        <f aca="false">'Raw Data'!B1759</f>
        <v>56</v>
      </c>
      <c r="C1759" s="7" t="str">
        <f aca="false">'Raw Data'!C1759</f>
        <v>Female</v>
      </c>
      <c r="D1759" s="7" t="str">
        <f aca="false">'Raw Data'!D1759</f>
        <v>Former</v>
      </c>
      <c r="E1759" s="7" t="str">
        <f aca="false">'Raw Data'!J1759</f>
        <v>Normal</v>
      </c>
      <c r="F1759" s="7" t="n">
        <f aca="false">'Raw Data'!K1759</f>
        <v>153.6</v>
      </c>
      <c r="G1759" s="7" t="str">
        <f aca="false">'Raw Data'!L1759</f>
        <v>Yes</v>
      </c>
      <c r="H1759" s="7" t="str">
        <f aca="false">'Raw Data'!M1759</f>
        <v>Low</v>
      </c>
      <c r="I1759" s="7" t="n">
        <f aca="false">(IF(D1759="Current",3,IF(D1759="Former",1,0)))+(IF(E1759="High",3,IF(E1759="Normal",1,0)))+(IF(F1759&gt;=240,2,IF(F1759&gt;=200,1,0)))+(IF(G1759="Yes",2,0))+(IF(H1759="High",2,IF(H1759="Moderate",1,0)))</f>
        <v>4</v>
      </c>
      <c r="J1759" s="7" t="str">
        <f aca="false">IF(I1759&gt;=8,"High",IF(I1759&gt;=4,"Medium","Low"))</f>
        <v>Medium</v>
      </c>
    </row>
    <row r="1760" customFormat="false" ht="15" hidden="false" customHeight="true" outlineLevel="0" collapsed="false">
      <c r="A1760" s="7" t="n">
        <f aca="false">'Raw Data'!A1760</f>
        <v>441</v>
      </c>
      <c r="B1760" s="7" t="n">
        <f aca="false">'Raw Data'!B1760</f>
        <v>35</v>
      </c>
      <c r="C1760" s="7" t="str">
        <f aca="false">'Raw Data'!C1760</f>
        <v>Female</v>
      </c>
      <c r="D1760" s="7" t="str">
        <f aca="false">'Raw Data'!D1760</f>
        <v>Former</v>
      </c>
      <c r="E1760" s="7" t="str">
        <f aca="false">'Raw Data'!J1760</f>
        <v>Normal</v>
      </c>
      <c r="F1760" s="7" t="n">
        <f aca="false">'Raw Data'!K1760</f>
        <v>150.6</v>
      </c>
      <c r="G1760" s="7" t="str">
        <f aca="false">'Raw Data'!L1760</f>
        <v>Yes</v>
      </c>
      <c r="H1760" s="7" t="str">
        <f aca="false">'Raw Data'!M1760</f>
        <v>Low</v>
      </c>
      <c r="I1760" s="7" t="n">
        <f aca="false">(IF(D1760="Current",3,IF(D1760="Former",1,0)))+(IF(E1760="High",3,IF(E1760="Normal",1,0)))+(IF(F1760&gt;=240,2,IF(F1760&gt;=200,1,0)))+(IF(G1760="Yes",2,0))+(IF(H1760="High",2,IF(H1760="Moderate",1,0)))</f>
        <v>4</v>
      </c>
      <c r="J1760" s="7" t="str">
        <f aca="false">IF(I1760&gt;=8,"High",IF(I1760&gt;=4,"Medium","Low"))</f>
        <v>Medium</v>
      </c>
    </row>
    <row r="1761" customFormat="false" ht="15" hidden="false" customHeight="true" outlineLevel="0" collapsed="false">
      <c r="A1761" s="7" t="n">
        <f aca="false">'Raw Data'!A1761</f>
        <v>481</v>
      </c>
      <c r="B1761" s="7" t="n">
        <f aca="false">'Raw Data'!B1761</f>
        <v>68</v>
      </c>
      <c r="C1761" s="7" t="str">
        <f aca="false">'Raw Data'!C1761</f>
        <v>Male</v>
      </c>
      <c r="D1761" s="7" t="str">
        <f aca="false">'Raw Data'!D1761</f>
        <v>Former</v>
      </c>
      <c r="E1761" s="7" t="str">
        <f aca="false">'Raw Data'!J1761</f>
        <v>Normal</v>
      </c>
      <c r="F1761" s="7" t="n">
        <f aca="false">'Raw Data'!K1761</f>
        <v>206.9</v>
      </c>
      <c r="G1761" s="7" t="str">
        <f aca="false">'Raw Data'!L1761</f>
        <v>Yes</v>
      </c>
      <c r="H1761" s="7" t="str">
        <f aca="false">'Raw Data'!M1761</f>
        <v>Low</v>
      </c>
      <c r="I1761" s="7" t="n">
        <f aca="false">(IF(D1761="Current",3,IF(D1761="Former",1,0)))+(IF(E1761="High",3,IF(E1761="Normal",1,0)))+(IF(F1761&gt;=240,2,IF(F1761&gt;=200,1,0)))+(IF(G1761="Yes",2,0))+(IF(H1761="High",2,IF(H1761="Moderate",1,0)))</f>
        <v>5</v>
      </c>
      <c r="J1761" s="7" t="str">
        <f aca="false">IF(I1761&gt;=8,"High",IF(I1761&gt;=4,"Medium","Low"))</f>
        <v>Medium</v>
      </c>
    </row>
    <row r="1762" customFormat="false" ht="15" hidden="false" customHeight="true" outlineLevel="0" collapsed="false">
      <c r="A1762" s="7" t="n">
        <f aca="false">'Raw Data'!A1762</f>
        <v>487</v>
      </c>
      <c r="B1762" s="7" t="n">
        <f aca="false">'Raw Data'!B1762</f>
        <v>27</v>
      </c>
      <c r="C1762" s="7" t="str">
        <f aca="false">'Raw Data'!C1762</f>
        <v>Male</v>
      </c>
      <c r="D1762" s="7" t="str">
        <f aca="false">'Raw Data'!D1762</f>
        <v>Former</v>
      </c>
      <c r="E1762" s="7" t="str">
        <f aca="false">'Raw Data'!J1762</f>
        <v>Normal</v>
      </c>
      <c r="F1762" s="7" t="n">
        <f aca="false">'Raw Data'!K1762</f>
        <v>143.8</v>
      </c>
      <c r="G1762" s="7" t="str">
        <f aca="false">'Raw Data'!L1762</f>
        <v>Yes</v>
      </c>
      <c r="H1762" s="7" t="str">
        <f aca="false">'Raw Data'!M1762</f>
        <v>Low</v>
      </c>
      <c r="I1762" s="7" t="n">
        <f aca="false">(IF(D1762="Current",3,IF(D1762="Former",1,0)))+(IF(E1762="High",3,IF(E1762="Normal",1,0)))+(IF(F1762&gt;=240,2,IF(F1762&gt;=200,1,0)))+(IF(G1762="Yes",2,0))+(IF(H1762="High",2,IF(H1762="Moderate",1,0)))</f>
        <v>4</v>
      </c>
      <c r="J1762" s="7" t="str">
        <f aca="false">IF(I1762&gt;=8,"High",IF(I1762&gt;=4,"Medium","Low"))</f>
        <v>Medium</v>
      </c>
    </row>
    <row r="1763" customFormat="false" ht="15" hidden="false" customHeight="true" outlineLevel="0" collapsed="false">
      <c r="A1763" s="7" t="n">
        <f aca="false">'Raw Data'!A1763</f>
        <v>518</v>
      </c>
      <c r="B1763" s="7" t="n">
        <f aca="false">'Raw Data'!B1763</f>
        <v>57</v>
      </c>
      <c r="C1763" s="7" t="str">
        <f aca="false">'Raw Data'!C1763</f>
        <v>Male</v>
      </c>
      <c r="D1763" s="7" t="str">
        <f aca="false">'Raw Data'!D1763</f>
        <v>Former</v>
      </c>
      <c r="E1763" s="7" t="str">
        <f aca="false">'Raw Data'!J1763</f>
        <v>Normal</v>
      </c>
      <c r="F1763" s="7" t="n">
        <f aca="false">'Raw Data'!K1763</f>
        <v>221.8</v>
      </c>
      <c r="G1763" s="7" t="str">
        <f aca="false">'Raw Data'!L1763</f>
        <v>Yes</v>
      </c>
      <c r="H1763" s="7" t="str">
        <f aca="false">'Raw Data'!M1763</f>
        <v>Low</v>
      </c>
      <c r="I1763" s="7" t="n">
        <f aca="false">(IF(D1763="Current",3,IF(D1763="Former",1,0)))+(IF(E1763="High",3,IF(E1763="Normal",1,0)))+(IF(F1763&gt;=240,2,IF(F1763&gt;=200,1,0)))+(IF(G1763="Yes",2,0))+(IF(H1763="High",2,IF(H1763="Moderate",1,0)))</f>
        <v>5</v>
      </c>
      <c r="J1763" s="7" t="str">
        <f aca="false">IF(I1763&gt;=8,"High",IF(I1763&gt;=4,"Medium","Low"))</f>
        <v>Medium</v>
      </c>
    </row>
    <row r="1764" customFormat="false" ht="15" hidden="false" customHeight="true" outlineLevel="0" collapsed="false">
      <c r="A1764" s="7" t="n">
        <f aca="false">'Raw Data'!A1764</f>
        <v>523</v>
      </c>
      <c r="B1764" s="7" t="n">
        <f aca="false">'Raw Data'!B1764</f>
        <v>67</v>
      </c>
      <c r="C1764" s="7" t="str">
        <f aca="false">'Raw Data'!C1764</f>
        <v>Male</v>
      </c>
      <c r="D1764" s="7" t="str">
        <f aca="false">'Raw Data'!D1764</f>
        <v>Former</v>
      </c>
      <c r="E1764" s="7" t="str">
        <f aca="false">'Raw Data'!J1764</f>
        <v>Normal</v>
      </c>
      <c r="F1764" s="7" t="n">
        <f aca="false">'Raw Data'!K1764</f>
        <v>205.4</v>
      </c>
      <c r="G1764" s="7" t="str">
        <f aca="false">'Raw Data'!L1764</f>
        <v>Yes</v>
      </c>
      <c r="H1764" s="7" t="str">
        <f aca="false">'Raw Data'!M1764</f>
        <v>Low</v>
      </c>
      <c r="I1764" s="7" t="n">
        <f aca="false">(IF(D1764="Current",3,IF(D1764="Former",1,0)))+(IF(E1764="High",3,IF(E1764="Normal",1,0)))+(IF(F1764&gt;=240,2,IF(F1764&gt;=200,1,0)))+(IF(G1764="Yes",2,0))+(IF(H1764="High",2,IF(H1764="Moderate",1,0)))</f>
        <v>5</v>
      </c>
      <c r="J1764" s="7" t="str">
        <f aca="false">IF(I1764&gt;=8,"High",IF(I1764&gt;=4,"Medium","Low"))</f>
        <v>Medium</v>
      </c>
    </row>
    <row r="1765" customFormat="false" ht="15" hidden="false" customHeight="true" outlineLevel="0" collapsed="false">
      <c r="A1765" s="7" t="n">
        <f aca="false">'Raw Data'!A1765</f>
        <v>545</v>
      </c>
      <c r="B1765" s="7" t="n">
        <f aca="false">'Raw Data'!B1765</f>
        <v>68</v>
      </c>
      <c r="C1765" s="7" t="str">
        <f aca="false">'Raw Data'!C1765</f>
        <v>Male</v>
      </c>
      <c r="D1765" s="7" t="str">
        <f aca="false">'Raw Data'!D1765</f>
        <v>Former</v>
      </c>
      <c r="E1765" s="7" t="str">
        <f aca="false">'Raw Data'!J1765</f>
        <v>Normal</v>
      </c>
      <c r="F1765" s="7" t="n">
        <f aca="false">'Raw Data'!K1765</f>
        <v>218.1</v>
      </c>
      <c r="G1765" s="7" t="str">
        <f aca="false">'Raw Data'!L1765</f>
        <v>Yes</v>
      </c>
      <c r="H1765" s="7" t="str">
        <f aca="false">'Raw Data'!M1765</f>
        <v>Low</v>
      </c>
      <c r="I1765" s="7" t="n">
        <f aca="false">(IF(D1765="Current",3,IF(D1765="Former",1,0)))+(IF(E1765="High",3,IF(E1765="Normal",1,0)))+(IF(F1765&gt;=240,2,IF(F1765&gt;=200,1,0)))+(IF(G1765="Yes",2,0))+(IF(H1765="High",2,IF(H1765="Moderate",1,0)))</f>
        <v>5</v>
      </c>
      <c r="J1765" s="7" t="str">
        <f aca="false">IF(I1765&gt;=8,"High",IF(I1765&gt;=4,"Medium","Low"))</f>
        <v>Medium</v>
      </c>
    </row>
    <row r="1766" customFormat="false" ht="15" hidden="false" customHeight="true" outlineLevel="0" collapsed="false">
      <c r="A1766" s="7" t="n">
        <f aca="false">'Raw Data'!A1766</f>
        <v>555</v>
      </c>
      <c r="B1766" s="7" t="n">
        <f aca="false">'Raw Data'!B1766</f>
        <v>76</v>
      </c>
      <c r="C1766" s="7" t="str">
        <f aca="false">'Raw Data'!C1766</f>
        <v>Male</v>
      </c>
      <c r="D1766" s="7" t="str">
        <f aca="false">'Raw Data'!D1766</f>
        <v>Former</v>
      </c>
      <c r="E1766" s="7" t="str">
        <f aca="false">'Raw Data'!J1766</f>
        <v>Normal</v>
      </c>
      <c r="F1766" s="7" t="n">
        <f aca="false">'Raw Data'!K1766</f>
        <v>133.6</v>
      </c>
      <c r="G1766" s="7" t="str">
        <f aca="false">'Raw Data'!L1766</f>
        <v>Yes</v>
      </c>
      <c r="H1766" s="7" t="str">
        <f aca="false">'Raw Data'!M1766</f>
        <v>Low</v>
      </c>
      <c r="I1766" s="7" t="n">
        <f aca="false">(IF(D1766="Current",3,IF(D1766="Former",1,0)))+(IF(E1766="High",3,IF(E1766="Normal",1,0)))+(IF(F1766&gt;=240,2,IF(F1766&gt;=200,1,0)))+(IF(G1766="Yes",2,0))+(IF(H1766="High",2,IF(H1766="Moderate",1,0)))</f>
        <v>4</v>
      </c>
      <c r="J1766" s="7" t="str">
        <f aca="false">IF(I1766&gt;=8,"High",IF(I1766&gt;=4,"Medium","Low"))</f>
        <v>Medium</v>
      </c>
    </row>
    <row r="1767" customFormat="false" ht="15" hidden="false" customHeight="true" outlineLevel="0" collapsed="false">
      <c r="A1767" s="7" t="n">
        <f aca="false">'Raw Data'!A1767</f>
        <v>557</v>
      </c>
      <c r="B1767" s="7" t="n">
        <f aca="false">'Raw Data'!B1767</f>
        <v>21</v>
      </c>
      <c r="C1767" s="7" t="str">
        <f aca="false">'Raw Data'!C1767</f>
        <v>Female</v>
      </c>
      <c r="D1767" s="7" t="str">
        <f aca="false">'Raw Data'!D1767</f>
        <v>Former</v>
      </c>
      <c r="E1767" s="7" t="str">
        <f aca="false">'Raw Data'!J1767</f>
        <v>Normal</v>
      </c>
      <c r="F1767" s="7" t="n">
        <f aca="false">'Raw Data'!K1767</f>
        <v>299.7</v>
      </c>
      <c r="G1767" s="7" t="str">
        <f aca="false">'Raw Data'!L1767</f>
        <v>Yes</v>
      </c>
      <c r="H1767" s="7" t="str">
        <f aca="false">'Raw Data'!M1767</f>
        <v>Low</v>
      </c>
      <c r="I1767" s="7" t="n">
        <f aca="false">(IF(D1767="Current",3,IF(D1767="Former",1,0)))+(IF(E1767="High",3,IF(E1767="Normal",1,0)))+(IF(F1767&gt;=240,2,IF(F1767&gt;=200,1,0)))+(IF(G1767="Yes",2,0))+(IF(H1767="High",2,IF(H1767="Moderate",1,0)))</f>
        <v>6</v>
      </c>
      <c r="J1767" s="7" t="str">
        <f aca="false">IF(I1767&gt;=8,"High",IF(I1767&gt;=4,"Medium","Low"))</f>
        <v>Medium</v>
      </c>
    </row>
    <row r="1768" customFormat="false" ht="15" hidden="false" customHeight="true" outlineLevel="0" collapsed="false">
      <c r="A1768" s="7" t="n">
        <f aca="false">'Raw Data'!A1768</f>
        <v>572</v>
      </c>
      <c r="B1768" s="7" t="n">
        <f aca="false">'Raw Data'!B1768</f>
        <v>49</v>
      </c>
      <c r="C1768" s="7" t="str">
        <f aca="false">'Raw Data'!C1768</f>
        <v>Female</v>
      </c>
      <c r="D1768" s="7" t="str">
        <f aca="false">'Raw Data'!D1768</f>
        <v>Former</v>
      </c>
      <c r="E1768" s="7" t="str">
        <f aca="false">'Raw Data'!J1768</f>
        <v>Normal</v>
      </c>
      <c r="F1768" s="7" t="n">
        <f aca="false">'Raw Data'!K1768</f>
        <v>174.3</v>
      </c>
      <c r="G1768" s="7" t="str">
        <f aca="false">'Raw Data'!L1768</f>
        <v>Yes</v>
      </c>
      <c r="H1768" s="7" t="str">
        <f aca="false">'Raw Data'!M1768</f>
        <v>Low</v>
      </c>
      <c r="I1768" s="7" t="n">
        <f aca="false">(IF(D1768="Current",3,IF(D1768="Former",1,0)))+(IF(E1768="High",3,IF(E1768="Normal",1,0)))+(IF(F1768&gt;=240,2,IF(F1768&gt;=200,1,0)))+(IF(G1768="Yes",2,0))+(IF(H1768="High",2,IF(H1768="Moderate",1,0)))</f>
        <v>4</v>
      </c>
      <c r="J1768" s="7" t="str">
        <f aca="false">IF(I1768&gt;=8,"High",IF(I1768&gt;=4,"Medium","Low"))</f>
        <v>Medium</v>
      </c>
    </row>
    <row r="1769" customFormat="false" ht="15" hidden="false" customHeight="true" outlineLevel="0" collapsed="false">
      <c r="A1769" s="7" t="n">
        <f aca="false">'Raw Data'!A1769</f>
        <v>650</v>
      </c>
      <c r="B1769" s="7" t="n">
        <f aca="false">'Raw Data'!B1769</f>
        <v>34</v>
      </c>
      <c r="C1769" s="7" t="str">
        <f aca="false">'Raw Data'!C1769</f>
        <v>Female</v>
      </c>
      <c r="D1769" s="7" t="str">
        <f aca="false">'Raw Data'!D1769</f>
        <v>Former</v>
      </c>
      <c r="E1769" s="7" t="str">
        <f aca="false">'Raw Data'!J1769</f>
        <v>Normal</v>
      </c>
      <c r="F1769" s="7" t="n">
        <f aca="false">'Raw Data'!K1769</f>
        <v>232.1</v>
      </c>
      <c r="G1769" s="7" t="str">
        <f aca="false">'Raw Data'!L1769</f>
        <v>Yes</v>
      </c>
      <c r="H1769" s="7" t="str">
        <f aca="false">'Raw Data'!M1769</f>
        <v>Low</v>
      </c>
      <c r="I1769" s="7" t="n">
        <f aca="false">(IF(D1769="Current",3,IF(D1769="Former",1,0)))+(IF(E1769="High",3,IF(E1769="Normal",1,0)))+(IF(F1769&gt;=240,2,IF(F1769&gt;=200,1,0)))+(IF(G1769="Yes",2,0))+(IF(H1769="High",2,IF(H1769="Moderate",1,0)))</f>
        <v>5</v>
      </c>
      <c r="J1769" s="7" t="str">
        <f aca="false">IF(I1769&gt;=8,"High",IF(I1769&gt;=4,"Medium","Low"))</f>
        <v>Medium</v>
      </c>
    </row>
    <row r="1770" customFormat="false" ht="15" hidden="false" customHeight="true" outlineLevel="0" collapsed="false">
      <c r="A1770" s="7" t="n">
        <f aca="false">'Raw Data'!A1770</f>
        <v>690</v>
      </c>
      <c r="B1770" s="7" t="n">
        <f aca="false">'Raw Data'!B1770</f>
        <v>58</v>
      </c>
      <c r="C1770" s="7" t="str">
        <f aca="false">'Raw Data'!C1770</f>
        <v>Male</v>
      </c>
      <c r="D1770" s="7" t="str">
        <f aca="false">'Raw Data'!D1770</f>
        <v>Former</v>
      </c>
      <c r="E1770" s="7" t="str">
        <f aca="false">'Raw Data'!J1770</f>
        <v>Normal</v>
      </c>
      <c r="F1770" s="7" t="n">
        <f aca="false">'Raw Data'!K1770</f>
        <v>206.1</v>
      </c>
      <c r="G1770" s="7" t="str">
        <f aca="false">'Raw Data'!L1770</f>
        <v>Yes</v>
      </c>
      <c r="H1770" s="7" t="str">
        <f aca="false">'Raw Data'!M1770</f>
        <v>Low</v>
      </c>
      <c r="I1770" s="7" t="n">
        <f aca="false">(IF(D1770="Current",3,IF(D1770="Former",1,0)))+(IF(E1770="High",3,IF(E1770="Normal",1,0)))+(IF(F1770&gt;=240,2,IF(F1770&gt;=200,1,0)))+(IF(G1770="Yes",2,0))+(IF(H1770="High",2,IF(H1770="Moderate",1,0)))</f>
        <v>5</v>
      </c>
      <c r="J1770" s="7" t="str">
        <f aca="false">IF(I1770&gt;=8,"High",IF(I1770&gt;=4,"Medium","Low"))</f>
        <v>Medium</v>
      </c>
    </row>
    <row r="1771" customFormat="false" ht="15" hidden="false" customHeight="true" outlineLevel="0" collapsed="false">
      <c r="A1771" s="7" t="n">
        <f aca="false">'Raw Data'!A1771</f>
        <v>713</v>
      </c>
      <c r="B1771" s="7" t="n">
        <f aca="false">'Raw Data'!B1771</f>
        <v>87</v>
      </c>
      <c r="C1771" s="7" t="str">
        <f aca="false">'Raw Data'!C1771</f>
        <v>Female</v>
      </c>
      <c r="D1771" s="7" t="str">
        <f aca="false">'Raw Data'!D1771</f>
        <v>Former</v>
      </c>
      <c r="E1771" s="7" t="str">
        <f aca="false">'Raw Data'!J1771</f>
        <v>Normal</v>
      </c>
      <c r="F1771" s="7" t="n">
        <f aca="false">'Raw Data'!K1771</f>
        <v>167.1</v>
      </c>
      <c r="G1771" s="7" t="str">
        <f aca="false">'Raw Data'!L1771</f>
        <v>Yes</v>
      </c>
      <c r="H1771" s="7" t="str">
        <f aca="false">'Raw Data'!M1771</f>
        <v>Low</v>
      </c>
      <c r="I1771" s="7" t="n">
        <f aca="false">(IF(D1771="Current",3,IF(D1771="Former",1,0)))+(IF(E1771="High",3,IF(E1771="Normal",1,0)))+(IF(F1771&gt;=240,2,IF(F1771&gt;=200,1,0)))+(IF(G1771="Yes",2,0))+(IF(H1771="High",2,IF(H1771="Moderate",1,0)))</f>
        <v>4</v>
      </c>
      <c r="J1771" s="7" t="str">
        <f aca="false">IF(I1771&gt;=8,"High",IF(I1771&gt;=4,"Medium","Low"))</f>
        <v>Medium</v>
      </c>
    </row>
    <row r="1772" customFormat="false" ht="15" hidden="false" customHeight="true" outlineLevel="0" collapsed="false">
      <c r="A1772" s="7" t="n">
        <f aca="false">'Raw Data'!A1772</f>
        <v>732</v>
      </c>
      <c r="B1772" s="7" t="n">
        <f aca="false">'Raw Data'!B1772</f>
        <v>74</v>
      </c>
      <c r="C1772" s="7" t="str">
        <f aca="false">'Raw Data'!C1772</f>
        <v>Male</v>
      </c>
      <c r="D1772" s="7" t="str">
        <f aca="false">'Raw Data'!D1772</f>
        <v>Former</v>
      </c>
      <c r="E1772" s="7" t="str">
        <f aca="false">'Raw Data'!J1772</f>
        <v>Normal</v>
      </c>
      <c r="F1772" s="7" t="n">
        <f aca="false">'Raw Data'!K1772</f>
        <v>134</v>
      </c>
      <c r="G1772" s="7" t="str">
        <f aca="false">'Raw Data'!L1772</f>
        <v>Yes</v>
      </c>
      <c r="H1772" s="7" t="str">
        <f aca="false">'Raw Data'!M1772</f>
        <v>Low</v>
      </c>
      <c r="I1772" s="7" t="n">
        <f aca="false">(IF(D1772="Current",3,IF(D1772="Former",1,0)))+(IF(E1772="High",3,IF(E1772="Normal",1,0)))+(IF(F1772&gt;=240,2,IF(F1772&gt;=200,1,0)))+(IF(G1772="Yes",2,0))+(IF(H1772="High",2,IF(H1772="Moderate",1,0)))</f>
        <v>4</v>
      </c>
      <c r="J1772" s="7" t="str">
        <f aca="false">IF(I1772&gt;=8,"High",IF(I1772&gt;=4,"Medium","Low"))</f>
        <v>Medium</v>
      </c>
    </row>
    <row r="1773" customFormat="false" ht="15" hidden="false" customHeight="true" outlineLevel="0" collapsed="false">
      <c r="A1773" s="7" t="n">
        <f aca="false">'Raw Data'!A1773</f>
        <v>744</v>
      </c>
      <c r="B1773" s="7" t="n">
        <f aca="false">'Raw Data'!B1773</f>
        <v>71</v>
      </c>
      <c r="C1773" s="7" t="str">
        <f aca="false">'Raw Data'!C1773</f>
        <v>Female</v>
      </c>
      <c r="D1773" s="7" t="str">
        <f aca="false">'Raw Data'!D1773</f>
        <v>Former</v>
      </c>
      <c r="E1773" s="7" t="str">
        <f aca="false">'Raw Data'!J1773</f>
        <v>Normal</v>
      </c>
      <c r="F1773" s="7" t="n">
        <f aca="false">'Raw Data'!K1773</f>
        <v>179.9</v>
      </c>
      <c r="G1773" s="7" t="str">
        <f aca="false">'Raw Data'!L1773</f>
        <v>Yes</v>
      </c>
      <c r="H1773" s="7" t="str">
        <f aca="false">'Raw Data'!M1773</f>
        <v>Low</v>
      </c>
      <c r="I1773" s="7" t="n">
        <f aca="false">(IF(D1773="Current",3,IF(D1773="Former",1,0)))+(IF(E1773="High",3,IF(E1773="Normal",1,0)))+(IF(F1773&gt;=240,2,IF(F1773&gt;=200,1,0)))+(IF(G1773="Yes",2,0))+(IF(H1773="High",2,IF(H1773="Moderate",1,0)))</f>
        <v>4</v>
      </c>
      <c r="J1773" s="7" t="str">
        <f aca="false">IF(I1773&gt;=8,"High",IF(I1773&gt;=4,"Medium","Low"))</f>
        <v>Medium</v>
      </c>
    </row>
    <row r="1774" customFormat="false" ht="15" hidden="false" customHeight="true" outlineLevel="0" collapsed="false">
      <c r="A1774" s="7" t="n">
        <f aca="false">'Raw Data'!A1774</f>
        <v>832</v>
      </c>
      <c r="B1774" s="7" t="n">
        <f aca="false">'Raw Data'!B1774</f>
        <v>65</v>
      </c>
      <c r="C1774" s="7" t="str">
        <f aca="false">'Raw Data'!C1774</f>
        <v>Female</v>
      </c>
      <c r="D1774" s="7" t="str">
        <f aca="false">'Raw Data'!D1774</f>
        <v>Former</v>
      </c>
      <c r="E1774" s="7" t="str">
        <f aca="false">'Raw Data'!J1774</f>
        <v>Normal</v>
      </c>
      <c r="F1774" s="7" t="n">
        <f aca="false">'Raw Data'!K1774</f>
        <v>152.3</v>
      </c>
      <c r="G1774" s="7" t="str">
        <f aca="false">'Raw Data'!L1774</f>
        <v>Yes</v>
      </c>
      <c r="H1774" s="7" t="str">
        <f aca="false">'Raw Data'!M1774</f>
        <v>Low</v>
      </c>
      <c r="I1774" s="7" t="n">
        <f aca="false">(IF(D1774="Current",3,IF(D1774="Former",1,0)))+(IF(E1774="High",3,IF(E1774="Normal",1,0)))+(IF(F1774&gt;=240,2,IF(F1774&gt;=200,1,0)))+(IF(G1774="Yes",2,0))+(IF(H1774="High",2,IF(H1774="Moderate",1,0)))</f>
        <v>4</v>
      </c>
      <c r="J1774" s="7" t="str">
        <f aca="false">IF(I1774&gt;=8,"High",IF(I1774&gt;=4,"Medium","Low"))</f>
        <v>Medium</v>
      </c>
    </row>
    <row r="1775" customFormat="false" ht="15" hidden="false" customHeight="true" outlineLevel="0" collapsed="false">
      <c r="A1775" s="7" t="n">
        <f aca="false">'Raw Data'!A1775</f>
        <v>890</v>
      </c>
      <c r="B1775" s="7" t="n">
        <f aca="false">'Raw Data'!B1775</f>
        <v>31</v>
      </c>
      <c r="C1775" s="7" t="str">
        <f aca="false">'Raw Data'!C1775</f>
        <v>Male</v>
      </c>
      <c r="D1775" s="7" t="str">
        <f aca="false">'Raw Data'!D1775</f>
        <v>Former</v>
      </c>
      <c r="E1775" s="7" t="str">
        <f aca="false">'Raw Data'!J1775</f>
        <v>Normal</v>
      </c>
      <c r="F1775" s="7" t="n">
        <f aca="false">'Raw Data'!K1775</f>
        <v>248.9</v>
      </c>
      <c r="G1775" s="7" t="str">
        <f aca="false">'Raw Data'!L1775</f>
        <v>Yes</v>
      </c>
      <c r="H1775" s="7" t="str">
        <f aca="false">'Raw Data'!M1775</f>
        <v>Low</v>
      </c>
      <c r="I1775" s="7" t="n">
        <f aca="false">(IF(D1775="Current",3,IF(D1775="Former",1,0)))+(IF(E1775="High",3,IF(E1775="Normal",1,0)))+(IF(F1775&gt;=240,2,IF(F1775&gt;=200,1,0)))+(IF(G1775="Yes",2,0))+(IF(H1775="High",2,IF(H1775="Moderate",1,0)))</f>
        <v>6</v>
      </c>
      <c r="J1775" s="7" t="str">
        <f aca="false">IF(I1775&gt;=8,"High",IF(I1775&gt;=4,"Medium","Low"))</f>
        <v>Medium</v>
      </c>
    </row>
    <row r="1776" customFormat="false" ht="15" hidden="false" customHeight="true" outlineLevel="0" collapsed="false">
      <c r="A1776" s="7" t="n">
        <f aca="false">'Raw Data'!A1776</f>
        <v>976</v>
      </c>
      <c r="B1776" s="7" t="n">
        <f aca="false">'Raw Data'!B1776</f>
        <v>27</v>
      </c>
      <c r="C1776" s="7" t="str">
        <f aca="false">'Raw Data'!C1776</f>
        <v>Female</v>
      </c>
      <c r="D1776" s="7" t="str">
        <f aca="false">'Raw Data'!D1776</f>
        <v>Former</v>
      </c>
      <c r="E1776" s="7" t="str">
        <f aca="false">'Raw Data'!J1776</f>
        <v>Normal</v>
      </c>
      <c r="F1776" s="7" t="n">
        <f aca="false">'Raw Data'!K1776</f>
        <v>195.9</v>
      </c>
      <c r="G1776" s="7" t="str">
        <f aca="false">'Raw Data'!L1776</f>
        <v>Yes</v>
      </c>
      <c r="H1776" s="7" t="str">
        <f aca="false">'Raw Data'!M1776</f>
        <v>Low</v>
      </c>
      <c r="I1776" s="7" t="n">
        <f aca="false">(IF(D1776="Current",3,IF(D1776="Former",1,0)))+(IF(E1776="High",3,IF(E1776="Normal",1,0)))+(IF(F1776&gt;=240,2,IF(F1776&gt;=200,1,0)))+(IF(G1776="Yes",2,0))+(IF(H1776="High",2,IF(H1776="Moderate",1,0)))</f>
        <v>4</v>
      </c>
      <c r="J1776" s="7" t="str">
        <f aca="false">IF(I1776&gt;=8,"High",IF(I1776&gt;=4,"Medium","Low"))</f>
        <v>Medium</v>
      </c>
    </row>
    <row r="1777" customFormat="false" ht="15" hidden="false" customHeight="true" outlineLevel="0" collapsed="false">
      <c r="A1777" s="7" t="n">
        <f aca="false">'Raw Data'!A1777</f>
        <v>980</v>
      </c>
      <c r="B1777" s="7" t="n">
        <f aca="false">'Raw Data'!B1777</f>
        <v>54</v>
      </c>
      <c r="C1777" s="7" t="str">
        <f aca="false">'Raw Data'!C1777</f>
        <v>Female</v>
      </c>
      <c r="D1777" s="7" t="str">
        <f aca="false">'Raw Data'!D1777</f>
        <v>Former</v>
      </c>
      <c r="E1777" s="7" t="str">
        <f aca="false">'Raw Data'!J1777</f>
        <v>Normal</v>
      </c>
      <c r="F1777" s="7" t="n">
        <f aca="false">'Raw Data'!K1777</f>
        <v>297.3</v>
      </c>
      <c r="G1777" s="7" t="str">
        <f aca="false">'Raw Data'!L1777</f>
        <v>Yes</v>
      </c>
      <c r="H1777" s="7" t="str">
        <f aca="false">'Raw Data'!M1777</f>
        <v>Low</v>
      </c>
      <c r="I1777" s="7" t="n">
        <f aca="false">(IF(D1777="Current",3,IF(D1777="Former",1,0)))+(IF(E1777="High",3,IF(E1777="Normal",1,0)))+(IF(F1777&gt;=240,2,IF(F1777&gt;=200,1,0)))+(IF(G1777="Yes",2,0))+(IF(H1777="High",2,IF(H1777="Moderate",1,0)))</f>
        <v>6</v>
      </c>
      <c r="J1777" s="7" t="str">
        <f aca="false">IF(I1777&gt;=8,"High",IF(I1777&gt;=4,"Medium","Low"))</f>
        <v>Medium</v>
      </c>
    </row>
    <row r="1778" customFormat="false" ht="15" hidden="false" customHeight="true" outlineLevel="0" collapsed="false">
      <c r="A1778" s="7" t="n">
        <f aca="false">'Raw Data'!A1778</f>
        <v>983</v>
      </c>
      <c r="B1778" s="7" t="n">
        <f aca="false">'Raw Data'!B1778</f>
        <v>54</v>
      </c>
      <c r="C1778" s="7" t="str">
        <f aca="false">'Raw Data'!C1778</f>
        <v>Female</v>
      </c>
      <c r="D1778" s="7" t="str">
        <f aca="false">'Raw Data'!D1778</f>
        <v>Former</v>
      </c>
      <c r="E1778" s="7" t="str">
        <f aca="false">'Raw Data'!J1778</f>
        <v>Normal</v>
      </c>
      <c r="F1778" s="7" t="n">
        <f aca="false">'Raw Data'!K1778</f>
        <v>258.3</v>
      </c>
      <c r="G1778" s="7" t="str">
        <f aca="false">'Raw Data'!L1778</f>
        <v>Yes</v>
      </c>
      <c r="H1778" s="7" t="str">
        <f aca="false">'Raw Data'!M1778</f>
        <v>Low</v>
      </c>
      <c r="I1778" s="7" t="n">
        <f aca="false">(IF(D1778="Current",3,IF(D1778="Former",1,0)))+(IF(E1778="High",3,IF(E1778="Normal",1,0)))+(IF(F1778&gt;=240,2,IF(F1778&gt;=200,1,0)))+(IF(G1778="Yes",2,0))+(IF(H1778="High",2,IF(H1778="Moderate",1,0)))</f>
        <v>6</v>
      </c>
      <c r="J1778" s="7" t="str">
        <f aca="false">IF(I1778&gt;=8,"High",IF(I1778&gt;=4,"Medium","Low"))</f>
        <v>Medium</v>
      </c>
    </row>
    <row r="1779" customFormat="false" ht="15" hidden="false" customHeight="true" outlineLevel="0" collapsed="false">
      <c r="A1779" s="7" t="n">
        <f aca="false">'Raw Data'!A1779</f>
        <v>1006</v>
      </c>
      <c r="B1779" s="7" t="n">
        <f aca="false">'Raw Data'!B1779</f>
        <v>25</v>
      </c>
      <c r="C1779" s="7" t="str">
        <f aca="false">'Raw Data'!C1779</f>
        <v>Female</v>
      </c>
      <c r="D1779" s="7" t="str">
        <f aca="false">'Raw Data'!D1779</f>
        <v>Former</v>
      </c>
      <c r="E1779" s="7" t="str">
        <f aca="false">'Raw Data'!J1779</f>
        <v>Normal</v>
      </c>
      <c r="F1779" s="7" t="n">
        <f aca="false">'Raw Data'!K1779</f>
        <v>224.3</v>
      </c>
      <c r="G1779" s="7" t="str">
        <f aca="false">'Raw Data'!L1779</f>
        <v>Yes</v>
      </c>
      <c r="H1779" s="7" t="str">
        <f aca="false">'Raw Data'!M1779</f>
        <v>Low</v>
      </c>
      <c r="I1779" s="7" t="n">
        <f aca="false">(IF(D1779="Current",3,IF(D1779="Former",1,0)))+(IF(E1779="High",3,IF(E1779="Normal",1,0)))+(IF(F1779&gt;=240,2,IF(F1779&gt;=200,1,0)))+(IF(G1779="Yes",2,0))+(IF(H1779="High",2,IF(H1779="Moderate",1,0)))</f>
        <v>5</v>
      </c>
      <c r="J1779" s="7" t="str">
        <f aca="false">IF(I1779&gt;=8,"High",IF(I1779&gt;=4,"Medium","Low"))</f>
        <v>Medium</v>
      </c>
    </row>
    <row r="1780" customFormat="false" ht="15" hidden="false" customHeight="true" outlineLevel="0" collapsed="false">
      <c r="A1780" s="7" t="n">
        <f aca="false">'Raw Data'!A1780</f>
        <v>1012</v>
      </c>
      <c r="B1780" s="7" t="n">
        <f aca="false">'Raw Data'!B1780</f>
        <v>32</v>
      </c>
      <c r="C1780" s="7" t="str">
        <f aca="false">'Raw Data'!C1780</f>
        <v>Male</v>
      </c>
      <c r="D1780" s="7" t="str">
        <f aca="false">'Raw Data'!D1780</f>
        <v>Former</v>
      </c>
      <c r="E1780" s="7" t="str">
        <f aca="false">'Raw Data'!J1780</f>
        <v>Normal</v>
      </c>
      <c r="F1780" s="7" t="n">
        <f aca="false">'Raw Data'!K1780</f>
        <v>159.8</v>
      </c>
      <c r="G1780" s="7" t="str">
        <f aca="false">'Raw Data'!L1780</f>
        <v>Yes</v>
      </c>
      <c r="H1780" s="7" t="str">
        <f aca="false">'Raw Data'!M1780</f>
        <v>Low</v>
      </c>
      <c r="I1780" s="7" t="n">
        <f aca="false">(IF(D1780="Current",3,IF(D1780="Former",1,0)))+(IF(E1780="High",3,IF(E1780="Normal",1,0)))+(IF(F1780&gt;=240,2,IF(F1780&gt;=200,1,0)))+(IF(G1780="Yes",2,0))+(IF(H1780="High",2,IF(H1780="Moderate",1,0)))</f>
        <v>4</v>
      </c>
      <c r="J1780" s="7" t="str">
        <f aca="false">IF(I1780&gt;=8,"High",IF(I1780&gt;=4,"Medium","Low"))</f>
        <v>Medium</v>
      </c>
    </row>
    <row r="1781" customFormat="false" ht="15" hidden="false" customHeight="true" outlineLevel="0" collapsed="false">
      <c r="A1781" s="7" t="n">
        <f aca="false">'Raw Data'!A1781</f>
        <v>1057</v>
      </c>
      <c r="B1781" s="7" t="n">
        <f aca="false">'Raw Data'!B1781</f>
        <v>26</v>
      </c>
      <c r="C1781" s="7" t="str">
        <f aca="false">'Raw Data'!C1781</f>
        <v>Male</v>
      </c>
      <c r="D1781" s="7" t="str">
        <f aca="false">'Raw Data'!D1781</f>
        <v>Former</v>
      </c>
      <c r="E1781" s="7" t="str">
        <f aca="false">'Raw Data'!J1781</f>
        <v>Normal</v>
      </c>
      <c r="F1781" s="7" t="n">
        <f aca="false">'Raw Data'!K1781</f>
        <v>272.2</v>
      </c>
      <c r="G1781" s="7" t="str">
        <f aca="false">'Raw Data'!L1781</f>
        <v>Yes</v>
      </c>
      <c r="H1781" s="7" t="str">
        <f aca="false">'Raw Data'!M1781</f>
        <v>Low</v>
      </c>
      <c r="I1781" s="7" t="n">
        <f aca="false">(IF(D1781="Current",3,IF(D1781="Former",1,0)))+(IF(E1781="High",3,IF(E1781="Normal",1,0)))+(IF(F1781&gt;=240,2,IF(F1781&gt;=200,1,0)))+(IF(G1781="Yes",2,0))+(IF(H1781="High",2,IF(H1781="Moderate",1,0)))</f>
        <v>6</v>
      </c>
      <c r="J1781" s="7" t="str">
        <f aca="false">IF(I1781&gt;=8,"High",IF(I1781&gt;=4,"Medium","Low"))</f>
        <v>Medium</v>
      </c>
    </row>
    <row r="1782" customFormat="false" ht="15" hidden="false" customHeight="true" outlineLevel="0" collapsed="false">
      <c r="A1782" s="7" t="n">
        <f aca="false">'Raw Data'!A1782</f>
        <v>1066</v>
      </c>
      <c r="B1782" s="7" t="n">
        <f aca="false">'Raw Data'!B1782</f>
        <v>27</v>
      </c>
      <c r="C1782" s="7" t="str">
        <f aca="false">'Raw Data'!C1782</f>
        <v>Male</v>
      </c>
      <c r="D1782" s="7" t="str">
        <f aca="false">'Raw Data'!D1782</f>
        <v>Former</v>
      </c>
      <c r="E1782" s="7" t="str">
        <f aca="false">'Raw Data'!J1782</f>
        <v>Normal</v>
      </c>
      <c r="F1782" s="7" t="n">
        <f aca="false">'Raw Data'!K1782</f>
        <v>237.3</v>
      </c>
      <c r="G1782" s="7" t="str">
        <f aca="false">'Raw Data'!L1782</f>
        <v>Yes</v>
      </c>
      <c r="H1782" s="7" t="str">
        <f aca="false">'Raw Data'!M1782</f>
        <v>Low</v>
      </c>
      <c r="I1782" s="7" t="n">
        <f aca="false">(IF(D1782="Current",3,IF(D1782="Former",1,0)))+(IF(E1782="High",3,IF(E1782="Normal",1,0)))+(IF(F1782&gt;=240,2,IF(F1782&gt;=200,1,0)))+(IF(G1782="Yes",2,0))+(IF(H1782="High",2,IF(H1782="Moderate",1,0)))</f>
        <v>5</v>
      </c>
      <c r="J1782" s="7" t="str">
        <f aca="false">IF(I1782&gt;=8,"High",IF(I1782&gt;=4,"Medium","Low"))</f>
        <v>Medium</v>
      </c>
    </row>
    <row r="1783" customFormat="false" ht="15" hidden="false" customHeight="true" outlineLevel="0" collapsed="false">
      <c r="A1783" s="7" t="n">
        <f aca="false">'Raw Data'!A1783</f>
        <v>1077</v>
      </c>
      <c r="B1783" s="7" t="n">
        <f aca="false">'Raw Data'!B1783</f>
        <v>87</v>
      </c>
      <c r="C1783" s="7" t="str">
        <f aca="false">'Raw Data'!C1783</f>
        <v>Female</v>
      </c>
      <c r="D1783" s="7" t="str">
        <f aca="false">'Raw Data'!D1783</f>
        <v>Former</v>
      </c>
      <c r="E1783" s="7" t="str">
        <f aca="false">'Raw Data'!J1783</f>
        <v>Normal</v>
      </c>
      <c r="F1783" s="7" t="n">
        <f aca="false">'Raw Data'!K1783</f>
        <v>198.1</v>
      </c>
      <c r="G1783" s="7" t="str">
        <f aca="false">'Raw Data'!L1783</f>
        <v>Yes</v>
      </c>
      <c r="H1783" s="7" t="str">
        <f aca="false">'Raw Data'!M1783</f>
        <v>Low</v>
      </c>
      <c r="I1783" s="7" t="n">
        <f aca="false">(IF(D1783="Current",3,IF(D1783="Former",1,0)))+(IF(E1783="High",3,IF(E1783="Normal",1,0)))+(IF(F1783&gt;=240,2,IF(F1783&gt;=200,1,0)))+(IF(G1783="Yes",2,0))+(IF(H1783="High",2,IF(H1783="Moderate",1,0)))</f>
        <v>4</v>
      </c>
      <c r="J1783" s="7" t="str">
        <f aca="false">IF(I1783&gt;=8,"High",IF(I1783&gt;=4,"Medium","Low"))</f>
        <v>Medium</v>
      </c>
    </row>
    <row r="1784" customFormat="false" ht="15" hidden="false" customHeight="true" outlineLevel="0" collapsed="false">
      <c r="A1784" s="7" t="n">
        <f aca="false">'Raw Data'!A1784</f>
        <v>1105</v>
      </c>
      <c r="B1784" s="7" t="n">
        <f aca="false">'Raw Data'!B1784</f>
        <v>56</v>
      </c>
      <c r="C1784" s="7" t="str">
        <f aca="false">'Raw Data'!C1784</f>
        <v>Male</v>
      </c>
      <c r="D1784" s="7" t="str">
        <f aca="false">'Raw Data'!D1784</f>
        <v>Former</v>
      </c>
      <c r="E1784" s="7" t="str">
        <f aca="false">'Raw Data'!J1784</f>
        <v>Normal</v>
      </c>
      <c r="F1784" s="7" t="n">
        <f aca="false">'Raw Data'!K1784</f>
        <v>150</v>
      </c>
      <c r="G1784" s="7" t="str">
        <f aca="false">'Raw Data'!L1784</f>
        <v>Yes</v>
      </c>
      <c r="H1784" s="7" t="str">
        <f aca="false">'Raw Data'!M1784</f>
        <v>Low</v>
      </c>
      <c r="I1784" s="7" t="n">
        <f aca="false">(IF(D1784="Current",3,IF(D1784="Former",1,0)))+(IF(E1784="High",3,IF(E1784="Normal",1,0)))+(IF(F1784&gt;=240,2,IF(F1784&gt;=200,1,0)))+(IF(G1784="Yes",2,0))+(IF(H1784="High",2,IF(H1784="Moderate",1,0)))</f>
        <v>4</v>
      </c>
      <c r="J1784" s="7" t="str">
        <f aca="false">IF(I1784&gt;=8,"High",IF(I1784&gt;=4,"Medium","Low"))</f>
        <v>Medium</v>
      </c>
    </row>
    <row r="1785" customFormat="false" ht="15" hidden="false" customHeight="true" outlineLevel="0" collapsed="false">
      <c r="A1785" s="7" t="n">
        <f aca="false">'Raw Data'!A1785</f>
        <v>1148</v>
      </c>
      <c r="B1785" s="7" t="n">
        <f aca="false">'Raw Data'!B1785</f>
        <v>30</v>
      </c>
      <c r="C1785" s="7" t="str">
        <f aca="false">'Raw Data'!C1785</f>
        <v>Female</v>
      </c>
      <c r="D1785" s="7" t="str">
        <f aca="false">'Raw Data'!D1785</f>
        <v>Former</v>
      </c>
      <c r="E1785" s="7" t="str">
        <f aca="false">'Raw Data'!J1785</f>
        <v>Normal</v>
      </c>
      <c r="F1785" s="7" t="n">
        <f aca="false">'Raw Data'!K1785</f>
        <v>223.8</v>
      </c>
      <c r="G1785" s="7" t="str">
        <f aca="false">'Raw Data'!L1785</f>
        <v>Yes</v>
      </c>
      <c r="H1785" s="7" t="str">
        <f aca="false">'Raw Data'!M1785</f>
        <v>Low</v>
      </c>
      <c r="I1785" s="7" t="n">
        <f aca="false">(IF(D1785="Current",3,IF(D1785="Former",1,0)))+(IF(E1785="High",3,IF(E1785="Normal",1,0)))+(IF(F1785&gt;=240,2,IF(F1785&gt;=200,1,0)))+(IF(G1785="Yes",2,0))+(IF(H1785="High",2,IF(H1785="Moderate",1,0)))</f>
        <v>5</v>
      </c>
      <c r="J1785" s="7" t="str">
        <f aca="false">IF(I1785&gt;=8,"High",IF(I1785&gt;=4,"Medium","Low"))</f>
        <v>Medium</v>
      </c>
    </row>
    <row r="1786" customFormat="false" ht="15" hidden="false" customHeight="true" outlineLevel="0" collapsed="false">
      <c r="A1786" s="7" t="n">
        <f aca="false">'Raw Data'!A1786</f>
        <v>1193</v>
      </c>
      <c r="B1786" s="7" t="n">
        <f aca="false">'Raw Data'!B1786</f>
        <v>86</v>
      </c>
      <c r="C1786" s="7" t="str">
        <f aca="false">'Raw Data'!C1786</f>
        <v>Female</v>
      </c>
      <c r="D1786" s="7" t="str">
        <f aca="false">'Raw Data'!D1786</f>
        <v>Former</v>
      </c>
      <c r="E1786" s="7" t="str">
        <f aca="false">'Raw Data'!J1786</f>
        <v>Normal</v>
      </c>
      <c r="F1786" s="7" t="n">
        <f aca="false">'Raw Data'!K1786</f>
        <v>136.4</v>
      </c>
      <c r="G1786" s="7" t="str">
        <f aca="false">'Raw Data'!L1786</f>
        <v>Yes</v>
      </c>
      <c r="H1786" s="7" t="str">
        <f aca="false">'Raw Data'!M1786</f>
        <v>Low</v>
      </c>
      <c r="I1786" s="7" t="n">
        <f aca="false">(IF(D1786="Current",3,IF(D1786="Former",1,0)))+(IF(E1786="High",3,IF(E1786="Normal",1,0)))+(IF(F1786&gt;=240,2,IF(F1786&gt;=200,1,0)))+(IF(G1786="Yes",2,0))+(IF(H1786="High",2,IF(H1786="Moderate",1,0)))</f>
        <v>4</v>
      </c>
      <c r="J1786" s="7" t="str">
        <f aca="false">IF(I1786&gt;=8,"High",IF(I1786&gt;=4,"Medium","Low"))</f>
        <v>Medium</v>
      </c>
    </row>
    <row r="1787" customFormat="false" ht="15" hidden="false" customHeight="true" outlineLevel="0" collapsed="false">
      <c r="A1787" s="7" t="n">
        <f aca="false">'Raw Data'!A1787</f>
        <v>1260</v>
      </c>
      <c r="B1787" s="7" t="n">
        <f aca="false">'Raw Data'!B1787</f>
        <v>74</v>
      </c>
      <c r="C1787" s="7" t="str">
        <f aca="false">'Raw Data'!C1787</f>
        <v>Male</v>
      </c>
      <c r="D1787" s="7" t="str">
        <f aca="false">'Raw Data'!D1787</f>
        <v>Former</v>
      </c>
      <c r="E1787" s="7" t="str">
        <f aca="false">'Raw Data'!J1787</f>
        <v>Normal</v>
      </c>
      <c r="F1787" s="7" t="n">
        <f aca="false">'Raw Data'!K1787</f>
        <v>189.3</v>
      </c>
      <c r="G1787" s="7" t="str">
        <f aca="false">'Raw Data'!L1787</f>
        <v>Yes</v>
      </c>
      <c r="H1787" s="7" t="str">
        <f aca="false">'Raw Data'!M1787</f>
        <v>Low</v>
      </c>
      <c r="I1787" s="7" t="n">
        <f aca="false">(IF(D1787="Current",3,IF(D1787="Former",1,0)))+(IF(E1787="High",3,IF(E1787="Normal",1,0)))+(IF(F1787&gt;=240,2,IF(F1787&gt;=200,1,0)))+(IF(G1787="Yes",2,0))+(IF(H1787="High",2,IF(H1787="Moderate",1,0)))</f>
        <v>4</v>
      </c>
      <c r="J1787" s="7" t="str">
        <f aca="false">IF(I1787&gt;=8,"High",IF(I1787&gt;=4,"Medium","Low"))</f>
        <v>Medium</v>
      </c>
    </row>
    <row r="1788" customFormat="false" ht="15" hidden="false" customHeight="true" outlineLevel="0" collapsed="false">
      <c r="A1788" s="7" t="n">
        <f aca="false">'Raw Data'!A1788</f>
        <v>1408</v>
      </c>
      <c r="B1788" s="7" t="n">
        <f aca="false">'Raw Data'!B1788</f>
        <v>76</v>
      </c>
      <c r="C1788" s="7" t="str">
        <f aca="false">'Raw Data'!C1788</f>
        <v>Female</v>
      </c>
      <c r="D1788" s="7" t="str">
        <f aca="false">'Raw Data'!D1788</f>
        <v>Former</v>
      </c>
      <c r="E1788" s="7" t="str">
        <f aca="false">'Raw Data'!J1788</f>
        <v>Normal</v>
      </c>
      <c r="F1788" s="7" t="n">
        <f aca="false">'Raw Data'!K1788</f>
        <v>218.2</v>
      </c>
      <c r="G1788" s="7" t="str">
        <f aca="false">'Raw Data'!L1788</f>
        <v>Yes</v>
      </c>
      <c r="H1788" s="7" t="str">
        <f aca="false">'Raw Data'!M1788</f>
        <v>Low</v>
      </c>
      <c r="I1788" s="7" t="n">
        <f aca="false">(IF(D1788="Current",3,IF(D1788="Former",1,0)))+(IF(E1788="High",3,IF(E1788="Normal",1,0)))+(IF(F1788&gt;=240,2,IF(F1788&gt;=200,1,0)))+(IF(G1788="Yes",2,0))+(IF(H1788="High",2,IF(H1788="Moderate",1,0)))</f>
        <v>5</v>
      </c>
      <c r="J1788" s="7" t="str">
        <f aca="false">IF(I1788&gt;=8,"High",IF(I1788&gt;=4,"Medium","Low"))</f>
        <v>Medium</v>
      </c>
    </row>
    <row r="1789" customFormat="false" ht="15" hidden="false" customHeight="true" outlineLevel="0" collapsed="false">
      <c r="A1789" s="7" t="n">
        <f aca="false">'Raw Data'!A1789</f>
        <v>1499</v>
      </c>
      <c r="B1789" s="7" t="n">
        <f aca="false">'Raw Data'!B1789</f>
        <v>45</v>
      </c>
      <c r="C1789" s="7" t="str">
        <f aca="false">'Raw Data'!C1789</f>
        <v>Female</v>
      </c>
      <c r="D1789" s="7" t="str">
        <f aca="false">'Raw Data'!D1789</f>
        <v>Former</v>
      </c>
      <c r="E1789" s="7" t="str">
        <f aca="false">'Raw Data'!J1789</f>
        <v>Normal</v>
      </c>
      <c r="F1789" s="7" t="n">
        <f aca="false">'Raw Data'!K1789</f>
        <v>253.4</v>
      </c>
      <c r="G1789" s="7" t="str">
        <f aca="false">'Raw Data'!L1789</f>
        <v>Yes</v>
      </c>
      <c r="H1789" s="7" t="str">
        <f aca="false">'Raw Data'!M1789</f>
        <v>Low</v>
      </c>
      <c r="I1789" s="7" t="n">
        <f aca="false">(IF(D1789="Current",3,IF(D1789="Former",1,0)))+(IF(E1789="High",3,IF(E1789="Normal",1,0)))+(IF(F1789&gt;=240,2,IF(F1789&gt;=200,1,0)))+(IF(G1789="Yes",2,0))+(IF(H1789="High",2,IF(H1789="Moderate",1,0)))</f>
        <v>6</v>
      </c>
      <c r="J1789" s="7" t="str">
        <f aca="false">IF(I1789&gt;=8,"High",IF(I1789&gt;=4,"Medium","Low"))</f>
        <v>Medium</v>
      </c>
    </row>
    <row r="1790" customFormat="false" ht="15" hidden="false" customHeight="true" outlineLevel="0" collapsed="false">
      <c r="A1790" s="7" t="n">
        <f aca="false">'Raw Data'!A1790</f>
        <v>1505</v>
      </c>
      <c r="B1790" s="7" t="n">
        <f aca="false">'Raw Data'!B1790</f>
        <v>66</v>
      </c>
      <c r="C1790" s="7" t="str">
        <f aca="false">'Raw Data'!C1790</f>
        <v>Female</v>
      </c>
      <c r="D1790" s="7" t="str">
        <f aca="false">'Raw Data'!D1790</f>
        <v>Former</v>
      </c>
      <c r="E1790" s="7" t="str">
        <f aca="false">'Raw Data'!J1790</f>
        <v>Normal</v>
      </c>
      <c r="F1790" s="7" t="n">
        <f aca="false">'Raw Data'!K1790</f>
        <v>244.8</v>
      </c>
      <c r="G1790" s="7" t="str">
        <f aca="false">'Raw Data'!L1790</f>
        <v>Yes</v>
      </c>
      <c r="H1790" s="7" t="str">
        <f aca="false">'Raw Data'!M1790</f>
        <v>Low</v>
      </c>
      <c r="I1790" s="7" t="n">
        <f aca="false">(IF(D1790="Current",3,IF(D1790="Former",1,0)))+(IF(E1790="High",3,IF(E1790="Normal",1,0)))+(IF(F1790&gt;=240,2,IF(F1790&gt;=200,1,0)))+(IF(G1790="Yes",2,0))+(IF(H1790="High",2,IF(H1790="Moderate",1,0)))</f>
        <v>6</v>
      </c>
      <c r="J1790" s="7" t="str">
        <f aca="false">IF(I1790&gt;=8,"High",IF(I1790&gt;=4,"Medium","Low"))</f>
        <v>Medium</v>
      </c>
    </row>
    <row r="1791" customFormat="false" ht="15" hidden="false" customHeight="true" outlineLevel="0" collapsed="false">
      <c r="A1791" s="7" t="n">
        <f aca="false">'Raw Data'!A1791</f>
        <v>1664</v>
      </c>
      <c r="B1791" s="7" t="n">
        <f aca="false">'Raw Data'!B1791</f>
        <v>62</v>
      </c>
      <c r="C1791" s="7" t="str">
        <f aca="false">'Raw Data'!C1791</f>
        <v>Female</v>
      </c>
      <c r="D1791" s="7" t="str">
        <f aca="false">'Raw Data'!D1791</f>
        <v>Former</v>
      </c>
      <c r="E1791" s="7" t="str">
        <f aca="false">'Raw Data'!J1791</f>
        <v>Normal</v>
      </c>
      <c r="F1791" s="7" t="n">
        <f aca="false">'Raw Data'!K1791</f>
        <v>260.3</v>
      </c>
      <c r="G1791" s="7" t="str">
        <f aca="false">'Raw Data'!L1791</f>
        <v>Yes</v>
      </c>
      <c r="H1791" s="7" t="str">
        <f aca="false">'Raw Data'!M1791</f>
        <v>Low</v>
      </c>
      <c r="I1791" s="7" t="n">
        <f aca="false">(IF(D1791="Current",3,IF(D1791="Former",1,0)))+(IF(E1791="High",3,IF(E1791="Normal",1,0)))+(IF(F1791&gt;=240,2,IF(F1791&gt;=200,1,0)))+(IF(G1791="Yes",2,0))+(IF(H1791="High",2,IF(H1791="Moderate",1,0)))</f>
        <v>6</v>
      </c>
      <c r="J1791" s="7" t="str">
        <f aca="false">IF(I1791&gt;=8,"High",IF(I1791&gt;=4,"Medium","Low"))</f>
        <v>Medium</v>
      </c>
    </row>
    <row r="1792" customFormat="false" ht="15" hidden="false" customHeight="true" outlineLevel="0" collapsed="false">
      <c r="A1792" s="7" t="n">
        <f aca="false">'Raw Data'!A1792</f>
        <v>1786</v>
      </c>
      <c r="B1792" s="7" t="n">
        <f aca="false">'Raw Data'!B1792</f>
        <v>68</v>
      </c>
      <c r="C1792" s="7" t="str">
        <f aca="false">'Raw Data'!C1792</f>
        <v>Female</v>
      </c>
      <c r="D1792" s="7" t="str">
        <f aca="false">'Raw Data'!D1792</f>
        <v>Former</v>
      </c>
      <c r="E1792" s="7" t="str">
        <f aca="false">'Raw Data'!J1792</f>
        <v>Normal</v>
      </c>
      <c r="F1792" s="7" t="n">
        <f aca="false">'Raw Data'!K1792</f>
        <v>162.1</v>
      </c>
      <c r="G1792" s="7" t="str">
        <f aca="false">'Raw Data'!L1792</f>
        <v>Yes</v>
      </c>
      <c r="H1792" s="7" t="str">
        <f aca="false">'Raw Data'!M1792</f>
        <v>Low</v>
      </c>
      <c r="I1792" s="7" t="n">
        <f aca="false">(IF(D1792="Current",3,IF(D1792="Former",1,0)))+(IF(E1792="High",3,IF(E1792="Normal",1,0)))+(IF(F1792&gt;=240,2,IF(F1792&gt;=200,1,0)))+(IF(G1792="Yes",2,0))+(IF(H1792="High",2,IF(H1792="Moderate",1,0)))</f>
        <v>4</v>
      </c>
      <c r="J1792" s="7" t="str">
        <f aca="false">IF(I1792&gt;=8,"High",IF(I1792&gt;=4,"Medium","Low"))</f>
        <v>Medium</v>
      </c>
    </row>
    <row r="1793" customFormat="false" ht="15" hidden="false" customHeight="true" outlineLevel="0" collapsed="false">
      <c r="A1793" s="7" t="n">
        <f aca="false">'Raw Data'!A1793</f>
        <v>1862</v>
      </c>
      <c r="B1793" s="7" t="n">
        <f aca="false">'Raw Data'!B1793</f>
        <v>33</v>
      </c>
      <c r="C1793" s="7" t="str">
        <f aca="false">'Raw Data'!C1793</f>
        <v>Male</v>
      </c>
      <c r="D1793" s="7" t="str">
        <f aca="false">'Raw Data'!D1793</f>
        <v>Former</v>
      </c>
      <c r="E1793" s="7" t="str">
        <f aca="false">'Raw Data'!J1793</f>
        <v>Normal</v>
      </c>
      <c r="F1793" s="7" t="n">
        <f aca="false">'Raw Data'!K1793</f>
        <v>260.7</v>
      </c>
      <c r="G1793" s="7" t="str">
        <f aca="false">'Raw Data'!L1793</f>
        <v>Yes</v>
      </c>
      <c r="H1793" s="7" t="str">
        <f aca="false">'Raw Data'!M1793</f>
        <v>Low</v>
      </c>
      <c r="I1793" s="7" t="n">
        <f aca="false">(IF(D1793="Current",3,IF(D1793="Former",1,0)))+(IF(E1793="High",3,IF(E1793="Normal",1,0)))+(IF(F1793&gt;=240,2,IF(F1793&gt;=200,1,0)))+(IF(G1793="Yes",2,0))+(IF(H1793="High",2,IF(H1793="Moderate",1,0)))</f>
        <v>6</v>
      </c>
      <c r="J1793" s="7" t="str">
        <f aca="false">IF(I1793&gt;=8,"High",IF(I1793&gt;=4,"Medium","Low"))</f>
        <v>Medium</v>
      </c>
    </row>
    <row r="1794" customFormat="false" ht="15" hidden="false" customHeight="true" outlineLevel="0" collapsed="false">
      <c r="A1794" s="7" t="n">
        <f aca="false">'Raw Data'!A1794</f>
        <v>1892</v>
      </c>
      <c r="B1794" s="7" t="n">
        <f aca="false">'Raw Data'!B1794</f>
        <v>78</v>
      </c>
      <c r="C1794" s="7" t="str">
        <f aca="false">'Raw Data'!C1794</f>
        <v>Male</v>
      </c>
      <c r="D1794" s="7" t="str">
        <f aca="false">'Raw Data'!D1794</f>
        <v>Former</v>
      </c>
      <c r="E1794" s="7" t="str">
        <f aca="false">'Raw Data'!J1794</f>
        <v>Normal</v>
      </c>
      <c r="F1794" s="7" t="n">
        <f aca="false">'Raw Data'!K1794</f>
        <v>266.9</v>
      </c>
      <c r="G1794" s="7" t="str">
        <f aca="false">'Raw Data'!L1794</f>
        <v>Yes</v>
      </c>
      <c r="H1794" s="7" t="str">
        <f aca="false">'Raw Data'!M1794</f>
        <v>Low</v>
      </c>
      <c r="I1794" s="7" t="n">
        <f aca="false">(IF(D1794="Current",3,IF(D1794="Former",1,0)))+(IF(E1794="High",3,IF(E1794="Normal",1,0)))+(IF(F1794&gt;=240,2,IF(F1794&gt;=200,1,0)))+(IF(G1794="Yes",2,0))+(IF(H1794="High",2,IF(H1794="Moderate",1,0)))</f>
        <v>6</v>
      </c>
      <c r="J1794" s="7" t="str">
        <f aca="false">IF(I1794&gt;=8,"High",IF(I1794&gt;=4,"Medium","Low"))</f>
        <v>Medium</v>
      </c>
    </row>
    <row r="1795" customFormat="false" ht="15" hidden="false" customHeight="true" outlineLevel="0" collapsed="false">
      <c r="A1795" s="7" t="n">
        <f aca="false">'Raw Data'!A1795</f>
        <v>1903</v>
      </c>
      <c r="B1795" s="7" t="n">
        <f aca="false">'Raw Data'!B1795</f>
        <v>31</v>
      </c>
      <c r="C1795" s="7" t="str">
        <f aca="false">'Raw Data'!C1795</f>
        <v>Male</v>
      </c>
      <c r="D1795" s="7" t="str">
        <f aca="false">'Raw Data'!D1795</f>
        <v>Former</v>
      </c>
      <c r="E1795" s="7" t="str">
        <f aca="false">'Raw Data'!J1795</f>
        <v>Normal</v>
      </c>
      <c r="F1795" s="7" t="n">
        <f aca="false">'Raw Data'!K1795</f>
        <v>195.5</v>
      </c>
      <c r="G1795" s="7" t="str">
        <f aca="false">'Raw Data'!L1795</f>
        <v>Yes</v>
      </c>
      <c r="H1795" s="7" t="str">
        <f aca="false">'Raw Data'!M1795</f>
        <v>Low</v>
      </c>
      <c r="I1795" s="7" t="n">
        <f aca="false">(IF(D1795="Current",3,IF(D1795="Former",1,0)))+(IF(E1795="High",3,IF(E1795="Normal",1,0)))+(IF(F1795&gt;=240,2,IF(F1795&gt;=200,1,0)))+(IF(G1795="Yes",2,0))+(IF(H1795="High",2,IF(H1795="Moderate",1,0)))</f>
        <v>4</v>
      </c>
      <c r="J1795" s="7" t="str">
        <f aca="false">IF(I1795&gt;=8,"High",IF(I1795&gt;=4,"Medium","Low"))</f>
        <v>Medium</v>
      </c>
    </row>
    <row r="1796" customFormat="false" ht="15" hidden="false" customHeight="true" outlineLevel="0" collapsed="false">
      <c r="A1796" s="7" t="n">
        <f aca="false">'Raw Data'!A1796</f>
        <v>2056</v>
      </c>
      <c r="B1796" s="7" t="n">
        <f aca="false">'Raw Data'!B1796</f>
        <v>67</v>
      </c>
      <c r="C1796" s="7" t="str">
        <f aca="false">'Raw Data'!C1796</f>
        <v>Male</v>
      </c>
      <c r="D1796" s="7" t="str">
        <f aca="false">'Raw Data'!D1796</f>
        <v>Former</v>
      </c>
      <c r="E1796" s="7" t="str">
        <f aca="false">'Raw Data'!J1796</f>
        <v>Normal</v>
      </c>
      <c r="F1796" s="7" t="n">
        <f aca="false">'Raw Data'!K1796</f>
        <v>138.3</v>
      </c>
      <c r="G1796" s="7" t="str">
        <f aca="false">'Raw Data'!L1796</f>
        <v>Yes</v>
      </c>
      <c r="H1796" s="7" t="str">
        <f aca="false">'Raw Data'!M1796</f>
        <v>Low</v>
      </c>
      <c r="I1796" s="7" t="n">
        <f aca="false">(IF(D1796="Current",3,IF(D1796="Former",1,0)))+(IF(E1796="High",3,IF(E1796="Normal",1,0)))+(IF(F1796&gt;=240,2,IF(F1796&gt;=200,1,0)))+(IF(G1796="Yes",2,0))+(IF(H1796="High",2,IF(H1796="Moderate",1,0)))</f>
        <v>4</v>
      </c>
      <c r="J1796" s="7" t="str">
        <f aca="false">IF(I1796&gt;=8,"High",IF(I1796&gt;=4,"Medium","Low"))</f>
        <v>Medium</v>
      </c>
    </row>
    <row r="1797" customFormat="false" ht="15" hidden="false" customHeight="true" outlineLevel="0" collapsed="false">
      <c r="A1797" s="7" t="n">
        <f aca="false">'Raw Data'!A1797</f>
        <v>2062</v>
      </c>
      <c r="B1797" s="7" t="n">
        <f aca="false">'Raw Data'!B1797</f>
        <v>82</v>
      </c>
      <c r="C1797" s="7" t="str">
        <f aca="false">'Raw Data'!C1797</f>
        <v>Male</v>
      </c>
      <c r="D1797" s="7" t="str">
        <f aca="false">'Raw Data'!D1797</f>
        <v>Former</v>
      </c>
      <c r="E1797" s="7" t="str">
        <f aca="false">'Raw Data'!J1797</f>
        <v>Normal</v>
      </c>
      <c r="F1797" s="7" t="n">
        <f aca="false">'Raw Data'!K1797</f>
        <v>267.2</v>
      </c>
      <c r="G1797" s="7" t="str">
        <f aca="false">'Raw Data'!L1797</f>
        <v>Yes</v>
      </c>
      <c r="H1797" s="7" t="str">
        <f aca="false">'Raw Data'!M1797</f>
        <v>Low</v>
      </c>
      <c r="I1797" s="7" t="n">
        <f aca="false">(IF(D1797="Current",3,IF(D1797="Former",1,0)))+(IF(E1797="High",3,IF(E1797="Normal",1,0)))+(IF(F1797&gt;=240,2,IF(F1797&gt;=200,1,0)))+(IF(G1797="Yes",2,0))+(IF(H1797="High",2,IF(H1797="Moderate",1,0)))</f>
        <v>6</v>
      </c>
      <c r="J1797" s="7" t="str">
        <f aca="false">IF(I1797&gt;=8,"High",IF(I1797&gt;=4,"Medium","Low"))</f>
        <v>Medium</v>
      </c>
    </row>
    <row r="1798" customFormat="false" ht="15" hidden="false" customHeight="true" outlineLevel="0" collapsed="false">
      <c r="A1798" s="7" t="n">
        <f aca="false">'Raw Data'!A1798</f>
        <v>2184</v>
      </c>
      <c r="B1798" s="7" t="n">
        <f aca="false">'Raw Data'!B1798</f>
        <v>21</v>
      </c>
      <c r="C1798" s="7" t="str">
        <f aca="false">'Raw Data'!C1798</f>
        <v>Female</v>
      </c>
      <c r="D1798" s="7" t="str">
        <f aca="false">'Raw Data'!D1798</f>
        <v>Former</v>
      </c>
      <c r="E1798" s="7" t="str">
        <f aca="false">'Raw Data'!J1798</f>
        <v>Normal</v>
      </c>
      <c r="F1798" s="7" t="n">
        <f aca="false">'Raw Data'!K1798</f>
        <v>170.1</v>
      </c>
      <c r="G1798" s="7" t="str">
        <f aca="false">'Raw Data'!L1798</f>
        <v>Yes</v>
      </c>
      <c r="H1798" s="7" t="str">
        <f aca="false">'Raw Data'!M1798</f>
        <v>Low</v>
      </c>
      <c r="I1798" s="7" t="n">
        <f aca="false">(IF(D1798="Current",3,IF(D1798="Former",1,0)))+(IF(E1798="High",3,IF(E1798="Normal",1,0)))+(IF(F1798&gt;=240,2,IF(F1798&gt;=200,1,0)))+(IF(G1798="Yes",2,0))+(IF(H1798="High",2,IF(H1798="Moderate",1,0)))</f>
        <v>4</v>
      </c>
      <c r="J1798" s="7" t="str">
        <f aca="false">IF(I1798&gt;=8,"High",IF(I1798&gt;=4,"Medium","Low"))</f>
        <v>Medium</v>
      </c>
    </row>
    <row r="1799" customFormat="false" ht="15" hidden="false" customHeight="true" outlineLevel="0" collapsed="false">
      <c r="A1799" s="7" t="n">
        <f aca="false">'Raw Data'!A1799</f>
        <v>2311</v>
      </c>
      <c r="B1799" s="7" t="n">
        <f aca="false">'Raw Data'!B1799</f>
        <v>41</v>
      </c>
      <c r="C1799" s="7" t="str">
        <f aca="false">'Raw Data'!C1799</f>
        <v>Female</v>
      </c>
      <c r="D1799" s="7" t="str">
        <f aca="false">'Raw Data'!D1799</f>
        <v>Former</v>
      </c>
      <c r="E1799" s="7" t="str">
        <f aca="false">'Raw Data'!J1799</f>
        <v>Normal</v>
      </c>
      <c r="F1799" s="7" t="n">
        <f aca="false">'Raw Data'!K1799</f>
        <v>218.2</v>
      </c>
      <c r="G1799" s="7" t="str">
        <f aca="false">'Raw Data'!L1799</f>
        <v>Yes</v>
      </c>
      <c r="H1799" s="7" t="str">
        <f aca="false">'Raw Data'!M1799</f>
        <v>Low</v>
      </c>
      <c r="I1799" s="7" t="n">
        <f aca="false">(IF(D1799="Current",3,IF(D1799="Former",1,0)))+(IF(E1799="High",3,IF(E1799="Normal",1,0)))+(IF(F1799&gt;=240,2,IF(F1799&gt;=200,1,0)))+(IF(G1799="Yes",2,0))+(IF(H1799="High",2,IF(H1799="Moderate",1,0)))</f>
        <v>5</v>
      </c>
      <c r="J1799" s="7" t="str">
        <f aca="false">IF(I1799&gt;=8,"High",IF(I1799&gt;=4,"Medium","Low"))</f>
        <v>Medium</v>
      </c>
    </row>
    <row r="1800" customFormat="false" ht="15" hidden="false" customHeight="true" outlineLevel="0" collapsed="false">
      <c r="A1800" s="7" t="n">
        <f aca="false">'Raw Data'!A1800</f>
        <v>2327</v>
      </c>
      <c r="B1800" s="7" t="n">
        <f aca="false">'Raw Data'!B1800</f>
        <v>34</v>
      </c>
      <c r="C1800" s="7" t="str">
        <f aca="false">'Raw Data'!C1800</f>
        <v>Male</v>
      </c>
      <c r="D1800" s="7" t="str">
        <f aca="false">'Raw Data'!D1800</f>
        <v>Former</v>
      </c>
      <c r="E1800" s="7" t="str">
        <f aca="false">'Raw Data'!J1800</f>
        <v>Normal</v>
      </c>
      <c r="F1800" s="7" t="n">
        <f aca="false">'Raw Data'!K1800</f>
        <v>217.3</v>
      </c>
      <c r="G1800" s="7" t="str">
        <f aca="false">'Raw Data'!L1800</f>
        <v>Yes</v>
      </c>
      <c r="H1800" s="7" t="str">
        <f aca="false">'Raw Data'!M1800</f>
        <v>Low</v>
      </c>
      <c r="I1800" s="7" t="n">
        <f aca="false">(IF(D1800="Current",3,IF(D1800="Former",1,0)))+(IF(E1800="High",3,IF(E1800="Normal",1,0)))+(IF(F1800&gt;=240,2,IF(F1800&gt;=200,1,0)))+(IF(G1800="Yes",2,0))+(IF(H1800="High",2,IF(H1800="Moderate",1,0)))</f>
        <v>5</v>
      </c>
      <c r="J1800" s="7" t="str">
        <f aca="false">IF(I1800&gt;=8,"High",IF(I1800&gt;=4,"Medium","Low"))</f>
        <v>Medium</v>
      </c>
    </row>
    <row r="1801" customFormat="false" ht="15" hidden="false" customHeight="true" outlineLevel="0" collapsed="false">
      <c r="A1801" s="7" t="n">
        <f aca="false">'Raw Data'!A1801</f>
        <v>2362</v>
      </c>
      <c r="B1801" s="7" t="n">
        <f aca="false">'Raw Data'!B1801</f>
        <v>28</v>
      </c>
      <c r="C1801" s="7" t="str">
        <f aca="false">'Raw Data'!C1801</f>
        <v>Male</v>
      </c>
      <c r="D1801" s="7" t="str">
        <f aca="false">'Raw Data'!D1801</f>
        <v>Former</v>
      </c>
      <c r="E1801" s="7" t="str">
        <f aca="false">'Raw Data'!J1801</f>
        <v>Normal</v>
      </c>
      <c r="F1801" s="7" t="n">
        <f aca="false">'Raw Data'!K1801</f>
        <v>154.5</v>
      </c>
      <c r="G1801" s="7" t="str">
        <f aca="false">'Raw Data'!L1801</f>
        <v>Yes</v>
      </c>
      <c r="H1801" s="7" t="str">
        <f aca="false">'Raw Data'!M1801</f>
        <v>Low</v>
      </c>
      <c r="I1801" s="7" t="n">
        <f aca="false">(IF(D1801="Current",3,IF(D1801="Former",1,0)))+(IF(E1801="High",3,IF(E1801="Normal",1,0)))+(IF(F1801&gt;=240,2,IF(F1801&gt;=200,1,0)))+(IF(G1801="Yes",2,0))+(IF(H1801="High",2,IF(H1801="Moderate",1,0)))</f>
        <v>4</v>
      </c>
      <c r="J1801" s="7" t="str">
        <f aca="false">IF(I1801&gt;=8,"High",IF(I1801&gt;=4,"Medium","Low"))</f>
        <v>Medium</v>
      </c>
    </row>
    <row r="1802" customFormat="false" ht="15" hidden="false" customHeight="true" outlineLevel="0" collapsed="false">
      <c r="A1802" s="7" t="n">
        <f aca="false">'Raw Data'!A1802</f>
        <v>2490</v>
      </c>
      <c r="B1802" s="7" t="n">
        <f aca="false">'Raw Data'!B1802</f>
        <v>70</v>
      </c>
      <c r="C1802" s="7" t="str">
        <f aca="false">'Raw Data'!C1802</f>
        <v>Female</v>
      </c>
      <c r="D1802" s="7" t="str">
        <f aca="false">'Raw Data'!D1802</f>
        <v>Former</v>
      </c>
      <c r="E1802" s="7" t="str">
        <f aca="false">'Raw Data'!J1802</f>
        <v>Normal</v>
      </c>
      <c r="F1802" s="7" t="n">
        <f aca="false">'Raw Data'!K1802</f>
        <v>246.2</v>
      </c>
      <c r="G1802" s="7" t="str">
        <f aca="false">'Raw Data'!L1802</f>
        <v>Yes</v>
      </c>
      <c r="H1802" s="7" t="str">
        <f aca="false">'Raw Data'!M1802</f>
        <v>Low</v>
      </c>
      <c r="I1802" s="7" t="n">
        <f aca="false">(IF(D1802="Current",3,IF(D1802="Former",1,0)))+(IF(E1802="High",3,IF(E1802="Normal",1,0)))+(IF(F1802&gt;=240,2,IF(F1802&gt;=200,1,0)))+(IF(G1802="Yes",2,0))+(IF(H1802="High",2,IF(H1802="Moderate",1,0)))</f>
        <v>6</v>
      </c>
      <c r="J1802" s="7" t="str">
        <f aca="false">IF(I1802&gt;=8,"High",IF(I1802&gt;=4,"Medium","Low"))</f>
        <v>Medium</v>
      </c>
    </row>
    <row r="1803" customFormat="false" ht="15" hidden="false" customHeight="true" outlineLevel="0" collapsed="false">
      <c r="A1803" s="7" t="n">
        <f aca="false">'Raw Data'!A1803</f>
        <v>2</v>
      </c>
      <c r="B1803" s="7" t="n">
        <f aca="false">'Raw Data'!B1803</f>
        <v>47</v>
      </c>
      <c r="C1803" s="7" t="str">
        <f aca="false">'Raw Data'!C1803</f>
        <v>Female</v>
      </c>
      <c r="D1803" s="7" t="str">
        <f aca="false">'Raw Data'!D1803</f>
        <v>Former</v>
      </c>
      <c r="E1803" s="7" t="str">
        <f aca="false">'Raw Data'!J1803</f>
        <v>Normal</v>
      </c>
      <c r="F1803" s="7" t="n">
        <f aca="false">'Raw Data'!K1803</f>
        <v>214.5</v>
      </c>
      <c r="G1803" s="7" t="str">
        <f aca="false">'Raw Data'!L1803</f>
        <v>No</v>
      </c>
      <c r="H1803" s="7" t="str">
        <f aca="false">'Raw Data'!M1803</f>
        <v>Low</v>
      </c>
      <c r="I1803" s="7" t="n">
        <f aca="false">(IF(D1803="Current",3,IF(D1803="Former",1,0)))+(IF(E1803="High",3,IF(E1803="Normal",1,0)))+(IF(F1803&gt;=240,2,IF(F1803&gt;=200,1,0)))+(IF(G1803="Yes",2,0))+(IF(H1803="High",2,IF(H1803="Moderate",1,0)))</f>
        <v>3</v>
      </c>
      <c r="J1803" s="7" t="str">
        <f aca="false">IF(I1803&gt;=8,"High",IF(I1803&gt;=4,"Medium","Low"))</f>
        <v>Low</v>
      </c>
    </row>
    <row r="1804" customFormat="false" ht="15" hidden="false" customHeight="true" outlineLevel="0" collapsed="false">
      <c r="A1804" s="7" t="n">
        <f aca="false">'Raw Data'!A1804</f>
        <v>3</v>
      </c>
      <c r="B1804" s="7" t="n">
        <f aca="false">'Raw Data'!B1804</f>
        <v>77</v>
      </c>
      <c r="C1804" s="7" t="str">
        <f aca="false">'Raw Data'!C1804</f>
        <v>Female</v>
      </c>
      <c r="D1804" s="7" t="str">
        <f aca="false">'Raw Data'!D1804</f>
        <v>Former</v>
      </c>
      <c r="E1804" s="7" t="str">
        <f aca="false">'Raw Data'!J1804</f>
        <v>Normal</v>
      </c>
      <c r="F1804" s="7" t="n">
        <f aca="false">'Raw Data'!K1804</f>
        <v>274.8</v>
      </c>
      <c r="G1804" s="7" t="str">
        <f aca="false">'Raw Data'!L1804</f>
        <v>No</v>
      </c>
      <c r="H1804" s="7" t="str">
        <f aca="false">'Raw Data'!M1804</f>
        <v>Low</v>
      </c>
      <c r="I1804" s="7" t="n">
        <f aca="false">(IF(D1804="Current",3,IF(D1804="Former",1,0)))+(IF(E1804="High",3,IF(E1804="Normal",1,0)))+(IF(F1804&gt;=240,2,IF(F1804&gt;=200,1,0)))+(IF(G1804="Yes",2,0))+(IF(H1804="High",2,IF(H1804="Moderate",1,0)))</f>
        <v>4</v>
      </c>
      <c r="J1804" s="7" t="str">
        <f aca="false">IF(I1804&gt;=8,"High",IF(I1804&gt;=4,"Medium","Low"))</f>
        <v>Medium</v>
      </c>
    </row>
    <row r="1805" customFormat="false" ht="15" hidden="false" customHeight="true" outlineLevel="0" collapsed="false">
      <c r="A1805" s="7" t="n">
        <f aca="false">'Raw Data'!A1805</f>
        <v>49</v>
      </c>
      <c r="B1805" s="7" t="n">
        <f aca="false">'Raw Data'!B1805</f>
        <v>71</v>
      </c>
      <c r="C1805" s="7" t="str">
        <f aca="false">'Raw Data'!C1805</f>
        <v>Female</v>
      </c>
      <c r="D1805" s="7" t="str">
        <f aca="false">'Raw Data'!D1805</f>
        <v>Former</v>
      </c>
      <c r="E1805" s="7" t="str">
        <f aca="false">'Raw Data'!J1805</f>
        <v>Normal</v>
      </c>
      <c r="F1805" s="7" t="n">
        <f aca="false">'Raw Data'!K1805</f>
        <v>291.1</v>
      </c>
      <c r="G1805" s="7" t="str">
        <f aca="false">'Raw Data'!L1805</f>
        <v>No</v>
      </c>
      <c r="H1805" s="7" t="str">
        <f aca="false">'Raw Data'!M1805</f>
        <v>Low</v>
      </c>
      <c r="I1805" s="7" t="n">
        <f aca="false">(IF(D1805="Current",3,IF(D1805="Former",1,0)))+(IF(E1805="High",3,IF(E1805="Normal",1,0)))+(IF(F1805&gt;=240,2,IF(F1805&gt;=200,1,0)))+(IF(G1805="Yes",2,0))+(IF(H1805="High",2,IF(H1805="Moderate",1,0)))</f>
        <v>4</v>
      </c>
      <c r="J1805" s="7" t="str">
        <f aca="false">IF(I1805&gt;=8,"High",IF(I1805&gt;=4,"Medium","Low"))</f>
        <v>Medium</v>
      </c>
    </row>
    <row r="1806" customFormat="false" ht="15" hidden="false" customHeight="true" outlineLevel="0" collapsed="false">
      <c r="A1806" s="7" t="n">
        <f aca="false">'Raw Data'!A1806</f>
        <v>50</v>
      </c>
      <c r="B1806" s="7" t="n">
        <f aca="false">'Raw Data'!B1806</f>
        <v>53</v>
      </c>
      <c r="C1806" s="7" t="str">
        <f aca="false">'Raw Data'!C1806</f>
        <v>Female</v>
      </c>
      <c r="D1806" s="7" t="str">
        <f aca="false">'Raw Data'!D1806</f>
        <v>Former</v>
      </c>
      <c r="E1806" s="7" t="str">
        <f aca="false">'Raw Data'!J1806</f>
        <v>Normal</v>
      </c>
      <c r="F1806" s="7" t="n">
        <f aca="false">'Raw Data'!K1806</f>
        <v>166.8</v>
      </c>
      <c r="G1806" s="7" t="str">
        <f aca="false">'Raw Data'!L1806</f>
        <v>No</v>
      </c>
      <c r="H1806" s="7" t="str">
        <f aca="false">'Raw Data'!M1806</f>
        <v>Low</v>
      </c>
      <c r="I1806" s="7" t="n">
        <f aca="false">(IF(D1806="Current",3,IF(D1806="Former",1,0)))+(IF(E1806="High",3,IF(E1806="Normal",1,0)))+(IF(F1806&gt;=240,2,IF(F1806&gt;=200,1,0)))+(IF(G1806="Yes",2,0))+(IF(H1806="High",2,IF(H1806="Moderate",1,0)))</f>
        <v>2</v>
      </c>
      <c r="J1806" s="7" t="str">
        <f aca="false">IF(I1806&gt;=8,"High",IF(I1806&gt;=4,"Medium","Low"))</f>
        <v>Low</v>
      </c>
    </row>
    <row r="1807" customFormat="false" ht="15" hidden="false" customHeight="true" outlineLevel="0" collapsed="false">
      <c r="A1807" s="7" t="n">
        <f aca="false">'Raw Data'!A1807</f>
        <v>55</v>
      </c>
      <c r="B1807" s="7" t="n">
        <f aca="false">'Raw Data'!B1807</f>
        <v>20</v>
      </c>
      <c r="C1807" s="7" t="str">
        <f aca="false">'Raw Data'!C1807</f>
        <v>Male</v>
      </c>
      <c r="D1807" s="7" t="str">
        <f aca="false">'Raw Data'!D1807</f>
        <v>Former</v>
      </c>
      <c r="E1807" s="7" t="str">
        <f aca="false">'Raw Data'!J1807</f>
        <v>Normal</v>
      </c>
      <c r="F1807" s="7" t="n">
        <f aca="false">'Raw Data'!K1807</f>
        <v>277.8</v>
      </c>
      <c r="G1807" s="7" t="str">
        <f aca="false">'Raw Data'!L1807</f>
        <v>No</v>
      </c>
      <c r="H1807" s="7" t="str">
        <f aca="false">'Raw Data'!M1807</f>
        <v>Low</v>
      </c>
      <c r="I1807" s="7" t="n">
        <f aca="false">(IF(D1807="Current",3,IF(D1807="Former",1,0)))+(IF(E1807="High",3,IF(E1807="Normal",1,0)))+(IF(F1807&gt;=240,2,IF(F1807&gt;=200,1,0)))+(IF(G1807="Yes",2,0))+(IF(H1807="High",2,IF(H1807="Moderate",1,0)))</f>
        <v>4</v>
      </c>
      <c r="J1807" s="7" t="str">
        <f aca="false">IF(I1807&gt;=8,"High",IF(I1807&gt;=4,"Medium","Low"))</f>
        <v>Medium</v>
      </c>
    </row>
    <row r="1808" customFormat="false" ht="15" hidden="false" customHeight="true" outlineLevel="0" collapsed="false">
      <c r="A1808" s="7" t="n">
        <f aca="false">'Raw Data'!A1808</f>
        <v>70</v>
      </c>
      <c r="B1808" s="7" t="n">
        <f aca="false">'Raw Data'!B1808</f>
        <v>31</v>
      </c>
      <c r="C1808" s="7" t="str">
        <f aca="false">'Raw Data'!C1808</f>
        <v>Female</v>
      </c>
      <c r="D1808" s="7" t="str">
        <f aca="false">'Raw Data'!D1808</f>
        <v>Former</v>
      </c>
      <c r="E1808" s="7" t="str">
        <f aca="false">'Raw Data'!J1808</f>
        <v>Normal</v>
      </c>
      <c r="F1808" s="7" t="n">
        <f aca="false">'Raw Data'!K1808</f>
        <v>226.9</v>
      </c>
      <c r="G1808" s="7" t="str">
        <f aca="false">'Raw Data'!L1808</f>
        <v>No</v>
      </c>
      <c r="H1808" s="7" t="str">
        <f aca="false">'Raw Data'!M1808</f>
        <v>Low</v>
      </c>
      <c r="I1808" s="7" t="n">
        <f aca="false">(IF(D1808="Current",3,IF(D1808="Former",1,0)))+(IF(E1808="High",3,IF(E1808="Normal",1,0)))+(IF(F1808&gt;=240,2,IF(F1808&gt;=200,1,0)))+(IF(G1808="Yes",2,0))+(IF(H1808="High",2,IF(H1808="Moderate",1,0)))</f>
        <v>3</v>
      </c>
      <c r="J1808" s="7" t="str">
        <f aca="false">IF(I1808&gt;=8,"High",IF(I1808&gt;=4,"Medium","Low"))</f>
        <v>Low</v>
      </c>
    </row>
    <row r="1809" customFormat="false" ht="15" hidden="false" customHeight="true" outlineLevel="0" collapsed="false">
      <c r="A1809" s="7" t="n">
        <f aca="false">'Raw Data'!A1809</f>
        <v>91</v>
      </c>
      <c r="B1809" s="7" t="n">
        <f aca="false">'Raw Data'!B1809</f>
        <v>36</v>
      </c>
      <c r="C1809" s="7" t="str">
        <f aca="false">'Raw Data'!C1809</f>
        <v>Female</v>
      </c>
      <c r="D1809" s="7" t="str">
        <f aca="false">'Raw Data'!D1809</f>
        <v>Former</v>
      </c>
      <c r="E1809" s="7" t="str">
        <f aca="false">'Raw Data'!J1809</f>
        <v>Normal</v>
      </c>
      <c r="F1809" s="7" t="n">
        <f aca="false">'Raw Data'!K1809</f>
        <v>283.9</v>
      </c>
      <c r="G1809" s="7" t="str">
        <f aca="false">'Raw Data'!L1809</f>
        <v>No</v>
      </c>
      <c r="H1809" s="7" t="str">
        <f aca="false">'Raw Data'!M1809</f>
        <v>Low</v>
      </c>
      <c r="I1809" s="7" t="n">
        <f aca="false">(IF(D1809="Current",3,IF(D1809="Former",1,0)))+(IF(E1809="High",3,IF(E1809="Normal",1,0)))+(IF(F1809&gt;=240,2,IF(F1809&gt;=200,1,0)))+(IF(G1809="Yes",2,0))+(IF(H1809="High",2,IF(H1809="Moderate",1,0)))</f>
        <v>4</v>
      </c>
      <c r="J1809" s="7" t="str">
        <f aca="false">IF(I1809&gt;=8,"High",IF(I1809&gt;=4,"Medium","Low"))</f>
        <v>Medium</v>
      </c>
    </row>
    <row r="1810" customFormat="false" ht="15" hidden="false" customHeight="true" outlineLevel="0" collapsed="false">
      <c r="A1810" s="7" t="n">
        <f aca="false">'Raw Data'!A1810</f>
        <v>127</v>
      </c>
      <c r="B1810" s="7" t="n">
        <f aca="false">'Raw Data'!B1810</f>
        <v>81</v>
      </c>
      <c r="C1810" s="7" t="str">
        <f aca="false">'Raw Data'!C1810</f>
        <v>Male</v>
      </c>
      <c r="D1810" s="7" t="str">
        <f aca="false">'Raw Data'!D1810</f>
        <v>Former</v>
      </c>
      <c r="E1810" s="7" t="str">
        <f aca="false">'Raw Data'!J1810</f>
        <v>Normal</v>
      </c>
      <c r="F1810" s="7" t="n">
        <f aca="false">'Raw Data'!K1810</f>
        <v>206.4</v>
      </c>
      <c r="G1810" s="7" t="str">
        <f aca="false">'Raw Data'!L1810</f>
        <v>No</v>
      </c>
      <c r="H1810" s="7" t="str">
        <f aca="false">'Raw Data'!M1810</f>
        <v>Low</v>
      </c>
      <c r="I1810" s="7" t="n">
        <f aca="false">(IF(D1810="Current",3,IF(D1810="Former",1,0)))+(IF(E1810="High",3,IF(E1810="Normal",1,0)))+(IF(F1810&gt;=240,2,IF(F1810&gt;=200,1,0)))+(IF(G1810="Yes",2,0))+(IF(H1810="High",2,IF(H1810="Moderate",1,0)))</f>
        <v>3</v>
      </c>
      <c r="J1810" s="7" t="str">
        <f aca="false">IF(I1810&gt;=8,"High",IF(I1810&gt;=4,"Medium","Low"))</f>
        <v>Low</v>
      </c>
    </row>
    <row r="1811" customFormat="false" ht="15" hidden="false" customHeight="true" outlineLevel="0" collapsed="false">
      <c r="A1811" s="7" t="n">
        <f aca="false">'Raw Data'!A1811</f>
        <v>134</v>
      </c>
      <c r="B1811" s="7" t="n">
        <f aca="false">'Raw Data'!B1811</f>
        <v>35</v>
      </c>
      <c r="C1811" s="7" t="str">
        <f aca="false">'Raw Data'!C1811</f>
        <v>Male</v>
      </c>
      <c r="D1811" s="7" t="str">
        <f aca="false">'Raw Data'!D1811</f>
        <v>Former</v>
      </c>
      <c r="E1811" s="7" t="str">
        <f aca="false">'Raw Data'!J1811</f>
        <v>Normal</v>
      </c>
      <c r="F1811" s="7" t="n">
        <f aca="false">'Raw Data'!K1811</f>
        <v>155.9</v>
      </c>
      <c r="G1811" s="7" t="str">
        <f aca="false">'Raw Data'!L1811</f>
        <v>No</v>
      </c>
      <c r="H1811" s="7" t="str">
        <f aca="false">'Raw Data'!M1811</f>
        <v>Low</v>
      </c>
      <c r="I1811" s="7" t="n">
        <f aca="false">(IF(D1811="Current",3,IF(D1811="Former",1,0)))+(IF(E1811="High",3,IF(E1811="Normal",1,0)))+(IF(F1811&gt;=240,2,IF(F1811&gt;=200,1,0)))+(IF(G1811="Yes",2,0))+(IF(H1811="High",2,IF(H1811="Moderate",1,0)))</f>
        <v>2</v>
      </c>
      <c r="J1811" s="7" t="str">
        <f aca="false">IF(I1811&gt;=8,"High",IF(I1811&gt;=4,"Medium","Low"))</f>
        <v>Low</v>
      </c>
    </row>
    <row r="1812" customFormat="false" ht="15" hidden="false" customHeight="true" outlineLevel="0" collapsed="false">
      <c r="A1812" s="7" t="n">
        <f aca="false">'Raw Data'!A1812</f>
        <v>142</v>
      </c>
      <c r="B1812" s="7" t="n">
        <f aca="false">'Raw Data'!B1812</f>
        <v>61</v>
      </c>
      <c r="C1812" s="7" t="str">
        <f aca="false">'Raw Data'!C1812</f>
        <v>Female</v>
      </c>
      <c r="D1812" s="7" t="str">
        <f aca="false">'Raw Data'!D1812</f>
        <v>Former</v>
      </c>
      <c r="E1812" s="7" t="str">
        <f aca="false">'Raw Data'!J1812</f>
        <v>Normal</v>
      </c>
      <c r="F1812" s="7" t="n">
        <f aca="false">'Raw Data'!K1812</f>
        <v>126.2</v>
      </c>
      <c r="G1812" s="7" t="str">
        <f aca="false">'Raw Data'!L1812</f>
        <v>No</v>
      </c>
      <c r="H1812" s="7" t="str">
        <f aca="false">'Raw Data'!M1812</f>
        <v>Low</v>
      </c>
      <c r="I1812" s="7" t="n">
        <f aca="false">(IF(D1812="Current",3,IF(D1812="Former",1,0)))+(IF(E1812="High",3,IF(E1812="Normal",1,0)))+(IF(F1812&gt;=240,2,IF(F1812&gt;=200,1,0)))+(IF(G1812="Yes",2,0))+(IF(H1812="High",2,IF(H1812="Moderate",1,0)))</f>
        <v>2</v>
      </c>
      <c r="J1812" s="7" t="str">
        <f aca="false">IF(I1812&gt;=8,"High",IF(I1812&gt;=4,"Medium","Low"))</f>
        <v>Low</v>
      </c>
    </row>
    <row r="1813" customFormat="false" ht="15" hidden="false" customHeight="true" outlineLevel="0" collapsed="false">
      <c r="A1813" s="7" t="n">
        <f aca="false">'Raw Data'!A1813</f>
        <v>150</v>
      </c>
      <c r="B1813" s="7" t="n">
        <f aca="false">'Raw Data'!B1813</f>
        <v>88</v>
      </c>
      <c r="C1813" s="7" t="str">
        <f aca="false">'Raw Data'!C1813</f>
        <v>Male</v>
      </c>
      <c r="D1813" s="7" t="str">
        <f aca="false">'Raw Data'!D1813</f>
        <v>Former</v>
      </c>
      <c r="E1813" s="7" t="str">
        <f aca="false">'Raw Data'!J1813</f>
        <v>Normal</v>
      </c>
      <c r="F1813" s="7" t="n">
        <f aca="false">'Raw Data'!K1813</f>
        <v>218.2</v>
      </c>
      <c r="G1813" s="7" t="str">
        <f aca="false">'Raw Data'!L1813</f>
        <v>No</v>
      </c>
      <c r="H1813" s="7" t="str">
        <f aca="false">'Raw Data'!M1813</f>
        <v>Low</v>
      </c>
      <c r="I1813" s="7" t="n">
        <f aca="false">(IF(D1813="Current",3,IF(D1813="Former",1,0)))+(IF(E1813="High",3,IF(E1813="Normal",1,0)))+(IF(F1813&gt;=240,2,IF(F1813&gt;=200,1,0)))+(IF(G1813="Yes",2,0))+(IF(H1813="High",2,IF(H1813="Moderate",1,0)))</f>
        <v>3</v>
      </c>
      <c r="J1813" s="7" t="str">
        <f aca="false">IF(I1813&gt;=8,"High",IF(I1813&gt;=4,"Medium","Low"))</f>
        <v>Low</v>
      </c>
    </row>
    <row r="1814" customFormat="false" ht="15" hidden="false" customHeight="true" outlineLevel="0" collapsed="false">
      <c r="A1814" s="7" t="n">
        <f aca="false">'Raw Data'!A1814</f>
        <v>171</v>
      </c>
      <c r="B1814" s="7" t="n">
        <f aca="false">'Raw Data'!B1814</f>
        <v>62</v>
      </c>
      <c r="C1814" s="7" t="str">
        <f aca="false">'Raw Data'!C1814</f>
        <v>Female</v>
      </c>
      <c r="D1814" s="7" t="str">
        <f aca="false">'Raw Data'!D1814</f>
        <v>Former</v>
      </c>
      <c r="E1814" s="7" t="str">
        <f aca="false">'Raw Data'!J1814</f>
        <v>Normal</v>
      </c>
      <c r="F1814" s="7" t="n">
        <f aca="false">'Raw Data'!K1814</f>
        <v>211.1</v>
      </c>
      <c r="G1814" s="7" t="str">
        <f aca="false">'Raw Data'!L1814</f>
        <v>No</v>
      </c>
      <c r="H1814" s="7" t="str">
        <f aca="false">'Raw Data'!M1814</f>
        <v>Low</v>
      </c>
      <c r="I1814" s="7" t="n">
        <f aca="false">(IF(D1814="Current",3,IF(D1814="Former",1,0)))+(IF(E1814="High",3,IF(E1814="Normal",1,0)))+(IF(F1814&gt;=240,2,IF(F1814&gt;=200,1,0)))+(IF(G1814="Yes",2,0))+(IF(H1814="High",2,IF(H1814="Moderate",1,0)))</f>
        <v>3</v>
      </c>
      <c r="J1814" s="7" t="str">
        <f aca="false">IF(I1814&gt;=8,"High",IF(I1814&gt;=4,"Medium","Low"))</f>
        <v>Low</v>
      </c>
    </row>
    <row r="1815" customFormat="false" ht="15" hidden="false" customHeight="true" outlineLevel="0" collapsed="false">
      <c r="A1815" s="7" t="n">
        <f aca="false">'Raw Data'!A1815</f>
        <v>205</v>
      </c>
      <c r="B1815" s="7" t="n">
        <f aca="false">'Raw Data'!B1815</f>
        <v>67</v>
      </c>
      <c r="C1815" s="7" t="str">
        <f aca="false">'Raw Data'!C1815</f>
        <v>Male</v>
      </c>
      <c r="D1815" s="7" t="str">
        <f aca="false">'Raw Data'!D1815</f>
        <v>Former</v>
      </c>
      <c r="E1815" s="7" t="str">
        <f aca="false">'Raw Data'!J1815</f>
        <v>Normal</v>
      </c>
      <c r="F1815" s="7" t="n">
        <f aca="false">'Raw Data'!K1815</f>
        <v>218.1</v>
      </c>
      <c r="G1815" s="7" t="str">
        <f aca="false">'Raw Data'!L1815</f>
        <v>No</v>
      </c>
      <c r="H1815" s="7" t="str">
        <f aca="false">'Raw Data'!M1815</f>
        <v>Low</v>
      </c>
      <c r="I1815" s="7" t="n">
        <f aca="false">(IF(D1815="Current",3,IF(D1815="Former",1,0)))+(IF(E1815="High",3,IF(E1815="Normal",1,0)))+(IF(F1815&gt;=240,2,IF(F1815&gt;=200,1,0)))+(IF(G1815="Yes",2,0))+(IF(H1815="High",2,IF(H1815="Moderate",1,0)))</f>
        <v>3</v>
      </c>
      <c r="J1815" s="7" t="str">
        <f aca="false">IF(I1815&gt;=8,"High",IF(I1815&gt;=4,"Medium","Low"))</f>
        <v>Low</v>
      </c>
    </row>
    <row r="1816" customFormat="false" ht="15" hidden="false" customHeight="true" outlineLevel="0" collapsed="false">
      <c r="A1816" s="7" t="n">
        <f aca="false">'Raw Data'!A1816</f>
        <v>218</v>
      </c>
      <c r="B1816" s="7" t="n">
        <f aca="false">'Raw Data'!B1816</f>
        <v>34</v>
      </c>
      <c r="C1816" s="7" t="str">
        <f aca="false">'Raw Data'!C1816</f>
        <v>Male</v>
      </c>
      <c r="D1816" s="7" t="str">
        <f aca="false">'Raw Data'!D1816</f>
        <v>Former</v>
      </c>
      <c r="E1816" s="7" t="str">
        <f aca="false">'Raw Data'!J1816</f>
        <v>Normal</v>
      </c>
      <c r="F1816" s="7" t="n">
        <f aca="false">'Raw Data'!K1816</f>
        <v>142.7</v>
      </c>
      <c r="G1816" s="7" t="str">
        <f aca="false">'Raw Data'!L1816</f>
        <v>No</v>
      </c>
      <c r="H1816" s="7" t="str">
        <f aca="false">'Raw Data'!M1816</f>
        <v>Low</v>
      </c>
      <c r="I1816" s="7" t="n">
        <f aca="false">(IF(D1816="Current",3,IF(D1816="Former",1,0)))+(IF(E1816="High",3,IF(E1816="Normal",1,0)))+(IF(F1816&gt;=240,2,IF(F1816&gt;=200,1,0)))+(IF(G1816="Yes",2,0))+(IF(H1816="High",2,IF(H1816="Moderate",1,0)))</f>
        <v>2</v>
      </c>
      <c r="J1816" s="7" t="str">
        <f aca="false">IF(I1816&gt;=8,"High",IF(I1816&gt;=4,"Medium","Low"))</f>
        <v>Low</v>
      </c>
    </row>
    <row r="1817" customFormat="false" ht="15" hidden="false" customHeight="true" outlineLevel="0" collapsed="false">
      <c r="A1817" s="7" t="n">
        <f aca="false">'Raw Data'!A1817</f>
        <v>224</v>
      </c>
      <c r="B1817" s="7" t="n">
        <f aca="false">'Raw Data'!B1817</f>
        <v>31</v>
      </c>
      <c r="C1817" s="7" t="str">
        <f aca="false">'Raw Data'!C1817</f>
        <v>Female</v>
      </c>
      <c r="D1817" s="7" t="str">
        <f aca="false">'Raw Data'!D1817</f>
        <v>Former</v>
      </c>
      <c r="E1817" s="7" t="str">
        <f aca="false">'Raw Data'!J1817</f>
        <v>Normal</v>
      </c>
      <c r="F1817" s="7" t="n">
        <f aca="false">'Raw Data'!K1817</f>
        <v>122.2</v>
      </c>
      <c r="G1817" s="7" t="str">
        <f aca="false">'Raw Data'!L1817</f>
        <v>No</v>
      </c>
      <c r="H1817" s="7" t="str">
        <f aca="false">'Raw Data'!M1817</f>
        <v>Low</v>
      </c>
      <c r="I1817" s="7" t="n">
        <f aca="false">(IF(D1817="Current",3,IF(D1817="Former",1,0)))+(IF(E1817="High",3,IF(E1817="Normal",1,0)))+(IF(F1817&gt;=240,2,IF(F1817&gt;=200,1,0)))+(IF(G1817="Yes",2,0))+(IF(H1817="High",2,IF(H1817="Moderate",1,0)))</f>
        <v>2</v>
      </c>
      <c r="J1817" s="7" t="str">
        <f aca="false">IF(I1817&gt;=8,"High",IF(I1817&gt;=4,"Medium","Low"))</f>
        <v>Low</v>
      </c>
    </row>
    <row r="1818" customFormat="false" ht="15" hidden="false" customHeight="true" outlineLevel="0" collapsed="false">
      <c r="A1818" s="7" t="n">
        <f aca="false">'Raw Data'!A1818</f>
        <v>258</v>
      </c>
      <c r="B1818" s="7" t="n">
        <f aca="false">'Raw Data'!B1818</f>
        <v>51</v>
      </c>
      <c r="C1818" s="7" t="str">
        <f aca="false">'Raw Data'!C1818</f>
        <v>Male</v>
      </c>
      <c r="D1818" s="7" t="str">
        <f aca="false">'Raw Data'!D1818</f>
        <v>Former</v>
      </c>
      <c r="E1818" s="7" t="str">
        <f aca="false">'Raw Data'!J1818</f>
        <v>Normal</v>
      </c>
      <c r="F1818" s="7" t="n">
        <f aca="false">'Raw Data'!K1818</f>
        <v>140.3</v>
      </c>
      <c r="G1818" s="7" t="str">
        <f aca="false">'Raw Data'!L1818</f>
        <v>No</v>
      </c>
      <c r="H1818" s="7" t="str">
        <f aca="false">'Raw Data'!M1818</f>
        <v>Low</v>
      </c>
      <c r="I1818" s="7" t="n">
        <f aca="false">(IF(D1818="Current",3,IF(D1818="Former",1,0)))+(IF(E1818="High",3,IF(E1818="Normal",1,0)))+(IF(F1818&gt;=240,2,IF(F1818&gt;=200,1,0)))+(IF(G1818="Yes",2,0))+(IF(H1818="High",2,IF(H1818="Moderate",1,0)))</f>
        <v>2</v>
      </c>
      <c r="J1818" s="7" t="str">
        <f aca="false">IF(I1818&gt;=8,"High",IF(I1818&gt;=4,"Medium","Low"))</f>
        <v>Low</v>
      </c>
    </row>
    <row r="1819" customFormat="false" ht="15" hidden="false" customHeight="true" outlineLevel="0" collapsed="false">
      <c r="A1819" s="7" t="n">
        <f aca="false">'Raw Data'!A1819</f>
        <v>278</v>
      </c>
      <c r="B1819" s="7" t="n">
        <f aca="false">'Raw Data'!B1819</f>
        <v>64</v>
      </c>
      <c r="C1819" s="7" t="str">
        <f aca="false">'Raw Data'!C1819</f>
        <v>Female</v>
      </c>
      <c r="D1819" s="7" t="str">
        <f aca="false">'Raw Data'!D1819</f>
        <v>Former</v>
      </c>
      <c r="E1819" s="7" t="str">
        <f aca="false">'Raw Data'!J1819</f>
        <v>Normal</v>
      </c>
      <c r="F1819" s="7" t="n">
        <f aca="false">'Raw Data'!K1819</f>
        <v>244.2</v>
      </c>
      <c r="G1819" s="7" t="str">
        <f aca="false">'Raw Data'!L1819</f>
        <v>No</v>
      </c>
      <c r="H1819" s="7" t="str">
        <f aca="false">'Raw Data'!M1819</f>
        <v>Low</v>
      </c>
      <c r="I1819" s="7" t="n">
        <f aca="false">(IF(D1819="Current",3,IF(D1819="Former",1,0)))+(IF(E1819="High",3,IF(E1819="Normal",1,0)))+(IF(F1819&gt;=240,2,IF(F1819&gt;=200,1,0)))+(IF(G1819="Yes",2,0))+(IF(H1819="High",2,IF(H1819="Moderate",1,0)))</f>
        <v>4</v>
      </c>
      <c r="J1819" s="7" t="str">
        <f aca="false">IF(I1819&gt;=8,"High",IF(I1819&gt;=4,"Medium","Low"))</f>
        <v>Medium</v>
      </c>
    </row>
    <row r="1820" customFormat="false" ht="15" hidden="false" customHeight="true" outlineLevel="0" collapsed="false">
      <c r="A1820" s="7" t="n">
        <f aca="false">'Raw Data'!A1820</f>
        <v>283</v>
      </c>
      <c r="B1820" s="7" t="n">
        <f aca="false">'Raw Data'!B1820</f>
        <v>25</v>
      </c>
      <c r="C1820" s="7" t="str">
        <f aca="false">'Raw Data'!C1820</f>
        <v>Male</v>
      </c>
      <c r="D1820" s="7" t="str">
        <f aca="false">'Raw Data'!D1820</f>
        <v>Former</v>
      </c>
      <c r="E1820" s="7" t="str">
        <f aca="false">'Raw Data'!J1820</f>
        <v>Normal</v>
      </c>
      <c r="F1820" s="7" t="n">
        <f aca="false">'Raw Data'!K1820</f>
        <v>235.3</v>
      </c>
      <c r="G1820" s="7" t="str">
        <f aca="false">'Raw Data'!L1820</f>
        <v>No</v>
      </c>
      <c r="H1820" s="7" t="str">
        <f aca="false">'Raw Data'!M1820</f>
        <v>Low</v>
      </c>
      <c r="I1820" s="7" t="n">
        <f aca="false">(IF(D1820="Current",3,IF(D1820="Former",1,0)))+(IF(E1820="High",3,IF(E1820="Normal",1,0)))+(IF(F1820&gt;=240,2,IF(F1820&gt;=200,1,0)))+(IF(G1820="Yes",2,0))+(IF(H1820="High",2,IF(H1820="Moderate",1,0)))</f>
        <v>3</v>
      </c>
      <c r="J1820" s="7" t="str">
        <f aca="false">IF(I1820&gt;=8,"High",IF(I1820&gt;=4,"Medium","Low"))</f>
        <v>Low</v>
      </c>
    </row>
    <row r="1821" customFormat="false" ht="15" hidden="false" customHeight="true" outlineLevel="0" collapsed="false">
      <c r="A1821" s="7" t="n">
        <f aca="false">'Raw Data'!A1821</f>
        <v>291</v>
      </c>
      <c r="B1821" s="7" t="n">
        <f aca="false">'Raw Data'!B1821</f>
        <v>44</v>
      </c>
      <c r="C1821" s="7" t="str">
        <f aca="false">'Raw Data'!C1821</f>
        <v>Female</v>
      </c>
      <c r="D1821" s="7" t="str">
        <f aca="false">'Raw Data'!D1821</f>
        <v>Former</v>
      </c>
      <c r="E1821" s="7" t="str">
        <f aca="false">'Raw Data'!J1821</f>
        <v>Normal</v>
      </c>
      <c r="F1821" s="7" t="n">
        <f aca="false">'Raw Data'!K1821</f>
        <v>268.5</v>
      </c>
      <c r="G1821" s="7" t="str">
        <f aca="false">'Raw Data'!L1821</f>
        <v>No</v>
      </c>
      <c r="H1821" s="7" t="str">
        <f aca="false">'Raw Data'!M1821</f>
        <v>Low</v>
      </c>
      <c r="I1821" s="7" t="n">
        <f aca="false">(IF(D1821="Current",3,IF(D1821="Former",1,0)))+(IF(E1821="High",3,IF(E1821="Normal",1,0)))+(IF(F1821&gt;=240,2,IF(F1821&gt;=200,1,0)))+(IF(G1821="Yes",2,0))+(IF(H1821="High",2,IF(H1821="Moderate",1,0)))</f>
        <v>4</v>
      </c>
      <c r="J1821" s="7" t="str">
        <f aca="false">IF(I1821&gt;=8,"High",IF(I1821&gt;=4,"Medium","Low"))</f>
        <v>Medium</v>
      </c>
    </row>
    <row r="1822" customFormat="false" ht="15" hidden="false" customHeight="true" outlineLevel="0" collapsed="false">
      <c r="A1822" s="7" t="n">
        <f aca="false">'Raw Data'!A1822</f>
        <v>320</v>
      </c>
      <c r="B1822" s="7" t="n">
        <f aca="false">'Raw Data'!B1822</f>
        <v>86</v>
      </c>
      <c r="C1822" s="7" t="str">
        <f aca="false">'Raw Data'!C1822</f>
        <v>Male</v>
      </c>
      <c r="D1822" s="7" t="str">
        <f aca="false">'Raw Data'!D1822</f>
        <v>Former</v>
      </c>
      <c r="E1822" s="7" t="str">
        <f aca="false">'Raw Data'!J1822</f>
        <v>Normal</v>
      </c>
      <c r="F1822" s="7" t="n">
        <f aca="false">'Raw Data'!K1822</f>
        <v>165.9</v>
      </c>
      <c r="G1822" s="7" t="str">
        <f aca="false">'Raw Data'!L1822</f>
        <v>No</v>
      </c>
      <c r="H1822" s="7" t="str">
        <f aca="false">'Raw Data'!M1822</f>
        <v>Low</v>
      </c>
      <c r="I1822" s="7" t="n">
        <f aca="false">(IF(D1822="Current",3,IF(D1822="Former",1,0)))+(IF(E1822="High",3,IF(E1822="Normal",1,0)))+(IF(F1822&gt;=240,2,IF(F1822&gt;=200,1,0)))+(IF(G1822="Yes",2,0))+(IF(H1822="High",2,IF(H1822="Moderate",1,0)))</f>
        <v>2</v>
      </c>
      <c r="J1822" s="7" t="str">
        <f aca="false">IF(I1822&gt;=8,"High",IF(I1822&gt;=4,"Medium","Low"))</f>
        <v>Low</v>
      </c>
    </row>
    <row r="1823" customFormat="false" ht="15" hidden="false" customHeight="true" outlineLevel="0" collapsed="false">
      <c r="A1823" s="7" t="n">
        <f aca="false">'Raw Data'!A1823</f>
        <v>336</v>
      </c>
      <c r="B1823" s="7" t="n">
        <f aca="false">'Raw Data'!B1823</f>
        <v>79</v>
      </c>
      <c r="C1823" s="7" t="str">
        <f aca="false">'Raw Data'!C1823</f>
        <v>Female</v>
      </c>
      <c r="D1823" s="7" t="str">
        <f aca="false">'Raw Data'!D1823</f>
        <v>Former</v>
      </c>
      <c r="E1823" s="7" t="str">
        <f aca="false">'Raw Data'!J1823</f>
        <v>Normal</v>
      </c>
      <c r="F1823" s="7" t="n">
        <f aca="false">'Raw Data'!K1823</f>
        <v>156.4</v>
      </c>
      <c r="G1823" s="7" t="str">
        <f aca="false">'Raw Data'!L1823</f>
        <v>No</v>
      </c>
      <c r="H1823" s="7" t="str">
        <f aca="false">'Raw Data'!M1823</f>
        <v>Low</v>
      </c>
      <c r="I1823" s="7" t="n">
        <f aca="false">(IF(D1823="Current",3,IF(D1823="Former",1,0)))+(IF(E1823="High",3,IF(E1823="Normal",1,0)))+(IF(F1823&gt;=240,2,IF(F1823&gt;=200,1,0)))+(IF(G1823="Yes",2,0))+(IF(H1823="High",2,IF(H1823="Moderate",1,0)))</f>
        <v>2</v>
      </c>
      <c r="J1823" s="7" t="str">
        <f aca="false">IF(I1823&gt;=8,"High",IF(I1823&gt;=4,"Medium","Low"))</f>
        <v>Low</v>
      </c>
    </row>
    <row r="1824" customFormat="false" ht="15" hidden="false" customHeight="true" outlineLevel="0" collapsed="false">
      <c r="A1824" s="7" t="n">
        <f aca="false">'Raw Data'!A1824</f>
        <v>345</v>
      </c>
      <c r="B1824" s="7" t="n">
        <f aca="false">'Raw Data'!B1824</f>
        <v>72</v>
      </c>
      <c r="C1824" s="7" t="str">
        <f aca="false">'Raw Data'!C1824</f>
        <v>Female</v>
      </c>
      <c r="D1824" s="7" t="str">
        <f aca="false">'Raw Data'!D1824</f>
        <v>Former</v>
      </c>
      <c r="E1824" s="7" t="str">
        <f aca="false">'Raw Data'!J1824</f>
        <v>Normal</v>
      </c>
      <c r="F1824" s="7" t="n">
        <f aca="false">'Raw Data'!K1824</f>
        <v>208.9</v>
      </c>
      <c r="G1824" s="7" t="str">
        <f aca="false">'Raw Data'!L1824</f>
        <v>No</v>
      </c>
      <c r="H1824" s="7" t="str">
        <f aca="false">'Raw Data'!M1824</f>
        <v>Low</v>
      </c>
      <c r="I1824" s="7" t="n">
        <f aca="false">(IF(D1824="Current",3,IF(D1824="Former",1,0)))+(IF(E1824="High",3,IF(E1824="Normal",1,0)))+(IF(F1824&gt;=240,2,IF(F1824&gt;=200,1,0)))+(IF(G1824="Yes",2,0))+(IF(H1824="High",2,IF(H1824="Moderate",1,0)))</f>
        <v>3</v>
      </c>
      <c r="J1824" s="7" t="str">
        <f aca="false">IF(I1824&gt;=8,"High",IF(I1824&gt;=4,"Medium","Low"))</f>
        <v>Low</v>
      </c>
    </row>
    <row r="1825" customFormat="false" ht="15" hidden="false" customHeight="true" outlineLevel="0" collapsed="false">
      <c r="A1825" s="7" t="n">
        <f aca="false">'Raw Data'!A1825</f>
        <v>349</v>
      </c>
      <c r="B1825" s="7" t="n">
        <f aca="false">'Raw Data'!B1825</f>
        <v>83</v>
      </c>
      <c r="C1825" s="7" t="str">
        <f aca="false">'Raw Data'!C1825</f>
        <v>Male</v>
      </c>
      <c r="D1825" s="7" t="str">
        <f aca="false">'Raw Data'!D1825</f>
        <v>Former</v>
      </c>
      <c r="E1825" s="7" t="str">
        <f aca="false">'Raw Data'!J1825</f>
        <v>Normal</v>
      </c>
      <c r="F1825" s="7" t="n">
        <f aca="false">'Raw Data'!K1825</f>
        <v>226.7</v>
      </c>
      <c r="G1825" s="7" t="str">
        <f aca="false">'Raw Data'!L1825</f>
        <v>No</v>
      </c>
      <c r="H1825" s="7" t="str">
        <f aca="false">'Raw Data'!M1825</f>
        <v>Low</v>
      </c>
      <c r="I1825" s="7" t="n">
        <f aca="false">(IF(D1825="Current",3,IF(D1825="Former",1,0)))+(IF(E1825="High",3,IF(E1825="Normal",1,0)))+(IF(F1825&gt;=240,2,IF(F1825&gt;=200,1,0)))+(IF(G1825="Yes",2,0))+(IF(H1825="High",2,IF(H1825="Moderate",1,0)))</f>
        <v>3</v>
      </c>
      <c r="J1825" s="7" t="str">
        <f aca="false">IF(I1825&gt;=8,"High",IF(I1825&gt;=4,"Medium","Low"))</f>
        <v>Low</v>
      </c>
    </row>
    <row r="1826" customFormat="false" ht="15" hidden="false" customHeight="true" outlineLevel="0" collapsed="false">
      <c r="A1826" s="7" t="n">
        <f aca="false">'Raw Data'!A1826</f>
        <v>392</v>
      </c>
      <c r="B1826" s="7" t="n">
        <f aca="false">'Raw Data'!B1826</f>
        <v>23</v>
      </c>
      <c r="C1826" s="7" t="str">
        <f aca="false">'Raw Data'!C1826</f>
        <v>Female</v>
      </c>
      <c r="D1826" s="7" t="str">
        <f aca="false">'Raw Data'!D1826</f>
        <v>Former</v>
      </c>
      <c r="E1826" s="7" t="str">
        <f aca="false">'Raw Data'!J1826</f>
        <v>Normal</v>
      </c>
      <c r="F1826" s="7" t="n">
        <f aca="false">'Raw Data'!K1826</f>
        <v>245.4</v>
      </c>
      <c r="G1826" s="7" t="str">
        <f aca="false">'Raw Data'!L1826</f>
        <v>No</v>
      </c>
      <c r="H1826" s="7" t="str">
        <f aca="false">'Raw Data'!M1826</f>
        <v>Low</v>
      </c>
      <c r="I1826" s="7" t="n">
        <f aca="false">(IF(D1826="Current",3,IF(D1826="Former",1,0)))+(IF(E1826="High",3,IF(E1826="Normal",1,0)))+(IF(F1826&gt;=240,2,IF(F1826&gt;=200,1,0)))+(IF(G1826="Yes",2,0))+(IF(H1826="High",2,IF(H1826="Moderate",1,0)))</f>
        <v>4</v>
      </c>
      <c r="J1826" s="7" t="str">
        <f aca="false">IF(I1826&gt;=8,"High",IF(I1826&gt;=4,"Medium","Low"))</f>
        <v>Medium</v>
      </c>
    </row>
    <row r="1827" customFormat="false" ht="15" hidden="false" customHeight="true" outlineLevel="0" collapsed="false">
      <c r="A1827" s="7" t="n">
        <f aca="false">'Raw Data'!A1827</f>
        <v>405</v>
      </c>
      <c r="B1827" s="7" t="n">
        <f aca="false">'Raw Data'!B1827</f>
        <v>49</v>
      </c>
      <c r="C1827" s="7" t="str">
        <f aca="false">'Raw Data'!C1827</f>
        <v>Female</v>
      </c>
      <c r="D1827" s="7" t="str">
        <f aca="false">'Raw Data'!D1827</f>
        <v>Former</v>
      </c>
      <c r="E1827" s="7" t="str">
        <f aca="false">'Raw Data'!J1827</f>
        <v>Normal</v>
      </c>
      <c r="F1827" s="7" t="n">
        <f aca="false">'Raw Data'!K1827</f>
        <v>221.6</v>
      </c>
      <c r="G1827" s="7" t="str">
        <f aca="false">'Raw Data'!L1827</f>
        <v>No</v>
      </c>
      <c r="H1827" s="7" t="str">
        <f aca="false">'Raw Data'!M1827</f>
        <v>Low</v>
      </c>
      <c r="I1827" s="7" t="n">
        <f aca="false">(IF(D1827="Current",3,IF(D1827="Former",1,0)))+(IF(E1827="High",3,IF(E1827="Normal",1,0)))+(IF(F1827&gt;=240,2,IF(F1827&gt;=200,1,0)))+(IF(G1827="Yes",2,0))+(IF(H1827="High",2,IF(H1827="Moderate",1,0)))</f>
        <v>3</v>
      </c>
      <c r="J1827" s="7" t="str">
        <f aca="false">IF(I1827&gt;=8,"High",IF(I1827&gt;=4,"Medium","Low"))</f>
        <v>Low</v>
      </c>
    </row>
    <row r="1828" customFormat="false" ht="15" hidden="false" customHeight="true" outlineLevel="0" collapsed="false">
      <c r="A1828" s="7" t="n">
        <f aca="false">'Raw Data'!A1828</f>
        <v>426</v>
      </c>
      <c r="B1828" s="7" t="n">
        <f aca="false">'Raw Data'!B1828</f>
        <v>53</v>
      </c>
      <c r="C1828" s="7" t="str">
        <f aca="false">'Raw Data'!C1828</f>
        <v>Female</v>
      </c>
      <c r="D1828" s="7" t="str">
        <f aca="false">'Raw Data'!D1828</f>
        <v>Former</v>
      </c>
      <c r="E1828" s="7" t="str">
        <f aca="false">'Raw Data'!J1828</f>
        <v>Normal</v>
      </c>
      <c r="F1828" s="7" t="n">
        <f aca="false">'Raw Data'!K1828</f>
        <v>183.9</v>
      </c>
      <c r="G1828" s="7" t="str">
        <f aca="false">'Raw Data'!L1828</f>
        <v>No</v>
      </c>
      <c r="H1828" s="7" t="str">
        <f aca="false">'Raw Data'!M1828</f>
        <v>Low</v>
      </c>
      <c r="I1828" s="7" t="n">
        <f aca="false">(IF(D1828="Current",3,IF(D1828="Former",1,0)))+(IF(E1828="High",3,IF(E1828="Normal",1,0)))+(IF(F1828&gt;=240,2,IF(F1828&gt;=200,1,0)))+(IF(G1828="Yes",2,0))+(IF(H1828="High",2,IF(H1828="Moderate",1,0)))</f>
        <v>2</v>
      </c>
      <c r="J1828" s="7" t="str">
        <f aca="false">IF(I1828&gt;=8,"High",IF(I1828&gt;=4,"Medium","Low"))</f>
        <v>Low</v>
      </c>
    </row>
    <row r="1829" customFormat="false" ht="15" hidden="false" customHeight="true" outlineLevel="0" collapsed="false">
      <c r="A1829" s="7" t="n">
        <f aca="false">'Raw Data'!A1829</f>
        <v>501</v>
      </c>
      <c r="B1829" s="7" t="n">
        <f aca="false">'Raw Data'!B1829</f>
        <v>35</v>
      </c>
      <c r="C1829" s="7" t="str">
        <f aca="false">'Raw Data'!C1829</f>
        <v>Female</v>
      </c>
      <c r="D1829" s="7" t="str">
        <f aca="false">'Raw Data'!D1829</f>
        <v>Former</v>
      </c>
      <c r="E1829" s="7" t="str">
        <f aca="false">'Raw Data'!J1829</f>
        <v>Normal</v>
      </c>
      <c r="F1829" s="7" t="n">
        <f aca="false">'Raw Data'!K1829</f>
        <v>205.2</v>
      </c>
      <c r="G1829" s="7" t="str">
        <f aca="false">'Raw Data'!L1829</f>
        <v>No</v>
      </c>
      <c r="H1829" s="7" t="str">
        <f aca="false">'Raw Data'!M1829</f>
        <v>Low</v>
      </c>
      <c r="I1829" s="7" t="n">
        <f aca="false">(IF(D1829="Current",3,IF(D1829="Former",1,0)))+(IF(E1829="High",3,IF(E1829="Normal",1,0)))+(IF(F1829&gt;=240,2,IF(F1829&gt;=200,1,0)))+(IF(G1829="Yes",2,0))+(IF(H1829="High",2,IF(H1829="Moderate",1,0)))</f>
        <v>3</v>
      </c>
      <c r="J1829" s="7" t="str">
        <f aca="false">IF(I1829&gt;=8,"High",IF(I1829&gt;=4,"Medium","Low"))</f>
        <v>Low</v>
      </c>
    </row>
    <row r="1830" customFormat="false" ht="15" hidden="false" customHeight="true" outlineLevel="0" collapsed="false">
      <c r="A1830" s="7" t="n">
        <f aca="false">'Raw Data'!A1830</f>
        <v>509</v>
      </c>
      <c r="B1830" s="7" t="n">
        <f aca="false">'Raw Data'!B1830</f>
        <v>89</v>
      </c>
      <c r="C1830" s="7" t="str">
        <f aca="false">'Raw Data'!C1830</f>
        <v>Male</v>
      </c>
      <c r="D1830" s="7" t="str">
        <f aca="false">'Raw Data'!D1830</f>
        <v>Former</v>
      </c>
      <c r="E1830" s="7" t="str">
        <f aca="false">'Raw Data'!J1830</f>
        <v>Normal</v>
      </c>
      <c r="F1830" s="7" t="n">
        <f aca="false">'Raw Data'!K1830</f>
        <v>260.9</v>
      </c>
      <c r="G1830" s="7" t="str">
        <f aca="false">'Raw Data'!L1830</f>
        <v>No</v>
      </c>
      <c r="H1830" s="7" t="str">
        <f aca="false">'Raw Data'!M1830</f>
        <v>Low</v>
      </c>
      <c r="I1830" s="7" t="n">
        <f aca="false">(IF(D1830="Current",3,IF(D1830="Former",1,0)))+(IF(E1830="High",3,IF(E1830="Normal",1,0)))+(IF(F1830&gt;=240,2,IF(F1830&gt;=200,1,0)))+(IF(G1830="Yes",2,0))+(IF(H1830="High",2,IF(H1830="Moderate",1,0)))</f>
        <v>4</v>
      </c>
      <c r="J1830" s="7" t="str">
        <f aca="false">IF(I1830&gt;=8,"High",IF(I1830&gt;=4,"Medium","Low"))</f>
        <v>Medium</v>
      </c>
    </row>
    <row r="1831" customFormat="false" ht="15" hidden="false" customHeight="true" outlineLevel="0" collapsed="false">
      <c r="A1831" s="7" t="n">
        <f aca="false">'Raw Data'!A1831</f>
        <v>516</v>
      </c>
      <c r="B1831" s="7" t="n">
        <f aca="false">'Raw Data'!B1831</f>
        <v>57</v>
      </c>
      <c r="C1831" s="7" t="str">
        <f aca="false">'Raw Data'!C1831</f>
        <v>Female</v>
      </c>
      <c r="D1831" s="7" t="str">
        <f aca="false">'Raw Data'!D1831</f>
        <v>Former</v>
      </c>
      <c r="E1831" s="7" t="str">
        <f aca="false">'Raw Data'!J1831</f>
        <v>Normal</v>
      </c>
      <c r="F1831" s="7" t="n">
        <f aca="false">'Raw Data'!K1831</f>
        <v>154.6</v>
      </c>
      <c r="G1831" s="7" t="str">
        <f aca="false">'Raw Data'!L1831</f>
        <v>No</v>
      </c>
      <c r="H1831" s="7" t="str">
        <f aca="false">'Raw Data'!M1831</f>
        <v>Low</v>
      </c>
      <c r="I1831" s="7" t="n">
        <f aca="false">(IF(D1831="Current",3,IF(D1831="Former",1,0)))+(IF(E1831="High",3,IF(E1831="Normal",1,0)))+(IF(F1831&gt;=240,2,IF(F1831&gt;=200,1,0)))+(IF(G1831="Yes",2,0))+(IF(H1831="High",2,IF(H1831="Moderate",1,0)))</f>
        <v>2</v>
      </c>
      <c r="J1831" s="7" t="str">
        <f aca="false">IF(I1831&gt;=8,"High",IF(I1831&gt;=4,"Medium","Low"))</f>
        <v>Low</v>
      </c>
    </row>
    <row r="1832" customFormat="false" ht="15" hidden="false" customHeight="true" outlineLevel="0" collapsed="false">
      <c r="A1832" s="7" t="n">
        <f aca="false">'Raw Data'!A1832</f>
        <v>585</v>
      </c>
      <c r="B1832" s="7" t="n">
        <f aca="false">'Raw Data'!B1832</f>
        <v>77</v>
      </c>
      <c r="C1832" s="7" t="str">
        <f aca="false">'Raw Data'!C1832</f>
        <v>Female</v>
      </c>
      <c r="D1832" s="7" t="str">
        <f aca="false">'Raw Data'!D1832</f>
        <v>Former</v>
      </c>
      <c r="E1832" s="7" t="str">
        <f aca="false">'Raw Data'!J1832</f>
        <v>Normal</v>
      </c>
      <c r="F1832" s="7" t="n">
        <f aca="false">'Raw Data'!K1832</f>
        <v>233.4</v>
      </c>
      <c r="G1832" s="7" t="str">
        <f aca="false">'Raw Data'!L1832</f>
        <v>No</v>
      </c>
      <c r="H1832" s="7" t="str">
        <f aca="false">'Raw Data'!M1832</f>
        <v>Low</v>
      </c>
      <c r="I1832" s="7" t="n">
        <f aca="false">(IF(D1832="Current",3,IF(D1832="Former",1,0)))+(IF(E1832="High",3,IF(E1832="Normal",1,0)))+(IF(F1832&gt;=240,2,IF(F1832&gt;=200,1,0)))+(IF(G1832="Yes",2,0))+(IF(H1832="High",2,IF(H1832="Moderate",1,0)))</f>
        <v>3</v>
      </c>
      <c r="J1832" s="7" t="str">
        <f aca="false">IF(I1832&gt;=8,"High",IF(I1832&gt;=4,"Medium","Low"))</f>
        <v>Low</v>
      </c>
    </row>
    <row r="1833" customFormat="false" ht="15" hidden="false" customHeight="true" outlineLevel="0" collapsed="false">
      <c r="A1833" s="7" t="n">
        <f aca="false">'Raw Data'!A1833</f>
        <v>609</v>
      </c>
      <c r="B1833" s="7" t="n">
        <f aca="false">'Raw Data'!B1833</f>
        <v>28</v>
      </c>
      <c r="C1833" s="7" t="str">
        <f aca="false">'Raw Data'!C1833</f>
        <v>Male</v>
      </c>
      <c r="D1833" s="7" t="str">
        <f aca="false">'Raw Data'!D1833</f>
        <v>Former</v>
      </c>
      <c r="E1833" s="7" t="str">
        <f aca="false">'Raw Data'!J1833</f>
        <v>Normal</v>
      </c>
      <c r="F1833" s="7" t="n">
        <f aca="false">'Raw Data'!K1833</f>
        <v>244.1</v>
      </c>
      <c r="G1833" s="7" t="str">
        <f aca="false">'Raw Data'!L1833</f>
        <v>No</v>
      </c>
      <c r="H1833" s="7" t="str">
        <f aca="false">'Raw Data'!M1833</f>
        <v>Low</v>
      </c>
      <c r="I1833" s="7" t="n">
        <f aca="false">(IF(D1833="Current",3,IF(D1833="Former",1,0)))+(IF(E1833="High",3,IF(E1833="Normal",1,0)))+(IF(F1833&gt;=240,2,IF(F1833&gt;=200,1,0)))+(IF(G1833="Yes",2,0))+(IF(H1833="High",2,IF(H1833="Moderate",1,0)))</f>
        <v>4</v>
      </c>
      <c r="J1833" s="7" t="str">
        <f aca="false">IF(I1833&gt;=8,"High",IF(I1833&gt;=4,"Medium","Low"))</f>
        <v>Medium</v>
      </c>
    </row>
    <row r="1834" customFormat="false" ht="15" hidden="false" customHeight="true" outlineLevel="0" collapsed="false">
      <c r="A1834" s="7" t="n">
        <f aca="false">'Raw Data'!A1834</f>
        <v>612</v>
      </c>
      <c r="B1834" s="7" t="n">
        <f aca="false">'Raw Data'!B1834</f>
        <v>71</v>
      </c>
      <c r="C1834" s="7" t="str">
        <f aca="false">'Raw Data'!C1834</f>
        <v>Male</v>
      </c>
      <c r="D1834" s="7" t="str">
        <f aca="false">'Raw Data'!D1834</f>
        <v>Former</v>
      </c>
      <c r="E1834" s="7" t="str">
        <f aca="false">'Raw Data'!J1834</f>
        <v>Normal</v>
      </c>
      <c r="F1834" s="7" t="n">
        <f aca="false">'Raw Data'!K1834</f>
        <v>168.2</v>
      </c>
      <c r="G1834" s="7" t="str">
        <f aca="false">'Raw Data'!L1834</f>
        <v>No</v>
      </c>
      <c r="H1834" s="7" t="str">
        <f aca="false">'Raw Data'!M1834</f>
        <v>Low</v>
      </c>
      <c r="I1834" s="7" t="n">
        <f aca="false">(IF(D1834="Current",3,IF(D1834="Former",1,0)))+(IF(E1834="High",3,IF(E1834="Normal",1,0)))+(IF(F1834&gt;=240,2,IF(F1834&gt;=200,1,0)))+(IF(G1834="Yes",2,0))+(IF(H1834="High",2,IF(H1834="Moderate",1,0)))</f>
        <v>2</v>
      </c>
      <c r="J1834" s="7" t="str">
        <f aca="false">IF(I1834&gt;=8,"High",IF(I1834&gt;=4,"Medium","Low"))</f>
        <v>Low</v>
      </c>
    </row>
    <row r="1835" customFormat="false" ht="15" hidden="false" customHeight="true" outlineLevel="0" collapsed="false">
      <c r="A1835" s="7" t="n">
        <f aca="false">'Raw Data'!A1835</f>
        <v>620</v>
      </c>
      <c r="B1835" s="7" t="n">
        <f aca="false">'Raw Data'!B1835</f>
        <v>29</v>
      </c>
      <c r="C1835" s="7" t="str">
        <f aca="false">'Raw Data'!C1835</f>
        <v>Male</v>
      </c>
      <c r="D1835" s="7" t="str">
        <f aca="false">'Raw Data'!D1835</f>
        <v>Former</v>
      </c>
      <c r="E1835" s="7" t="str">
        <f aca="false">'Raw Data'!J1835</f>
        <v>Normal</v>
      </c>
      <c r="F1835" s="7" t="n">
        <f aca="false">'Raw Data'!K1835</f>
        <v>140.9</v>
      </c>
      <c r="G1835" s="7" t="str">
        <f aca="false">'Raw Data'!L1835</f>
        <v>No</v>
      </c>
      <c r="H1835" s="7" t="str">
        <f aca="false">'Raw Data'!M1835</f>
        <v>Low</v>
      </c>
      <c r="I1835" s="7" t="n">
        <f aca="false">(IF(D1835="Current",3,IF(D1835="Former",1,0)))+(IF(E1835="High",3,IF(E1835="Normal",1,0)))+(IF(F1835&gt;=240,2,IF(F1835&gt;=200,1,0)))+(IF(G1835="Yes",2,0))+(IF(H1835="High",2,IF(H1835="Moderate",1,0)))</f>
        <v>2</v>
      </c>
      <c r="J1835" s="7" t="str">
        <f aca="false">IF(I1835&gt;=8,"High",IF(I1835&gt;=4,"Medium","Low"))</f>
        <v>Low</v>
      </c>
    </row>
    <row r="1836" customFormat="false" ht="15" hidden="false" customHeight="true" outlineLevel="0" collapsed="false">
      <c r="A1836" s="7" t="n">
        <f aca="false">'Raw Data'!A1836</f>
        <v>651</v>
      </c>
      <c r="B1836" s="7" t="n">
        <f aca="false">'Raw Data'!B1836</f>
        <v>65</v>
      </c>
      <c r="C1836" s="7" t="str">
        <f aca="false">'Raw Data'!C1836</f>
        <v>Male</v>
      </c>
      <c r="D1836" s="7" t="str">
        <f aca="false">'Raw Data'!D1836</f>
        <v>Former</v>
      </c>
      <c r="E1836" s="7" t="str">
        <f aca="false">'Raw Data'!J1836</f>
        <v>Normal</v>
      </c>
      <c r="F1836" s="7" t="n">
        <f aca="false">'Raw Data'!K1836</f>
        <v>162.9</v>
      </c>
      <c r="G1836" s="7" t="str">
        <f aca="false">'Raw Data'!L1836</f>
        <v>No</v>
      </c>
      <c r="H1836" s="7" t="str">
        <f aca="false">'Raw Data'!M1836</f>
        <v>Low</v>
      </c>
      <c r="I1836" s="7" t="n">
        <f aca="false">(IF(D1836="Current",3,IF(D1836="Former",1,0)))+(IF(E1836="High",3,IF(E1836="Normal",1,0)))+(IF(F1836&gt;=240,2,IF(F1836&gt;=200,1,0)))+(IF(G1836="Yes",2,0))+(IF(H1836="High",2,IF(H1836="Moderate",1,0)))</f>
        <v>2</v>
      </c>
      <c r="J1836" s="7" t="str">
        <f aca="false">IF(I1836&gt;=8,"High",IF(I1836&gt;=4,"Medium","Low"))</f>
        <v>Low</v>
      </c>
    </row>
    <row r="1837" customFormat="false" ht="15" hidden="false" customHeight="true" outlineLevel="0" collapsed="false">
      <c r="A1837" s="7" t="n">
        <f aca="false">'Raw Data'!A1837</f>
        <v>682</v>
      </c>
      <c r="B1837" s="7" t="n">
        <f aca="false">'Raw Data'!B1837</f>
        <v>27</v>
      </c>
      <c r="C1837" s="7" t="str">
        <f aca="false">'Raw Data'!C1837</f>
        <v>Female</v>
      </c>
      <c r="D1837" s="7" t="str">
        <f aca="false">'Raw Data'!D1837</f>
        <v>Former</v>
      </c>
      <c r="E1837" s="7" t="str">
        <f aca="false">'Raw Data'!J1837</f>
        <v>Normal</v>
      </c>
      <c r="F1837" s="7" t="n">
        <f aca="false">'Raw Data'!K1837</f>
        <v>171.4</v>
      </c>
      <c r="G1837" s="7" t="str">
        <f aca="false">'Raw Data'!L1837</f>
        <v>No</v>
      </c>
      <c r="H1837" s="7" t="str">
        <f aca="false">'Raw Data'!M1837</f>
        <v>Low</v>
      </c>
      <c r="I1837" s="7" t="n">
        <f aca="false">(IF(D1837="Current",3,IF(D1837="Former",1,0)))+(IF(E1837="High",3,IF(E1837="Normal",1,0)))+(IF(F1837&gt;=240,2,IF(F1837&gt;=200,1,0)))+(IF(G1837="Yes",2,0))+(IF(H1837="High",2,IF(H1837="Moderate",1,0)))</f>
        <v>2</v>
      </c>
      <c r="J1837" s="7" t="str">
        <f aca="false">IF(I1837&gt;=8,"High",IF(I1837&gt;=4,"Medium","Low"))</f>
        <v>Low</v>
      </c>
    </row>
    <row r="1838" customFormat="false" ht="15" hidden="false" customHeight="true" outlineLevel="0" collapsed="false">
      <c r="A1838" s="7" t="n">
        <f aca="false">'Raw Data'!A1838</f>
        <v>689</v>
      </c>
      <c r="B1838" s="7" t="n">
        <f aca="false">'Raw Data'!B1838</f>
        <v>88</v>
      </c>
      <c r="C1838" s="7" t="str">
        <f aca="false">'Raw Data'!C1838</f>
        <v>Female</v>
      </c>
      <c r="D1838" s="7" t="str">
        <f aca="false">'Raw Data'!D1838</f>
        <v>Former</v>
      </c>
      <c r="E1838" s="7" t="str">
        <f aca="false">'Raw Data'!J1838</f>
        <v>Normal</v>
      </c>
      <c r="F1838" s="7" t="n">
        <f aca="false">'Raw Data'!K1838</f>
        <v>174.6</v>
      </c>
      <c r="G1838" s="7" t="str">
        <f aca="false">'Raw Data'!L1838</f>
        <v>No</v>
      </c>
      <c r="H1838" s="7" t="str">
        <f aca="false">'Raw Data'!M1838</f>
        <v>Low</v>
      </c>
      <c r="I1838" s="7" t="n">
        <f aca="false">(IF(D1838="Current",3,IF(D1838="Former",1,0)))+(IF(E1838="High",3,IF(E1838="Normal",1,0)))+(IF(F1838&gt;=240,2,IF(F1838&gt;=200,1,0)))+(IF(G1838="Yes",2,0))+(IF(H1838="High",2,IF(H1838="Moderate",1,0)))</f>
        <v>2</v>
      </c>
      <c r="J1838" s="7" t="str">
        <f aca="false">IF(I1838&gt;=8,"High",IF(I1838&gt;=4,"Medium","Low"))</f>
        <v>Low</v>
      </c>
    </row>
    <row r="1839" customFormat="false" ht="15" hidden="false" customHeight="true" outlineLevel="0" collapsed="false">
      <c r="A1839" s="7" t="n">
        <f aca="false">'Raw Data'!A1839</f>
        <v>696</v>
      </c>
      <c r="B1839" s="7" t="n">
        <f aca="false">'Raw Data'!B1839</f>
        <v>56</v>
      </c>
      <c r="C1839" s="7" t="str">
        <f aca="false">'Raw Data'!C1839</f>
        <v>Female</v>
      </c>
      <c r="D1839" s="7" t="str">
        <f aca="false">'Raw Data'!D1839</f>
        <v>Former</v>
      </c>
      <c r="E1839" s="7" t="str">
        <f aca="false">'Raw Data'!J1839</f>
        <v>Normal</v>
      </c>
      <c r="F1839" s="7" t="n">
        <f aca="false">'Raw Data'!K1839</f>
        <v>177.1</v>
      </c>
      <c r="G1839" s="7" t="str">
        <f aca="false">'Raw Data'!L1839</f>
        <v>No</v>
      </c>
      <c r="H1839" s="7" t="str">
        <f aca="false">'Raw Data'!M1839</f>
        <v>Low</v>
      </c>
      <c r="I1839" s="7" t="n">
        <f aca="false">(IF(D1839="Current",3,IF(D1839="Former",1,0)))+(IF(E1839="High",3,IF(E1839="Normal",1,0)))+(IF(F1839&gt;=240,2,IF(F1839&gt;=200,1,0)))+(IF(G1839="Yes",2,0))+(IF(H1839="High",2,IF(H1839="Moderate",1,0)))</f>
        <v>2</v>
      </c>
      <c r="J1839" s="7" t="str">
        <f aca="false">IF(I1839&gt;=8,"High",IF(I1839&gt;=4,"Medium","Low"))</f>
        <v>Low</v>
      </c>
    </row>
    <row r="1840" customFormat="false" ht="15" hidden="false" customHeight="true" outlineLevel="0" collapsed="false">
      <c r="A1840" s="7" t="n">
        <f aca="false">'Raw Data'!A1840</f>
        <v>711</v>
      </c>
      <c r="B1840" s="7" t="n">
        <f aca="false">'Raw Data'!B1840</f>
        <v>80</v>
      </c>
      <c r="C1840" s="7" t="str">
        <f aca="false">'Raw Data'!C1840</f>
        <v>Female</v>
      </c>
      <c r="D1840" s="7" t="str">
        <f aca="false">'Raw Data'!D1840</f>
        <v>Former</v>
      </c>
      <c r="E1840" s="7" t="str">
        <f aca="false">'Raw Data'!J1840</f>
        <v>Normal</v>
      </c>
      <c r="F1840" s="7" t="n">
        <f aca="false">'Raw Data'!K1840</f>
        <v>257.7</v>
      </c>
      <c r="G1840" s="7" t="str">
        <f aca="false">'Raw Data'!L1840</f>
        <v>No</v>
      </c>
      <c r="H1840" s="7" t="str">
        <f aca="false">'Raw Data'!M1840</f>
        <v>Low</v>
      </c>
      <c r="I1840" s="7" t="n">
        <f aca="false">(IF(D1840="Current",3,IF(D1840="Former",1,0)))+(IF(E1840="High",3,IF(E1840="Normal",1,0)))+(IF(F1840&gt;=240,2,IF(F1840&gt;=200,1,0)))+(IF(G1840="Yes",2,0))+(IF(H1840="High",2,IF(H1840="Moderate",1,0)))</f>
        <v>4</v>
      </c>
      <c r="J1840" s="7" t="str">
        <f aca="false">IF(I1840&gt;=8,"High",IF(I1840&gt;=4,"Medium","Low"))</f>
        <v>Medium</v>
      </c>
    </row>
    <row r="1841" customFormat="false" ht="15" hidden="false" customHeight="true" outlineLevel="0" collapsed="false">
      <c r="A1841" s="7" t="n">
        <f aca="false">'Raw Data'!A1841</f>
        <v>719</v>
      </c>
      <c r="B1841" s="7" t="n">
        <f aca="false">'Raw Data'!B1841</f>
        <v>55</v>
      </c>
      <c r="C1841" s="7" t="str">
        <f aca="false">'Raw Data'!C1841</f>
        <v>Female</v>
      </c>
      <c r="D1841" s="7" t="str">
        <f aca="false">'Raw Data'!D1841</f>
        <v>Former</v>
      </c>
      <c r="E1841" s="7" t="str">
        <f aca="false">'Raw Data'!J1841</f>
        <v>Normal</v>
      </c>
      <c r="F1841" s="7" t="n">
        <f aca="false">'Raw Data'!K1841</f>
        <v>129.4</v>
      </c>
      <c r="G1841" s="7" t="str">
        <f aca="false">'Raw Data'!L1841</f>
        <v>No</v>
      </c>
      <c r="H1841" s="7" t="str">
        <f aca="false">'Raw Data'!M1841</f>
        <v>Low</v>
      </c>
      <c r="I1841" s="7" t="n">
        <f aca="false">(IF(D1841="Current",3,IF(D1841="Former",1,0)))+(IF(E1841="High",3,IF(E1841="Normal",1,0)))+(IF(F1841&gt;=240,2,IF(F1841&gt;=200,1,0)))+(IF(G1841="Yes",2,0))+(IF(H1841="High",2,IF(H1841="Moderate",1,0)))</f>
        <v>2</v>
      </c>
      <c r="J1841" s="7" t="str">
        <f aca="false">IF(I1841&gt;=8,"High",IF(I1841&gt;=4,"Medium","Low"))</f>
        <v>Low</v>
      </c>
    </row>
    <row r="1842" customFormat="false" ht="15" hidden="false" customHeight="true" outlineLevel="0" collapsed="false">
      <c r="A1842" s="7" t="n">
        <f aca="false">'Raw Data'!A1842</f>
        <v>806</v>
      </c>
      <c r="B1842" s="7" t="n">
        <f aca="false">'Raw Data'!B1842</f>
        <v>38</v>
      </c>
      <c r="C1842" s="7" t="str">
        <f aca="false">'Raw Data'!C1842</f>
        <v>Female</v>
      </c>
      <c r="D1842" s="7" t="str">
        <f aca="false">'Raw Data'!D1842</f>
        <v>Former</v>
      </c>
      <c r="E1842" s="7" t="str">
        <f aca="false">'Raw Data'!J1842</f>
        <v>Normal</v>
      </c>
      <c r="F1842" s="7" t="n">
        <f aca="false">'Raw Data'!K1842</f>
        <v>201.8</v>
      </c>
      <c r="G1842" s="7" t="str">
        <f aca="false">'Raw Data'!L1842</f>
        <v>No</v>
      </c>
      <c r="H1842" s="7" t="str">
        <f aca="false">'Raw Data'!M1842</f>
        <v>Low</v>
      </c>
      <c r="I1842" s="7" t="n">
        <f aca="false">(IF(D1842="Current",3,IF(D1842="Former",1,0)))+(IF(E1842="High",3,IF(E1842="Normal",1,0)))+(IF(F1842&gt;=240,2,IF(F1842&gt;=200,1,0)))+(IF(G1842="Yes",2,0))+(IF(H1842="High",2,IF(H1842="Moderate",1,0)))</f>
        <v>3</v>
      </c>
      <c r="J1842" s="7" t="str">
        <f aca="false">IF(I1842&gt;=8,"High",IF(I1842&gt;=4,"Medium","Low"))</f>
        <v>Low</v>
      </c>
    </row>
    <row r="1843" customFormat="false" ht="15" hidden="false" customHeight="true" outlineLevel="0" collapsed="false">
      <c r="A1843" s="7" t="n">
        <f aca="false">'Raw Data'!A1843</f>
        <v>814</v>
      </c>
      <c r="B1843" s="7" t="n">
        <f aca="false">'Raw Data'!B1843</f>
        <v>20</v>
      </c>
      <c r="C1843" s="7" t="str">
        <f aca="false">'Raw Data'!C1843</f>
        <v>Female</v>
      </c>
      <c r="D1843" s="7" t="str">
        <f aca="false">'Raw Data'!D1843</f>
        <v>Former</v>
      </c>
      <c r="E1843" s="7" t="str">
        <f aca="false">'Raw Data'!J1843</f>
        <v>Normal</v>
      </c>
      <c r="F1843" s="7" t="n">
        <f aca="false">'Raw Data'!K1843</f>
        <v>266.9</v>
      </c>
      <c r="G1843" s="7" t="str">
        <f aca="false">'Raw Data'!L1843</f>
        <v>No</v>
      </c>
      <c r="H1843" s="7" t="str">
        <f aca="false">'Raw Data'!M1843</f>
        <v>Low</v>
      </c>
      <c r="I1843" s="7" t="n">
        <f aca="false">(IF(D1843="Current",3,IF(D1843="Former",1,0)))+(IF(E1843="High",3,IF(E1843="Normal",1,0)))+(IF(F1843&gt;=240,2,IF(F1843&gt;=200,1,0)))+(IF(G1843="Yes",2,0))+(IF(H1843="High",2,IF(H1843="Moderate",1,0)))</f>
        <v>4</v>
      </c>
      <c r="J1843" s="7" t="str">
        <f aca="false">IF(I1843&gt;=8,"High",IF(I1843&gt;=4,"Medium","Low"))</f>
        <v>Medium</v>
      </c>
    </row>
    <row r="1844" customFormat="false" ht="15" hidden="false" customHeight="true" outlineLevel="0" collapsed="false">
      <c r="A1844" s="7" t="n">
        <f aca="false">'Raw Data'!A1844</f>
        <v>819</v>
      </c>
      <c r="B1844" s="7" t="n">
        <f aca="false">'Raw Data'!B1844</f>
        <v>87</v>
      </c>
      <c r="C1844" s="7" t="str">
        <f aca="false">'Raw Data'!C1844</f>
        <v>Male</v>
      </c>
      <c r="D1844" s="7" t="str">
        <f aca="false">'Raw Data'!D1844</f>
        <v>Former</v>
      </c>
      <c r="E1844" s="7" t="str">
        <f aca="false">'Raw Data'!J1844</f>
        <v>Normal</v>
      </c>
      <c r="F1844" s="7" t="n">
        <f aca="false">'Raw Data'!K1844</f>
        <v>216.2</v>
      </c>
      <c r="G1844" s="7" t="str">
        <f aca="false">'Raw Data'!L1844</f>
        <v>No</v>
      </c>
      <c r="H1844" s="7" t="str">
        <f aca="false">'Raw Data'!M1844</f>
        <v>Low</v>
      </c>
      <c r="I1844" s="7" t="n">
        <f aca="false">(IF(D1844="Current",3,IF(D1844="Former",1,0)))+(IF(E1844="High",3,IF(E1844="Normal",1,0)))+(IF(F1844&gt;=240,2,IF(F1844&gt;=200,1,0)))+(IF(G1844="Yes",2,0))+(IF(H1844="High",2,IF(H1844="Moderate",1,0)))</f>
        <v>3</v>
      </c>
      <c r="J1844" s="7" t="str">
        <f aca="false">IF(I1844&gt;=8,"High",IF(I1844&gt;=4,"Medium","Low"))</f>
        <v>Low</v>
      </c>
    </row>
    <row r="1845" customFormat="false" ht="15" hidden="false" customHeight="true" outlineLevel="0" collapsed="false">
      <c r="A1845" s="7" t="n">
        <f aca="false">'Raw Data'!A1845</f>
        <v>856</v>
      </c>
      <c r="B1845" s="7" t="n">
        <f aca="false">'Raw Data'!B1845</f>
        <v>68</v>
      </c>
      <c r="C1845" s="7" t="str">
        <f aca="false">'Raw Data'!C1845</f>
        <v>Female</v>
      </c>
      <c r="D1845" s="7" t="str">
        <f aca="false">'Raw Data'!D1845</f>
        <v>Former</v>
      </c>
      <c r="E1845" s="7" t="str">
        <f aca="false">'Raw Data'!J1845</f>
        <v>Normal</v>
      </c>
      <c r="F1845" s="7" t="n">
        <f aca="false">'Raw Data'!K1845</f>
        <v>245.6</v>
      </c>
      <c r="G1845" s="7" t="str">
        <f aca="false">'Raw Data'!L1845</f>
        <v>No</v>
      </c>
      <c r="H1845" s="7" t="str">
        <f aca="false">'Raw Data'!M1845</f>
        <v>Low</v>
      </c>
      <c r="I1845" s="7" t="n">
        <f aca="false">(IF(D1845="Current",3,IF(D1845="Former",1,0)))+(IF(E1845="High",3,IF(E1845="Normal",1,0)))+(IF(F1845&gt;=240,2,IF(F1845&gt;=200,1,0)))+(IF(G1845="Yes",2,0))+(IF(H1845="High",2,IF(H1845="Moderate",1,0)))</f>
        <v>4</v>
      </c>
      <c r="J1845" s="7" t="str">
        <f aca="false">IF(I1845&gt;=8,"High",IF(I1845&gt;=4,"Medium","Low"))</f>
        <v>Medium</v>
      </c>
    </row>
    <row r="1846" customFormat="false" ht="15" hidden="false" customHeight="true" outlineLevel="0" collapsed="false">
      <c r="A1846" s="7" t="n">
        <f aca="false">'Raw Data'!A1846</f>
        <v>857</v>
      </c>
      <c r="B1846" s="7" t="n">
        <f aca="false">'Raw Data'!B1846</f>
        <v>52</v>
      </c>
      <c r="C1846" s="7" t="str">
        <f aca="false">'Raw Data'!C1846</f>
        <v>Male</v>
      </c>
      <c r="D1846" s="7" t="str">
        <f aca="false">'Raw Data'!D1846</f>
        <v>Former</v>
      </c>
      <c r="E1846" s="7" t="str">
        <f aca="false">'Raw Data'!J1846</f>
        <v>Normal</v>
      </c>
      <c r="F1846" s="7" t="n">
        <f aca="false">'Raw Data'!K1846</f>
        <v>144.5</v>
      </c>
      <c r="G1846" s="7" t="str">
        <f aca="false">'Raw Data'!L1846</f>
        <v>No</v>
      </c>
      <c r="H1846" s="7" t="str">
        <f aca="false">'Raw Data'!M1846</f>
        <v>Low</v>
      </c>
      <c r="I1846" s="7" t="n">
        <f aca="false">(IF(D1846="Current",3,IF(D1846="Former",1,0)))+(IF(E1846="High",3,IF(E1846="Normal",1,0)))+(IF(F1846&gt;=240,2,IF(F1846&gt;=200,1,0)))+(IF(G1846="Yes",2,0))+(IF(H1846="High",2,IF(H1846="Moderate",1,0)))</f>
        <v>2</v>
      </c>
      <c r="J1846" s="7" t="str">
        <f aca="false">IF(I1846&gt;=8,"High",IF(I1846&gt;=4,"Medium","Low"))</f>
        <v>Low</v>
      </c>
    </row>
    <row r="1847" customFormat="false" ht="15" hidden="false" customHeight="true" outlineLevel="0" collapsed="false">
      <c r="A1847" s="7" t="n">
        <f aca="false">'Raw Data'!A1847</f>
        <v>867</v>
      </c>
      <c r="B1847" s="7" t="n">
        <f aca="false">'Raw Data'!B1847</f>
        <v>32</v>
      </c>
      <c r="C1847" s="7" t="str">
        <f aca="false">'Raw Data'!C1847</f>
        <v>Male</v>
      </c>
      <c r="D1847" s="7" t="str">
        <f aca="false">'Raw Data'!D1847</f>
        <v>Former</v>
      </c>
      <c r="E1847" s="7" t="str">
        <f aca="false">'Raw Data'!J1847</f>
        <v>Normal</v>
      </c>
      <c r="F1847" s="7" t="n">
        <f aca="false">'Raw Data'!K1847</f>
        <v>167.7</v>
      </c>
      <c r="G1847" s="7" t="str">
        <f aca="false">'Raw Data'!L1847</f>
        <v>No</v>
      </c>
      <c r="H1847" s="7" t="str">
        <f aca="false">'Raw Data'!M1847</f>
        <v>Low</v>
      </c>
      <c r="I1847" s="7" t="n">
        <f aca="false">(IF(D1847="Current",3,IF(D1847="Former",1,0)))+(IF(E1847="High",3,IF(E1847="Normal",1,0)))+(IF(F1847&gt;=240,2,IF(F1847&gt;=200,1,0)))+(IF(G1847="Yes",2,0))+(IF(H1847="High",2,IF(H1847="Moderate",1,0)))</f>
        <v>2</v>
      </c>
      <c r="J1847" s="7" t="str">
        <f aca="false">IF(I1847&gt;=8,"High",IF(I1847&gt;=4,"Medium","Low"))</f>
        <v>Low</v>
      </c>
    </row>
    <row r="1848" customFormat="false" ht="15" hidden="false" customHeight="true" outlineLevel="0" collapsed="false">
      <c r="A1848" s="7" t="n">
        <f aca="false">'Raw Data'!A1848</f>
        <v>879</v>
      </c>
      <c r="B1848" s="7" t="n">
        <f aca="false">'Raw Data'!B1848</f>
        <v>45</v>
      </c>
      <c r="C1848" s="7" t="str">
        <f aca="false">'Raw Data'!C1848</f>
        <v>Male</v>
      </c>
      <c r="D1848" s="7" t="str">
        <f aca="false">'Raw Data'!D1848</f>
        <v>Former</v>
      </c>
      <c r="E1848" s="7" t="str">
        <f aca="false">'Raw Data'!J1848</f>
        <v>Normal</v>
      </c>
      <c r="F1848" s="7" t="n">
        <f aca="false">'Raw Data'!K1848</f>
        <v>195.2</v>
      </c>
      <c r="G1848" s="7" t="str">
        <f aca="false">'Raw Data'!L1848</f>
        <v>No</v>
      </c>
      <c r="H1848" s="7" t="str">
        <f aca="false">'Raw Data'!M1848</f>
        <v>Low</v>
      </c>
      <c r="I1848" s="7" t="n">
        <f aca="false">(IF(D1848="Current",3,IF(D1848="Former",1,0)))+(IF(E1848="High",3,IF(E1848="Normal",1,0)))+(IF(F1848&gt;=240,2,IF(F1848&gt;=200,1,0)))+(IF(G1848="Yes",2,0))+(IF(H1848="High",2,IF(H1848="Moderate",1,0)))</f>
        <v>2</v>
      </c>
      <c r="J1848" s="7" t="str">
        <f aca="false">IF(I1848&gt;=8,"High",IF(I1848&gt;=4,"Medium","Low"))</f>
        <v>Low</v>
      </c>
    </row>
    <row r="1849" customFormat="false" ht="15" hidden="false" customHeight="true" outlineLevel="0" collapsed="false">
      <c r="A1849" s="7" t="n">
        <f aca="false">'Raw Data'!A1849</f>
        <v>901</v>
      </c>
      <c r="B1849" s="7" t="n">
        <f aca="false">'Raw Data'!B1849</f>
        <v>47</v>
      </c>
      <c r="C1849" s="7" t="str">
        <f aca="false">'Raw Data'!C1849</f>
        <v>Male</v>
      </c>
      <c r="D1849" s="7" t="str">
        <f aca="false">'Raw Data'!D1849</f>
        <v>Former</v>
      </c>
      <c r="E1849" s="7" t="str">
        <f aca="false">'Raw Data'!J1849</f>
        <v>Normal</v>
      </c>
      <c r="F1849" s="7" t="n">
        <f aca="false">'Raw Data'!K1849</f>
        <v>243.7</v>
      </c>
      <c r="G1849" s="7" t="str">
        <f aca="false">'Raw Data'!L1849</f>
        <v>No</v>
      </c>
      <c r="H1849" s="7" t="str">
        <f aca="false">'Raw Data'!M1849</f>
        <v>Low</v>
      </c>
      <c r="I1849" s="7" t="n">
        <f aca="false">(IF(D1849="Current",3,IF(D1849="Former",1,0)))+(IF(E1849="High",3,IF(E1849="Normal",1,0)))+(IF(F1849&gt;=240,2,IF(F1849&gt;=200,1,0)))+(IF(G1849="Yes",2,0))+(IF(H1849="High",2,IF(H1849="Moderate",1,0)))</f>
        <v>4</v>
      </c>
      <c r="J1849" s="7" t="str">
        <f aca="false">IF(I1849&gt;=8,"High",IF(I1849&gt;=4,"Medium","Low"))</f>
        <v>Medium</v>
      </c>
    </row>
    <row r="1850" customFormat="false" ht="15" hidden="false" customHeight="true" outlineLevel="0" collapsed="false">
      <c r="A1850" s="7" t="n">
        <f aca="false">'Raw Data'!A1850</f>
        <v>906</v>
      </c>
      <c r="B1850" s="7" t="n">
        <f aca="false">'Raw Data'!B1850</f>
        <v>85</v>
      </c>
      <c r="C1850" s="7" t="str">
        <f aca="false">'Raw Data'!C1850</f>
        <v>Female</v>
      </c>
      <c r="D1850" s="7" t="str">
        <f aca="false">'Raw Data'!D1850</f>
        <v>Former</v>
      </c>
      <c r="E1850" s="7" t="str">
        <f aca="false">'Raw Data'!J1850</f>
        <v>Normal</v>
      </c>
      <c r="F1850" s="7" t="n">
        <f aca="false">'Raw Data'!K1850</f>
        <v>140.6</v>
      </c>
      <c r="G1850" s="7" t="str">
        <f aca="false">'Raw Data'!L1850</f>
        <v>No</v>
      </c>
      <c r="H1850" s="7" t="str">
        <f aca="false">'Raw Data'!M1850</f>
        <v>Low</v>
      </c>
      <c r="I1850" s="7" t="n">
        <f aca="false">(IF(D1850="Current",3,IF(D1850="Former",1,0)))+(IF(E1850="High",3,IF(E1850="Normal",1,0)))+(IF(F1850&gt;=240,2,IF(F1850&gt;=200,1,0)))+(IF(G1850="Yes",2,0))+(IF(H1850="High",2,IF(H1850="Moderate",1,0)))</f>
        <v>2</v>
      </c>
      <c r="J1850" s="7" t="str">
        <f aca="false">IF(I1850&gt;=8,"High",IF(I1850&gt;=4,"Medium","Low"))</f>
        <v>Low</v>
      </c>
    </row>
    <row r="1851" customFormat="false" ht="15" hidden="false" customHeight="true" outlineLevel="0" collapsed="false">
      <c r="A1851" s="7" t="n">
        <f aca="false">'Raw Data'!A1851</f>
        <v>919</v>
      </c>
      <c r="B1851" s="7" t="n">
        <f aca="false">'Raw Data'!B1851</f>
        <v>59</v>
      </c>
      <c r="C1851" s="7" t="str">
        <f aca="false">'Raw Data'!C1851</f>
        <v>Male</v>
      </c>
      <c r="D1851" s="7" t="str">
        <f aca="false">'Raw Data'!D1851</f>
        <v>Former</v>
      </c>
      <c r="E1851" s="7" t="str">
        <f aca="false">'Raw Data'!J1851</f>
        <v>Normal</v>
      </c>
      <c r="F1851" s="7" t="n">
        <f aca="false">'Raw Data'!K1851</f>
        <v>139.5</v>
      </c>
      <c r="G1851" s="7" t="str">
        <f aca="false">'Raw Data'!L1851</f>
        <v>No</v>
      </c>
      <c r="H1851" s="7" t="str">
        <f aca="false">'Raw Data'!M1851</f>
        <v>Low</v>
      </c>
      <c r="I1851" s="7" t="n">
        <f aca="false">(IF(D1851="Current",3,IF(D1851="Former",1,0)))+(IF(E1851="High",3,IF(E1851="Normal",1,0)))+(IF(F1851&gt;=240,2,IF(F1851&gt;=200,1,0)))+(IF(G1851="Yes",2,0))+(IF(H1851="High",2,IF(H1851="Moderate",1,0)))</f>
        <v>2</v>
      </c>
      <c r="J1851" s="7" t="str">
        <f aca="false">IF(I1851&gt;=8,"High",IF(I1851&gt;=4,"Medium","Low"))</f>
        <v>Low</v>
      </c>
    </row>
    <row r="1852" customFormat="false" ht="15" hidden="false" customHeight="true" outlineLevel="0" collapsed="false">
      <c r="A1852" s="7" t="n">
        <f aca="false">'Raw Data'!A1852</f>
        <v>944</v>
      </c>
      <c r="B1852" s="7" t="n">
        <f aca="false">'Raw Data'!B1852</f>
        <v>44</v>
      </c>
      <c r="C1852" s="7" t="str">
        <f aca="false">'Raw Data'!C1852</f>
        <v>Female</v>
      </c>
      <c r="D1852" s="7" t="str">
        <f aca="false">'Raw Data'!D1852</f>
        <v>Former</v>
      </c>
      <c r="E1852" s="7" t="str">
        <f aca="false">'Raw Data'!J1852</f>
        <v>Normal</v>
      </c>
      <c r="F1852" s="7" t="n">
        <f aca="false">'Raw Data'!K1852</f>
        <v>152.5</v>
      </c>
      <c r="G1852" s="7" t="str">
        <f aca="false">'Raw Data'!L1852</f>
        <v>No</v>
      </c>
      <c r="H1852" s="7" t="str">
        <f aca="false">'Raw Data'!M1852</f>
        <v>Low</v>
      </c>
      <c r="I1852" s="7" t="n">
        <f aca="false">(IF(D1852="Current",3,IF(D1852="Former",1,0)))+(IF(E1852="High",3,IF(E1852="Normal",1,0)))+(IF(F1852&gt;=240,2,IF(F1852&gt;=200,1,0)))+(IF(G1852="Yes",2,0))+(IF(H1852="High",2,IF(H1852="Moderate",1,0)))</f>
        <v>2</v>
      </c>
      <c r="J1852" s="7" t="str">
        <f aca="false">IF(I1852&gt;=8,"High",IF(I1852&gt;=4,"Medium","Low"))</f>
        <v>Low</v>
      </c>
    </row>
    <row r="1853" customFormat="false" ht="15" hidden="false" customHeight="true" outlineLevel="0" collapsed="false">
      <c r="A1853" s="7" t="n">
        <f aca="false">'Raw Data'!A1853</f>
        <v>954</v>
      </c>
      <c r="B1853" s="7" t="n">
        <f aca="false">'Raw Data'!B1853</f>
        <v>62</v>
      </c>
      <c r="C1853" s="7" t="str">
        <f aca="false">'Raw Data'!C1853</f>
        <v>Female</v>
      </c>
      <c r="D1853" s="7" t="str">
        <f aca="false">'Raw Data'!D1853</f>
        <v>Former</v>
      </c>
      <c r="E1853" s="7" t="str">
        <f aca="false">'Raw Data'!J1853</f>
        <v>Normal</v>
      </c>
      <c r="F1853" s="7" t="n">
        <f aca="false">'Raw Data'!K1853</f>
        <v>197</v>
      </c>
      <c r="G1853" s="7" t="str">
        <f aca="false">'Raw Data'!L1853</f>
        <v>No</v>
      </c>
      <c r="H1853" s="7" t="str">
        <f aca="false">'Raw Data'!M1853</f>
        <v>Low</v>
      </c>
      <c r="I1853" s="7" t="n">
        <f aca="false">(IF(D1853="Current",3,IF(D1853="Former",1,0)))+(IF(E1853="High",3,IF(E1853="Normal",1,0)))+(IF(F1853&gt;=240,2,IF(F1853&gt;=200,1,0)))+(IF(G1853="Yes",2,0))+(IF(H1853="High",2,IF(H1853="Moderate",1,0)))</f>
        <v>2</v>
      </c>
      <c r="J1853" s="7" t="str">
        <f aca="false">IF(I1853&gt;=8,"High",IF(I1853&gt;=4,"Medium","Low"))</f>
        <v>Low</v>
      </c>
    </row>
    <row r="1854" customFormat="false" ht="15" hidden="false" customHeight="true" outlineLevel="0" collapsed="false">
      <c r="A1854" s="7" t="n">
        <f aca="false">'Raw Data'!A1854</f>
        <v>974</v>
      </c>
      <c r="B1854" s="7" t="n">
        <f aca="false">'Raw Data'!B1854</f>
        <v>64</v>
      </c>
      <c r="C1854" s="7" t="str">
        <f aca="false">'Raw Data'!C1854</f>
        <v>Male</v>
      </c>
      <c r="D1854" s="7" t="str">
        <f aca="false">'Raw Data'!D1854</f>
        <v>Former</v>
      </c>
      <c r="E1854" s="7" t="str">
        <f aca="false">'Raw Data'!J1854</f>
        <v>Normal</v>
      </c>
      <c r="F1854" s="7" t="n">
        <f aca="false">'Raw Data'!K1854</f>
        <v>190.8</v>
      </c>
      <c r="G1854" s="7" t="str">
        <f aca="false">'Raw Data'!L1854</f>
        <v>No</v>
      </c>
      <c r="H1854" s="7" t="str">
        <f aca="false">'Raw Data'!M1854</f>
        <v>Low</v>
      </c>
      <c r="I1854" s="7" t="n">
        <f aca="false">(IF(D1854="Current",3,IF(D1854="Former",1,0)))+(IF(E1854="High",3,IF(E1854="Normal",1,0)))+(IF(F1854&gt;=240,2,IF(F1854&gt;=200,1,0)))+(IF(G1854="Yes",2,0))+(IF(H1854="High",2,IF(H1854="Moderate",1,0)))</f>
        <v>2</v>
      </c>
      <c r="J1854" s="7" t="str">
        <f aca="false">IF(I1854&gt;=8,"High",IF(I1854&gt;=4,"Medium","Low"))</f>
        <v>Low</v>
      </c>
    </row>
    <row r="1855" customFormat="false" ht="15" hidden="false" customHeight="true" outlineLevel="0" collapsed="false">
      <c r="A1855" s="7" t="n">
        <f aca="false">'Raw Data'!A1855</f>
        <v>1007</v>
      </c>
      <c r="B1855" s="7" t="n">
        <f aca="false">'Raw Data'!B1855</f>
        <v>43</v>
      </c>
      <c r="C1855" s="7" t="str">
        <f aca="false">'Raw Data'!C1855</f>
        <v>Female</v>
      </c>
      <c r="D1855" s="7" t="str">
        <f aca="false">'Raw Data'!D1855</f>
        <v>Former</v>
      </c>
      <c r="E1855" s="7" t="str">
        <f aca="false">'Raw Data'!J1855</f>
        <v>Normal</v>
      </c>
      <c r="F1855" s="7" t="n">
        <f aca="false">'Raw Data'!K1855</f>
        <v>138</v>
      </c>
      <c r="G1855" s="7" t="str">
        <f aca="false">'Raw Data'!L1855</f>
        <v>No</v>
      </c>
      <c r="H1855" s="7" t="str">
        <f aca="false">'Raw Data'!M1855</f>
        <v>Low</v>
      </c>
      <c r="I1855" s="7" t="n">
        <f aca="false">(IF(D1855="Current",3,IF(D1855="Former",1,0)))+(IF(E1855="High",3,IF(E1855="Normal",1,0)))+(IF(F1855&gt;=240,2,IF(F1855&gt;=200,1,0)))+(IF(G1855="Yes",2,0))+(IF(H1855="High",2,IF(H1855="Moderate",1,0)))</f>
        <v>2</v>
      </c>
      <c r="J1855" s="7" t="str">
        <f aca="false">IF(I1855&gt;=8,"High",IF(I1855&gt;=4,"Medium","Low"))</f>
        <v>Low</v>
      </c>
    </row>
    <row r="1856" customFormat="false" ht="15" hidden="false" customHeight="true" outlineLevel="0" collapsed="false">
      <c r="A1856" s="7" t="n">
        <f aca="false">'Raw Data'!A1856</f>
        <v>1019</v>
      </c>
      <c r="B1856" s="7" t="n">
        <f aca="false">'Raw Data'!B1856</f>
        <v>33</v>
      </c>
      <c r="C1856" s="7" t="str">
        <f aca="false">'Raw Data'!C1856</f>
        <v>Female</v>
      </c>
      <c r="D1856" s="7" t="str">
        <f aca="false">'Raw Data'!D1856</f>
        <v>Former</v>
      </c>
      <c r="E1856" s="7" t="str">
        <f aca="false">'Raw Data'!J1856</f>
        <v>Normal</v>
      </c>
      <c r="F1856" s="7" t="n">
        <f aca="false">'Raw Data'!K1856</f>
        <v>230.9</v>
      </c>
      <c r="G1856" s="7" t="str">
        <f aca="false">'Raw Data'!L1856</f>
        <v>No</v>
      </c>
      <c r="H1856" s="7" t="str">
        <f aca="false">'Raw Data'!M1856</f>
        <v>Low</v>
      </c>
      <c r="I1856" s="7" t="n">
        <f aca="false">(IF(D1856="Current",3,IF(D1856="Former",1,0)))+(IF(E1856="High",3,IF(E1856="Normal",1,0)))+(IF(F1856&gt;=240,2,IF(F1856&gt;=200,1,0)))+(IF(G1856="Yes",2,0))+(IF(H1856="High",2,IF(H1856="Moderate",1,0)))</f>
        <v>3</v>
      </c>
      <c r="J1856" s="7" t="str">
        <f aca="false">IF(I1856&gt;=8,"High",IF(I1856&gt;=4,"Medium","Low"))</f>
        <v>Low</v>
      </c>
    </row>
    <row r="1857" customFormat="false" ht="15" hidden="false" customHeight="true" outlineLevel="0" collapsed="false">
      <c r="A1857" s="7" t="n">
        <f aca="false">'Raw Data'!A1857</f>
        <v>1075</v>
      </c>
      <c r="B1857" s="7" t="n">
        <f aca="false">'Raw Data'!B1857</f>
        <v>61</v>
      </c>
      <c r="C1857" s="7" t="str">
        <f aca="false">'Raw Data'!C1857</f>
        <v>Female</v>
      </c>
      <c r="D1857" s="7" t="str">
        <f aca="false">'Raw Data'!D1857</f>
        <v>Former</v>
      </c>
      <c r="E1857" s="7" t="str">
        <f aca="false">'Raw Data'!J1857</f>
        <v>Normal</v>
      </c>
      <c r="F1857" s="7" t="n">
        <f aca="false">'Raw Data'!K1857</f>
        <v>177.8</v>
      </c>
      <c r="G1857" s="7" t="str">
        <f aca="false">'Raw Data'!L1857</f>
        <v>No</v>
      </c>
      <c r="H1857" s="7" t="str">
        <f aca="false">'Raw Data'!M1857</f>
        <v>Low</v>
      </c>
      <c r="I1857" s="7" t="n">
        <f aca="false">(IF(D1857="Current",3,IF(D1857="Former",1,0)))+(IF(E1857="High",3,IF(E1857="Normal",1,0)))+(IF(F1857&gt;=240,2,IF(F1857&gt;=200,1,0)))+(IF(G1857="Yes",2,0))+(IF(H1857="High",2,IF(H1857="Moderate",1,0)))</f>
        <v>2</v>
      </c>
      <c r="J1857" s="7" t="str">
        <f aca="false">IF(I1857&gt;=8,"High",IF(I1857&gt;=4,"Medium","Low"))</f>
        <v>Low</v>
      </c>
    </row>
    <row r="1858" customFormat="false" ht="15" hidden="false" customHeight="true" outlineLevel="0" collapsed="false">
      <c r="A1858" s="7" t="n">
        <f aca="false">'Raw Data'!A1858</f>
        <v>1106</v>
      </c>
      <c r="B1858" s="7" t="n">
        <f aca="false">'Raw Data'!B1858</f>
        <v>53</v>
      </c>
      <c r="C1858" s="7" t="str">
        <f aca="false">'Raw Data'!C1858</f>
        <v>Male</v>
      </c>
      <c r="D1858" s="7" t="str">
        <f aca="false">'Raw Data'!D1858</f>
        <v>Former</v>
      </c>
      <c r="E1858" s="7" t="str">
        <f aca="false">'Raw Data'!J1858</f>
        <v>Normal</v>
      </c>
      <c r="F1858" s="7" t="n">
        <f aca="false">'Raw Data'!K1858</f>
        <v>169</v>
      </c>
      <c r="G1858" s="7" t="str">
        <f aca="false">'Raw Data'!L1858</f>
        <v>No</v>
      </c>
      <c r="H1858" s="7" t="str">
        <f aca="false">'Raw Data'!M1858</f>
        <v>Low</v>
      </c>
      <c r="I1858" s="7" t="n">
        <f aca="false">(IF(D1858="Current",3,IF(D1858="Former",1,0)))+(IF(E1858="High",3,IF(E1858="Normal",1,0)))+(IF(F1858&gt;=240,2,IF(F1858&gt;=200,1,0)))+(IF(G1858="Yes",2,0))+(IF(H1858="High",2,IF(H1858="Moderate",1,0)))</f>
        <v>2</v>
      </c>
      <c r="J1858" s="7" t="str">
        <f aca="false">IF(I1858&gt;=8,"High",IF(I1858&gt;=4,"Medium","Low"))</f>
        <v>Low</v>
      </c>
    </row>
    <row r="1859" customFormat="false" ht="15" hidden="false" customHeight="true" outlineLevel="0" collapsed="false">
      <c r="A1859" s="7" t="n">
        <f aca="false">'Raw Data'!A1859</f>
        <v>1159</v>
      </c>
      <c r="B1859" s="7" t="n">
        <f aca="false">'Raw Data'!B1859</f>
        <v>53</v>
      </c>
      <c r="C1859" s="7" t="str">
        <f aca="false">'Raw Data'!C1859</f>
        <v>Male</v>
      </c>
      <c r="D1859" s="7" t="str">
        <f aca="false">'Raw Data'!D1859</f>
        <v>Former</v>
      </c>
      <c r="E1859" s="7" t="str">
        <f aca="false">'Raw Data'!J1859</f>
        <v>Normal</v>
      </c>
      <c r="F1859" s="7" t="n">
        <f aca="false">'Raw Data'!K1859</f>
        <v>266.1</v>
      </c>
      <c r="G1859" s="7" t="str">
        <f aca="false">'Raw Data'!L1859</f>
        <v>No</v>
      </c>
      <c r="H1859" s="7" t="str">
        <f aca="false">'Raw Data'!M1859</f>
        <v>Low</v>
      </c>
      <c r="I1859" s="7" t="n">
        <f aca="false">(IF(D1859="Current",3,IF(D1859="Former",1,0)))+(IF(E1859="High",3,IF(E1859="Normal",1,0)))+(IF(F1859&gt;=240,2,IF(F1859&gt;=200,1,0)))+(IF(G1859="Yes",2,0))+(IF(H1859="High",2,IF(H1859="Moderate",1,0)))</f>
        <v>4</v>
      </c>
      <c r="J1859" s="7" t="str">
        <f aca="false">IF(I1859&gt;=8,"High",IF(I1859&gt;=4,"Medium","Low"))</f>
        <v>Medium</v>
      </c>
    </row>
    <row r="1860" customFormat="false" ht="15" hidden="false" customHeight="true" outlineLevel="0" collapsed="false">
      <c r="A1860" s="7" t="n">
        <f aca="false">'Raw Data'!A1860</f>
        <v>1164</v>
      </c>
      <c r="B1860" s="7" t="n">
        <f aca="false">'Raw Data'!B1860</f>
        <v>18</v>
      </c>
      <c r="C1860" s="7" t="str">
        <f aca="false">'Raw Data'!C1860</f>
        <v>Female</v>
      </c>
      <c r="D1860" s="7" t="str">
        <f aca="false">'Raw Data'!D1860</f>
        <v>Former</v>
      </c>
      <c r="E1860" s="7" t="str">
        <f aca="false">'Raw Data'!J1860</f>
        <v>Normal</v>
      </c>
      <c r="F1860" s="7" t="n">
        <f aca="false">'Raw Data'!K1860</f>
        <v>214.8</v>
      </c>
      <c r="G1860" s="7" t="str">
        <f aca="false">'Raw Data'!L1860</f>
        <v>No</v>
      </c>
      <c r="H1860" s="7" t="str">
        <f aca="false">'Raw Data'!M1860</f>
        <v>Low</v>
      </c>
      <c r="I1860" s="7" t="n">
        <f aca="false">(IF(D1860="Current",3,IF(D1860="Former",1,0)))+(IF(E1860="High",3,IF(E1860="Normal",1,0)))+(IF(F1860&gt;=240,2,IF(F1860&gt;=200,1,0)))+(IF(G1860="Yes",2,0))+(IF(H1860="High",2,IF(H1860="Moderate",1,0)))</f>
        <v>3</v>
      </c>
      <c r="J1860" s="7" t="str">
        <f aca="false">IF(I1860&gt;=8,"High",IF(I1860&gt;=4,"Medium","Low"))</f>
        <v>Low</v>
      </c>
    </row>
    <row r="1861" customFormat="false" ht="15" hidden="false" customHeight="true" outlineLevel="0" collapsed="false">
      <c r="A1861" s="7" t="n">
        <f aca="false">'Raw Data'!A1861</f>
        <v>1186</v>
      </c>
      <c r="B1861" s="7" t="n">
        <f aca="false">'Raw Data'!B1861</f>
        <v>40</v>
      </c>
      <c r="C1861" s="7" t="str">
        <f aca="false">'Raw Data'!C1861</f>
        <v>Male</v>
      </c>
      <c r="D1861" s="7" t="str">
        <f aca="false">'Raw Data'!D1861</f>
        <v>Former</v>
      </c>
      <c r="E1861" s="7" t="str">
        <f aca="false">'Raw Data'!J1861</f>
        <v>Normal</v>
      </c>
      <c r="F1861" s="7" t="n">
        <f aca="false">'Raw Data'!K1861</f>
        <v>205.3</v>
      </c>
      <c r="G1861" s="7" t="str">
        <f aca="false">'Raw Data'!L1861</f>
        <v>No</v>
      </c>
      <c r="H1861" s="7" t="str">
        <f aca="false">'Raw Data'!M1861</f>
        <v>Low</v>
      </c>
      <c r="I1861" s="7" t="n">
        <f aca="false">(IF(D1861="Current",3,IF(D1861="Former",1,0)))+(IF(E1861="High",3,IF(E1861="Normal",1,0)))+(IF(F1861&gt;=240,2,IF(F1861&gt;=200,1,0)))+(IF(G1861="Yes",2,0))+(IF(H1861="High",2,IF(H1861="Moderate",1,0)))</f>
        <v>3</v>
      </c>
      <c r="J1861" s="7" t="str">
        <f aca="false">IF(I1861&gt;=8,"High",IF(I1861&gt;=4,"Medium","Low"))</f>
        <v>Low</v>
      </c>
    </row>
    <row r="1862" customFormat="false" ht="15" hidden="false" customHeight="true" outlineLevel="0" collapsed="false">
      <c r="A1862" s="7" t="n">
        <f aca="false">'Raw Data'!A1862</f>
        <v>1221</v>
      </c>
      <c r="B1862" s="7" t="n">
        <f aca="false">'Raw Data'!B1862</f>
        <v>73</v>
      </c>
      <c r="C1862" s="7" t="str">
        <f aca="false">'Raw Data'!C1862</f>
        <v>Male</v>
      </c>
      <c r="D1862" s="7" t="str">
        <f aca="false">'Raw Data'!D1862</f>
        <v>Former</v>
      </c>
      <c r="E1862" s="7" t="str">
        <f aca="false">'Raw Data'!J1862</f>
        <v>Normal</v>
      </c>
      <c r="F1862" s="7" t="n">
        <f aca="false">'Raw Data'!K1862</f>
        <v>138.3</v>
      </c>
      <c r="G1862" s="7" t="str">
        <f aca="false">'Raw Data'!L1862</f>
        <v>No</v>
      </c>
      <c r="H1862" s="7" t="str">
        <f aca="false">'Raw Data'!M1862</f>
        <v>Low</v>
      </c>
      <c r="I1862" s="7" t="n">
        <f aca="false">(IF(D1862="Current",3,IF(D1862="Former",1,0)))+(IF(E1862="High",3,IF(E1862="Normal",1,0)))+(IF(F1862&gt;=240,2,IF(F1862&gt;=200,1,0)))+(IF(G1862="Yes",2,0))+(IF(H1862="High",2,IF(H1862="Moderate",1,0)))</f>
        <v>2</v>
      </c>
      <c r="J1862" s="7" t="str">
        <f aca="false">IF(I1862&gt;=8,"High",IF(I1862&gt;=4,"Medium","Low"))</f>
        <v>Low</v>
      </c>
    </row>
    <row r="1863" customFormat="false" ht="15" hidden="false" customHeight="true" outlineLevel="0" collapsed="false">
      <c r="A1863" s="7" t="n">
        <f aca="false">'Raw Data'!A1863</f>
        <v>1256</v>
      </c>
      <c r="B1863" s="7" t="n">
        <f aca="false">'Raw Data'!B1863</f>
        <v>38</v>
      </c>
      <c r="C1863" s="7" t="str">
        <f aca="false">'Raw Data'!C1863</f>
        <v>Male</v>
      </c>
      <c r="D1863" s="7" t="str">
        <f aca="false">'Raw Data'!D1863</f>
        <v>Former</v>
      </c>
      <c r="E1863" s="7" t="str">
        <f aca="false">'Raw Data'!J1863</f>
        <v>Normal</v>
      </c>
      <c r="F1863" s="7" t="n">
        <f aca="false">'Raw Data'!K1863</f>
        <v>224.6</v>
      </c>
      <c r="G1863" s="7" t="str">
        <f aca="false">'Raw Data'!L1863</f>
        <v>No</v>
      </c>
      <c r="H1863" s="7" t="str">
        <f aca="false">'Raw Data'!M1863</f>
        <v>Low</v>
      </c>
      <c r="I1863" s="7" t="n">
        <f aca="false">(IF(D1863="Current",3,IF(D1863="Former",1,0)))+(IF(E1863="High",3,IF(E1863="Normal",1,0)))+(IF(F1863&gt;=240,2,IF(F1863&gt;=200,1,0)))+(IF(G1863="Yes",2,0))+(IF(H1863="High",2,IF(H1863="Moderate",1,0)))</f>
        <v>3</v>
      </c>
      <c r="J1863" s="7" t="str">
        <f aca="false">IF(I1863&gt;=8,"High",IF(I1863&gt;=4,"Medium","Low"))</f>
        <v>Low</v>
      </c>
    </row>
    <row r="1864" customFormat="false" ht="15" hidden="false" customHeight="true" outlineLevel="0" collapsed="false">
      <c r="A1864" s="7" t="n">
        <f aca="false">'Raw Data'!A1864</f>
        <v>1262</v>
      </c>
      <c r="B1864" s="7" t="n">
        <f aca="false">'Raw Data'!B1864</f>
        <v>38</v>
      </c>
      <c r="C1864" s="7" t="str">
        <f aca="false">'Raw Data'!C1864</f>
        <v>Male</v>
      </c>
      <c r="D1864" s="7" t="str">
        <f aca="false">'Raw Data'!D1864</f>
        <v>Former</v>
      </c>
      <c r="E1864" s="7" t="str">
        <f aca="false">'Raw Data'!J1864</f>
        <v>Normal</v>
      </c>
      <c r="F1864" s="7" t="n">
        <f aca="false">'Raw Data'!K1864</f>
        <v>250.1</v>
      </c>
      <c r="G1864" s="7" t="str">
        <f aca="false">'Raw Data'!L1864</f>
        <v>No</v>
      </c>
      <c r="H1864" s="7" t="str">
        <f aca="false">'Raw Data'!M1864</f>
        <v>Low</v>
      </c>
      <c r="I1864" s="7" t="n">
        <f aca="false">(IF(D1864="Current",3,IF(D1864="Former",1,0)))+(IF(E1864="High",3,IF(E1864="Normal",1,0)))+(IF(F1864&gt;=240,2,IF(F1864&gt;=200,1,0)))+(IF(G1864="Yes",2,0))+(IF(H1864="High",2,IF(H1864="Moderate",1,0)))</f>
        <v>4</v>
      </c>
      <c r="J1864" s="7" t="str">
        <f aca="false">IF(I1864&gt;=8,"High",IF(I1864&gt;=4,"Medium","Low"))</f>
        <v>Medium</v>
      </c>
    </row>
    <row r="1865" customFormat="false" ht="15" hidden="false" customHeight="true" outlineLevel="0" collapsed="false">
      <c r="A1865" s="7" t="n">
        <f aca="false">'Raw Data'!A1865</f>
        <v>1280</v>
      </c>
      <c r="B1865" s="7" t="n">
        <f aca="false">'Raw Data'!B1865</f>
        <v>23</v>
      </c>
      <c r="C1865" s="7" t="str">
        <f aca="false">'Raw Data'!C1865</f>
        <v>Male</v>
      </c>
      <c r="D1865" s="7" t="str">
        <f aca="false">'Raw Data'!D1865</f>
        <v>Former</v>
      </c>
      <c r="E1865" s="7" t="str">
        <f aca="false">'Raw Data'!J1865</f>
        <v>Normal</v>
      </c>
      <c r="F1865" s="7" t="n">
        <f aca="false">'Raw Data'!K1865</f>
        <v>169.6</v>
      </c>
      <c r="G1865" s="7" t="str">
        <f aca="false">'Raw Data'!L1865</f>
        <v>No</v>
      </c>
      <c r="H1865" s="7" t="str">
        <f aca="false">'Raw Data'!M1865</f>
        <v>Low</v>
      </c>
      <c r="I1865" s="7" t="n">
        <f aca="false">(IF(D1865="Current",3,IF(D1865="Former",1,0)))+(IF(E1865="High",3,IF(E1865="Normal",1,0)))+(IF(F1865&gt;=240,2,IF(F1865&gt;=200,1,0)))+(IF(G1865="Yes",2,0))+(IF(H1865="High",2,IF(H1865="Moderate",1,0)))</f>
        <v>2</v>
      </c>
      <c r="J1865" s="7" t="str">
        <f aca="false">IF(I1865&gt;=8,"High",IF(I1865&gt;=4,"Medium","Low"))</f>
        <v>Low</v>
      </c>
    </row>
    <row r="1866" customFormat="false" ht="15" hidden="false" customHeight="true" outlineLevel="0" collapsed="false">
      <c r="A1866" s="7" t="n">
        <f aca="false">'Raw Data'!A1866</f>
        <v>1318</v>
      </c>
      <c r="B1866" s="7" t="n">
        <f aca="false">'Raw Data'!B1866</f>
        <v>41</v>
      </c>
      <c r="C1866" s="7" t="str">
        <f aca="false">'Raw Data'!C1866</f>
        <v>Male</v>
      </c>
      <c r="D1866" s="7" t="str">
        <f aca="false">'Raw Data'!D1866</f>
        <v>Former</v>
      </c>
      <c r="E1866" s="7" t="str">
        <f aca="false">'Raw Data'!J1866</f>
        <v>Normal</v>
      </c>
      <c r="F1866" s="7" t="n">
        <f aca="false">'Raw Data'!K1866</f>
        <v>173.5</v>
      </c>
      <c r="G1866" s="7" t="str">
        <f aca="false">'Raw Data'!L1866</f>
        <v>No</v>
      </c>
      <c r="H1866" s="7" t="str">
        <f aca="false">'Raw Data'!M1866</f>
        <v>Low</v>
      </c>
      <c r="I1866" s="7" t="n">
        <f aca="false">(IF(D1866="Current",3,IF(D1866="Former",1,0)))+(IF(E1866="High",3,IF(E1866="Normal",1,0)))+(IF(F1866&gt;=240,2,IF(F1866&gt;=200,1,0)))+(IF(G1866="Yes",2,0))+(IF(H1866="High",2,IF(H1866="Moderate",1,0)))</f>
        <v>2</v>
      </c>
      <c r="J1866" s="7" t="str">
        <f aca="false">IF(I1866&gt;=8,"High",IF(I1866&gt;=4,"Medium","Low"))</f>
        <v>Low</v>
      </c>
    </row>
    <row r="1867" customFormat="false" ht="15" hidden="false" customHeight="true" outlineLevel="0" collapsed="false">
      <c r="A1867" s="7" t="n">
        <f aca="false">'Raw Data'!A1867</f>
        <v>1325</v>
      </c>
      <c r="B1867" s="7" t="n">
        <f aca="false">'Raw Data'!B1867</f>
        <v>66</v>
      </c>
      <c r="C1867" s="7" t="str">
        <f aca="false">'Raw Data'!C1867</f>
        <v>Male</v>
      </c>
      <c r="D1867" s="7" t="str">
        <f aca="false">'Raw Data'!D1867</f>
        <v>Former</v>
      </c>
      <c r="E1867" s="7" t="str">
        <f aca="false">'Raw Data'!J1867</f>
        <v>Normal</v>
      </c>
      <c r="F1867" s="7" t="n">
        <f aca="false">'Raw Data'!K1867</f>
        <v>250.6</v>
      </c>
      <c r="G1867" s="7" t="str">
        <f aca="false">'Raw Data'!L1867</f>
        <v>No</v>
      </c>
      <c r="H1867" s="7" t="str">
        <f aca="false">'Raw Data'!M1867</f>
        <v>Low</v>
      </c>
      <c r="I1867" s="7" t="n">
        <f aca="false">(IF(D1867="Current",3,IF(D1867="Former",1,0)))+(IF(E1867="High",3,IF(E1867="Normal",1,0)))+(IF(F1867&gt;=240,2,IF(F1867&gt;=200,1,0)))+(IF(G1867="Yes",2,0))+(IF(H1867="High",2,IF(H1867="Moderate",1,0)))</f>
        <v>4</v>
      </c>
      <c r="J1867" s="7" t="str">
        <f aca="false">IF(I1867&gt;=8,"High",IF(I1867&gt;=4,"Medium","Low"))</f>
        <v>Medium</v>
      </c>
    </row>
    <row r="1868" customFormat="false" ht="15" hidden="false" customHeight="true" outlineLevel="0" collapsed="false">
      <c r="A1868" s="7" t="n">
        <f aca="false">'Raw Data'!A1868</f>
        <v>1328</v>
      </c>
      <c r="B1868" s="7" t="n">
        <f aca="false">'Raw Data'!B1868</f>
        <v>49</v>
      </c>
      <c r="C1868" s="7" t="str">
        <f aca="false">'Raw Data'!C1868</f>
        <v>Male</v>
      </c>
      <c r="D1868" s="7" t="str">
        <f aca="false">'Raw Data'!D1868</f>
        <v>Former</v>
      </c>
      <c r="E1868" s="7" t="str">
        <f aca="false">'Raw Data'!J1868</f>
        <v>Normal</v>
      </c>
      <c r="F1868" s="7" t="n">
        <f aca="false">'Raw Data'!K1868</f>
        <v>145.8</v>
      </c>
      <c r="G1868" s="7" t="str">
        <f aca="false">'Raw Data'!L1868</f>
        <v>No</v>
      </c>
      <c r="H1868" s="7" t="str">
        <f aca="false">'Raw Data'!M1868</f>
        <v>Low</v>
      </c>
      <c r="I1868" s="7" t="n">
        <f aca="false">(IF(D1868="Current",3,IF(D1868="Former",1,0)))+(IF(E1868="High",3,IF(E1868="Normal",1,0)))+(IF(F1868&gt;=240,2,IF(F1868&gt;=200,1,0)))+(IF(G1868="Yes",2,0))+(IF(H1868="High",2,IF(H1868="Moderate",1,0)))</f>
        <v>2</v>
      </c>
      <c r="J1868" s="7" t="str">
        <f aca="false">IF(I1868&gt;=8,"High",IF(I1868&gt;=4,"Medium","Low"))</f>
        <v>Low</v>
      </c>
    </row>
    <row r="1869" customFormat="false" ht="15" hidden="false" customHeight="true" outlineLevel="0" collapsed="false">
      <c r="A1869" s="7" t="n">
        <f aca="false">'Raw Data'!A1869</f>
        <v>1367</v>
      </c>
      <c r="B1869" s="7" t="n">
        <f aca="false">'Raw Data'!B1869</f>
        <v>45</v>
      </c>
      <c r="C1869" s="7" t="str">
        <f aca="false">'Raw Data'!C1869</f>
        <v>Female</v>
      </c>
      <c r="D1869" s="7" t="str">
        <f aca="false">'Raw Data'!D1869</f>
        <v>Former</v>
      </c>
      <c r="E1869" s="7" t="str">
        <f aca="false">'Raw Data'!J1869</f>
        <v>Normal</v>
      </c>
      <c r="F1869" s="7" t="n">
        <f aca="false">'Raw Data'!K1869</f>
        <v>295</v>
      </c>
      <c r="G1869" s="7" t="str">
        <f aca="false">'Raw Data'!L1869</f>
        <v>No</v>
      </c>
      <c r="H1869" s="7" t="str">
        <f aca="false">'Raw Data'!M1869</f>
        <v>Low</v>
      </c>
      <c r="I1869" s="7" t="n">
        <f aca="false">(IF(D1869="Current",3,IF(D1869="Former",1,0)))+(IF(E1869="High",3,IF(E1869="Normal",1,0)))+(IF(F1869&gt;=240,2,IF(F1869&gt;=200,1,0)))+(IF(G1869="Yes",2,0))+(IF(H1869="High",2,IF(H1869="Moderate",1,0)))</f>
        <v>4</v>
      </c>
      <c r="J1869" s="7" t="str">
        <f aca="false">IF(I1869&gt;=8,"High",IF(I1869&gt;=4,"Medium","Low"))</f>
        <v>Medium</v>
      </c>
    </row>
    <row r="1870" customFormat="false" ht="15" hidden="false" customHeight="true" outlineLevel="0" collapsed="false">
      <c r="A1870" s="7" t="n">
        <f aca="false">'Raw Data'!A1870</f>
        <v>1370</v>
      </c>
      <c r="B1870" s="7" t="n">
        <f aca="false">'Raw Data'!B1870</f>
        <v>51</v>
      </c>
      <c r="C1870" s="7" t="str">
        <f aca="false">'Raw Data'!C1870</f>
        <v>Male</v>
      </c>
      <c r="D1870" s="7" t="str">
        <f aca="false">'Raw Data'!D1870</f>
        <v>Former</v>
      </c>
      <c r="E1870" s="7" t="str">
        <f aca="false">'Raw Data'!J1870</f>
        <v>Normal</v>
      </c>
      <c r="F1870" s="7" t="n">
        <f aca="false">'Raw Data'!K1870</f>
        <v>120.1</v>
      </c>
      <c r="G1870" s="7" t="str">
        <f aca="false">'Raw Data'!L1870</f>
        <v>No</v>
      </c>
      <c r="H1870" s="7" t="str">
        <f aca="false">'Raw Data'!M1870</f>
        <v>Low</v>
      </c>
      <c r="I1870" s="7" t="n">
        <f aca="false">(IF(D1870="Current",3,IF(D1870="Former",1,0)))+(IF(E1870="High",3,IF(E1870="Normal",1,0)))+(IF(F1870&gt;=240,2,IF(F1870&gt;=200,1,0)))+(IF(G1870="Yes",2,0))+(IF(H1870="High",2,IF(H1870="Moderate",1,0)))</f>
        <v>2</v>
      </c>
      <c r="J1870" s="7" t="str">
        <f aca="false">IF(I1870&gt;=8,"High",IF(I1870&gt;=4,"Medium","Low"))</f>
        <v>Low</v>
      </c>
    </row>
    <row r="1871" customFormat="false" ht="15" hidden="false" customHeight="true" outlineLevel="0" collapsed="false">
      <c r="A1871" s="7" t="n">
        <f aca="false">'Raw Data'!A1871</f>
        <v>1414</v>
      </c>
      <c r="B1871" s="7" t="n">
        <f aca="false">'Raw Data'!B1871</f>
        <v>40</v>
      </c>
      <c r="C1871" s="7" t="str">
        <f aca="false">'Raw Data'!C1871</f>
        <v>Female</v>
      </c>
      <c r="D1871" s="7" t="str">
        <f aca="false">'Raw Data'!D1871</f>
        <v>Former</v>
      </c>
      <c r="E1871" s="7" t="str">
        <f aca="false">'Raw Data'!J1871</f>
        <v>Normal</v>
      </c>
      <c r="F1871" s="7" t="n">
        <f aca="false">'Raw Data'!K1871</f>
        <v>256.1</v>
      </c>
      <c r="G1871" s="7" t="str">
        <f aca="false">'Raw Data'!L1871</f>
        <v>No</v>
      </c>
      <c r="H1871" s="7" t="str">
        <f aca="false">'Raw Data'!M1871</f>
        <v>Low</v>
      </c>
      <c r="I1871" s="7" t="n">
        <f aca="false">(IF(D1871="Current",3,IF(D1871="Former",1,0)))+(IF(E1871="High",3,IF(E1871="Normal",1,0)))+(IF(F1871&gt;=240,2,IF(F1871&gt;=200,1,0)))+(IF(G1871="Yes",2,0))+(IF(H1871="High",2,IF(H1871="Moderate",1,0)))</f>
        <v>4</v>
      </c>
      <c r="J1871" s="7" t="str">
        <f aca="false">IF(I1871&gt;=8,"High",IF(I1871&gt;=4,"Medium","Low"))</f>
        <v>Medium</v>
      </c>
    </row>
    <row r="1872" customFormat="false" ht="15" hidden="false" customHeight="true" outlineLevel="0" collapsed="false">
      <c r="A1872" s="7" t="n">
        <f aca="false">'Raw Data'!A1872</f>
        <v>1416</v>
      </c>
      <c r="B1872" s="7" t="n">
        <f aca="false">'Raw Data'!B1872</f>
        <v>32</v>
      </c>
      <c r="C1872" s="7" t="str">
        <f aca="false">'Raw Data'!C1872</f>
        <v>Female</v>
      </c>
      <c r="D1872" s="7" t="str">
        <f aca="false">'Raw Data'!D1872</f>
        <v>Former</v>
      </c>
      <c r="E1872" s="7" t="str">
        <f aca="false">'Raw Data'!J1872</f>
        <v>Normal</v>
      </c>
      <c r="F1872" s="7" t="n">
        <f aca="false">'Raw Data'!K1872</f>
        <v>138.7</v>
      </c>
      <c r="G1872" s="7" t="str">
        <f aca="false">'Raw Data'!L1872</f>
        <v>No</v>
      </c>
      <c r="H1872" s="7" t="str">
        <f aca="false">'Raw Data'!M1872</f>
        <v>Low</v>
      </c>
      <c r="I1872" s="7" t="n">
        <f aca="false">(IF(D1872="Current",3,IF(D1872="Former",1,0)))+(IF(E1872="High",3,IF(E1872="Normal",1,0)))+(IF(F1872&gt;=240,2,IF(F1872&gt;=200,1,0)))+(IF(G1872="Yes",2,0))+(IF(H1872="High",2,IF(H1872="Moderate",1,0)))</f>
        <v>2</v>
      </c>
      <c r="J1872" s="7" t="str">
        <f aca="false">IF(I1872&gt;=8,"High",IF(I1872&gt;=4,"Medium","Low"))</f>
        <v>Low</v>
      </c>
    </row>
    <row r="1873" customFormat="false" ht="15" hidden="false" customHeight="true" outlineLevel="0" collapsed="false">
      <c r="A1873" s="7" t="n">
        <f aca="false">'Raw Data'!A1873</f>
        <v>1443</v>
      </c>
      <c r="B1873" s="7" t="n">
        <f aca="false">'Raw Data'!B1873</f>
        <v>46</v>
      </c>
      <c r="C1873" s="7" t="str">
        <f aca="false">'Raw Data'!C1873</f>
        <v>Male</v>
      </c>
      <c r="D1873" s="7" t="str">
        <f aca="false">'Raw Data'!D1873</f>
        <v>Former</v>
      </c>
      <c r="E1873" s="7" t="str">
        <f aca="false">'Raw Data'!J1873</f>
        <v>Normal</v>
      </c>
      <c r="F1873" s="7" t="n">
        <f aca="false">'Raw Data'!K1873</f>
        <v>231.8</v>
      </c>
      <c r="G1873" s="7" t="str">
        <f aca="false">'Raw Data'!L1873</f>
        <v>No</v>
      </c>
      <c r="H1873" s="7" t="str">
        <f aca="false">'Raw Data'!M1873</f>
        <v>Low</v>
      </c>
      <c r="I1873" s="7" t="n">
        <f aca="false">(IF(D1873="Current",3,IF(D1873="Former",1,0)))+(IF(E1873="High",3,IF(E1873="Normal",1,0)))+(IF(F1873&gt;=240,2,IF(F1873&gt;=200,1,0)))+(IF(G1873="Yes",2,0))+(IF(H1873="High",2,IF(H1873="Moderate",1,0)))</f>
        <v>3</v>
      </c>
      <c r="J1873" s="7" t="str">
        <f aca="false">IF(I1873&gt;=8,"High",IF(I1873&gt;=4,"Medium","Low"))</f>
        <v>Low</v>
      </c>
    </row>
    <row r="1874" customFormat="false" ht="15" hidden="false" customHeight="true" outlineLevel="0" collapsed="false">
      <c r="A1874" s="7" t="n">
        <f aca="false">'Raw Data'!A1874</f>
        <v>1459</v>
      </c>
      <c r="B1874" s="7" t="n">
        <f aca="false">'Raw Data'!B1874</f>
        <v>39</v>
      </c>
      <c r="C1874" s="7" t="str">
        <f aca="false">'Raw Data'!C1874</f>
        <v>Male</v>
      </c>
      <c r="D1874" s="7" t="str">
        <f aca="false">'Raw Data'!D1874</f>
        <v>Former</v>
      </c>
      <c r="E1874" s="7" t="str">
        <f aca="false">'Raw Data'!J1874</f>
        <v>Normal</v>
      </c>
      <c r="F1874" s="7" t="n">
        <f aca="false">'Raw Data'!K1874</f>
        <v>127.6</v>
      </c>
      <c r="G1874" s="7" t="str">
        <f aca="false">'Raw Data'!L1874</f>
        <v>No</v>
      </c>
      <c r="H1874" s="7" t="str">
        <f aca="false">'Raw Data'!M1874</f>
        <v>Low</v>
      </c>
      <c r="I1874" s="7" t="n">
        <f aca="false">(IF(D1874="Current",3,IF(D1874="Former",1,0)))+(IF(E1874="High",3,IF(E1874="Normal",1,0)))+(IF(F1874&gt;=240,2,IF(F1874&gt;=200,1,0)))+(IF(G1874="Yes",2,0))+(IF(H1874="High",2,IF(H1874="Moderate",1,0)))</f>
        <v>2</v>
      </c>
      <c r="J1874" s="7" t="str">
        <f aca="false">IF(I1874&gt;=8,"High",IF(I1874&gt;=4,"Medium","Low"))</f>
        <v>Low</v>
      </c>
    </row>
    <row r="1875" customFormat="false" ht="15" hidden="false" customHeight="true" outlineLevel="0" collapsed="false">
      <c r="A1875" s="7" t="n">
        <f aca="false">'Raw Data'!A1875</f>
        <v>1475</v>
      </c>
      <c r="B1875" s="7" t="n">
        <f aca="false">'Raw Data'!B1875</f>
        <v>86</v>
      </c>
      <c r="C1875" s="7" t="str">
        <f aca="false">'Raw Data'!C1875</f>
        <v>Female</v>
      </c>
      <c r="D1875" s="7" t="str">
        <f aca="false">'Raw Data'!D1875</f>
        <v>Former</v>
      </c>
      <c r="E1875" s="7" t="str">
        <f aca="false">'Raw Data'!J1875</f>
        <v>Normal</v>
      </c>
      <c r="F1875" s="7" t="n">
        <f aca="false">'Raw Data'!K1875</f>
        <v>238.1</v>
      </c>
      <c r="G1875" s="7" t="str">
        <f aca="false">'Raw Data'!L1875</f>
        <v>No</v>
      </c>
      <c r="H1875" s="7" t="str">
        <f aca="false">'Raw Data'!M1875</f>
        <v>Low</v>
      </c>
      <c r="I1875" s="7" t="n">
        <f aca="false">(IF(D1875="Current",3,IF(D1875="Former",1,0)))+(IF(E1875="High",3,IF(E1875="Normal",1,0)))+(IF(F1875&gt;=240,2,IF(F1875&gt;=200,1,0)))+(IF(G1875="Yes",2,0))+(IF(H1875="High",2,IF(H1875="Moderate",1,0)))</f>
        <v>3</v>
      </c>
      <c r="J1875" s="7" t="str">
        <f aca="false">IF(I1875&gt;=8,"High",IF(I1875&gt;=4,"Medium","Low"))</f>
        <v>Low</v>
      </c>
    </row>
    <row r="1876" customFormat="false" ht="15" hidden="false" customHeight="true" outlineLevel="0" collapsed="false">
      <c r="A1876" s="7" t="n">
        <f aca="false">'Raw Data'!A1876</f>
        <v>1488</v>
      </c>
      <c r="B1876" s="7" t="n">
        <f aca="false">'Raw Data'!B1876</f>
        <v>27</v>
      </c>
      <c r="C1876" s="7" t="str">
        <f aca="false">'Raw Data'!C1876</f>
        <v>Female</v>
      </c>
      <c r="D1876" s="7" t="str">
        <f aca="false">'Raw Data'!D1876</f>
        <v>Former</v>
      </c>
      <c r="E1876" s="7" t="str">
        <f aca="false">'Raw Data'!J1876</f>
        <v>Normal</v>
      </c>
      <c r="F1876" s="7" t="n">
        <f aca="false">'Raw Data'!K1876</f>
        <v>142.3</v>
      </c>
      <c r="G1876" s="7" t="str">
        <f aca="false">'Raw Data'!L1876</f>
        <v>No</v>
      </c>
      <c r="H1876" s="7" t="str">
        <f aca="false">'Raw Data'!M1876</f>
        <v>Low</v>
      </c>
      <c r="I1876" s="7" t="n">
        <f aca="false">(IF(D1876="Current",3,IF(D1876="Former",1,0)))+(IF(E1876="High",3,IF(E1876="Normal",1,0)))+(IF(F1876&gt;=240,2,IF(F1876&gt;=200,1,0)))+(IF(G1876="Yes",2,0))+(IF(H1876="High",2,IF(H1876="Moderate",1,0)))</f>
        <v>2</v>
      </c>
      <c r="J1876" s="7" t="str">
        <f aca="false">IF(I1876&gt;=8,"High",IF(I1876&gt;=4,"Medium","Low"))</f>
        <v>Low</v>
      </c>
    </row>
    <row r="1877" customFormat="false" ht="15" hidden="false" customHeight="true" outlineLevel="0" collapsed="false">
      <c r="A1877" s="7" t="n">
        <f aca="false">'Raw Data'!A1877</f>
        <v>1494</v>
      </c>
      <c r="B1877" s="7" t="n">
        <f aca="false">'Raw Data'!B1877</f>
        <v>25</v>
      </c>
      <c r="C1877" s="7" t="str">
        <f aca="false">'Raw Data'!C1877</f>
        <v>Male</v>
      </c>
      <c r="D1877" s="7" t="str">
        <f aca="false">'Raw Data'!D1877</f>
        <v>Former</v>
      </c>
      <c r="E1877" s="7" t="str">
        <f aca="false">'Raw Data'!J1877</f>
        <v>Normal</v>
      </c>
      <c r="F1877" s="7" t="n">
        <f aca="false">'Raw Data'!K1877</f>
        <v>143</v>
      </c>
      <c r="G1877" s="7" t="str">
        <f aca="false">'Raw Data'!L1877</f>
        <v>No</v>
      </c>
      <c r="H1877" s="7" t="str">
        <f aca="false">'Raw Data'!M1877</f>
        <v>Low</v>
      </c>
      <c r="I1877" s="7" t="n">
        <f aca="false">(IF(D1877="Current",3,IF(D1877="Former",1,0)))+(IF(E1877="High",3,IF(E1877="Normal",1,0)))+(IF(F1877&gt;=240,2,IF(F1877&gt;=200,1,0)))+(IF(G1877="Yes",2,0))+(IF(H1877="High",2,IF(H1877="Moderate",1,0)))</f>
        <v>2</v>
      </c>
      <c r="J1877" s="7" t="str">
        <f aca="false">IF(I1877&gt;=8,"High",IF(I1877&gt;=4,"Medium","Low"))</f>
        <v>Low</v>
      </c>
    </row>
    <row r="1878" customFormat="false" ht="15" hidden="false" customHeight="true" outlineLevel="0" collapsed="false">
      <c r="A1878" s="7" t="n">
        <f aca="false">'Raw Data'!A1878</f>
        <v>1510</v>
      </c>
      <c r="B1878" s="7" t="n">
        <f aca="false">'Raw Data'!B1878</f>
        <v>65</v>
      </c>
      <c r="C1878" s="7" t="str">
        <f aca="false">'Raw Data'!C1878</f>
        <v>Female</v>
      </c>
      <c r="D1878" s="7" t="str">
        <f aca="false">'Raw Data'!D1878</f>
        <v>Former</v>
      </c>
      <c r="E1878" s="7" t="str">
        <f aca="false">'Raw Data'!J1878</f>
        <v>Normal</v>
      </c>
      <c r="F1878" s="7" t="n">
        <f aca="false">'Raw Data'!K1878</f>
        <v>235.1</v>
      </c>
      <c r="G1878" s="7" t="str">
        <f aca="false">'Raw Data'!L1878</f>
        <v>No</v>
      </c>
      <c r="H1878" s="7" t="str">
        <f aca="false">'Raw Data'!M1878</f>
        <v>Low</v>
      </c>
      <c r="I1878" s="7" t="n">
        <f aca="false">(IF(D1878="Current",3,IF(D1878="Former",1,0)))+(IF(E1878="High",3,IF(E1878="Normal",1,0)))+(IF(F1878&gt;=240,2,IF(F1878&gt;=200,1,0)))+(IF(G1878="Yes",2,0))+(IF(H1878="High",2,IF(H1878="Moderate",1,0)))</f>
        <v>3</v>
      </c>
      <c r="J1878" s="7" t="str">
        <f aca="false">IF(I1878&gt;=8,"High",IF(I1878&gt;=4,"Medium","Low"))</f>
        <v>Low</v>
      </c>
    </row>
    <row r="1879" customFormat="false" ht="15" hidden="false" customHeight="true" outlineLevel="0" collapsed="false">
      <c r="A1879" s="7" t="n">
        <f aca="false">'Raw Data'!A1879</f>
        <v>1527</v>
      </c>
      <c r="B1879" s="7" t="n">
        <f aca="false">'Raw Data'!B1879</f>
        <v>80</v>
      </c>
      <c r="C1879" s="7" t="str">
        <f aca="false">'Raw Data'!C1879</f>
        <v>Male</v>
      </c>
      <c r="D1879" s="7" t="str">
        <f aca="false">'Raw Data'!D1879</f>
        <v>Former</v>
      </c>
      <c r="E1879" s="7" t="str">
        <f aca="false">'Raw Data'!J1879</f>
        <v>Normal</v>
      </c>
      <c r="F1879" s="7" t="n">
        <f aca="false">'Raw Data'!K1879</f>
        <v>263.1</v>
      </c>
      <c r="G1879" s="7" t="str">
        <f aca="false">'Raw Data'!L1879</f>
        <v>No</v>
      </c>
      <c r="H1879" s="7" t="str">
        <f aca="false">'Raw Data'!M1879</f>
        <v>Low</v>
      </c>
      <c r="I1879" s="7" t="n">
        <f aca="false">(IF(D1879="Current",3,IF(D1879="Former",1,0)))+(IF(E1879="High",3,IF(E1879="Normal",1,0)))+(IF(F1879&gt;=240,2,IF(F1879&gt;=200,1,0)))+(IF(G1879="Yes",2,0))+(IF(H1879="High",2,IF(H1879="Moderate",1,0)))</f>
        <v>4</v>
      </c>
      <c r="J1879" s="7" t="str">
        <f aca="false">IF(I1879&gt;=8,"High",IF(I1879&gt;=4,"Medium","Low"))</f>
        <v>Medium</v>
      </c>
    </row>
    <row r="1880" customFormat="false" ht="15" hidden="false" customHeight="true" outlineLevel="0" collapsed="false">
      <c r="A1880" s="7" t="n">
        <f aca="false">'Raw Data'!A1880</f>
        <v>1549</v>
      </c>
      <c r="B1880" s="7" t="n">
        <f aca="false">'Raw Data'!B1880</f>
        <v>68</v>
      </c>
      <c r="C1880" s="7" t="str">
        <f aca="false">'Raw Data'!C1880</f>
        <v>Female</v>
      </c>
      <c r="D1880" s="7" t="str">
        <f aca="false">'Raw Data'!D1880</f>
        <v>Former</v>
      </c>
      <c r="E1880" s="7" t="str">
        <f aca="false">'Raw Data'!J1880</f>
        <v>Normal</v>
      </c>
      <c r="F1880" s="7" t="n">
        <f aca="false">'Raw Data'!K1880</f>
        <v>136.1</v>
      </c>
      <c r="G1880" s="7" t="str">
        <f aca="false">'Raw Data'!L1880</f>
        <v>No</v>
      </c>
      <c r="H1880" s="7" t="str">
        <f aca="false">'Raw Data'!M1880</f>
        <v>Low</v>
      </c>
      <c r="I1880" s="7" t="n">
        <f aca="false">(IF(D1880="Current",3,IF(D1880="Former",1,0)))+(IF(E1880="High",3,IF(E1880="Normal",1,0)))+(IF(F1880&gt;=240,2,IF(F1880&gt;=200,1,0)))+(IF(G1880="Yes",2,0))+(IF(H1880="High",2,IF(H1880="Moderate",1,0)))</f>
        <v>2</v>
      </c>
      <c r="J1880" s="7" t="str">
        <f aca="false">IF(I1880&gt;=8,"High",IF(I1880&gt;=4,"Medium","Low"))</f>
        <v>Low</v>
      </c>
    </row>
    <row r="1881" customFormat="false" ht="15" hidden="false" customHeight="true" outlineLevel="0" collapsed="false">
      <c r="A1881" s="7" t="n">
        <f aca="false">'Raw Data'!A1881</f>
        <v>1564</v>
      </c>
      <c r="B1881" s="7" t="n">
        <f aca="false">'Raw Data'!B1881</f>
        <v>37</v>
      </c>
      <c r="C1881" s="7" t="str">
        <f aca="false">'Raw Data'!C1881</f>
        <v>Male</v>
      </c>
      <c r="D1881" s="7" t="str">
        <f aca="false">'Raw Data'!D1881</f>
        <v>Former</v>
      </c>
      <c r="E1881" s="7" t="str">
        <f aca="false">'Raw Data'!J1881</f>
        <v>Normal</v>
      </c>
      <c r="F1881" s="7" t="n">
        <f aca="false">'Raw Data'!K1881</f>
        <v>186.1</v>
      </c>
      <c r="G1881" s="7" t="str">
        <f aca="false">'Raw Data'!L1881</f>
        <v>No</v>
      </c>
      <c r="H1881" s="7" t="str">
        <f aca="false">'Raw Data'!M1881</f>
        <v>Low</v>
      </c>
      <c r="I1881" s="7" t="n">
        <f aca="false">(IF(D1881="Current",3,IF(D1881="Former",1,0)))+(IF(E1881="High",3,IF(E1881="Normal",1,0)))+(IF(F1881&gt;=240,2,IF(F1881&gt;=200,1,0)))+(IF(G1881="Yes",2,0))+(IF(H1881="High",2,IF(H1881="Moderate",1,0)))</f>
        <v>2</v>
      </c>
      <c r="J1881" s="7" t="str">
        <f aca="false">IF(I1881&gt;=8,"High",IF(I1881&gt;=4,"Medium","Low"))</f>
        <v>Low</v>
      </c>
    </row>
    <row r="1882" customFormat="false" ht="15" hidden="false" customHeight="true" outlineLevel="0" collapsed="false">
      <c r="A1882" s="7" t="n">
        <f aca="false">'Raw Data'!A1882</f>
        <v>1565</v>
      </c>
      <c r="B1882" s="7" t="n">
        <f aca="false">'Raw Data'!B1882</f>
        <v>61</v>
      </c>
      <c r="C1882" s="7" t="str">
        <f aca="false">'Raw Data'!C1882</f>
        <v>Female</v>
      </c>
      <c r="D1882" s="7" t="str">
        <f aca="false">'Raw Data'!D1882</f>
        <v>Former</v>
      </c>
      <c r="E1882" s="7" t="str">
        <f aca="false">'Raw Data'!J1882</f>
        <v>Normal</v>
      </c>
      <c r="F1882" s="7" t="n">
        <f aca="false">'Raw Data'!K1882</f>
        <v>197.3</v>
      </c>
      <c r="G1882" s="7" t="str">
        <f aca="false">'Raw Data'!L1882</f>
        <v>No</v>
      </c>
      <c r="H1882" s="7" t="str">
        <f aca="false">'Raw Data'!M1882</f>
        <v>Low</v>
      </c>
      <c r="I1882" s="7" t="n">
        <f aca="false">(IF(D1882="Current",3,IF(D1882="Former",1,0)))+(IF(E1882="High",3,IF(E1882="Normal",1,0)))+(IF(F1882&gt;=240,2,IF(F1882&gt;=200,1,0)))+(IF(G1882="Yes",2,0))+(IF(H1882="High",2,IF(H1882="Moderate",1,0)))</f>
        <v>2</v>
      </c>
      <c r="J1882" s="7" t="str">
        <f aca="false">IF(I1882&gt;=8,"High",IF(I1882&gt;=4,"Medium","Low"))</f>
        <v>Low</v>
      </c>
    </row>
    <row r="1883" customFormat="false" ht="15" hidden="false" customHeight="true" outlineLevel="0" collapsed="false">
      <c r="A1883" s="7" t="n">
        <f aca="false">'Raw Data'!A1883</f>
        <v>1575</v>
      </c>
      <c r="B1883" s="7" t="n">
        <f aca="false">'Raw Data'!B1883</f>
        <v>62</v>
      </c>
      <c r="C1883" s="7" t="str">
        <f aca="false">'Raw Data'!C1883</f>
        <v>Female</v>
      </c>
      <c r="D1883" s="7" t="str">
        <f aca="false">'Raw Data'!D1883</f>
        <v>Former</v>
      </c>
      <c r="E1883" s="7" t="str">
        <f aca="false">'Raw Data'!J1883</f>
        <v>Normal</v>
      </c>
      <c r="F1883" s="7" t="n">
        <f aca="false">'Raw Data'!K1883</f>
        <v>285.2</v>
      </c>
      <c r="G1883" s="7" t="str">
        <f aca="false">'Raw Data'!L1883</f>
        <v>No</v>
      </c>
      <c r="H1883" s="7" t="str">
        <f aca="false">'Raw Data'!M1883</f>
        <v>Low</v>
      </c>
      <c r="I1883" s="7" t="n">
        <f aca="false">(IF(D1883="Current",3,IF(D1883="Former",1,0)))+(IF(E1883="High",3,IF(E1883="Normal",1,0)))+(IF(F1883&gt;=240,2,IF(F1883&gt;=200,1,0)))+(IF(G1883="Yes",2,0))+(IF(H1883="High",2,IF(H1883="Moderate",1,0)))</f>
        <v>4</v>
      </c>
      <c r="J1883" s="7" t="str">
        <f aca="false">IF(I1883&gt;=8,"High",IF(I1883&gt;=4,"Medium","Low"))</f>
        <v>Medium</v>
      </c>
    </row>
    <row r="1884" customFormat="false" ht="15" hidden="false" customHeight="true" outlineLevel="0" collapsed="false">
      <c r="A1884" s="7" t="n">
        <f aca="false">'Raw Data'!A1884</f>
        <v>1611</v>
      </c>
      <c r="B1884" s="7" t="n">
        <f aca="false">'Raw Data'!B1884</f>
        <v>49</v>
      </c>
      <c r="C1884" s="7" t="str">
        <f aca="false">'Raw Data'!C1884</f>
        <v>Female</v>
      </c>
      <c r="D1884" s="7" t="str">
        <f aca="false">'Raw Data'!D1884</f>
        <v>Former</v>
      </c>
      <c r="E1884" s="7" t="str">
        <f aca="false">'Raw Data'!J1884</f>
        <v>Normal</v>
      </c>
      <c r="F1884" s="7" t="n">
        <f aca="false">'Raw Data'!K1884</f>
        <v>178.9</v>
      </c>
      <c r="G1884" s="7" t="str">
        <f aca="false">'Raw Data'!L1884</f>
        <v>No</v>
      </c>
      <c r="H1884" s="7" t="str">
        <f aca="false">'Raw Data'!M1884</f>
        <v>Low</v>
      </c>
      <c r="I1884" s="7" t="n">
        <f aca="false">(IF(D1884="Current",3,IF(D1884="Former",1,0)))+(IF(E1884="High",3,IF(E1884="Normal",1,0)))+(IF(F1884&gt;=240,2,IF(F1884&gt;=200,1,0)))+(IF(G1884="Yes",2,0))+(IF(H1884="High",2,IF(H1884="Moderate",1,0)))</f>
        <v>2</v>
      </c>
      <c r="J1884" s="7" t="str">
        <f aca="false">IF(I1884&gt;=8,"High",IF(I1884&gt;=4,"Medium","Low"))</f>
        <v>Low</v>
      </c>
    </row>
    <row r="1885" customFormat="false" ht="15" hidden="false" customHeight="true" outlineLevel="0" collapsed="false">
      <c r="A1885" s="7" t="n">
        <f aca="false">'Raw Data'!A1885</f>
        <v>1615</v>
      </c>
      <c r="B1885" s="7" t="n">
        <f aca="false">'Raw Data'!B1885</f>
        <v>27</v>
      </c>
      <c r="C1885" s="7" t="str">
        <f aca="false">'Raw Data'!C1885</f>
        <v>Male</v>
      </c>
      <c r="D1885" s="7" t="str">
        <f aca="false">'Raw Data'!D1885</f>
        <v>Former</v>
      </c>
      <c r="E1885" s="7" t="str">
        <f aca="false">'Raw Data'!J1885</f>
        <v>Normal</v>
      </c>
      <c r="F1885" s="7" t="n">
        <f aca="false">'Raw Data'!K1885</f>
        <v>140.1</v>
      </c>
      <c r="G1885" s="7" t="str">
        <f aca="false">'Raw Data'!L1885</f>
        <v>No</v>
      </c>
      <c r="H1885" s="7" t="str">
        <f aca="false">'Raw Data'!M1885</f>
        <v>Low</v>
      </c>
      <c r="I1885" s="7" t="n">
        <f aca="false">(IF(D1885="Current",3,IF(D1885="Former",1,0)))+(IF(E1885="High",3,IF(E1885="Normal",1,0)))+(IF(F1885&gt;=240,2,IF(F1885&gt;=200,1,0)))+(IF(G1885="Yes",2,0))+(IF(H1885="High",2,IF(H1885="Moderate",1,0)))</f>
        <v>2</v>
      </c>
      <c r="J1885" s="7" t="str">
        <f aca="false">IF(I1885&gt;=8,"High",IF(I1885&gt;=4,"Medium","Low"))</f>
        <v>Low</v>
      </c>
    </row>
    <row r="1886" customFormat="false" ht="15" hidden="false" customHeight="true" outlineLevel="0" collapsed="false">
      <c r="A1886" s="7" t="n">
        <f aca="false">'Raw Data'!A1886</f>
        <v>1626</v>
      </c>
      <c r="B1886" s="7" t="n">
        <f aca="false">'Raw Data'!B1886</f>
        <v>22</v>
      </c>
      <c r="C1886" s="7" t="str">
        <f aca="false">'Raw Data'!C1886</f>
        <v>Male</v>
      </c>
      <c r="D1886" s="7" t="str">
        <f aca="false">'Raw Data'!D1886</f>
        <v>Former</v>
      </c>
      <c r="E1886" s="7" t="str">
        <f aca="false">'Raw Data'!J1886</f>
        <v>Normal</v>
      </c>
      <c r="F1886" s="7" t="n">
        <f aca="false">'Raw Data'!K1886</f>
        <v>227.7</v>
      </c>
      <c r="G1886" s="7" t="str">
        <f aca="false">'Raw Data'!L1886</f>
        <v>No</v>
      </c>
      <c r="H1886" s="7" t="str">
        <f aca="false">'Raw Data'!M1886</f>
        <v>Low</v>
      </c>
      <c r="I1886" s="7" t="n">
        <f aca="false">(IF(D1886="Current",3,IF(D1886="Former",1,0)))+(IF(E1886="High",3,IF(E1886="Normal",1,0)))+(IF(F1886&gt;=240,2,IF(F1886&gt;=200,1,0)))+(IF(G1886="Yes",2,0))+(IF(H1886="High",2,IF(H1886="Moderate",1,0)))</f>
        <v>3</v>
      </c>
      <c r="J1886" s="7" t="str">
        <f aca="false">IF(I1886&gt;=8,"High",IF(I1886&gt;=4,"Medium","Low"))</f>
        <v>Low</v>
      </c>
    </row>
    <row r="1887" customFormat="false" ht="15" hidden="false" customHeight="true" outlineLevel="0" collapsed="false">
      <c r="A1887" s="7" t="n">
        <f aca="false">'Raw Data'!A1887</f>
        <v>1680</v>
      </c>
      <c r="B1887" s="7" t="n">
        <f aca="false">'Raw Data'!B1887</f>
        <v>51</v>
      </c>
      <c r="C1887" s="7" t="str">
        <f aca="false">'Raw Data'!C1887</f>
        <v>Male</v>
      </c>
      <c r="D1887" s="7" t="str">
        <f aca="false">'Raw Data'!D1887</f>
        <v>Former</v>
      </c>
      <c r="E1887" s="7" t="str">
        <f aca="false">'Raw Data'!J1887</f>
        <v>Normal</v>
      </c>
      <c r="F1887" s="7" t="n">
        <f aca="false">'Raw Data'!K1887</f>
        <v>176.6</v>
      </c>
      <c r="G1887" s="7" t="str">
        <f aca="false">'Raw Data'!L1887</f>
        <v>No</v>
      </c>
      <c r="H1887" s="7" t="str">
        <f aca="false">'Raw Data'!M1887</f>
        <v>Low</v>
      </c>
      <c r="I1887" s="7" t="n">
        <f aca="false">(IF(D1887="Current",3,IF(D1887="Former",1,0)))+(IF(E1887="High",3,IF(E1887="Normal",1,0)))+(IF(F1887&gt;=240,2,IF(F1887&gt;=200,1,0)))+(IF(G1887="Yes",2,0))+(IF(H1887="High",2,IF(H1887="Moderate",1,0)))</f>
        <v>2</v>
      </c>
      <c r="J1887" s="7" t="str">
        <f aca="false">IF(I1887&gt;=8,"High",IF(I1887&gt;=4,"Medium","Low"))</f>
        <v>Low</v>
      </c>
    </row>
    <row r="1888" customFormat="false" ht="15" hidden="false" customHeight="true" outlineLevel="0" collapsed="false">
      <c r="A1888" s="7" t="n">
        <f aca="false">'Raw Data'!A1888</f>
        <v>1710</v>
      </c>
      <c r="B1888" s="7" t="n">
        <f aca="false">'Raw Data'!B1888</f>
        <v>82</v>
      </c>
      <c r="C1888" s="7" t="str">
        <f aca="false">'Raw Data'!C1888</f>
        <v>Female</v>
      </c>
      <c r="D1888" s="7" t="str">
        <f aca="false">'Raw Data'!D1888</f>
        <v>Former</v>
      </c>
      <c r="E1888" s="7" t="str">
        <f aca="false">'Raw Data'!J1888</f>
        <v>Normal</v>
      </c>
      <c r="F1888" s="7" t="n">
        <f aca="false">'Raw Data'!K1888</f>
        <v>241.8</v>
      </c>
      <c r="G1888" s="7" t="str">
        <f aca="false">'Raw Data'!L1888</f>
        <v>No</v>
      </c>
      <c r="H1888" s="7" t="str">
        <f aca="false">'Raw Data'!M1888</f>
        <v>Low</v>
      </c>
      <c r="I1888" s="7" t="n">
        <f aca="false">(IF(D1888="Current",3,IF(D1888="Former",1,0)))+(IF(E1888="High",3,IF(E1888="Normal",1,0)))+(IF(F1888&gt;=240,2,IF(F1888&gt;=200,1,0)))+(IF(G1888="Yes",2,0))+(IF(H1888="High",2,IF(H1888="Moderate",1,0)))</f>
        <v>4</v>
      </c>
      <c r="J1888" s="7" t="str">
        <f aca="false">IF(I1888&gt;=8,"High",IF(I1888&gt;=4,"Medium","Low"))</f>
        <v>Medium</v>
      </c>
    </row>
    <row r="1889" customFormat="false" ht="15" hidden="false" customHeight="true" outlineLevel="0" collapsed="false">
      <c r="A1889" s="7" t="n">
        <f aca="false">'Raw Data'!A1889</f>
        <v>1737</v>
      </c>
      <c r="B1889" s="7" t="n">
        <f aca="false">'Raw Data'!B1889</f>
        <v>80</v>
      </c>
      <c r="C1889" s="7" t="str">
        <f aca="false">'Raw Data'!C1889</f>
        <v>Male</v>
      </c>
      <c r="D1889" s="7" t="str">
        <f aca="false">'Raw Data'!D1889</f>
        <v>Former</v>
      </c>
      <c r="E1889" s="7" t="str">
        <f aca="false">'Raw Data'!J1889</f>
        <v>Normal</v>
      </c>
      <c r="F1889" s="7" t="n">
        <f aca="false">'Raw Data'!K1889</f>
        <v>245.5</v>
      </c>
      <c r="G1889" s="7" t="str">
        <f aca="false">'Raw Data'!L1889</f>
        <v>No</v>
      </c>
      <c r="H1889" s="7" t="str">
        <f aca="false">'Raw Data'!M1889</f>
        <v>Low</v>
      </c>
      <c r="I1889" s="7" t="n">
        <f aca="false">(IF(D1889="Current",3,IF(D1889="Former",1,0)))+(IF(E1889="High",3,IF(E1889="Normal",1,0)))+(IF(F1889&gt;=240,2,IF(F1889&gt;=200,1,0)))+(IF(G1889="Yes",2,0))+(IF(H1889="High",2,IF(H1889="Moderate",1,0)))</f>
        <v>4</v>
      </c>
      <c r="J1889" s="7" t="str">
        <f aca="false">IF(I1889&gt;=8,"High",IF(I1889&gt;=4,"Medium","Low"))</f>
        <v>Medium</v>
      </c>
    </row>
    <row r="1890" customFormat="false" ht="15" hidden="false" customHeight="true" outlineLevel="0" collapsed="false">
      <c r="A1890" s="7" t="n">
        <f aca="false">'Raw Data'!A1890</f>
        <v>1773</v>
      </c>
      <c r="B1890" s="7" t="n">
        <f aca="false">'Raw Data'!B1890</f>
        <v>23</v>
      </c>
      <c r="C1890" s="7" t="str">
        <f aca="false">'Raw Data'!C1890</f>
        <v>Male</v>
      </c>
      <c r="D1890" s="7" t="str">
        <f aca="false">'Raw Data'!D1890</f>
        <v>Former</v>
      </c>
      <c r="E1890" s="7" t="str">
        <f aca="false">'Raw Data'!J1890</f>
        <v>Normal</v>
      </c>
      <c r="F1890" s="7" t="n">
        <f aca="false">'Raw Data'!K1890</f>
        <v>122.8</v>
      </c>
      <c r="G1890" s="7" t="str">
        <f aca="false">'Raw Data'!L1890</f>
        <v>No</v>
      </c>
      <c r="H1890" s="7" t="str">
        <f aca="false">'Raw Data'!M1890</f>
        <v>Low</v>
      </c>
      <c r="I1890" s="7" t="n">
        <f aca="false">(IF(D1890="Current",3,IF(D1890="Former",1,0)))+(IF(E1890="High",3,IF(E1890="Normal",1,0)))+(IF(F1890&gt;=240,2,IF(F1890&gt;=200,1,0)))+(IF(G1890="Yes",2,0))+(IF(H1890="High",2,IF(H1890="Moderate",1,0)))</f>
        <v>2</v>
      </c>
      <c r="J1890" s="7" t="str">
        <f aca="false">IF(I1890&gt;=8,"High",IF(I1890&gt;=4,"Medium","Low"))</f>
        <v>Low</v>
      </c>
    </row>
    <row r="1891" customFormat="false" ht="15" hidden="false" customHeight="true" outlineLevel="0" collapsed="false">
      <c r="A1891" s="7" t="n">
        <f aca="false">'Raw Data'!A1891</f>
        <v>1804</v>
      </c>
      <c r="B1891" s="7" t="n">
        <f aca="false">'Raw Data'!B1891</f>
        <v>38</v>
      </c>
      <c r="C1891" s="7" t="str">
        <f aca="false">'Raw Data'!C1891</f>
        <v>Male</v>
      </c>
      <c r="D1891" s="7" t="str">
        <f aca="false">'Raw Data'!D1891</f>
        <v>Former</v>
      </c>
      <c r="E1891" s="7" t="str">
        <f aca="false">'Raw Data'!J1891</f>
        <v>Normal</v>
      </c>
      <c r="F1891" s="7" t="n">
        <f aca="false">'Raw Data'!K1891</f>
        <v>294.2</v>
      </c>
      <c r="G1891" s="7" t="str">
        <f aca="false">'Raw Data'!L1891</f>
        <v>No</v>
      </c>
      <c r="H1891" s="7" t="str">
        <f aca="false">'Raw Data'!M1891</f>
        <v>Low</v>
      </c>
      <c r="I1891" s="7" t="n">
        <f aca="false">(IF(D1891="Current",3,IF(D1891="Former",1,0)))+(IF(E1891="High",3,IF(E1891="Normal",1,0)))+(IF(F1891&gt;=240,2,IF(F1891&gt;=200,1,0)))+(IF(G1891="Yes",2,0))+(IF(H1891="High",2,IF(H1891="Moderate",1,0)))</f>
        <v>4</v>
      </c>
      <c r="J1891" s="7" t="str">
        <f aca="false">IF(I1891&gt;=8,"High",IF(I1891&gt;=4,"Medium","Low"))</f>
        <v>Medium</v>
      </c>
    </row>
    <row r="1892" customFormat="false" ht="15" hidden="false" customHeight="true" outlineLevel="0" collapsed="false">
      <c r="A1892" s="7" t="n">
        <f aca="false">'Raw Data'!A1892</f>
        <v>1841</v>
      </c>
      <c r="B1892" s="7" t="n">
        <f aca="false">'Raw Data'!B1892</f>
        <v>61</v>
      </c>
      <c r="C1892" s="7" t="str">
        <f aca="false">'Raw Data'!C1892</f>
        <v>Male</v>
      </c>
      <c r="D1892" s="7" t="str">
        <f aca="false">'Raw Data'!D1892</f>
        <v>Former</v>
      </c>
      <c r="E1892" s="7" t="str">
        <f aca="false">'Raw Data'!J1892</f>
        <v>Normal</v>
      </c>
      <c r="F1892" s="7" t="n">
        <f aca="false">'Raw Data'!K1892</f>
        <v>239.2</v>
      </c>
      <c r="G1892" s="7" t="str">
        <f aca="false">'Raw Data'!L1892</f>
        <v>No</v>
      </c>
      <c r="H1892" s="7" t="str">
        <f aca="false">'Raw Data'!M1892</f>
        <v>Low</v>
      </c>
      <c r="I1892" s="7" t="n">
        <f aca="false">(IF(D1892="Current",3,IF(D1892="Former",1,0)))+(IF(E1892="High",3,IF(E1892="Normal",1,0)))+(IF(F1892&gt;=240,2,IF(F1892&gt;=200,1,0)))+(IF(G1892="Yes",2,0))+(IF(H1892="High",2,IF(H1892="Moderate",1,0)))</f>
        <v>3</v>
      </c>
      <c r="J1892" s="7" t="str">
        <f aca="false">IF(I1892&gt;=8,"High",IF(I1892&gt;=4,"Medium","Low"))</f>
        <v>Low</v>
      </c>
    </row>
    <row r="1893" customFormat="false" ht="15" hidden="false" customHeight="true" outlineLevel="0" collapsed="false">
      <c r="A1893" s="7" t="n">
        <f aca="false">'Raw Data'!A1893</f>
        <v>1845</v>
      </c>
      <c r="B1893" s="7" t="n">
        <f aca="false">'Raw Data'!B1893</f>
        <v>34</v>
      </c>
      <c r="C1893" s="7" t="str">
        <f aca="false">'Raw Data'!C1893</f>
        <v>Male</v>
      </c>
      <c r="D1893" s="7" t="str">
        <f aca="false">'Raw Data'!D1893</f>
        <v>Former</v>
      </c>
      <c r="E1893" s="7" t="str">
        <f aca="false">'Raw Data'!J1893</f>
        <v>Normal</v>
      </c>
      <c r="F1893" s="7" t="n">
        <f aca="false">'Raw Data'!K1893</f>
        <v>293.3</v>
      </c>
      <c r="G1893" s="7" t="str">
        <f aca="false">'Raw Data'!L1893</f>
        <v>No</v>
      </c>
      <c r="H1893" s="7" t="str">
        <f aca="false">'Raw Data'!M1893</f>
        <v>Low</v>
      </c>
      <c r="I1893" s="7" t="n">
        <f aca="false">(IF(D1893="Current",3,IF(D1893="Former",1,0)))+(IF(E1893="High",3,IF(E1893="Normal",1,0)))+(IF(F1893&gt;=240,2,IF(F1893&gt;=200,1,0)))+(IF(G1893="Yes",2,0))+(IF(H1893="High",2,IF(H1893="Moderate",1,0)))</f>
        <v>4</v>
      </c>
      <c r="J1893" s="7" t="str">
        <f aca="false">IF(I1893&gt;=8,"High",IF(I1893&gt;=4,"Medium","Low"))</f>
        <v>Medium</v>
      </c>
    </row>
    <row r="1894" customFormat="false" ht="15" hidden="false" customHeight="true" outlineLevel="0" collapsed="false">
      <c r="A1894" s="7" t="n">
        <f aca="false">'Raw Data'!A1894</f>
        <v>1852</v>
      </c>
      <c r="B1894" s="7" t="n">
        <f aca="false">'Raw Data'!B1894</f>
        <v>35</v>
      </c>
      <c r="C1894" s="7" t="str">
        <f aca="false">'Raw Data'!C1894</f>
        <v>Male</v>
      </c>
      <c r="D1894" s="7" t="str">
        <f aca="false">'Raw Data'!D1894</f>
        <v>Former</v>
      </c>
      <c r="E1894" s="7" t="str">
        <f aca="false">'Raw Data'!J1894</f>
        <v>Normal</v>
      </c>
      <c r="F1894" s="7" t="n">
        <f aca="false">'Raw Data'!K1894</f>
        <v>299.6</v>
      </c>
      <c r="G1894" s="7" t="str">
        <f aca="false">'Raw Data'!L1894</f>
        <v>No</v>
      </c>
      <c r="H1894" s="7" t="str">
        <f aca="false">'Raw Data'!M1894</f>
        <v>Low</v>
      </c>
      <c r="I1894" s="7" t="n">
        <f aca="false">(IF(D1894="Current",3,IF(D1894="Former",1,0)))+(IF(E1894="High",3,IF(E1894="Normal",1,0)))+(IF(F1894&gt;=240,2,IF(F1894&gt;=200,1,0)))+(IF(G1894="Yes",2,0))+(IF(H1894="High",2,IF(H1894="Moderate",1,0)))</f>
        <v>4</v>
      </c>
      <c r="J1894" s="7" t="str">
        <f aca="false">IF(I1894&gt;=8,"High",IF(I1894&gt;=4,"Medium","Low"))</f>
        <v>Medium</v>
      </c>
    </row>
    <row r="1895" customFormat="false" ht="15" hidden="false" customHeight="true" outlineLevel="0" collapsed="false">
      <c r="A1895" s="7" t="n">
        <f aca="false">'Raw Data'!A1895</f>
        <v>1899</v>
      </c>
      <c r="B1895" s="7" t="n">
        <f aca="false">'Raw Data'!B1895</f>
        <v>25</v>
      </c>
      <c r="C1895" s="7" t="str">
        <f aca="false">'Raw Data'!C1895</f>
        <v>Female</v>
      </c>
      <c r="D1895" s="7" t="str">
        <f aca="false">'Raw Data'!D1895</f>
        <v>Former</v>
      </c>
      <c r="E1895" s="7" t="str">
        <f aca="false">'Raw Data'!J1895</f>
        <v>Normal</v>
      </c>
      <c r="F1895" s="7" t="n">
        <f aca="false">'Raw Data'!K1895</f>
        <v>214.1</v>
      </c>
      <c r="G1895" s="7" t="str">
        <f aca="false">'Raw Data'!L1895</f>
        <v>No</v>
      </c>
      <c r="H1895" s="7" t="str">
        <f aca="false">'Raw Data'!M1895</f>
        <v>Low</v>
      </c>
      <c r="I1895" s="7" t="n">
        <f aca="false">(IF(D1895="Current",3,IF(D1895="Former",1,0)))+(IF(E1895="High",3,IF(E1895="Normal",1,0)))+(IF(F1895&gt;=240,2,IF(F1895&gt;=200,1,0)))+(IF(G1895="Yes",2,0))+(IF(H1895="High",2,IF(H1895="Moderate",1,0)))</f>
        <v>3</v>
      </c>
      <c r="J1895" s="7" t="str">
        <f aca="false">IF(I1895&gt;=8,"High",IF(I1895&gt;=4,"Medium","Low"))</f>
        <v>Low</v>
      </c>
    </row>
    <row r="1896" customFormat="false" ht="15" hidden="false" customHeight="true" outlineLevel="0" collapsed="false">
      <c r="A1896" s="7" t="n">
        <f aca="false">'Raw Data'!A1896</f>
        <v>1915</v>
      </c>
      <c r="B1896" s="7" t="n">
        <f aca="false">'Raw Data'!B1896</f>
        <v>75</v>
      </c>
      <c r="C1896" s="7" t="str">
        <f aca="false">'Raw Data'!C1896</f>
        <v>Male</v>
      </c>
      <c r="D1896" s="7" t="str">
        <f aca="false">'Raw Data'!D1896</f>
        <v>Former</v>
      </c>
      <c r="E1896" s="7" t="str">
        <f aca="false">'Raw Data'!J1896</f>
        <v>Normal</v>
      </c>
      <c r="F1896" s="7" t="n">
        <f aca="false">'Raw Data'!K1896</f>
        <v>242.9</v>
      </c>
      <c r="G1896" s="7" t="str">
        <f aca="false">'Raw Data'!L1896</f>
        <v>No</v>
      </c>
      <c r="H1896" s="7" t="str">
        <f aca="false">'Raw Data'!M1896</f>
        <v>Low</v>
      </c>
      <c r="I1896" s="7" t="n">
        <f aca="false">(IF(D1896="Current",3,IF(D1896="Former",1,0)))+(IF(E1896="High",3,IF(E1896="Normal",1,0)))+(IF(F1896&gt;=240,2,IF(F1896&gt;=200,1,0)))+(IF(G1896="Yes",2,0))+(IF(H1896="High",2,IF(H1896="Moderate",1,0)))</f>
        <v>4</v>
      </c>
      <c r="J1896" s="7" t="str">
        <f aca="false">IF(I1896&gt;=8,"High",IF(I1896&gt;=4,"Medium","Low"))</f>
        <v>Medium</v>
      </c>
    </row>
    <row r="1897" customFormat="false" ht="15" hidden="false" customHeight="true" outlineLevel="0" collapsed="false">
      <c r="A1897" s="7" t="n">
        <f aca="false">'Raw Data'!A1897</f>
        <v>1935</v>
      </c>
      <c r="B1897" s="7" t="n">
        <f aca="false">'Raw Data'!B1897</f>
        <v>89</v>
      </c>
      <c r="C1897" s="7" t="str">
        <f aca="false">'Raw Data'!C1897</f>
        <v>Female</v>
      </c>
      <c r="D1897" s="7" t="str">
        <f aca="false">'Raw Data'!D1897</f>
        <v>Former</v>
      </c>
      <c r="E1897" s="7" t="str">
        <f aca="false">'Raw Data'!J1897</f>
        <v>Normal</v>
      </c>
      <c r="F1897" s="7" t="n">
        <f aca="false">'Raw Data'!K1897</f>
        <v>241.9</v>
      </c>
      <c r="G1897" s="7" t="str">
        <f aca="false">'Raw Data'!L1897</f>
        <v>No</v>
      </c>
      <c r="H1897" s="7" t="str">
        <f aca="false">'Raw Data'!M1897</f>
        <v>Low</v>
      </c>
      <c r="I1897" s="7" t="n">
        <f aca="false">(IF(D1897="Current",3,IF(D1897="Former",1,0)))+(IF(E1897="High",3,IF(E1897="Normal",1,0)))+(IF(F1897&gt;=240,2,IF(F1897&gt;=200,1,0)))+(IF(G1897="Yes",2,0))+(IF(H1897="High",2,IF(H1897="Moderate",1,0)))</f>
        <v>4</v>
      </c>
      <c r="J1897" s="7" t="str">
        <f aca="false">IF(I1897&gt;=8,"High",IF(I1897&gt;=4,"Medium","Low"))</f>
        <v>Medium</v>
      </c>
    </row>
    <row r="1898" customFormat="false" ht="15" hidden="false" customHeight="true" outlineLevel="0" collapsed="false">
      <c r="A1898" s="7" t="n">
        <f aca="false">'Raw Data'!A1898</f>
        <v>1976</v>
      </c>
      <c r="B1898" s="7" t="n">
        <f aca="false">'Raw Data'!B1898</f>
        <v>52</v>
      </c>
      <c r="C1898" s="7" t="str">
        <f aca="false">'Raw Data'!C1898</f>
        <v>Female</v>
      </c>
      <c r="D1898" s="7" t="str">
        <f aca="false">'Raw Data'!D1898</f>
        <v>Former</v>
      </c>
      <c r="E1898" s="7" t="str">
        <f aca="false">'Raw Data'!J1898</f>
        <v>Normal</v>
      </c>
      <c r="F1898" s="7" t="n">
        <f aca="false">'Raw Data'!K1898</f>
        <v>173.2</v>
      </c>
      <c r="G1898" s="7" t="str">
        <f aca="false">'Raw Data'!L1898</f>
        <v>No</v>
      </c>
      <c r="H1898" s="7" t="str">
        <f aca="false">'Raw Data'!M1898</f>
        <v>Low</v>
      </c>
      <c r="I1898" s="7" t="n">
        <f aca="false">(IF(D1898="Current",3,IF(D1898="Former",1,0)))+(IF(E1898="High",3,IF(E1898="Normal",1,0)))+(IF(F1898&gt;=240,2,IF(F1898&gt;=200,1,0)))+(IF(G1898="Yes",2,0))+(IF(H1898="High",2,IF(H1898="Moderate",1,0)))</f>
        <v>2</v>
      </c>
      <c r="J1898" s="7" t="str">
        <f aca="false">IF(I1898&gt;=8,"High",IF(I1898&gt;=4,"Medium","Low"))</f>
        <v>Low</v>
      </c>
    </row>
    <row r="1899" customFormat="false" ht="15" hidden="false" customHeight="true" outlineLevel="0" collapsed="false">
      <c r="A1899" s="7" t="n">
        <f aca="false">'Raw Data'!A1899</f>
        <v>2004</v>
      </c>
      <c r="B1899" s="7" t="n">
        <f aca="false">'Raw Data'!B1899</f>
        <v>58</v>
      </c>
      <c r="C1899" s="7" t="str">
        <f aca="false">'Raw Data'!C1899</f>
        <v>Male</v>
      </c>
      <c r="D1899" s="7" t="str">
        <f aca="false">'Raw Data'!D1899</f>
        <v>Former</v>
      </c>
      <c r="E1899" s="7" t="str">
        <f aca="false">'Raw Data'!J1899</f>
        <v>Normal</v>
      </c>
      <c r="F1899" s="7" t="n">
        <f aca="false">'Raw Data'!K1899</f>
        <v>229.2</v>
      </c>
      <c r="G1899" s="7" t="str">
        <f aca="false">'Raw Data'!L1899</f>
        <v>No</v>
      </c>
      <c r="H1899" s="7" t="str">
        <f aca="false">'Raw Data'!M1899</f>
        <v>Low</v>
      </c>
      <c r="I1899" s="7" t="n">
        <f aca="false">(IF(D1899="Current",3,IF(D1899="Former",1,0)))+(IF(E1899="High",3,IF(E1899="Normal",1,0)))+(IF(F1899&gt;=240,2,IF(F1899&gt;=200,1,0)))+(IF(G1899="Yes",2,0))+(IF(H1899="High",2,IF(H1899="Moderate",1,0)))</f>
        <v>3</v>
      </c>
      <c r="J1899" s="7" t="str">
        <f aca="false">IF(I1899&gt;=8,"High",IF(I1899&gt;=4,"Medium","Low"))</f>
        <v>Low</v>
      </c>
    </row>
    <row r="1900" customFormat="false" ht="15" hidden="false" customHeight="true" outlineLevel="0" collapsed="false">
      <c r="A1900" s="7" t="n">
        <f aca="false">'Raw Data'!A1900</f>
        <v>2047</v>
      </c>
      <c r="B1900" s="7" t="n">
        <f aca="false">'Raw Data'!B1900</f>
        <v>70</v>
      </c>
      <c r="C1900" s="7" t="str">
        <f aca="false">'Raw Data'!C1900</f>
        <v>Male</v>
      </c>
      <c r="D1900" s="7" t="str">
        <f aca="false">'Raw Data'!D1900</f>
        <v>Former</v>
      </c>
      <c r="E1900" s="7" t="str">
        <f aca="false">'Raw Data'!J1900</f>
        <v>Normal</v>
      </c>
      <c r="F1900" s="7" t="n">
        <f aca="false">'Raw Data'!K1900</f>
        <v>280.4</v>
      </c>
      <c r="G1900" s="7" t="str">
        <f aca="false">'Raw Data'!L1900</f>
        <v>No</v>
      </c>
      <c r="H1900" s="7" t="str">
        <f aca="false">'Raw Data'!M1900</f>
        <v>Low</v>
      </c>
      <c r="I1900" s="7" t="n">
        <f aca="false">(IF(D1900="Current",3,IF(D1900="Former",1,0)))+(IF(E1900="High",3,IF(E1900="Normal",1,0)))+(IF(F1900&gt;=240,2,IF(F1900&gt;=200,1,0)))+(IF(G1900="Yes",2,0))+(IF(H1900="High",2,IF(H1900="Moderate",1,0)))</f>
        <v>4</v>
      </c>
      <c r="J1900" s="7" t="str">
        <f aca="false">IF(I1900&gt;=8,"High",IF(I1900&gt;=4,"Medium","Low"))</f>
        <v>Medium</v>
      </c>
    </row>
    <row r="1901" customFormat="false" ht="15" hidden="false" customHeight="true" outlineLevel="0" collapsed="false">
      <c r="A1901" s="7" t="n">
        <f aca="false">'Raw Data'!A1901</f>
        <v>2051</v>
      </c>
      <c r="B1901" s="7" t="n">
        <f aca="false">'Raw Data'!B1901</f>
        <v>49</v>
      </c>
      <c r="C1901" s="7" t="str">
        <f aca="false">'Raw Data'!C1901</f>
        <v>Female</v>
      </c>
      <c r="D1901" s="7" t="str">
        <f aca="false">'Raw Data'!D1901</f>
        <v>Former</v>
      </c>
      <c r="E1901" s="7" t="str">
        <f aca="false">'Raw Data'!J1901</f>
        <v>Normal</v>
      </c>
      <c r="F1901" s="7" t="n">
        <f aca="false">'Raw Data'!K1901</f>
        <v>237</v>
      </c>
      <c r="G1901" s="7" t="str">
        <f aca="false">'Raw Data'!L1901</f>
        <v>No</v>
      </c>
      <c r="H1901" s="7" t="str">
        <f aca="false">'Raw Data'!M1901</f>
        <v>Low</v>
      </c>
      <c r="I1901" s="7" t="n">
        <f aca="false">(IF(D1901="Current",3,IF(D1901="Former",1,0)))+(IF(E1901="High",3,IF(E1901="Normal",1,0)))+(IF(F1901&gt;=240,2,IF(F1901&gt;=200,1,0)))+(IF(G1901="Yes",2,0))+(IF(H1901="High",2,IF(H1901="Moderate",1,0)))</f>
        <v>3</v>
      </c>
      <c r="J1901" s="7" t="str">
        <f aca="false">IF(I1901&gt;=8,"High",IF(I1901&gt;=4,"Medium","Low"))</f>
        <v>Low</v>
      </c>
    </row>
    <row r="1902" customFormat="false" ht="15" hidden="false" customHeight="true" outlineLevel="0" collapsed="false">
      <c r="A1902" s="7" t="n">
        <f aca="false">'Raw Data'!A1902</f>
        <v>2058</v>
      </c>
      <c r="B1902" s="7" t="n">
        <f aca="false">'Raw Data'!B1902</f>
        <v>30</v>
      </c>
      <c r="C1902" s="7" t="str">
        <f aca="false">'Raw Data'!C1902</f>
        <v>Female</v>
      </c>
      <c r="D1902" s="7" t="str">
        <f aca="false">'Raw Data'!D1902</f>
        <v>Former</v>
      </c>
      <c r="E1902" s="7" t="str">
        <f aca="false">'Raw Data'!J1902</f>
        <v>Normal</v>
      </c>
      <c r="F1902" s="7" t="n">
        <f aca="false">'Raw Data'!K1902</f>
        <v>260.9</v>
      </c>
      <c r="G1902" s="7" t="str">
        <f aca="false">'Raw Data'!L1902</f>
        <v>No</v>
      </c>
      <c r="H1902" s="7" t="str">
        <f aca="false">'Raw Data'!M1902</f>
        <v>Low</v>
      </c>
      <c r="I1902" s="7" t="n">
        <f aca="false">(IF(D1902="Current",3,IF(D1902="Former",1,0)))+(IF(E1902="High",3,IF(E1902="Normal",1,0)))+(IF(F1902&gt;=240,2,IF(F1902&gt;=200,1,0)))+(IF(G1902="Yes",2,0))+(IF(H1902="High",2,IF(H1902="Moderate",1,0)))</f>
        <v>4</v>
      </c>
      <c r="J1902" s="7" t="str">
        <f aca="false">IF(I1902&gt;=8,"High",IF(I1902&gt;=4,"Medium","Low"))</f>
        <v>Medium</v>
      </c>
    </row>
    <row r="1903" customFormat="false" ht="15" hidden="false" customHeight="true" outlineLevel="0" collapsed="false">
      <c r="A1903" s="7" t="n">
        <f aca="false">'Raw Data'!A1903</f>
        <v>2078</v>
      </c>
      <c r="B1903" s="7" t="n">
        <f aca="false">'Raw Data'!B1903</f>
        <v>89</v>
      </c>
      <c r="C1903" s="7" t="str">
        <f aca="false">'Raw Data'!C1903</f>
        <v>Male</v>
      </c>
      <c r="D1903" s="7" t="str">
        <f aca="false">'Raw Data'!D1903</f>
        <v>Former</v>
      </c>
      <c r="E1903" s="7" t="str">
        <f aca="false">'Raw Data'!J1903</f>
        <v>Normal</v>
      </c>
      <c r="F1903" s="7" t="n">
        <f aca="false">'Raw Data'!K1903</f>
        <v>173.5</v>
      </c>
      <c r="G1903" s="7" t="str">
        <f aca="false">'Raw Data'!L1903</f>
        <v>No</v>
      </c>
      <c r="H1903" s="7" t="str">
        <f aca="false">'Raw Data'!M1903</f>
        <v>Low</v>
      </c>
      <c r="I1903" s="7" t="n">
        <f aca="false">(IF(D1903="Current",3,IF(D1903="Former",1,0)))+(IF(E1903="High",3,IF(E1903="Normal",1,0)))+(IF(F1903&gt;=240,2,IF(F1903&gt;=200,1,0)))+(IF(G1903="Yes",2,0))+(IF(H1903="High",2,IF(H1903="Moderate",1,0)))</f>
        <v>2</v>
      </c>
      <c r="J1903" s="7" t="str">
        <f aca="false">IF(I1903&gt;=8,"High",IF(I1903&gt;=4,"Medium","Low"))</f>
        <v>Low</v>
      </c>
    </row>
    <row r="1904" customFormat="false" ht="15" hidden="false" customHeight="true" outlineLevel="0" collapsed="false">
      <c r="A1904" s="7" t="n">
        <f aca="false">'Raw Data'!A1904</f>
        <v>2082</v>
      </c>
      <c r="B1904" s="7" t="n">
        <f aca="false">'Raw Data'!B1904</f>
        <v>32</v>
      </c>
      <c r="C1904" s="7" t="str">
        <f aca="false">'Raw Data'!C1904</f>
        <v>Female</v>
      </c>
      <c r="D1904" s="7" t="str">
        <f aca="false">'Raw Data'!D1904</f>
        <v>Former</v>
      </c>
      <c r="E1904" s="7" t="str">
        <f aca="false">'Raw Data'!J1904</f>
        <v>Normal</v>
      </c>
      <c r="F1904" s="7" t="n">
        <f aca="false">'Raw Data'!K1904</f>
        <v>285.3</v>
      </c>
      <c r="G1904" s="7" t="str">
        <f aca="false">'Raw Data'!L1904</f>
        <v>No</v>
      </c>
      <c r="H1904" s="7" t="str">
        <f aca="false">'Raw Data'!M1904</f>
        <v>Low</v>
      </c>
      <c r="I1904" s="7" t="n">
        <f aca="false">(IF(D1904="Current",3,IF(D1904="Former",1,0)))+(IF(E1904="High",3,IF(E1904="Normal",1,0)))+(IF(F1904&gt;=240,2,IF(F1904&gt;=200,1,0)))+(IF(G1904="Yes",2,0))+(IF(H1904="High",2,IF(H1904="Moderate",1,0)))</f>
        <v>4</v>
      </c>
      <c r="J1904" s="7" t="str">
        <f aca="false">IF(I1904&gt;=8,"High",IF(I1904&gt;=4,"Medium","Low"))</f>
        <v>Medium</v>
      </c>
    </row>
    <row r="1905" customFormat="false" ht="15" hidden="false" customHeight="true" outlineLevel="0" collapsed="false">
      <c r="A1905" s="7" t="n">
        <f aca="false">'Raw Data'!A1905</f>
        <v>2099</v>
      </c>
      <c r="B1905" s="7" t="n">
        <f aca="false">'Raw Data'!B1905</f>
        <v>34</v>
      </c>
      <c r="C1905" s="7" t="str">
        <f aca="false">'Raw Data'!C1905</f>
        <v>Female</v>
      </c>
      <c r="D1905" s="7" t="str">
        <f aca="false">'Raw Data'!D1905</f>
        <v>Former</v>
      </c>
      <c r="E1905" s="7" t="str">
        <f aca="false">'Raw Data'!J1905</f>
        <v>Normal</v>
      </c>
      <c r="F1905" s="7" t="n">
        <f aca="false">'Raw Data'!K1905</f>
        <v>247.8</v>
      </c>
      <c r="G1905" s="7" t="str">
        <f aca="false">'Raw Data'!L1905</f>
        <v>No</v>
      </c>
      <c r="H1905" s="7" t="str">
        <f aca="false">'Raw Data'!M1905</f>
        <v>Low</v>
      </c>
      <c r="I1905" s="7" t="n">
        <f aca="false">(IF(D1905="Current",3,IF(D1905="Former",1,0)))+(IF(E1905="High",3,IF(E1905="Normal",1,0)))+(IF(F1905&gt;=240,2,IF(F1905&gt;=200,1,0)))+(IF(G1905="Yes",2,0))+(IF(H1905="High",2,IF(H1905="Moderate",1,0)))</f>
        <v>4</v>
      </c>
      <c r="J1905" s="7" t="str">
        <f aca="false">IF(I1905&gt;=8,"High",IF(I1905&gt;=4,"Medium","Low"))</f>
        <v>Medium</v>
      </c>
    </row>
    <row r="1906" customFormat="false" ht="15" hidden="false" customHeight="true" outlineLevel="0" collapsed="false">
      <c r="A1906" s="7" t="n">
        <f aca="false">'Raw Data'!A1906</f>
        <v>2114</v>
      </c>
      <c r="B1906" s="7" t="n">
        <f aca="false">'Raw Data'!B1906</f>
        <v>36</v>
      </c>
      <c r="C1906" s="7" t="str">
        <f aca="false">'Raw Data'!C1906</f>
        <v>Male</v>
      </c>
      <c r="D1906" s="7" t="str">
        <f aca="false">'Raw Data'!D1906</f>
        <v>Former</v>
      </c>
      <c r="E1906" s="7" t="str">
        <f aca="false">'Raw Data'!J1906</f>
        <v>Normal</v>
      </c>
      <c r="F1906" s="7" t="n">
        <f aca="false">'Raw Data'!K1906</f>
        <v>179.8</v>
      </c>
      <c r="G1906" s="7" t="str">
        <f aca="false">'Raw Data'!L1906</f>
        <v>No</v>
      </c>
      <c r="H1906" s="7" t="str">
        <f aca="false">'Raw Data'!M1906</f>
        <v>Low</v>
      </c>
      <c r="I1906" s="7" t="n">
        <f aca="false">(IF(D1906="Current",3,IF(D1906="Former",1,0)))+(IF(E1906="High",3,IF(E1906="Normal",1,0)))+(IF(F1906&gt;=240,2,IF(F1906&gt;=200,1,0)))+(IF(G1906="Yes",2,0))+(IF(H1906="High",2,IF(H1906="Moderate",1,0)))</f>
        <v>2</v>
      </c>
      <c r="J1906" s="7" t="str">
        <f aca="false">IF(I1906&gt;=8,"High",IF(I1906&gt;=4,"Medium","Low"))</f>
        <v>Low</v>
      </c>
    </row>
    <row r="1907" customFormat="false" ht="15" hidden="false" customHeight="true" outlineLevel="0" collapsed="false">
      <c r="A1907" s="7" t="n">
        <f aca="false">'Raw Data'!A1907</f>
        <v>2117</v>
      </c>
      <c r="B1907" s="7" t="n">
        <f aca="false">'Raw Data'!B1907</f>
        <v>46</v>
      </c>
      <c r="C1907" s="7" t="str">
        <f aca="false">'Raw Data'!C1907</f>
        <v>Female</v>
      </c>
      <c r="D1907" s="7" t="str">
        <f aca="false">'Raw Data'!D1907</f>
        <v>Former</v>
      </c>
      <c r="E1907" s="7" t="str">
        <f aca="false">'Raw Data'!J1907</f>
        <v>Normal</v>
      </c>
      <c r="F1907" s="7" t="n">
        <f aca="false">'Raw Data'!K1907</f>
        <v>194.2</v>
      </c>
      <c r="G1907" s="7" t="str">
        <f aca="false">'Raw Data'!L1907</f>
        <v>No</v>
      </c>
      <c r="H1907" s="7" t="str">
        <f aca="false">'Raw Data'!M1907</f>
        <v>Low</v>
      </c>
      <c r="I1907" s="7" t="n">
        <f aca="false">(IF(D1907="Current",3,IF(D1907="Former",1,0)))+(IF(E1907="High",3,IF(E1907="Normal",1,0)))+(IF(F1907&gt;=240,2,IF(F1907&gt;=200,1,0)))+(IF(G1907="Yes",2,0))+(IF(H1907="High",2,IF(H1907="Moderate",1,0)))</f>
        <v>2</v>
      </c>
      <c r="J1907" s="7" t="str">
        <f aca="false">IF(I1907&gt;=8,"High",IF(I1907&gt;=4,"Medium","Low"))</f>
        <v>Low</v>
      </c>
    </row>
    <row r="1908" customFormat="false" ht="15" hidden="false" customHeight="true" outlineLevel="0" collapsed="false">
      <c r="A1908" s="7" t="n">
        <f aca="false">'Raw Data'!A1908</f>
        <v>2153</v>
      </c>
      <c r="B1908" s="7" t="n">
        <f aca="false">'Raw Data'!B1908</f>
        <v>45</v>
      </c>
      <c r="C1908" s="7" t="str">
        <f aca="false">'Raw Data'!C1908</f>
        <v>Male</v>
      </c>
      <c r="D1908" s="7" t="str">
        <f aca="false">'Raw Data'!D1908</f>
        <v>Former</v>
      </c>
      <c r="E1908" s="7" t="str">
        <f aca="false">'Raw Data'!J1908</f>
        <v>Normal</v>
      </c>
      <c r="F1908" s="7" t="n">
        <f aca="false">'Raw Data'!K1908</f>
        <v>211.4</v>
      </c>
      <c r="G1908" s="7" t="str">
        <f aca="false">'Raw Data'!L1908</f>
        <v>No</v>
      </c>
      <c r="H1908" s="7" t="str">
        <f aca="false">'Raw Data'!M1908</f>
        <v>Low</v>
      </c>
      <c r="I1908" s="7" t="n">
        <f aca="false">(IF(D1908="Current",3,IF(D1908="Former",1,0)))+(IF(E1908="High",3,IF(E1908="Normal",1,0)))+(IF(F1908&gt;=240,2,IF(F1908&gt;=200,1,0)))+(IF(G1908="Yes",2,0))+(IF(H1908="High",2,IF(H1908="Moderate",1,0)))</f>
        <v>3</v>
      </c>
      <c r="J1908" s="7" t="str">
        <f aca="false">IF(I1908&gt;=8,"High",IF(I1908&gt;=4,"Medium","Low"))</f>
        <v>Low</v>
      </c>
    </row>
    <row r="1909" customFormat="false" ht="15" hidden="false" customHeight="true" outlineLevel="0" collapsed="false">
      <c r="A1909" s="7" t="n">
        <f aca="false">'Raw Data'!A1909</f>
        <v>2164</v>
      </c>
      <c r="B1909" s="7" t="n">
        <f aca="false">'Raw Data'!B1909</f>
        <v>44</v>
      </c>
      <c r="C1909" s="7" t="str">
        <f aca="false">'Raw Data'!C1909</f>
        <v>Female</v>
      </c>
      <c r="D1909" s="7" t="str">
        <f aca="false">'Raw Data'!D1909</f>
        <v>Former</v>
      </c>
      <c r="E1909" s="7" t="str">
        <f aca="false">'Raw Data'!J1909</f>
        <v>Normal</v>
      </c>
      <c r="F1909" s="7" t="n">
        <f aca="false">'Raw Data'!K1909</f>
        <v>279.1</v>
      </c>
      <c r="G1909" s="7" t="str">
        <f aca="false">'Raw Data'!L1909</f>
        <v>No</v>
      </c>
      <c r="H1909" s="7" t="str">
        <f aca="false">'Raw Data'!M1909</f>
        <v>Low</v>
      </c>
      <c r="I1909" s="7" t="n">
        <f aca="false">(IF(D1909="Current",3,IF(D1909="Former",1,0)))+(IF(E1909="High",3,IF(E1909="Normal",1,0)))+(IF(F1909&gt;=240,2,IF(F1909&gt;=200,1,0)))+(IF(G1909="Yes",2,0))+(IF(H1909="High",2,IF(H1909="Moderate",1,0)))</f>
        <v>4</v>
      </c>
      <c r="J1909" s="7" t="str">
        <f aca="false">IF(I1909&gt;=8,"High",IF(I1909&gt;=4,"Medium","Low"))</f>
        <v>Medium</v>
      </c>
    </row>
    <row r="1910" customFormat="false" ht="15" hidden="false" customHeight="true" outlineLevel="0" collapsed="false">
      <c r="A1910" s="7" t="n">
        <f aca="false">'Raw Data'!A1910</f>
        <v>2217</v>
      </c>
      <c r="B1910" s="7" t="n">
        <f aca="false">'Raw Data'!B1910</f>
        <v>43</v>
      </c>
      <c r="C1910" s="7" t="str">
        <f aca="false">'Raw Data'!C1910</f>
        <v>Male</v>
      </c>
      <c r="D1910" s="7" t="str">
        <f aca="false">'Raw Data'!D1910</f>
        <v>Former</v>
      </c>
      <c r="E1910" s="7" t="str">
        <f aca="false">'Raw Data'!J1910</f>
        <v>Normal</v>
      </c>
      <c r="F1910" s="7" t="n">
        <f aca="false">'Raw Data'!K1910</f>
        <v>286</v>
      </c>
      <c r="G1910" s="7" t="str">
        <f aca="false">'Raw Data'!L1910</f>
        <v>No</v>
      </c>
      <c r="H1910" s="7" t="str">
        <f aca="false">'Raw Data'!M1910</f>
        <v>Low</v>
      </c>
      <c r="I1910" s="7" t="n">
        <f aca="false">(IF(D1910="Current",3,IF(D1910="Former",1,0)))+(IF(E1910="High",3,IF(E1910="Normal",1,0)))+(IF(F1910&gt;=240,2,IF(F1910&gt;=200,1,0)))+(IF(G1910="Yes",2,0))+(IF(H1910="High",2,IF(H1910="Moderate",1,0)))</f>
        <v>4</v>
      </c>
      <c r="J1910" s="7" t="str">
        <f aca="false">IF(I1910&gt;=8,"High",IF(I1910&gt;=4,"Medium","Low"))</f>
        <v>Medium</v>
      </c>
    </row>
    <row r="1911" customFormat="false" ht="15" hidden="false" customHeight="true" outlineLevel="0" collapsed="false">
      <c r="A1911" s="7" t="n">
        <f aca="false">'Raw Data'!A1911</f>
        <v>2247</v>
      </c>
      <c r="B1911" s="7" t="n">
        <f aca="false">'Raw Data'!B1911</f>
        <v>42</v>
      </c>
      <c r="C1911" s="7" t="str">
        <f aca="false">'Raw Data'!C1911</f>
        <v>Female</v>
      </c>
      <c r="D1911" s="7" t="str">
        <f aca="false">'Raw Data'!D1911</f>
        <v>Former</v>
      </c>
      <c r="E1911" s="7" t="str">
        <f aca="false">'Raw Data'!J1911</f>
        <v>Normal</v>
      </c>
      <c r="F1911" s="7" t="n">
        <f aca="false">'Raw Data'!K1911</f>
        <v>131.1</v>
      </c>
      <c r="G1911" s="7" t="str">
        <f aca="false">'Raw Data'!L1911</f>
        <v>No</v>
      </c>
      <c r="H1911" s="7" t="str">
        <f aca="false">'Raw Data'!M1911</f>
        <v>Low</v>
      </c>
      <c r="I1911" s="7" t="n">
        <f aca="false">(IF(D1911="Current",3,IF(D1911="Former",1,0)))+(IF(E1911="High",3,IF(E1911="Normal",1,0)))+(IF(F1911&gt;=240,2,IF(F1911&gt;=200,1,0)))+(IF(G1911="Yes",2,0))+(IF(H1911="High",2,IF(H1911="Moderate",1,0)))</f>
        <v>2</v>
      </c>
      <c r="J1911" s="7" t="str">
        <f aca="false">IF(I1911&gt;=8,"High",IF(I1911&gt;=4,"Medium","Low"))</f>
        <v>Low</v>
      </c>
    </row>
    <row r="1912" customFormat="false" ht="15" hidden="false" customHeight="true" outlineLevel="0" collapsed="false">
      <c r="A1912" s="7" t="n">
        <f aca="false">'Raw Data'!A1912</f>
        <v>2267</v>
      </c>
      <c r="B1912" s="7" t="n">
        <f aca="false">'Raw Data'!B1912</f>
        <v>74</v>
      </c>
      <c r="C1912" s="7" t="str">
        <f aca="false">'Raw Data'!C1912</f>
        <v>Female</v>
      </c>
      <c r="D1912" s="7" t="str">
        <f aca="false">'Raw Data'!D1912</f>
        <v>Former</v>
      </c>
      <c r="E1912" s="7" t="str">
        <f aca="false">'Raw Data'!J1912</f>
        <v>Normal</v>
      </c>
      <c r="F1912" s="7" t="n">
        <f aca="false">'Raw Data'!K1912</f>
        <v>282.3</v>
      </c>
      <c r="G1912" s="7" t="str">
        <f aca="false">'Raw Data'!L1912</f>
        <v>No</v>
      </c>
      <c r="H1912" s="7" t="str">
        <f aca="false">'Raw Data'!M1912</f>
        <v>Low</v>
      </c>
      <c r="I1912" s="7" t="n">
        <f aca="false">(IF(D1912="Current",3,IF(D1912="Former",1,0)))+(IF(E1912="High",3,IF(E1912="Normal",1,0)))+(IF(F1912&gt;=240,2,IF(F1912&gt;=200,1,0)))+(IF(G1912="Yes",2,0))+(IF(H1912="High",2,IF(H1912="Moderate",1,0)))</f>
        <v>4</v>
      </c>
      <c r="J1912" s="7" t="str">
        <f aca="false">IF(I1912&gt;=8,"High",IF(I1912&gt;=4,"Medium","Low"))</f>
        <v>Medium</v>
      </c>
    </row>
    <row r="1913" customFormat="false" ht="15" hidden="false" customHeight="true" outlineLevel="0" collapsed="false">
      <c r="A1913" s="7" t="n">
        <f aca="false">'Raw Data'!A1913</f>
        <v>2291</v>
      </c>
      <c r="B1913" s="7" t="n">
        <f aca="false">'Raw Data'!B1913</f>
        <v>26</v>
      </c>
      <c r="C1913" s="7" t="str">
        <f aca="false">'Raw Data'!C1913</f>
        <v>Female</v>
      </c>
      <c r="D1913" s="7" t="str">
        <f aca="false">'Raw Data'!D1913</f>
        <v>Former</v>
      </c>
      <c r="E1913" s="7" t="str">
        <f aca="false">'Raw Data'!J1913</f>
        <v>Normal</v>
      </c>
      <c r="F1913" s="7" t="n">
        <f aca="false">'Raw Data'!K1913</f>
        <v>269.3</v>
      </c>
      <c r="G1913" s="7" t="str">
        <f aca="false">'Raw Data'!L1913</f>
        <v>No</v>
      </c>
      <c r="H1913" s="7" t="str">
        <f aca="false">'Raw Data'!M1913</f>
        <v>Low</v>
      </c>
      <c r="I1913" s="7" t="n">
        <f aca="false">(IF(D1913="Current",3,IF(D1913="Former",1,0)))+(IF(E1913="High",3,IF(E1913="Normal",1,0)))+(IF(F1913&gt;=240,2,IF(F1913&gt;=200,1,0)))+(IF(G1913="Yes",2,0))+(IF(H1913="High",2,IF(H1913="Moderate",1,0)))</f>
        <v>4</v>
      </c>
      <c r="J1913" s="7" t="str">
        <f aca="false">IF(I1913&gt;=8,"High",IF(I1913&gt;=4,"Medium","Low"))</f>
        <v>Medium</v>
      </c>
    </row>
    <row r="1914" customFormat="false" ht="15" hidden="false" customHeight="true" outlineLevel="0" collapsed="false">
      <c r="A1914" s="7" t="n">
        <f aca="false">'Raw Data'!A1914</f>
        <v>2294</v>
      </c>
      <c r="B1914" s="7" t="n">
        <f aca="false">'Raw Data'!B1914</f>
        <v>74</v>
      </c>
      <c r="C1914" s="7" t="str">
        <f aca="false">'Raw Data'!C1914</f>
        <v>Female</v>
      </c>
      <c r="D1914" s="7" t="str">
        <f aca="false">'Raw Data'!D1914</f>
        <v>Former</v>
      </c>
      <c r="E1914" s="7" t="str">
        <f aca="false">'Raw Data'!J1914</f>
        <v>Normal</v>
      </c>
      <c r="F1914" s="7" t="n">
        <f aca="false">'Raw Data'!K1914</f>
        <v>180.5</v>
      </c>
      <c r="G1914" s="7" t="str">
        <f aca="false">'Raw Data'!L1914</f>
        <v>No</v>
      </c>
      <c r="H1914" s="7" t="str">
        <f aca="false">'Raw Data'!M1914</f>
        <v>Low</v>
      </c>
      <c r="I1914" s="7" t="n">
        <f aca="false">(IF(D1914="Current",3,IF(D1914="Former",1,0)))+(IF(E1914="High",3,IF(E1914="Normal",1,0)))+(IF(F1914&gt;=240,2,IF(F1914&gt;=200,1,0)))+(IF(G1914="Yes",2,0))+(IF(H1914="High",2,IF(H1914="Moderate",1,0)))</f>
        <v>2</v>
      </c>
      <c r="J1914" s="7" t="str">
        <f aca="false">IF(I1914&gt;=8,"High",IF(I1914&gt;=4,"Medium","Low"))</f>
        <v>Low</v>
      </c>
    </row>
    <row r="1915" customFormat="false" ht="15" hidden="false" customHeight="true" outlineLevel="0" collapsed="false">
      <c r="A1915" s="7" t="n">
        <f aca="false">'Raw Data'!A1915</f>
        <v>2295</v>
      </c>
      <c r="B1915" s="7" t="n">
        <f aca="false">'Raw Data'!B1915</f>
        <v>18</v>
      </c>
      <c r="C1915" s="7" t="str">
        <f aca="false">'Raw Data'!C1915</f>
        <v>Male</v>
      </c>
      <c r="D1915" s="7" t="str">
        <f aca="false">'Raw Data'!D1915</f>
        <v>Former</v>
      </c>
      <c r="E1915" s="7" t="str">
        <f aca="false">'Raw Data'!J1915</f>
        <v>Normal</v>
      </c>
      <c r="F1915" s="7" t="n">
        <f aca="false">'Raw Data'!K1915</f>
        <v>131.2</v>
      </c>
      <c r="G1915" s="7" t="str">
        <f aca="false">'Raw Data'!L1915</f>
        <v>No</v>
      </c>
      <c r="H1915" s="7" t="str">
        <f aca="false">'Raw Data'!M1915</f>
        <v>Low</v>
      </c>
      <c r="I1915" s="7" t="n">
        <f aca="false">(IF(D1915="Current",3,IF(D1915="Former",1,0)))+(IF(E1915="High",3,IF(E1915="Normal",1,0)))+(IF(F1915&gt;=240,2,IF(F1915&gt;=200,1,0)))+(IF(G1915="Yes",2,0))+(IF(H1915="High",2,IF(H1915="Moderate",1,0)))</f>
        <v>2</v>
      </c>
      <c r="J1915" s="7" t="str">
        <f aca="false">IF(I1915&gt;=8,"High",IF(I1915&gt;=4,"Medium","Low"))</f>
        <v>Low</v>
      </c>
    </row>
    <row r="1916" customFormat="false" ht="15" hidden="false" customHeight="true" outlineLevel="0" collapsed="false">
      <c r="A1916" s="7" t="n">
        <f aca="false">'Raw Data'!A1916</f>
        <v>2308</v>
      </c>
      <c r="B1916" s="7" t="n">
        <f aca="false">'Raw Data'!B1916</f>
        <v>22</v>
      </c>
      <c r="C1916" s="7" t="str">
        <f aca="false">'Raw Data'!C1916</f>
        <v>Female</v>
      </c>
      <c r="D1916" s="7" t="str">
        <f aca="false">'Raw Data'!D1916</f>
        <v>Former</v>
      </c>
      <c r="E1916" s="7" t="str">
        <f aca="false">'Raw Data'!J1916</f>
        <v>Normal</v>
      </c>
      <c r="F1916" s="7" t="n">
        <f aca="false">'Raw Data'!K1916</f>
        <v>236.6</v>
      </c>
      <c r="G1916" s="7" t="str">
        <f aca="false">'Raw Data'!L1916</f>
        <v>No</v>
      </c>
      <c r="H1916" s="7" t="str">
        <f aca="false">'Raw Data'!M1916</f>
        <v>Low</v>
      </c>
      <c r="I1916" s="7" t="n">
        <f aca="false">(IF(D1916="Current",3,IF(D1916="Former",1,0)))+(IF(E1916="High",3,IF(E1916="Normal",1,0)))+(IF(F1916&gt;=240,2,IF(F1916&gt;=200,1,0)))+(IF(G1916="Yes",2,0))+(IF(H1916="High",2,IF(H1916="Moderate",1,0)))</f>
        <v>3</v>
      </c>
      <c r="J1916" s="7" t="str">
        <f aca="false">IF(I1916&gt;=8,"High",IF(I1916&gt;=4,"Medium","Low"))</f>
        <v>Low</v>
      </c>
    </row>
    <row r="1917" customFormat="false" ht="15" hidden="false" customHeight="true" outlineLevel="0" collapsed="false">
      <c r="A1917" s="7" t="n">
        <f aca="false">'Raw Data'!A1917</f>
        <v>2326</v>
      </c>
      <c r="B1917" s="7" t="n">
        <f aca="false">'Raw Data'!B1917</f>
        <v>28</v>
      </c>
      <c r="C1917" s="7" t="str">
        <f aca="false">'Raw Data'!C1917</f>
        <v>Male</v>
      </c>
      <c r="D1917" s="7" t="str">
        <f aca="false">'Raw Data'!D1917</f>
        <v>Former</v>
      </c>
      <c r="E1917" s="7" t="str">
        <f aca="false">'Raw Data'!J1917</f>
        <v>Normal</v>
      </c>
      <c r="F1917" s="7" t="n">
        <f aca="false">'Raw Data'!K1917</f>
        <v>277.2</v>
      </c>
      <c r="G1917" s="7" t="str">
        <f aca="false">'Raw Data'!L1917</f>
        <v>No</v>
      </c>
      <c r="H1917" s="7" t="str">
        <f aca="false">'Raw Data'!M1917</f>
        <v>Low</v>
      </c>
      <c r="I1917" s="7" t="n">
        <f aca="false">(IF(D1917="Current",3,IF(D1917="Former",1,0)))+(IF(E1917="High",3,IF(E1917="Normal",1,0)))+(IF(F1917&gt;=240,2,IF(F1917&gt;=200,1,0)))+(IF(G1917="Yes",2,0))+(IF(H1917="High",2,IF(H1917="Moderate",1,0)))</f>
        <v>4</v>
      </c>
      <c r="J1917" s="7" t="str">
        <f aca="false">IF(I1917&gt;=8,"High",IF(I1917&gt;=4,"Medium","Low"))</f>
        <v>Medium</v>
      </c>
    </row>
    <row r="1918" customFormat="false" ht="15" hidden="false" customHeight="true" outlineLevel="0" collapsed="false">
      <c r="A1918" s="7" t="n">
        <f aca="false">'Raw Data'!A1918</f>
        <v>2350</v>
      </c>
      <c r="B1918" s="7" t="n">
        <f aca="false">'Raw Data'!B1918</f>
        <v>45</v>
      </c>
      <c r="C1918" s="7" t="str">
        <f aca="false">'Raw Data'!C1918</f>
        <v>Female</v>
      </c>
      <c r="D1918" s="7" t="str">
        <f aca="false">'Raw Data'!D1918</f>
        <v>Former</v>
      </c>
      <c r="E1918" s="7" t="str">
        <f aca="false">'Raw Data'!J1918</f>
        <v>Normal</v>
      </c>
      <c r="F1918" s="7" t="n">
        <f aca="false">'Raw Data'!K1918</f>
        <v>250.9</v>
      </c>
      <c r="G1918" s="7" t="str">
        <f aca="false">'Raw Data'!L1918</f>
        <v>No</v>
      </c>
      <c r="H1918" s="7" t="str">
        <f aca="false">'Raw Data'!M1918</f>
        <v>Low</v>
      </c>
      <c r="I1918" s="7" t="n">
        <f aca="false">(IF(D1918="Current",3,IF(D1918="Former",1,0)))+(IF(E1918="High",3,IF(E1918="Normal",1,0)))+(IF(F1918&gt;=240,2,IF(F1918&gt;=200,1,0)))+(IF(G1918="Yes",2,0))+(IF(H1918="High",2,IF(H1918="Moderate",1,0)))</f>
        <v>4</v>
      </c>
      <c r="J1918" s="7" t="str">
        <f aca="false">IF(I1918&gt;=8,"High",IF(I1918&gt;=4,"Medium","Low"))</f>
        <v>Medium</v>
      </c>
    </row>
    <row r="1919" customFormat="false" ht="15" hidden="false" customHeight="true" outlineLevel="0" collapsed="false">
      <c r="A1919" s="7" t="n">
        <f aca="false">'Raw Data'!A1919</f>
        <v>2352</v>
      </c>
      <c r="B1919" s="7" t="n">
        <f aca="false">'Raw Data'!B1919</f>
        <v>48</v>
      </c>
      <c r="C1919" s="7" t="str">
        <f aca="false">'Raw Data'!C1919</f>
        <v>Male</v>
      </c>
      <c r="D1919" s="7" t="str">
        <f aca="false">'Raw Data'!D1919</f>
        <v>Former</v>
      </c>
      <c r="E1919" s="7" t="str">
        <f aca="false">'Raw Data'!J1919</f>
        <v>Normal</v>
      </c>
      <c r="F1919" s="7" t="n">
        <f aca="false">'Raw Data'!K1919</f>
        <v>178.8</v>
      </c>
      <c r="G1919" s="7" t="str">
        <f aca="false">'Raw Data'!L1919</f>
        <v>No</v>
      </c>
      <c r="H1919" s="7" t="str">
        <f aca="false">'Raw Data'!M1919</f>
        <v>Low</v>
      </c>
      <c r="I1919" s="7" t="n">
        <f aca="false">(IF(D1919="Current",3,IF(D1919="Former",1,0)))+(IF(E1919="High",3,IF(E1919="Normal",1,0)))+(IF(F1919&gt;=240,2,IF(F1919&gt;=200,1,0)))+(IF(G1919="Yes",2,0))+(IF(H1919="High",2,IF(H1919="Moderate",1,0)))</f>
        <v>2</v>
      </c>
      <c r="J1919" s="7" t="str">
        <f aca="false">IF(I1919&gt;=8,"High",IF(I1919&gt;=4,"Medium","Low"))</f>
        <v>Low</v>
      </c>
    </row>
    <row r="1920" customFormat="false" ht="15" hidden="false" customHeight="true" outlineLevel="0" collapsed="false">
      <c r="A1920" s="7" t="n">
        <f aca="false">'Raw Data'!A1920</f>
        <v>2371</v>
      </c>
      <c r="B1920" s="7" t="n">
        <f aca="false">'Raw Data'!B1920</f>
        <v>76</v>
      </c>
      <c r="C1920" s="7" t="str">
        <f aca="false">'Raw Data'!C1920</f>
        <v>Male</v>
      </c>
      <c r="D1920" s="7" t="str">
        <f aca="false">'Raw Data'!D1920</f>
        <v>Former</v>
      </c>
      <c r="E1920" s="7" t="str">
        <f aca="false">'Raw Data'!J1920</f>
        <v>Normal</v>
      </c>
      <c r="F1920" s="7" t="n">
        <f aca="false">'Raw Data'!K1920</f>
        <v>155.4</v>
      </c>
      <c r="G1920" s="7" t="str">
        <f aca="false">'Raw Data'!L1920</f>
        <v>No</v>
      </c>
      <c r="H1920" s="7" t="str">
        <f aca="false">'Raw Data'!M1920</f>
        <v>Low</v>
      </c>
      <c r="I1920" s="7" t="n">
        <f aca="false">(IF(D1920="Current",3,IF(D1920="Former",1,0)))+(IF(E1920="High",3,IF(E1920="Normal",1,0)))+(IF(F1920&gt;=240,2,IF(F1920&gt;=200,1,0)))+(IF(G1920="Yes",2,0))+(IF(H1920="High",2,IF(H1920="Moderate",1,0)))</f>
        <v>2</v>
      </c>
      <c r="J1920" s="7" t="str">
        <f aca="false">IF(I1920&gt;=8,"High",IF(I1920&gt;=4,"Medium","Low"))</f>
        <v>Low</v>
      </c>
    </row>
    <row r="1921" customFormat="false" ht="15" hidden="false" customHeight="true" outlineLevel="0" collapsed="false">
      <c r="A1921" s="7" t="n">
        <f aca="false">'Raw Data'!A1921</f>
        <v>2385</v>
      </c>
      <c r="B1921" s="7" t="n">
        <f aca="false">'Raw Data'!B1921</f>
        <v>18</v>
      </c>
      <c r="C1921" s="7" t="str">
        <f aca="false">'Raw Data'!C1921</f>
        <v>Female</v>
      </c>
      <c r="D1921" s="7" t="str">
        <f aca="false">'Raw Data'!D1921</f>
        <v>Former</v>
      </c>
      <c r="E1921" s="7" t="str">
        <f aca="false">'Raw Data'!J1921</f>
        <v>Normal</v>
      </c>
      <c r="F1921" s="7" t="n">
        <f aca="false">'Raw Data'!K1921</f>
        <v>144.3</v>
      </c>
      <c r="G1921" s="7" t="str">
        <f aca="false">'Raw Data'!L1921</f>
        <v>No</v>
      </c>
      <c r="H1921" s="7" t="str">
        <f aca="false">'Raw Data'!M1921</f>
        <v>Low</v>
      </c>
      <c r="I1921" s="7" t="n">
        <f aca="false">(IF(D1921="Current",3,IF(D1921="Former",1,0)))+(IF(E1921="High",3,IF(E1921="Normal",1,0)))+(IF(F1921&gt;=240,2,IF(F1921&gt;=200,1,0)))+(IF(G1921="Yes",2,0))+(IF(H1921="High",2,IF(H1921="Moderate",1,0)))</f>
        <v>2</v>
      </c>
      <c r="J1921" s="7" t="str">
        <f aca="false">IF(I1921&gt;=8,"High",IF(I1921&gt;=4,"Medium","Low"))</f>
        <v>Low</v>
      </c>
    </row>
    <row r="1922" customFormat="false" ht="15" hidden="false" customHeight="true" outlineLevel="0" collapsed="false">
      <c r="A1922" s="7" t="n">
        <f aca="false">'Raw Data'!A1922</f>
        <v>2391</v>
      </c>
      <c r="B1922" s="7" t="n">
        <f aca="false">'Raw Data'!B1922</f>
        <v>62</v>
      </c>
      <c r="C1922" s="7" t="str">
        <f aca="false">'Raw Data'!C1922</f>
        <v>Male</v>
      </c>
      <c r="D1922" s="7" t="str">
        <f aca="false">'Raw Data'!D1922</f>
        <v>Former</v>
      </c>
      <c r="E1922" s="7" t="str">
        <f aca="false">'Raw Data'!J1922</f>
        <v>Normal</v>
      </c>
      <c r="F1922" s="7" t="n">
        <f aca="false">'Raw Data'!K1922</f>
        <v>257.2</v>
      </c>
      <c r="G1922" s="7" t="str">
        <f aca="false">'Raw Data'!L1922</f>
        <v>No</v>
      </c>
      <c r="H1922" s="7" t="str">
        <f aca="false">'Raw Data'!M1922</f>
        <v>Low</v>
      </c>
      <c r="I1922" s="7" t="n">
        <f aca="false">(IF(D1922="Current",3,IF(D1922="Former",1,0)))+(IF(E1922="High",3,IF(E1922="Normal",1,0)))+(IF(F1922&gt;=240,2,IF(F1922&gt;=200,1,0)))+(IF(G1922="Yes",2,0))+(IF(H1922="High",2,IF(H1922="Moderate",1,0)))</f>
        <v>4</v>
      </c>
      <c r="J1922" s="7" t="str">
        <f aca="false">IF(I1922&gt;=8,"High",IF(I1922&gt;=4,"Medium","Low"))</f>
        <v>Medium</v>
      </c>
    </row>
    <row r="1923" customFormat="false" ht="15" hidden="false" customHeight="true" outlineLevel="0" collapsed="false">
      <c r="A1923" s="7" t="n">
        <f aca="false">'Raw Data'!A1923</f>
        <v>2399</v>
      </c>
      <c r="B1923" s="7" t="n">
        <f aca="false">'Raw Data'!B1923</f>
        <v>77</v>
      </c>
      <c r="C1923" s="7" t="str">
        <f aca="false">'Raw Data'!C1923</f>
        <v>Male</v>
      </c>
      <c r="D1923" s="7" t="str">
        <f aca="false">'Raw Data'!D1923</f>
        <v>Former</v>
      </c>
      <c r="E1923" s="7" t="str">
        <f aca="false">'Raw Data'!J1923</f>
        <v>Normal</v>
      </c>
      <c r="F1923" s="7" t="n">
        <f aca="false">'Raw Data'!K1923</f>
        <v>201.1</v>
      </c>
      <c r="G1923" s="7" t="str">
        <f aca="false">'Raw Data'!L1923</f>
        <v>No</v>
      </c>
      <c r="H1923" s="7" t="str">
        <f aca="false">'Raw Data'!M1923</f>
        <v>Low</v>
      </c>
      <c r="I1923" s="7" t="n">
        <f aca="false">(IF(D1923="Current",3,IF(D1923="Former",1,0)))+(IF(E1923="High",3,IF(E1923="Normal",1,0)))+(IF(F1923&gt;=240,2,IF(F1923&gt;=200,1,0)))+(IF(G1923="Yes",2,0))+(IF(H1923="High",2,IF(H1923="Moderate",1,0)))</f>
        <v>3</v>
      </c>
      <c r="J1923" s="7" t="str">
        <f aca="false">IF(I1923&gt;=8,"High",IF(I1923&gt;=4,"Medium","Low"))</f>
        <v>Low</v>
      </c>
    </row>
    <row r="1924" customFormat="false" ht="15" hidden="false" customHeight="true" outlineLevel="0" collapsed="false">
      <c r="A1924" s="7" t="n">
        <f aca="false">'Raw Data'!A1924</f>
        <v>2465</v>
      </c>
      <c r="B1924" s="7" t="n">
        <f aca="false">'Raw Data'!B1924</f>
        <v>24</v>
      </c>
      <c r="C1924" s="7" t="str">
        <f aca="false">'Raw Data'!C1924</f>
        <v>Female</v>
      </c>
      <c r="D1924" s="7" t="str">
        <f aca="false">'Raw Data'!D1924</f>
        <v>Former</v>
      </c>
      <c r="E1924" s="7" t="str">
        <f aca="false">'Raw Data'!J1924</f>
        <v>Normal</v>
      </c>
      <c r="F1924" s="7" t="n">
        <f aca="false">'Raw Data'!K1924</f>
        <v>290.8</v>
      </c>
      <c r="G1924" s="7" t="str">
        <f aca="false">'Raw Data'!L1924</f>
        <v>No</v>
      </c>
      <c r="H1924" s="7" t="str">
        <f aca="false">'Raw Data'!M1924</f>
        <v>Low</v>
      </c>
      <c r="I1924" s="7" t="n">
        <f aca="false">(IF(D1924="Current",3,IF(D1924="Former",1,0)))+(IF(E1924="High",3,IF(E1924="Normal",1,0)))+(IF(F1924&gt;=240,2,IF(F1924&gt;=200,1,0)))+(IF(G1924="Yes",2,0))+(IF(H1924="High",2,IF(H1924="Moderate",1,0)))</f>
        <v>4</v>
      </c>
      <c r="J1924" s="7" t="str">
        <f aca="false">IF(I1924&gt;=8,"High",IF(I1924&gt;=4,"Medium","Low"))</f>
        <v>Medium</v>
      </c>
    </row>
    <row r="1925" customFormat="false" ht="15" hidden="false" customHeight="true" outlineLevel="0" collapsed="false">
      <c r="A1925" s="7" t="n">
        <f aca="false">'Raw Data'!A1925</f>
        <v>2479</v>
      </c>
      <c r="B1925" s="7" t="n">
        <f aca="false">'Raw Data'!B1925</f>
        <v>27</v>
      </c>
      <c r="C1925" s="7" t="str">
        <f aca="false">'Raw Data'!C1925</f>
        <v>Male</v>
      </c>
      <c r="D1925" s="7" t="str">
        <f aca="false">'Raw Data'!D1925</f>
        <v>Former</v>
      </c>
      <c r="E1925" s="7" t="str">
        <f aca="false">'Raw Data'!J1925</f>
        <v>Normal</v>
      </c>
      <c r="F1925" s="7" t="n">
        <f aca="false">'Raw Data'!K1925</f>
        <v>183.9</v>
      </c>
      <c r="G1925" s="7" t="str">
        <f aca="false">'Raw Data'!L1925</f>
        <v>No</v>
      </c>
      <c r="H1925" s="7" t="str">
        <f aca="false">'Raw Data'!M1925</f>
        <v>Low</v>
      </c>
      <c r="I1925" s="7" t="n">
        <f aca="false">(IF(D1925="Current",3,IF(D1925="Former",1,0)))+(IF(E1925="High",3,IF(E1925="Normal",1,0)))+(IF(F1925&gt;=240,2,IF(F1925&gt;=200,1,0)))+(IF(G1925="Yes",2,0))+(IF(H1925="High",2,IF(H1925="Moderate",1,0)))</f>
        <v>2</v>
      </c>
      <c r="J1925" s="7" t="str">
        <f aca="false">IF(I1925&gt;=8,"High",IF(I1925&gt;=4,"Medium","Low"))</f>
        <v>Low</v>
      </c>
    </row>
    <row r="1926" customFormat="false" ht="15" hidden="false" customHeight="true" outlineLevel="0" collapsed="false">
      <c r="A1926" s="7" t="n">
        <f aca="false">'Raw Data'!A1926</f>
        <v>2480</v>
      </c>
      <c r="B1926" s="7" t="n">
        <f aca="false">'Raw Data'!B1926</f>
        <v>44</v>
      </c>
      <c r="C1926" s="7" t="str">
        <f aca="false">'Raw Data'!C1926</f>
        <v>Female</v>
      </c>
      <c r="D1926" s="7" t="str">
        <f aca="false">'Raw Data'!D1926</f>
        <v>Former</v>
      </c>
      <c r="E1926" s="7" t="str">
        <f aca="false">'Raw Data'!J1926</f>
        <v>Normal</v>
      </c>
      <c r="F1926" s="7" t="n">
        <f aca="false">'Raw Data'!K1926</f>
        <v>205.6</v>
      </c>
      <c r="G1926" s="7" t="str">
        <f aca="false">'Raw Data'!L1926</f>
        <v>No</v>
      </c>
      <c r="H1926" s="7" t="str">
        <f aca="false">'Raw Data'!M1926</f>
        <v>Low</v>
      </c>
      <c r="I1926" s="7" t="n">
        <f aca="false">(IF(D1926="Current",3,IF(D1926="Former",1,0)))+(IF(E1926="High",3,IF(E1926="Normal",1,0)))+(IF(F1926&gt;=240,2,IF(F1926&gt;=200,1,0)))+(IF(G1926="Yes",2,0))+(IF(H1926="High",2,IF(H1926="Moderate",1,0)))</f>
        <v>3</v>
      </c>
      <c r="J1926" s="7" t="str">
        <f aca="false">IF(I1926&gt;=8,"High",IF(I1926&gt;=4,"Medium","Low"))</f>
        <v>Low</v>
      </c>
    </row>
    <row r="1927" customFormat="false" ht="15" hidden="false" customHeight="true" outlineLevel="0" collapsed="false">
      <c r="A1927" s="7" t="n">
        <f aca="false">'Raw Data'!A1927</f>
        <v>24</v>
      </c>
      <c r="B1927" s="7" t="n">
        <f aca="false">'Raw Data'!B1927</f>
        <v>47</v>
      </c>
      <c r="C1927" s="7" t="str">
        <f aca="false">'Raw Data'!C1927</f>
        <v>Male</v>
      </c>
      <c r="D1927" s="7" t="str">
        <f aca="false">'Raw Data'!D1927</f>
        <v>Former</v>
      </c>
      <c r="E1927" s="7" t="str">
        <f aca="false">'Raw Data'!J1927</f>
        <v>Normal</v>
      </c>
      <c r="F1927" s="7" t="n">
        <f aca="false">'Raw Data'!K1927</f>
        <v>209.9</v>
      </c>
      <c r="G1927" s="7" t="str">
        <f aca="false">'Raw Data'!L1927</f>
        <v>No</v>
      </c>
      <c r="H1927" s="7" t="str">
        <f aca="false">'Raw Data'!M1927</f>
        <v>Moderate</v>
      </c>
      <c r="I1927" s="7" t="n">
        <f aca="false">(IF(D1927="Current",3,IF(D1927="Former",1,0)))+(IF(E1927="High",3,IF(E1927="Normal",1,0)))+(IF(F1927&gt;=240,2,IF(F1927&gt;=200,1,0)))+(IF(G1927="Yes",2,0))+(IF(H1927="High",2,IF(H1927="Moderate",1,0)))</f>
        <v>4</v>
      </c>
      <c r="J1927" s="7" t="str">
        <f aca="false">IF(I1927&gt;=8,"High",IF(I1927&gt;=4,"Medium","Low"))</f>
        <v>Medium</v>
      </c>
    </row>
    <row r="1928" customFormat="false" ht="15" hidden="false" customHeight="true" outlineLevel="0" collapsed="false">
      <c r="A1928" s="7" t="n">
        <f aca="false">'Raw Data'!A1928</f>
        <v>26</v>
      </c>
      <c r="B1928" s="7" t="n">
        <f aca="false">'Raw Data'!B1928</f>
        <v>80</v>
      </c>
      <c r="C1928" s="7" t="str">
        <f aca="false">'Raw Data'!C1928</f>
        <v>Male</v>
      </c>
      <c r="D1928" s="7" t="str">
        <f aca="false">'Raw Data'!D1928</f>
        <v>Former</v>
      </c>
      <c r="E1928" s="7" t="str">
        <f aca="false">'Raw Data'!J1928</f>
        <v>Normal</v>
      </c>
      <c r="F1928" s="7" t="n">
        <f aca="false">'Raw Data'!K1928</f>
        <v>187.1</v>
      </c>
      <c r="G1928" s="7" t="str">
        <f aca="false">'Raw Data'!L1928</f>
        <v>No</v>
      </c>
      <c r="H1928" s="7" t="str">
        <f aca="false">'Raw Data'!M1928</f>
        <v>Moderate</v>
      </c>
      <c r="I1928" s="7" t="n">
        <f aca="false">(IF(D1928="Current",3,IF(D1928="Former",1,0)))+(IF(E1928="High",3,IF(E1928="Normal",1,0)))+(IF(F1928&gt;=240,2,IF(F1928&gt;=200,1,0)))+(IF(G1928="Yes",2,0))+(IF(H1928="High",2,IF(H1928="Moderate",1,0)))</f>
        <v>3</v>
      </c>
      <c r="J1928" s="7" t="str">
        <f aca="false">IF(I1928&gt;=8,"High",IF(I1928&gt;=4,"Medium","Low"))</f>
        <v>Low</v>
      </c>
    </row>
    <row r="1929" customFormat="false" ht="15" hidden="false" customHeight="true" outlineLevel="0" collapsed="false">
      <c r="A1929" s="7" t="n">
        <f aca="false">'Raw Data'!A1929</f>
        <v>28</v>
      </c>
      <c r="B1929" s="7" t="n">
        <f aca="false">'Raw Data'!B1929</f>
        <v>43</v>
      </c>
      <c r="C1929" s="7" t="str">
        <f aca="false">'Raw Data'!C1929</f>
        <v>Male</v>
      </c>
      <c r="D1929" s="7" t="str">
        <f aca="false">'Raw Data'!D1929</f>
        <v>Former</v>
      </c>
      <c r="E1929" s="7" t="str">
        <f aca="false">'Raw Data'!J1929</f>
        <v>Normal</v>
      </c>
      <c r="F1929" s="7" t="n">
        <f aca="false">'Raw Data'!K1929</f>
        <v>210.3</v>
      </c>
      <c r="G1929" s="7" t="str">
        <f aca="false">'Raw Data'!L1929</f>
        <v>No</v>
      </c>
      <c r="H1929" s="7" t="str">
        <f aca="false">'Raw Data'!M1929</f>
        <v>Moderate</v>
      </c>
      <c r="I1929" s="7" t="n">
        <f aca="false">(IF(D1929="Current",3,IF(D1929="Former",1,0)))+(IF(E1929="High",3,IF(E1929="Normal",1,0)))+(IF(F1929&gt;=240,2,IF(F1929&gt;=200,1,0)))+(IF(G1929="Yes",2,0))+(IF(H1929="High",2,IF(H1929="Moderate",1,0)))</f>
        <v>4</v>
      </c>
      <c r="J1929" s="7" t="str">
        <f aca="false">IF(I1929&gt;=8,"High",IF(I1929&gt;=4,"Medium","Low"))</f>
        <v>Medium</v>
      </c>
    </row>
    <row r="1930" customFormat="false" ht="15" hidden="false" customHeight="true" outlineLevel="0" collapsed="false">
      <c r="A1930" s="7" t="n">
        <f aca="false">'Raw Data'!A1930</f>
        <v>39</v>
      </c>
      <c r="B1930" s="7" t="n">
        <f aca="false">'Raw Data'!B1930</f>
        <v>46</v>
      </c>
      <c r="C1930" s="7" t="str">
        <f aca="false">'Raw Data'!C1930</f>
        <v>Female</v>
      </c>
      <c r="D1930" s="7" t="str">
        <f aca="false">'Raw Data'!D1930</f>
        <v>Former</v>
      </c>
      <c r="E1930" s="7" t="str">
        <f aca="false">'Raw Data'!J1930</f>
        <v>Normal</v>
      </c>
      <c r="F1930" s="7" t="n">
        <f aca="false">'Raw Data'!K1930</f>
        <v>196.2</v>
      </c>
      <c r="G1930" s="7" t="str">
        <f aca="false">'Raw Data'!L1930</f>
        <v>No</v>
      </c>
      <c r="H1930" s="7" t="str">
        <f aca="false">'Raw Data'!M1930</f>
        <v>Moderate</v>
      </c>
      <c r="I1930" s="7" t="n">
        <f aca="false">(IF(D1930="Current",3,IF(D1930="Former",1,0)))+(IF(E1930="High",3,IF(E1930="Normal",1,0)))+(IF(F1930&gt;=240,2,IF(F1930&gt;=200,1,0)))+(IF(G1930="Yes",2,0))+(IF(H1930="High",2,IF(H1930="Moderate",1,0)))</f>
        <v>3</v>
      </c>
      <c r="J1930" s="7" t="str">
        <f aca="false">IF(I1930&gt;=8,"High",IF(I1930&gt;=4,"Medium","Low"))</f>
        <v>Low</v>
      </c>
    </row>
    <row r="1931" customFormat="false" ht="15" hidden="false" customHeight="true" outlineLevel="0" collapsed="false">
      <c r="A1931" s="7" t="n">
        <f aca="false">'Raw Data'!A1931</f>
        <v>86</v>
      </c>
      <c r="B1931" s="7" t="n">
        <f aca="false">'Raw Data'!B1931</f>
        <v>68</v>
      </c>
      <c r="C1931" s="7" t="str">
        <f aca="false">'Raw Data'!C1931</f>
        <v>Male</v>
      </c>
      <c r="D1931" s="7" t="str">
        <f aca="false">'Raw Data'!D1931</f>
        <v>Former</v>
      </c>
      <c r="E1931" s="7" t="str">
        <f aca="false">'Raw Data'!J1931</f>
        <v>Normal</v>
      </c>
      <c r="F1931" s="7" t="n">
        <f aca="false">'Raw Data'!K1931</f>
        <v>188</v>
      </c>
      <c r="G1931" s="7" t="str">
        <f aca="false">'Raw Data'!L1931</f>
        <v>No</v>
      </c>
      <c r="H1931" s="7" t="str">
        <f aca="false">'Raw Data'!M1931</f>
        <v>Moderate</v>
      </c>
      <c r="I1931" s="7" t="n">
        <f aca="false">(IF(D1931="Current",3,IF(D1931="Former",1,0)))+(IF(E1931="High",3,IF(E1931="Normal",1,0)))+(IF(F1931&gt;=240,2,IF(F1931&gt;=200,1,0)))+(IF(G1931="Yes",2,0))+(IF(H1931="High",2,IF(H1931="Moderate",1,0)))</f>
        <v>3</v>
      </c>
      <c r="J1931" s="7" t="str">
        <f aca="false">IF(I1931&gt;=8,"High",IF(I1931&gt;=4,"Medium","Low"))</f>
        <v>Low</v>
      </c>
    </row>
    <row r="1932" customFormat="false" ht="15" hidden="false" customHeight="true" outlineLevel="0" collapsed="false">
      <c r="A1932" s="7" t="n">
        <f aca="false">'Raw Data'!A1932</f>
        <v>89</v>
      </c>
      <c r="B1932" s="7" t="n">
        <f aca="false">'Raw Data'!B1932</f>
        <v>84</v>
      </c>
      <c r="C1932" s="7" t="str">
        <f aca="false">'Raw Data'!C1932</f>
        <v>Female</v>
      </c>
      <c r="D1932" s="7" t="str">
        <f aca="false">'Raw Data'!D1932</f>
        <v>Former</v>
      </c>
      <c r="E1932" s="7" t="str">
        <f aca="false">'Raw Data'!J1932</f>
        <v>Normal</v>
      </c>
      <c r="F1932" s="7" t="n">
        <f aca="false">'Raw Data'!K1932</f>
        <v>222.5</v>
      </c>
      <c r="G1932" s="7" t="str">
        <f aca="false">'Raw Data'!L1932</f>
        <v>No</v>
      </c>
      <c r="H1932" s="7" t="str">
        <f aca="false">'Raw Data'!M1932</f>
        <v>Moderate</v>
      </c>
      <c r="I1932" s="7" t="n">
        <f aca="false">(IF(D1932="Current",3,IF(D1932="Former",1,0)))+(IF(E1932="High",3,IF(E1932="Normal",1,0)))+(IF(F1932&gt;=240,2,IF(F1932&gt;=200,1,0)))+(IF(G1932="Yes",2,0))+(IF(H1932="High",2,IF(H1932="Moderate",1,0)))</f>
        <v>4</v>
      </c>
      <c r="J1932" s="7" t="str">
        <f aca="false">IF(I1932&gt;=8,"High",IF(I1932&gt;=4,"Medium","Low"))</f>
        <v>Medium</v>
      </c>
    </row>
    <row r="1933" customFormat="false" ht="15" hidden="false" customHeight="true" outlineLevel="0" collapsed="false">
      <c r="A1933" s="7" t="n">
        <f aca="false">'Raw Data'!A1933</f>
        <v>94</v>
      </c>
      <c r="B1933" s="7" t="n">
        <f aca="false">'Raw Data'!B1933</f>
        <v>39</v>
      </c>
      <c r="C1933" s="7" t="str">
        <f aca="false">'Raw Data'!C1933</f>
        <v>Male</v>
      </c>
      <c r="D1933" s="7" t="str">
        <f aca="false">'Raw Data'!D1933</f>
        <v>Former</v>
      </c>
      <c r="E1933" s="7" t="str">
        <f aca="false">'Raw Data'!J1933</f>
        <v>Normal</v>
      </c>
      <c r="F1933" s="7" t="n">
        <f aca="false">'Raw Data'!K1933</f>
        <v>243</v>
      </c>
      <c r="G1933" s="7" t="str">
        <f aca="false">'Raw Data'!L1933</f>
        <v>No</v>
      </c>
      <c r="H1933" s="7" t="str">
        <f aca="false">'Raw Data'!M1933</f>
        <v>Moderate</v>
      </c>
      <c r="I1933" s="7" t="n">
        <f aca="false">(IF(D1933="Current",3,IF(D1933="Former",1,0)))+(IF(E1933="High",3,IF(E1933="Normal",1,0)))+(IF(F1933&gt;=240,2,IF(F1933&gt;=200,1,0)))+(IF(G1933="Yes",2,0))+(IF(H1933="High",2,IF(H1933="Moderate",1,0)))</f>
        <v>5</v>
      </c>
      <c r="J1933" s="7" t="str">
        <f aca="false">IF(I1933&gt;=8,"High",IF(I1933&gt;=4,"Medium","Low"))</f>
        <v>Medium</v>
      </c>
    </row>
    <row r="1934" customFormat="false" ht="15" hidden="false" customHeight="true" outlineLevel="0" collapsed="false">
      <c r="A1934" s="7" t="n">
        <f aca="false">'Raw Data'!A1934</f>
        <v>99</v>
      </c>
      <c r="B1934" s="7" t="n">
        <f aca="false">'Raw Data'!B1934</f>
        <v>57</v>
      </c>
      <c r="C1934" s="7" t="str">
        <f aca="false">'Raw Data'!C1934</f>
        <v>Male</v>
      </c>
      <c r="D1934" s="7" t="str">
        <f aca="false">'Raw Data'!D1934</f>
        <v>Former</v>
      </c>
      <c r="E1934" s="7" t="str">
        <f aca="false">'Raw Data'!J1934</f>
        <v>Normal</v>
      </c>
      <c r="F1934" s="7" t="n">
        <f aca="false">'Raw Data'!K1934</f>
        <v>164.4</v>
      </c>
      <c r="G1934" s="7" t="str">
        <f aca="false">'Raw Data'!L1934</f>
        <v>No</v>
      </c>
      <c r="H1934" s="7" t="str">
        <f aca="false">'Raw Data'!M1934</f>
        <v>Moderate</v>
      </c>
      <c r="I1934" s="7" t="n">
        <f aca="false">(IF(D1934="Current",3,IF(D1934="Former",1,0)))+(IF(E1934="High",3,IF(E1934="Normal",1,0)))+(IF(F1934&gt;=240,2,IF(F1934&gt;=200,1,0)))+(IF(G1934="Yes",2,0))+(IF(H1934="High",2,IF(H1934="Moderate",1,0)))</f>
        <v>3</v>
      </c>
      <c r="J1934" s="7" t="str">
        <f aca="false">IF(I1934&gt;=8,"High",IF(I1934&gt;=4,"Medium","Low"))</f>
        <v>Low</v>
      </c>
    </row>
    <row r="1935" customFormat="false" ht="15" hidden="false" customHeight="true" outlineLevel="0" collapsed="false">
      <c r="A1935" s="7" t="n">
        <f aca="false">'Raw Data'!A1935</f>
        <v>133</v>
      </c>
      <c r="B1935" s="7" t="n">
        <f aca="false">'Raw Data'!B1935</f>
        <v>42</v>
      </c>
      <c r="C1935" s="7" t="str">
        <f aca="false">'Raw Data'!C1935</f>
        <v>Male</v>
      </c>
      <c r="D1935" s="7" t="str">
        <f aca="false">'Raw Data'!D1935</f>
        <v>Former</v>
      </c>
      <c r="E1935" s="7" t="str">
        <f aca="false">'Raw Data'!J1935</f>
        <v>Normal</v>
      </c>
      <c r="F1935" s="7" t="n">
        <f aca="false">'Raw Data'!K1935</f>
        <v>152.8</v>
      </c>
      <c r="G1935" s="7" t="str">
        <f aca="false">'Raw Data'!L1935</f>
        <v>No</v>
      </c>
      <c r="H1935" s="7" t="str">
        <f aca="false">'Raw Data'!M1935</f>
        <v>Moderate</v>
      </c>
      <c r="I1935" s="7" t="n">
        <f aca="false">(IF(D1935="Current",3,IF(D1935="Former",1,0)))+(IF(E1935="High",3,IF(E1935="Normal",1,0)))+(IF(F1935&gt;=240,2,IF(F1935&gt;=200,1,0)))+(IF(G1935="Yes",2,0))+(IF(H1935="High",2,IF(H1935="Moderate",1,0)))</f>
        <v>3</v>
      </c>
      <c r="J1935" s="7" t="str">
        <f aca="false">IF(I1935&gt;=8,"High",IF(I1935&gt;=4,"Medium","Low"))</f>
        <v>Low</v>
      </c>
    </row>
    <row r="1936" customFormat="false" ht="15" hidden="false" customHeight="true" outlineLevel="0" collapsed="false">
      <c r="A1936" s="7" t="n">
        <f aca="false">'Raw Data'!A1936</f>
        <v>145</v>
      </c>
      <c r="B1936" s="7" t="n">
        <f aca="false">'Raw Data'!B1936</f>
        <v>40</v>
      </c>
      <c r="C1936" s="7" t="str">
        <f aca="false">'Raw Data'!C1936</f>
        <v>Female</v>
      </c>
      <c r="D1936" s="7" t="str">
        <f aca="false">'Raw Data'!D1936</f>
        <v>Former</v>
      </c>
      <c r="E1936" s="7" t="str">
        <f aca="false">'Raw Data'!J1936</f>
        <v>Normal</v>
      </c>
      <c r="F1936" s="7" t="n">
        <f aca="false">'Raw Data'!K1936</f>
        <v>149.2</v>
      </c>
      <c r="G1936" s="7" t="str">
        <f aca="false">'Raw Data'!L1936</f>
        <v>Yes</v>
      </c>
      <c r="H1936" s="7" t="str">
        <f aca="false">'Raw Data'!M1936</f>
        <v>Moderate</v>
      </c>
      <c r="I1936" s="7" t="n">
        <f aca="false">(IF(D1936="Current",3,IF(D1936="Former",1,0)))+(IF(E1936="High",3,IF(E1936="Normal",1,0)))+(IF(F1936&gt;=240,2,IF(F1936&gt;=200,1,0)))+(IF(G1936="Yes",2,0))+(IF(H1936="High",2,IF(H1936="Moderate",1,0)))</f>
        <v>5</v>
      </c>
      <c r="J1936" s="7" t="str">
        <f aca="false">IF(I1936&gt;=8,"High",IF(I1936&gt;=4,"Medium","Low"))</f>
        <v>Medium</v>
      </c>
    </row>
    <row r="1937" customFormat="false" ht="15" hidden="false" customHeight="true" outlineLevel="0" collapsed="false">
      <c r="A1937" s="7" t="n">
        <f aca="false">'Raw Data'!A1937</f>
        <v>157</v>
      </c>
      <c r="B1937" s="7" t="n">
        <f aca="false">'Raw Data'!B1937</f>
        <v>59</v>
      </c>
      <c r="C1937" s="7" t="str">
        <f aca="false">'Raw Data'!C1937</f>
        <v>Female</v>
      </c>
      <c r="D1937" s="7" t="str">
        <f aca="false">'Raw Data'!D1937</f>
        <v>Former</v>
      </c>
      <c r="E1937" s="7" t="str">
        <f aca="false">'Raw Data'!J1937</f>
        <v>Normal</v>
      </c>
      <c r="F1937" s="7" t="n">
        <f aca="false">'Raw Data'!K1937</f>
        <v>268.1</v>
      </c>
      <c r="G1937" s="7" t="str">
        <f aca="false">'Raw Data'!L1937</f>
        <v>No</v>
      </c>
      <c r="H1937" s="7" t="str">
        <f aca="false">'Raw Data'!M1937</f>
        <v>Moderate</v>
      </c>
      <c r="I1937" s="7" t="n">
        <f aca="false">(IF(D1937="Current",3,IF(D1937="Former",1,0)))+(IF(E1937="High",3,IF(E1937="Normal",1,0)))+(IF(F1937&gt;=240,2,IF(F1937&gt;=200,1,0)))+(IF(G1937="Yes",2,0))+(IF(H1937="High",2,IF(H1937="Moderate",1,0)))</f>
        <v>5</v>
      </c>
      <c r="J1937" s="7" t="str">
        <f aca="false">IF(I1937&gt;=8,"High",IF(I1937&gt;=4,"Medium","Low"))</f>
        <v>Medium</v>
      </c>
    </row>
    <row r="1938" customFormat="false" ht="15" hidden="false" customHeight="true" outlineLevel="0" collapsed="false">
      <c r="A1938" s="7" t="n">
        <f aca="false">'Raw Data'!A1938</f>
        <v>166</v>
      </c>
      <c r="B1938" s="7" t="n">
        <f aca="false">'Raw Data'!B1938</f>
        <v>31</v>
      </c>
      <c r="C1938" s="7" t="str">
        <f aca="false">'Raw Data'!C1938</f>
        <v>Female</v>
      </c>
      <c r="D1938" s="7" t="str">
        <f aca="false">'Raw Data'!D1938</f>
        <v>Former</v>
      </c>
      <c r="E1938" s="7" t="str">
        <f aca="false">'Raw Data'!J1938</f>
        <v>Normal</v>
      </c>
      <c r="F1938" s="7" t="n">
        <f aca="false">'Raw Data'!K1938</f>
        <v>182.3</v>
      </c>
      <c r="G1938" s="7" t="str">
        <f aca="false">'Raw Data'!L1938</f>
        <v>Yes</v>
      </c>
      <c r="H1938" s="7" t="str">
        <f aca="false">'Raw Data'!M1938</f>
        <v>Moderate</v>
      </c>
      <c r="I1938" s="7" t="n">
        <f aca="false">(IF(D1938="Current",3,IF(D1938="Former",1,0)))+(IF(E1938="High",3,IF(E1938="Normal",1,0)))+(IF(F1938&gt;=240,2,IF(F1938&gt;=200,1,0)))+(IF(G1938="Yes",2,0))+(IF(H1938="High",2,IF(H1938="Moderate",1,0)))</f>
        <v>5</v>
      </c>
      <c r="J1938" s="7" t="str">
        <f aca="false">IF(I1938&gt;=8,"High",IF(I1938&gt;=4,"Medium","Low"))</f>
        <v>Medium</v>
      </c>
    </row>
    <row r="1939" customFormat="false" ht="15" hidden="false" customHeight="true" outlineLevel="0" collapsed="false">
      <c r="A1939" s="7" t="n">
        <f aca="false">'Raw Data'!A1939</f>
        <v>190</v>
      </c>
      <c r="B1939" s="7" t="n">
        <f aca="false">'Raw Data'!B1939</f>
        <v>75</v>
      </c>
      <c r="C1939" s="7" t="str">
        <f aca="false">'Raw Data'!C1939</f>
        <v>Female</v>
      </c>
      <c r="D1939" s="7" t="str">
        <f aca="false">'Raw Data'!D1939</f>
        <v>Former</v>
      </c>
      <c r="E1939" s="7" t="str">
        <f aca="false">'Raw Data'!J1939</f>
        <v>Normal</v>
      </c>
      <c r="F1939" s="7" t="n">
        <f aca="false">'Raw Data'!K1939</f>
        <v>154.9</v>
      </c>
      <c r="G1939" s="7" t="str">
        <f aca="false">'Raw Data'!L1939</f>
        <v>No</v>
      </c>
      <c r="H1939" s="7" t="str">
        <f aca="false">'Raw Data'!M1939</f>
        <v>Moderate</v>
      </c>
      <c r="I1939" s="7" t="n">
        <f aca="false">(IF(D1939="Current",3,IF(D1939="Former",1,0)))+(IF(E1939="High",3,IF(E1939="Normal",1,0)))+(IF(F1939&gt;=240,2,IF(F1939&gt;=200,1,0)))+(IF(G1939="Yes",2,0))+(IF(H1939="High",2,IF(H1939="Moderate",1,0)))</f>
        <v>3</v>
      </c>
      <c r="J1939" s="7" t="str">
        <f aca="false">IF(I1939&gt;=8,"High",IF(I1939&gt;=4,"Medium","Low"))</f>
        <v>Low</v>
      </c>
    </row>
    <row r="1940" customFormat="false" ht="15" hidden="false" customHeight="true" outlineLevel="0" collapsed="false">
      <c r="A1940" s="7" t="n">
        <f aca="false">'Raw Data'!A1940</f>
        <v>219</v>
      </c>
      <c r="B1940" s="7" t="n">
        <f aca="false">'Raw Data'!B1940</f>
        <v>87</v>
      </c>
      <c r="C1940" s="7" t="str">
        <f aca="false">'Raw Data'!C1940</f>
        <v>Male</v>
      </c>
      <c r="D1940" s="7" t="str">
        <f aca="false">'Raw Data'!D1940</f>
        <v>Former</v>
      </c>
      <c r="E1940" s="7" t="str">
        <f aca="false">'Raw Data'!J1940</f>
        <v>Normal</v>
      </c>
      <c r="F1940" s="7" t="n">
        <f aca="false">'Raw Data'!K1940</f>
        <v>235.7</v>
      </c>
      <c r="G1940" s="7" t="str">
        <f aca="false">'Raw Data'!L1940</f>
        <v>No</v>
      </c>
      <c r="H1940" s="7" t="str">
        <f aca="false">'Raw Data'!M1940</f>
        <v>Moderate</v>
      </c>
      <c r="I1940" s="7" t="n">
        <f aca="false">(IF(D1940="Current",3,IF(D1940="Former",1,0)))+(IF(E1940="High",3,IF(E1940="Normal",1,0)))+(IF(F1940&gt;=240,2,IF(F1940&gt;=200,1,0)))+(IF(G1940="Yes",2,0))+(IF(H1940="High",2,IF(H1940="Moderate",1,0)))</f>
        <v>4</v>
      </c>
      <c r="J1940" s="7" t="str">
        <f aca="false">IF(I1940&gt;=8,"High",IF(I1940&gt;=4,"Medium","Low"))</f>
        <v>Medium</v>
      </c>
    </row>
    <row r="1941" customFormat="false" ht="15" hidden="false" customHeight="true" outlineLevel="0" collapsed="false">
      <c r="A1941" s="7" t="n">
        <f aca="false">'Raw Data'!A1941</f>
        <v>234</v>
      </c>
      <c r="B1941" s="7" t="n">
        <f aca="false">'Raw Data'!B1941</f>
        <v>28</v>
      </c>
      <c r="C1941" s="7" t="str">
        <f aca="false">'Raw Data'!C1941</f>
        <v>Male</v>
      </c>
      <c r="D1941" s="7" t="str">
        <f aca="false">'Raw Data'!D1941</f>
        <v>Former</v>
      </c>
      <c r="E1941" s="7" t="str">
        <f aca="false">'Raw Data'!J1941</f>
        <v>Normal</v>
      </c>
      <c r="F1941" s="7" t="n">
        <f aca="false">'Raw Data'!K1941</f>
        <v>283.4</v>
      </c>
      <c r="G1941" s="7" t="str">
        <f aca="false">'Raw Data'!L1941</f>
        <v>No</v>
      </c>
      <c r="H1941" s="7" t="str">
        <f aca="false">'Raw Data'!M1941</f>
        <v>Moderate</v>
      </c>
      <c r="I1941" s="7" t="n">
        <f aca="false">(IF(D1941="Current",3,IF(D1941="Former",1,0)))+(IF(E1941="High",3,IF(E1941="Normal",1,0)))+(IF(F1941&gt;=240,2,IF(F1941&gt;=200,1,0)))+(IF(G1941="Yes",2,0))+(IF(H1941="High",2,IF(H1941="Moderate",1,0)))</f>
        <v>5</v>
      </c>
      <c r="J1941" s="7" t="str">
        <f aca="false">IF(I1941&gt;=8,"High",IF(I1941&gt;=4,"Medium","Low"))</f>
        <v>Medium</v>
      </c>
    </row>
    <row r="1942" customFormat="false" ht="15" hidden="false" customHeight="true" outlineLevel="0" collapsed="false">
      <c r="A1942" s="7" t="n">
        <f aca="false">'Raw Data'!A1942</f>
        <v>247</v>
      </c>
      <c r="B1942" s="7" t="n">
        <f aca="false">'Raw Data'!B1942</f>
        <v>70</v>
      </c>
      <c r="C1942" s="7" t="str">
        <f aca="false">'Raw Data'!C1942</f>
        <v>Male</v>
      </c>
      <c r="D1942" s="7" t="str">
        <f aca="false">'Raw Data'!D1942</f>
        <v>Former</v>
      </c>
      <c r="E1942" s="7" t="str">
        <f aca="false">'Raw Data'!J1942</f>
        <v>Normal</v>
      </c>
      <c r="F1942" s="7" t="n">
        <f aca="false">'Raw Data'!K1942</f>
        <v>151.9</v>
      </c>
      <c r="G1942" s="7" t="str">
        <f aca="false">'Raw Data'!L1942</f>
        <v>No</v>
      </c>
      <c r="H1942" s="7" t="str">
        <f aca="false">'Raw Data'!M1942</f>
        <v>Moderate</v>
      </c>
      <c r="I1942" s="7" t="n">
        <f aca="false">(IF(D1942="Current",3,IF(D1942="Former",1,0)))+(IF(E1942="High",3,IF(E1942="Normal",1,0)))+(IF(F1942&gt;=240,2,IF(F1942&gt;=200,1,0)))+(IF(G1942="Yes",2,0))+(IF(H1942="High",2,IF(H1942="Moderate",1,0)))</f>
        <v>3</v>
      </c>
      <c r="J1942" s="7" t="str">
        <f aca="false">IF(I1942&gt;=8,"High",IF(I1942&gt;=4,"Medium","Low"))</f>
        <v>Low</v>
      </c>
    </row>
    <row r="1943" customFormat="false" ht="15" hidden="false" customHeight="true" outlineLevel="0" collapsed="false">
      <c r="A1943" s="7" t="n">
        <f aca="false">'Raw Data'!A1943</f>
        <v>256</v>
      </c>
      <c r="B1943" s="7" t="n">
        <f aca="false">'Raw Data'!B1943</f>
        <v>88</v>
      </c>
      <c r="C1943" s="7" t="str">
        <f aca="false">'Raw Data'!C1943</f>
        <v>Female</v>
      </c>
      <c r="D1943" s="7" t="str">
        <f aca="false">'Raw Data'!D1943</f>
        <v>Former</v>
      </c>
      <c r="E1943" s="7" t="str">
        <f aca="false">'Raw Data'!J1943</f>
        <v>Normal</v>
      </c>
      <c r="F1943" s="7" t="n">
        <f aca="false">'Raw Data'!K1943</f>
        <v>145.7</v>
      </c>
      <c r="G1943" s="7" t="str">
        <f aca="false">'Raw Data'!L1943</f>
        <v>No</v>
      </c>
      <c r="H1943" s="7" t="str">
        <f aca="false">'Raw Data'!M1943</f>
        <v>Moderate</v>
      </c>
      <c r="I1943" s="7" t="n">
        <f aca="false">(IF(D1943="Current",3,IF(D1943="Former",1,0)))+(IF(E1943="High",3,IF(E1943="Normal",1,0)))+(IF(F1943&gt;=240,2,IF(F1943&gt;=200,1,0)))+(IF(G1943="Yes",2,0))+(IF(H1943="High",2,IF(H1943="Moderate",1,0)))</f>
        <v>3</v>
      </c>
      <c r="J1943" s="7" t="str">
        <f aca="false">IF(I1943&gt;=8,"High",IF(I1943&gt;=4,"Medium","Low"))</f>
        <v>Low</v>
      </c>
    </row>
    <row r="1944" customFormat="false" ht="15" hidden="false" customHeight="true" outlineLevel="0" collapsed="false">
      <c r="A1944" s="7" t="n">
        <f aca="false">'Raw Data'!A1944</f>
        <v>257</v>
      </c>
      <c r="B1944" s="7" t="n">
        <f aca="false">'Raw Data'!B1944</f>
        <v>52</v>
      </c>
      <c r="C1944" s="7" t="str">
        <f aca="false">'Raw Data'!C1944</f>
        <v>Female</v>
      </c>
      <c r="D1944" s="7" t="str">
        <f aca="false">'Raw Data'!D1944</f>
        <v>Former</v>
      </c>
      <c r="E1944" s="7" t="str">
        <f aca="false">'Raw Data'!J1944</f>
        <v>Normal</v>
      </c>
      <c r="F1944" s="7" t="n">
        <f aca="false">'Raw Data'!K1944</f>
        <v>124.4</v>
      </c>
      <c r="G1944" s="7" t="str">
        <f aca="false">'Raw Data'!L1944</f>
        <v>No</v>
      </c>
      <c r="H1944" s="7" t="str">
        <f aca="false">'Raw Data'!M1944</f>
        <v>Moderate</v>
      </c>
      <c r="I1944" s="7" t="n">
        <f aca="false">(IF(D1944="Current",3,IF(D1944="Former",1,0)))+(IF(E1944="High",3,IF(E1944="Normal",1,0)))+(IF(F1944&gt;=240,2,IF(F1944&gt;=200,1,0)))+(IF(G1944="Yes",2,0))+(IF(H1944="High",2,IF(H1944="Moderate",1,0)))</f>
        <v>3</v>
      </c>
      <c r="J1944" s="7" t="str">
        <f aca="false">IF(I1944&gt;=8,"High",IF(I1944&gt;=4,"Medium","Low"))</f>
        <v>Low</v>
      </c>
    </row>
    <row r="1945" customFormat="false" ht="15" hidden="false" customHeight="true" outlineLevel="0" collapsed="false">
      <c r="A1945" s="7" t="n">
        <f aca="false">'Raw Data'!A1945</f>
        <v>260</v>
      </c>
      <c r="B1945" s="7" t="n">
        <f aca="false">'Raw Data'!B1945</f>
        <v>34</v>
      </c>
      <c r="C1945" s="7" t="str">
        <f aca="false">'Raw Data'!C1945</f>
        <v>Male</v>
      </c>
      <c r="D1945" s="7" t="str">
        <f aca="false">'Raw Data'!D1945</f>
        <v>Former</v>
      </c>
      <c r="E1945" s="7" t="str">
        <f aca="false">'Raw Data'!J1945</f>
        <v>Normal</v>
      </c>
      <c r="F1945" s="7" t="n">
        <f aca="false">'Raw Data'!K1945</f>
        <v>256.7</v>
      </c>
      <c r="G1945" s="7" t="str">
        <f aca="false">'Raw Data'!L1945</f>
        <v>Yes</v>
      </c>
      <c r="H1945" s="7" t="str">
        <f aca="false">'Raw Data'!M1945</f>
        <v>Moderate</v>
      </c>
      <c r="I1945" s="7" t="n">
        <f aca="false">(IF(D1945="Current",3,IF(D1945="Former",1,0)))+(IF(E1945="High",3,IF(E1945="Normal",1,0)))+(IF(F1945&gt;=240,2,IF(F1945&gt;=200,1,0)))+(IF(G1945="Yes",2,0))+(IF(H1945="High",2,IF(H1945="Moderate",1,0)))</f>
        <v>7</v>
      </c>
      <c r="J1945" s="7" t="str">
        <f aca="false">IF(I1945&gt;=8,"High",IF(I1945&gt;=4,"Medium","Low"))</f>
        <v>Medium</v>
      </c>
    </row>
    <row r="1946" customFormat="false" ht="15" hidden="false" customHeight="true" outlineLevel="0" collapsed="false">
      <c r="A1946" s="7" t="n">
        <f aca="false">'Raw Data'!A1946</f>
        <v>265</v>
      </c>
      <c r="B1946" s="7" t="n">
        <f aca="false">'Raw Data'!B1946</f>
        <v>30</v>
      </c>
      <c r="C1946" s="7" t="str">
        <f aca="false">'Raw Data'!C1946</f>
        <v>Male</v>
      </c>
      <c r="D1946" s="7" t="str">
        <f aca="false">'Raw Data'!D1946</f>
        <v>Former</v>
      </c>
      <c r="E1946" s="7" t="str">
        <f aca="false">'Raw Data'!J1946</f>
        <v>Normal</v>
      </c>
      <c r="F1946" s="7" t="n">
        <f aca="false">'Raw Data'!K1946</f>
        <v>140.9</v>
      </c>
      <c r="G1946" s="7" t="str">
        <f aca="false">'Raw Data'!L1946</f>
        <v>Yes</v>
      </c>
      <c r="H1946" s="7" t="str">
        <f aca="false">'Raw Data'!M1946</f>
        <v>Moderate</v>
      </c>
      <c r="I1946" s="7" t="n">
        <f aca="false">(IF(D1946="Current",3,IF(D1946="Former",1,0)))+(IF(E1946="High",3,IF(E1946="Normal",1,0)))+(IF(F1946&gt;=240,2,IF(F1946&gt;=200,1,0)))+(IF(G1946="Yes",2,0))+(IF(H1946="High",2,IF(H1946="Moderate",1,0)))</f>
        <v>5</v>
      </c>
      <c r="J1946" s="7" t="str">
        <f aca="false">IF(I1946&gt;=8,"High",IF(I1946&gt;=4,"Medium","Low"))</f>
        <v>Medium</v>
      </c>
    </row>
    <row r="1947" customFormat="false" ht="15" hidden="false" customHeight="true" outlineLevel="0" collapsed="false">
      <c r="A1947" s="7" t="n">
        <f aca="false">'Raw Data'!A1947</f>
        <v>275</v>
      </c>
      <c r="B1947" s="7" t="n">
        <f aca="false">'Raw Data'!B1947</f>
        <v>76</v>
      </c>
      <c r="C1947" s="7" t="str">
        <f aca="false">'Raw Data'!C1947</f>
        <v>Female</v>
      </c>
      <c r="D1947" s="7" t="str">
        <f aca="false">'Raw Data'!D1947</f>
        <v>Former</v>
      </c>
      <c r="E1947" s="7" t="str">
        <f aca="false">'Raw Data'!J1947</f>
        <v>Normal</v>
      </c>
      <c r="F1947" s="7" t="n">
        <f aca="false">'Raw Data'!K1947</f>
        <v>205.2</v>
      </c>
      <c r="G1947" s="7" t="str">
        <f aca="false">'Raw Data'!L1947</f>
        <v>Yes</v>
      </c>
      <c r="H1947" s="7" t="str">
        <f aca="false">'Raw Data'!M1947</f>
        <v>Moderate</v>
      </c>
      <c r="I1947" s="7" t="n">
        <f aca="false">(IF(D1947="Current",3,IF(D1947="Former",1,0)))+(IF(E1947="High",3,IF(E1947="Normal",1,0)))+(IF(F1947&gt;=240,2,IF(F1947&gt;=200,1,0)))+(IF(G1947="Yes",2,0))+(IF(H1947="High",2,IF(H1947="Moderate",1,0)))</f>
        <v>6</v>
      </c>
      <c r="J1947" s="7" t="str">
        <f aca="false">IF(I1947&gt;=8,"High",IF(I1947&gt;=4,"Medium","Low"))</f>
        <v>Medium</v>
      </c>
    </row>
    <row r="1948" customFormat="false" ht="15" hidden="false" customHeight="true" outlineLevel="0" collapsed="false">
      <c r="A1948" s="7" t="n">
        <f aca="false">'Raw Data'!A1948</f>
        <v>296</v>
      </c>
      <c r="B1948" s="7" t="n">
        <f aca="false">'Raw Data'!B1948</f>
        <v>27</v>
      </c>
      <c r="C1948" s="7" t="str">
        <f aca="false">'Raw Data'!C1948</f>
        <v>Female</v>
      </c>
      <c r="D1948" s="7" t="str">
        <f aca="false">'Raw Data'!D1948</f>
        <v>Former</v>
      </c>
      <c r="E1948" s="7" t="str">
        <f aca="false">'Raw Data'!J1948</f>
        <v>Normal</v>
      </c>
      <c r="F1948" s="7" t="n">
        <f aca="false">'Raw Data'!K1948</f>
        <v>143.4</v>
      </c>
      <c r="G1948" s="7" t="str">
        <f aca="false">'Raw Data'!L1948</f>
        <v>No</v>
      </c>
      <c r="H1948" s="7" t="str">
        <f aca="false">'Raw Data'!M1948</f>
        <v>Moderate</v>
      </c>
      <c r="I1948" s="7" t="n">
        <f aca="false">(IF(D1948="Current",3,IF(D1948="Former",1,0)))+(IF(E1948="High",3,IF(E1948="Normal",1,0)))+(IF(F1948&gt;=240,2,IF(F1948&gt;=200,1,0)))+(IF(G1948="Yes",2,0))+(IF(H1948="High",2,IF(H1948="Moderate",1,0)))</f>
        <v>3</v>
      </c>
      <c r="J1948" s="7" t="str">
        <f aca="false">IF(I1948&gt;=8,"High",IF(I1948&gt;=4,"Medium","Low"))</f>
        <v>Low</v>
      </c>
    </row>
    <row r="1949" customFormat="false" ht="15" hidden="false" customHeight="true" outlineLevel="0" collapsed="false">
      <c r="A1949" s="7" t="n">
        <f aca="false">'Raw Data'!A1949</f>
        <v>309</v>
      </c>
      <c r="B1949" s="7" t="n">
        <f aca="false">'Raw Data'!B1949</f>
        <v>84</v>
      </c>
      <c r="C1949" s="7" t="str">
        <f aca="false">'Raw Data'!C1949</f>
        <v>Female</v>
      </c>
      <c r="D1949" s="7" t="str">
        <f aca="false">'Raw Data'!D1949</f>
        <v>Former</v>
      </c>
      <c r="E1949" s="7" t="str">
        <f aca="false">'Raw Data'!J1949</f>
        <v>Normal</v>
      </c>
      <c r="F1949" s="7" t="n">
        <f aca="false">'Raw Data'!K1949</f>
        <v>176.3</v>
      </c>
      <c r="G1949" s="7" t="str">
        <f aca="false">'Raw Data'!L1949</f>
        <v>Yes</v>
      </c>
      <c r="H1949" s="7" t="str">
        <f aca="false">'Raw Data'!M1949</f>
        <v>Moderate</v>
      </c>
      <c r="I1949" s="7" t="n">
        <f aca="false">(IF(D1949="Current",3,IF(D1949="Former",1,0)))+(IF(E1949="High",3,IF(E1949="Normal",1,0)))+(IF(F1949&gt;=240,2,IF(F1949&gt;=200,1,0)))+(IF(G1949="Yes",2,0))+(IF(H1949="High",2,IF(H1949="Moderate",1,0)))</f>
        <v>5</v>
      </c>
      <c r="J1949" s="7" t="str">
        <f aca="false">IF(I1949&gt;=8,"High",IF(I1949&gt;=4,"Medium","Low"))</f>
        <v>Medium</v>
      </c>
    </row>
    <row r="1950" customFormat="false" ht="15" hidden="false" customHeight="true" outlineLevel="0" collapsed="false">
      <c r="A1950" s="7" t="n">
        <f aca="false">'Raw Data'!A1950</f>
        <v>363</v>
      </c>
      <c r="B1950" s="7" t="n">
        <f aca="false">'Raw Data'!B1950</f>
        <v>69</v>
      </c>
      <c r="C1950" s="7" t="str">
        <f aca="false">'Raw Data'!C1950</f>
        <v>Male</v>
      </c>
      <c r="D1950" s="7" t="str">
        <f aca="false">'Raw Data'!D1950</f>
        <v>Former</v>
      </c>
      <c r="E1950" s="7" t="str">
        <f aca="false">'Raw Data'!J1950</f>
        <v>Normal</v>
      </c>
      <c r="F1950" s="7" t="n">
        <f aca="false">'Raw Data'!K1950</f>
        <v>226</v>
      </c>
      <c r="G1950" s="7" t="str">
        <f aca="false">'Raw Data'!L1950</f>
        <v>No</v>
      </c>
      <c r="H1950" s="7" t="str">
        <f aca="false">'Raw Data'!M1950</f>
        <v>Moderate</v>
      </c>
      <c r="I1950" s="7" t="n">
        <f aca="false">(IF(D1950="Current",3,IF(D1950="Former",1,0)))+(IF(E1950="High",3,IF(E1950="Normal",1,0)))+(IF(F1950&gt;=240,2,IF(F1950&gt;=200,1,0)))+(IF(G1950="Yes",2,0))+(IF(H1950="High",2,IF(H1950="Moderate",1,0)))</f>
        <v>4</v>
      </c>
      <c r="J1950" s="7" t="str">
        <f aca="false">IF(I1950&gt;=8,"High",IF(I1950&gt;=4,"Medium","Low"))</f>
        <v>Medium</v>
      </c>
    </row>
    <row r="1951" customFormat="false" ht="15" hidden="false" customHeight="true" outlineLevel="0" collapsed="false">
      <c r="A1951" s="7" t="n">
        <f aca="false">'Raw Data'!A1951</f>
        <v>394</v>
      </c>
      <c r="B1951" s="7" t="n">
        <f aca="false">'Raw Data'!B1951</f>
        <v>35</v>
      </c>
      <c r="C1951" s="7" t="str">
        <f aca="false">'Raw Data'!C1951</f>
        <v>Male</v>
      </c>
      <c r="D1951" s="7" t="str">
        <f aca="false">'Raw Data'!D1951</f>
        <v>Former</v>
      </c>
      <c r="E1951" s="7" t="str">
        <f aca="false">'Raw Data'!J1951</f>
        <v>Normal</v>
      </c>
      <c r="F1951" s="7" t="n">
        <f aca="false">'Raw Data'!K1951</f>
        <v>160.1</v>
      </c>
      <c r="G1951" s="7" t="str">
        <f aca="false">'Raw Data'!L1951</f>
        <v>No</v>
      </c>
      <c r="H1951" s="7" t="str">
        <f aca="false">'Raw Data'!M1951</f>
        <v>Moderate</v>
      </c>
      <c r="I1951" s="7" t="n">
        <f aca="false">(IF(D1951="Current",3,IF(D1951="Former",1,0)))+(IF(E1951="High",3,IF(E1951="Normal",1,0)))+(IF(F1951&gt;=240,2,IF(F1951&gt;=200,1,0)))+(IF(G1951="Yes",2,0))+(IF(H1951="High",2,IF(H1951="Moderate",1,0)))</f>
        <v>3</v>
      </c>
      <c r="J1951" s="7" t="str">
        <f aca="false">IF(I1951&gt;=8,"High",IF(I1951&gt;=4,"Medium","Low"))</f>
        <v>Low</v>
      </c>
    </row>
    <row r="1952" customFormat="false" ht="15" hidden="false" customHeight="true" outlineLevel="0" collapsed="false">
      <c r="A1952" s="7" t="n">
        <f aca="false">'Raw Data'!A1952</f>
        <v>415</v>
      </c>
      <c r="B1952" s="7" t="n">
        <f aca="false">'Raw Data'!B1952</f>
        <v>49</v>
      </c>
      <c r="C1952" s="7" t="str">
        <f aca="false">'Raw Data'!C1952</f>
        <v>Male</v>
      </c>
      <c r="D1952" s="7" t="str">
        <f aca="false">'Raw Data'!D1952</f>
        <v>Former</v>
      </c>
      <c r="E1952" s="7" t="str">
        <f aca="false">'Raw Data'!J1952</f>
        <v>Normal</v>
      </c>
      <c r="F1952" s="7" t="n">
        <f aca="false">'Raw Data'!K1952</f>
        <v>177.3</v>
      </c>
      <c r="G1952" s="7" t="str">
        <f aca="false">'Raw Data'!L1952</f>
        <v>No</v>
      </c>
      <c r="H1952" s="7" t="str">
        <f aca="false">'Raw Data'!M1952</f>
        <v>Moderate</v>
      </c>
      <c r="I1952" s="7" t="n">
        <f aca="false">(IF(D1952="Current",3,IF(D1952="Former",1,0)))+(IF(E1952="High",3,IF(E1952="Normal",1,0)))+(IF(F1952&gt;=240,2,IF(F1952&gt;=200,1,0)))+(IF(G1952="Yes",2,0))+(IF(H1952="High",2,IF(H1952="Moderate",1,0)))</f>
        <v>3</v>
      </c>
      <c r="J1952" s="7" t="str">
        <f aca="false">IF(I1952&gt;=8,"High",IF(I1952&gt;=4,"Medium","Low"))</f>
        <v>Low</v>
      </c>
    </row>
    <row r="1953" customFormat="false" ht="15" hidden="false" customHeight="true" outlineLevel="0" collapsed="false">
      <c r="A1953" s="7" t="n">
        <f aca="false">'Raw Data'!A1953</f>
        <v>431</v>
      </c>
      <c r="B1953" s="7" t="n">
        <f aca="false">'Raw Data'!B1953</f>
        <v>47</v>
      </c>
      <c r="C1953" s="7" t="str">
        <f aca="false">'Raw Data'!C1953</f>
        <v>Female</v>
      </c>
      <c r="D1953" s="7" t="str">
        <f aca="false">'Raw Data'!D1953</f>
        <v>Former</v>
      </c>
      <c r="E1953" s="7" t="str">
        <f aca="false">'Raw Data'!J1953</f>
        <v>Normal</v>
      </c>
      <c r="F1953" s="7" t="n">
        <f aca="false">'Raw Data'!K1953</f>
        <v>175.3</v>
      </c>
      <c r="G1953" s="7" t="str">
        <f aca="false">'Raw Data'!L1953</f>
        <v>Yes</v>
      </c>
      <c r="H1953" s="7" t="str">
        <f aca="false">'Raw Data'!M1953</f>
        <v>Moderate</v>
      </c>
      <c r="I1953" s="7" t="n">
        <f aca="false">(IF(D1953="Current",3,IF(D1953="Former",1,0)))+(IF(E1953="High",3,IF(E1953="Normal",1,0)))+(IF(F1953&gt;=240,2,IF(F1953&gt;=200,1,0)))+(IF(G1953="Yes",2,0))+(IF(H1953="High",2,IF(H1953="Moderate",1,0)))</f>
        <v>5</v>
      </c>
      <c r="J1953" s="7" t="str">
        <f aca="false">IF(I1953&gt;=8,"High",IF(I1953&gt;=4,"Medium","Low"))</f>
        <v>Medium</v>
      </c>
    </row>
    <row r="1954" customFormat="false" ht="15" hidden="false" customHeight="true" outlineLevel="0" collapsed="false">
      <c r="A1954" s="7" t="n">
        <f aca="false">'Raw Data'!A1954</f>
        <v>433</v>
      </c>
      <c r="B1954" s="7" t="n">
        <f aca="false">'Raw Data'!B1954</f>
        <v>44</v>
      </c>
      <c r="C1954" s="7" t="str">
        <f aca="false">'Raw Data'!C1954</f>
        <v>Male</v>
      </c>
      <c r="D1954" s="7" t="str">
        <f aca="false">'Raw Data'!D1954</f>
        <v>Former</v>
      </c>
      <c r="E1954" s="7" t="str">
        <f aca="false">'Raw Data'!J1954</f>
        <v>Normal</v>
      </c>
      <c r="F1954" s="7" t="n">
        <f aca="false">'Raw Data'!K1954</f>
        <v>222</v>
      </c>
      <c r="G1954" s="7" t="str">
        <f aca="false">'Raw Data'!L1954</f>
        <v>No</v>
      </c>
      <c r="H1954" s="7" t="str">
        <f aca="false">'Raw Data'!M1954</f>
        <v>Moderate</v>
      </c>
      <c r="I1954" s="7" t="n">
        <f aca="false">(IF(D1954="Current",3,IF(D1954="Former",1,0)))+(IF(E1954="High",3,IF(E1954="Normal",1,0)))+(IF(F1954&gt;=240,2,IF(F1954&gt;=200,1,0)))+(IF(G1954="Yes",2,0))+(IF(H1954="High",2,IF(H1954="Moderate",1,0)))</f>
        <v>4</v>
      </c>
      <c r="J1954" s="7" t="str">
        <f aca="false">IF(I1954&gt;=8,"High",IF(I1954&gt;=4,"Medium","Low"))</f>
        <v>Medium</v>
      </c>
    </row>
    <row r="1955" customFormat="false" ht="15" hidden="false" customHeight="true" outlineLevel="0" collapsed="false">
      <c r="A1955" s="7" t="n">
        <f aca="false">'Raw Data'!A1955</f>
        <v>451</v>
      </c>
      <c r="B1955" s="7" t="n">
        <f aca="false">'Raw Data'!B1955</f>
        <v>62</v>
      </c>
      <c r="C1955" s="7" t="str">
        <f aca="false">'Raw Data'!C1955</f>
        <v>Male</v>
      </c>
      <c r="D1955" s="7" t="str">
        <f aca="false">'Raw Data'!D1955</f>
        <v>Former</v>
      </c>
      <c r="E1955" s="7" t="str">
        <f aca="false">'Raw Data'!J1955</f>
        <v>Normal</v>
      </c>
      <c r="F1955" s="7" t="n">
        <f aca="false">'Raw Data'!K1955</f>
        <v>136.5</v>
      </c>
      <c r="G1955" s="7" t="str">
        <f aca="false">'Raw Data'!L1955</f>
        <v>No</v>
      </c>
      <c r="H1955" s="7" t="str">
        <f aca="false">'Raw Data'!M1955</f>
        <v>Moderate</v>
      </c>
      <c r="I1955" s="7" t="n">
        <f aca="false">(IF(D1955="Current",3,IF(D1955="Former",1,0)))+(IF(E1955="High",3,IF(E1955="Normal",1,0)))+(IF(F1955&gt;=240,2,IF(F1955&gt;=200,1,0)))+(IF(G1955="Yes",2,0))+(IF(H1955="High",2,IF(H1955="Moderate",1,0)))</f>
        <v>3</v>
      </c>
      <c r="J1955" s="7" t="str">
        <f aca="false">IF(I1955&gt;=8,"High",IF(I1955&gt;=4,"Medium","Low"))</f>
        <v>Low</v>
      </c>
    </row>
    <row r="1956" customFormat="false" ht="15" hidden="false" customHeight="true" outlineLevel="0" collapsed="false">
      <c r="A1956" s="7" t="n">
        <f aca="false">'Raw Data'!A1956</f>
        <v>460</v>
      </c>
      <c r="B1956" s="7" t="n">
        <f aca="false">'Raw Data'!B1956</f>
        <v>75</v>
      </c>
      <c r="C1956" s="7" t="str">
        <f aca="false">'Raw Data'!C1956</f>
        <v>Male</v>
      </c>
      <c r="D1956" s="7" t="str">
        <f aca="false">'Raw Data'!D1956</f>
        <v>Former</v>
      </c>
      <c r="E1956" s="7" t="str">
        <f aca="false">'Raw Data'!J1956</f>
        <v>Normal</v>
      </c>
      <c r="F1956" s="7" t="n">
        <f aca="false">'Raw Data'!K1956</f>
        <v>191.7</v>
      </c>
      <c r="G1956" s="7" t="str">
        <f aca="false">'Raw Data'!L1956</f>
        <v>Yes</v>
      </c>
      <c r="H1956" s="7" t="str">
        <f aca="false">'Raw Data'!M1956</f>
        <v>Moderate</v>
      </c>
      <c r="I1956" s="7" t="n">
        <f aca="false">(IF(D1956="Current",3,IF(D1956="Former",1,0)))+(IF(E1956="High",3,IF(E1956="Normal",1,0)))+(IF(F1956&gt;=240,2,IF(F1956&gt;=200,1,0)))+(IF(G1956="Yes",2,0))+(IF(H1956="High",2,IF(H1956="Moderate",1,0)))</f>
        <v>5</v>
      </c>
      <c r="J1956" s="7" t="str">
        <f aca="false">IF(I1956&gt;=8,"High",IF(I1956&gt;=4,"Medium","Low"))</f>
        <v>Medium</v>
      </c>
    </row>
    <row r="1957" customFormat="false" ht="15" hidden="false" customHeight="true" outlineLevel="0" collapsed="false">
      <c r="A1957" s="7" t="n">
        <f aca="false">'Raw Data'!A1957</f>
        <v>471</v>
      </c>
      <c r="B1957" s="7" t="n">
        <f aca="false">'Raw Data'!B1957</f>
        <v>33</v>
      </c>
      <c r="C1957" s="7" t="str">
        <f aca="false">'Raw Data'!C1957</f>
        <v>Female</v>
      </c>
      <c r="D1957" s="7" t="str">
        <f aca="false">'Raw Data'!D1957</f>
        <v>Former</v>
      </c>
      <c r="E1957" s="7" t="str">
        <f aca="false">'Raw Data'!J1957</f>
        <v>Normal</v>
      </c>
      <c r="F1957" s="7" t="n">
        <f aca="false">'Raw Data'!K1957</f>
        <v>128.3</v>
      </c>
      <c r="G1957" s="7" t="str">
        <f aca="false">'Raw Data'!L1957</f>
        <v>No</v>
      </c>
      <c r="H1957" s="7" t="str">
        <f aca="false">'Raw Data'!M1957</f>
        <v>Moderate</v>
      </c>
      <c r="I1957" s="7" t="n">
        <f aca="false">(IF(D1957="Current",3,IF(D1957="Former",1,0)))+(IF(E1957="High",3,IF(E1957="Normal",1,0)))+(IF(F1957&gt;=240,2,IF(F1957&gt;=200,1,0)))+(IF(G1957="Yes",2,0))+(IF(H1957="High",2,IF(H1957="Moderate",1,0)))</f>
        <v>3</v>
      </c>
      <c r="J1957" s="7" t="str">
        <f aca="false">IF(I1957&gt;=8,"High",IF(I1957&gt;=4,"Medium","Low"))</f>
        <v>Low</v>
      </c>
    </row>
    <row r="1958" customFormat="false" ht="15" hidden="false" customHeight="true" outlineLevel="0" collapsed="false">
      <c r="A1958" s="7" t="n">
        <f aca="false">'Raw Data'!A1958</f>
        <v>483</v>
      </c>
      <c r="B1958" s="7" t="n">
        <f aca="false">'Raw Data'!B1958</f>
        <v>67</v>
      </c>
      <c r="C1958" s="7" t="str">
        <f aca="false">'Raw Data'!C1958</f>
        <v>Male</v>
      </c>
      <c r="D1958" s="7" t="str">
        <f aca="false">'Raw Data'!D1958</f>
        <v>Former</v>
      </c>
      <c r="E1958" s="7" t="str">
        <f aca="false">'Raw Data'!J1958</f>
        <v>Normal</v>
      </c>
      <c r="F1958" s="7" t="n">
        <f aca="false">'Raw Data'!K1958</f>
        <v>236.2</v>
      </c>
      <c r="G1958" s="7" t="str">
        <f aca="false">'Raw Data'!L1958</f>
        <v>Yes</v>
      </c>
      <c r="H1958" s="7" t="str">
        <f aca="false">'Raw Data'!M1958</f>
        <v>Moderate</v>
      </c>
      <c r="I1958" s="7" t="n">
        <f aca="false">(IF(D1958="Current",3,IF(D1958="Former",1,0)))+(IF(E1958="High",3,IF(E1958="Normal",1,0)))+(IF(F1958&gt;=240,2,IF(F1958&gt;=200,1,0)))+(IF(G1958="Yes",2,0))+(IF(H1958="High",2,IF(H1958="Moderate",1,0)))</f>
        <v>6</v>
      </c>
      <c r="J1958" s="7" t="str">
        <f aca="false">IF(I1958&gt;=8,"High",IF(I1958&gt;=4,"Medium","Low"))</f>
        <v>Medium</v>
      </c>
    </row>
    <row r="1959" customFormat="false" ht="15" hidden="false" customHeight="true" outlineLevel="0" collapsed="false">
      <c r="A1959" s="7" t="n">
        <f aca="false">'Raw Data'!A1959</f>
        <v>485</v>
      </c>
      <c r="B1959" s="7" t="n">
        <f aca="false">'Raw Data'!B1959</f>
        <v>19</v>
      </c>
      <c r="C1959" s="7" t="str">
        <f aca="false">'Raw Data'!C1959</f>
        <v>Male</v>
      </c>
      <c r="D1959" s="7" t="str">
        <f aca="false">'Raw Data'!D1959</f>
        <v>Former</v>
      </c>
      <c r="E1959" s="7" t="str">
        <f aca="false">'Raw Data'!J1959</f>
        <v>Normal</v>
      </c>
      <c r="F1959" s="7" t="n">
        <f aca="false">'Raw Data'!K1959</f>
        <v>259.5</v>
      </c>
      <c r="G1959" s="7" t="str">
        <f aca="false">'Raw Data'!L1959</f>
        <v>No</v>
      </c>
      <c r="H1959" s="7" t="str">
        <f aca="false">'Raw Data'!M1959</f>
        <v>Moderate</v>
      </c>
      <c r="I1959" s="7" t="n">
        <f aca="false">(IF(D1959="Current",3,IF(D1959="Former",1,0)))+(IF(E1959="High",3,IF(E1959="Normal",1,0)))+(IF(F1959&gt;=240,2,IF(F1959&gt;=200,1,0)))+(IF(G1959="Yes",2,0))+(IF(H1959="High",2,IF(H1959="Moderate",1,0)))</f>
        <v>5</v>
      </c>
      <c r="J1959" s="7" t="str">
        <f aca="false">IF(I1959&gt;=8,"High",IF(I1959&gt;=4,"Medium","Low"))</f>
        <v>Medium</v>
      </c>
    </row>
    <row r="1960" customFormat="false" ht="15" hidden="false" customHeight="true" outlineLevel="0" collapsed="false">
      <c r="A1960" s="7" t="n">
        <f aca="false">'Raw Data'!A1960</f>
        <v>525</v>
      </c>
      <c r="B1960" s="7" t="n">
        <f aca="false">'Raw Data'!B1960</f>
        <v>48</v>
      </c>
      <c r="C1960" s="7" t="str">
        <f aca="false">'Raw Data'!C1960</f>
        <v>Male</v>
      </c>
      <c r="D1960" s="7" t="str">
        <f aca="false">'Raw Data'!D1960</f>
        <v>Former</v>
      </c>
      <c r="E1960" s="7" t="str">
        <f aca="false">'Raw Data'!J1960</f>
        <v>Normal</v>
      </c>
      <c r="F1960" s="7" t="n">
        <f aca="false">'Raw Data'!K1960</f>
        <v>184.7</v>
      </c>
      <c r="G1960" s="7" t="str">
        <f aca="false">'Raw Data'!L1960</f>
        <v>No</v>
      </c>
      <c r="H1960" s="7" t="str">
        <f aca="false">'Raw Data'!M1960</f>
        <v>Moderate</v>
      </c>
      <c r="I1960" s="7" t="n">
        <f aca="false">(IF(D1960="Current",3,IF(D1960="Former",1,0)))+(IF(E1960="High",3,IF(E1960="Normal",1,0)))+(IF(F1960&gt;=240,2,IF(F1960&gt;=200,1,0)))+(IF(G1960="Yes",2,0))+(IF(H1960="High",2,IF(H1960="Moderate",1,0)))</f>
        <v>3</v>
      </c>
      <c r="J1960" s="7" t="str">
        <f aca="false">IF(I1960&gt;=8,"High",IF(I1960&gt;=4,"Medium","Low"))</f>
        <v>Low</v>
      </c>
    </row>
    <row r="1961" customFormat="false" ht="15" hidden="false" customHeight="true" outlineLevel="0" collapsed="false">
      <c r="A1961" s="7" t="n">
        <f aca="false">'Raw Data'!A1961</f>
        <v>544</v>
      </c>
      <c r="B1961" s="7" t="n">
        <f aca="false">'Raw Data'!B1961</f>
        <v>51</v>
      </c>
      <c r="C1961" s="7" t="str">
        <f aca="false">'Raw Data'!C1961</f>
        <v>Female</v>
      </c>
      <c r="D1961" s="7" t="str">
        <f aca="false">'Raw Data'!D1961</f>
        <v>Former</v>
      </c>
      <c r="E1961" s="7" t="str">
        <f aca="false">'Raw Data'!J1961</f>
        <v>Normal</v>
      </c>
      <c r="F1961" s="7" t="n">
        <f aca="false">'Raw Data'!K1961</f>
        <v>271.5</v>
      </c>
      <c r="G1961" s="7" t="str">
        <f aca="false">'Raw Data'!L1961</f>
        <v>Yes</v>
      </c>
      <c r="H1961" s="7" t="str">
        <f aca="false">'Raw Data'!M1961</f>
        <v>Moderate</v>
      </c>
      <c r="I1961" s="7" t="n">
        <f aca="false">(IF(D1961="Current",3,IF(D1961="Former",1,0)))+(IF(E1961="High",3,IF(E1961="Normal",1,0)))+(IF(F1961&gt;=240,2,IF(F1961&gt;=200,1,0)))+(IF(G1961="Yes",2,0))+(IF(H1961="High",2,IF(H1961="Moderate",1,0)))</f>
        <v>7</v>
      </c>
      <c r="J1961" s="7" t="str">
        <f aca="false">IF(I1961&gt;=8,"High",IF(I1961&gt;=4,"Medium","Low"))</f>
        <v>Medium</v>
      </c>
    </row>
    <row r="1962" customFormat="false" ht="15" hidden="false" customHeight="true" outlineLevel="0" collapsed="false">
      <c r="A1962" s="7" t="n">
        <f aca="false">'Raw Data'!A1962</f>
        <v>552</v>
      </c>
      <c r="B1962" s="7" t="n">
        <f aca="false">'Raw Data'!B1962</f>
        <v>34</v>
      </c>
      <c r="C1962" s="7" t="str">
        <f aca="false">'Raw Data'!C1962</f>
        <v>Male</v>
      </c>
      <c r="D1962" s="7" t="str">
        <f aca="false">'Raw Data'!D1962</f>
        <v>Former</v>
      </c>
      <c r="E1962" s="7" t="str">
        <f aca="false">'Raw Data'!J1962</f>
        <v>Normal</v>
      </c>
      <c r="F1962" s="7" t="n">
        <f aca="false">'Raw Data'!K1962</f>
        <v>174.3</v>
      </c>
      <c r="G1962" s="7" t="str">
        <f aca="false">'Raw Data'!L1962</f>
        <v>No</v>
      </c>
      <c r="H1962" s="7" t="str">
        <f aca="false">'Raw Data'!M1962</f>
        <v>Moderate</v>
      </c>
      <c r="I1962" s="7" t="n">
        <f aca="false">(IF(D1962="Current",3,IF(D1962="Former",1,0)))+(IF(E1962="High",3,IF(E1962="Normal",1,0)))+(IF(F1962&gt;=240,2,IF(F1962&gt;=200,1,0)))+(IF(G1962="Yes",2,0))+(IF(H1962="High",2,IF(H1962="Moderate",1,0)))</f>
        <v>3</v>
      </c>
      <c r="J1962" s="7" t="str">
        <f aca="false">IF(I1962&gt;=8,"High",IF(I1962&gt;=4,"Medium","Low"))</f>
        <v>Low</v>
      </c>
    </row>
    <row r="1963" customFormat="false" ht="15" hidden="false" customHeight="true" outlineLevel="0" collapsed="false">
      <c r="A1963" s="7" t="n">
        <f aca="false">'Raw Data'!A1963</f>
        <v>574</v>
      </c>
      <c r="B1963" s="7" t="n">
        <f aca="false">'Raw Data'!B1963</f>
        <v>69</v>
      </c>
      <c r="C1963" s="7" t="str">
        <f aca="false">'Raw Data'!C1963</f>
        <v>Male</v>
      </c>
      <c r="D1963" s="7" t="str">
        <f aca="false">'Raw Data'!D1963</f>
        <v>Former</v>
      </c>
      <c r="E1963" s="7" t="str">
        <f aca="false">'Raw Data'!J1963</f>
        <v>Normal</v>
      </c>
      <c r="F1963" s="7" t="n">
        <f aca="false">'Raw Data'!K1963</f>
        <v>241.9</v>
      </c>
      <c r="G1963" s="7" t="str">
        <f aca="false">'Raw Data'!L1963</f>
        <v>No</v>
      </c>
      <c r="H1963" s="7" t="str">
        <f aca="false">'Raw Data'!M1963</f>
        <v>Moderate</v>
      </c>
      <c r="I1963" s="7" t="n">
        <f aca="false">(IF(D1963="Current",3,IF(D1963="Former",1,0)))+(IF(E1963="High",3,IF(E1963="Normal",1,0)))+(IF(F1963&gt;=240,2,IF(F1963&gt;=200,1,0)))+(IF(G1963="Yes",2,0))+(IF(H1963="High",2,IF(H1963="Moderate",1,0)))</f>
        <v>5</v>
      </c>
      <c r="J1963" s="7" t="str">
        <f aca="false">IF(I1963&gt;=8,"High",IF(I1963&gt;=4,"Medium","Low"))</f>
        <v>Medium</v>
      </c>
    </row>
    <row r="1964" customFormat="false" ht="15" hidden="false" customHeight="true" outlineLevel="0" collapsed="false">
      <c r="A1964" s="7" t="n">
        <f aca="false">'Raw Data'!A1964</f>
        <v>588</v>
      </c>
      <c r="B1964" s="7" t="n">
        <f aca="false">'Raw Data'!B1964</f>
        <v>46</v>
      </c>
      <c r="C1964" s="7" t="str">
        <f aca="false">'Raw Data'!C1964</f>
        <v>Male</v>
      </c>
      <c r="D1964" s="7" t="str">
        <f aca="false">'Raw Data'!D1964</f>
        <v>Former</v>
      </c>
      <c r="E1964" s="7" t="str">
        <f aca="false">'Raw Data'!J1964</f>
        <v>Normal</v>
      </c>
      <c r="F1964" s="7" t="n">
        <f aca="false">'Raw Data'!K1964</f>
        <v>161.9</v>
      </c>
      <c r="G1964" s="7" t="str">
        <f aca="false">'Raw Data'!L1964</f>
        <v>No</v>
      </c>
      <c r="H1964" s="7" t="str">
        <f aca="false">'Raw Data'!M1964</f>
        <v>Moderate</v>
      </c>
      <c r="I1964" s="7" t="n">
        <f aca="false">(IF(D1964="Current",3,IF(D1964="Former",1,0)))+(IF(E1964="High",3,IF(E1964="Normal",1,0)))+(IF(F1964&gt;=240,2,IF(F1964&gt;=200,1,0)))+(IF(G1964="Yes",2,0))+(IF(H1964="High",2,IF(H1964="Moderate",1,0)))</f>
        <v>3</v>
      </c>
      <c r="J1964" s="7" t="str">
        <f aca="false">IF(I1964&gt;=8,"High",IF(I1964&gt;=4,"Medium","Low"))</f>
        <v>Low</v>
      </c>
    </row>
    <row r="1965" customFormat="false" ht="15" hidden="false" customHeight="true" outlineLevel="0" collapsed="false">
      <c r="A1965" s="7" t="n">
        <f aca="false">'Raw Data'!A1965</f>
        <v>600</v>
      </c>
      <c r="B1965" s="7" t="n">
        <f aca="false">'Raw Data'!B1965</f>
        <v>77</v>
      </c>
      <c r="C1965" s="7" t="str">
        <f aca="false">'Raw Data'!C1965</f>
        <v>Male</v>
      </c>
      <c r="D1965" s="7" t="str">
        <f aca="false">'Raw Data'!D1965</f>
        <v>Former</v>
      </c>
      <c r="E1965" s="7" t="str">
        <f aca="false">'Raw Data'!J1965</f>
        <v>Normal</v>
      </c>
      <c r="F1965" s="7" t="n">
        <f aca="false">'Raw Data'!K1965</f>
        <v>287.8</v>
      </c>
      <c r="G1965" s="7" t="str">
        <f aca="false">'Raw Data'!L1965</f>
        <v>No</v>
      </c>
      <c r="H1965" s="7" t="str">
        <f aca="false">'Raw Data'!M1965</f>
        <v>Moderate</v>
      </c>
      <c r="I1965" s="7" t="n">
        <f aca="false">(IF(D1965="Current",3,IF(D1965="Former",1,0)))+(IF(E1965="High",3,IF(E1965="Normal",1,0)))+(IF(F1965&gt;=240,2,IF(F1965&gt;=200,1,0)))+(IF(G1965="Yes",2,0))+(IF(H1965="High",2,IF(H1965="Moderate",1,0)))</f>
        <v>5</v>
      </c>
      <c r="J1965" s="7" t="str">
        <f aca="false">IF(I1965&gt;=8,"High",IF(I1965&gt;=4,"Medium","Low"))</f>
        <v>Medium</v>
      </c>
    </row>
    <row r="1966" customFormat="false" ht="15" hidden="false" customHeight="true" outlineLevel="0" collapsed="false">
      <c r="A1966" s="7" t="n">
        <f aca="false">'Raw Data'!A1966</f>
        <v>607</v>
      </c>
      <c r="B1966" s="7" t="n">
        <f aca="false">'Raw Data'!B1966</f>
        <v>74</v>
      </c>
      <c r="C1966" s="7" t="str">
        <f aca="false">'Raw Data'!C1966</f>
        <v>Male</v>
      </c>
      <c r="D1966" s="7" t="str">
        <f aca="false">'Raw Data'!D1966</f>
        <v>Former</v>
      </c>
      <c r="E1966" s="7" t="str">
        <f aca="false">'Raw Data'!J1966</f>
        <v>Normal</v>
      </c>
      <c r="F1966" s="7" t="n">
        <f aca="false">'Raw Data'!K1966</f>
        <v>263.4</v>
      </c>
      <c r="G1966" s="7" t="str">
        <f aca="false">'Raw Data'!L1966</f>
        <v>No</v>
      </c>
      <c r="H1966" s="7" t="str">
        <f aca="false">'Raw Data'!M1966</f>
        <v>Moderate</v>
      </c>
      <c r="I1966" s="7" t="n">
        <f aca="false">(IF(D1966="Current",3,IF(D1966="Former",1,0)))+(IF(E1966="High",3,IF(E1966="Normal",1,0)))+(IF(F1966&gt;=240,2,IF(F1966&gt;=200,1,0)))+(IF(G1966="Yes",2,0))+(IF(H1966="High",2,IF(H1966="Moderate",1,0)))</f>
        <v>5</v>
      </c>
      <c r="J1966" s="7" t="str">
        <f aca="false">IF(I1966&gt;=8,"High",IF(I1966&gt;=4,"Medium","Low"))</f>
        <v>Medium</v>
      </c>
    </row>
    <row r="1967" customFormat="false" ht="15" hidden="false" customHeight="true" outlineLevel="0" collapsed="false">
      <c r="A1967" s="7" t="n">
        <f aca="false">'Raw Data'!A1967</f>
        <v>633</v>
      </c>
      <c r="B1967" s="7" t="n">
        <f aca="false">'Raw Data'!B1967</f>
        <v>25</v>
      </c>
      <c r="C1967" s="7" t="str">
        <f aca="false">'Raw Data'!C1967</f>
        <v>Female</v>
      </c>
      <c r="D1967" s="7" t="str">
        <f aca="false">'Raw Data'!D1967</f>
        <v>Former</v>
      </c>
      <c r="E1967" s="7" t="str">
        <f aca="false">'Raw Data'!J1967</f>
        <v>Normal</v>
      </c>
      <c r="F1967" s="7" t="n">
        <f aca="false">'Raw Data'!K1967</f>
        <v>265.6</v>
      </c>
      <c r="G1967" s="7" t="str">
        <f aca="false">'Raw Data'!L1967</f>
        <v>No</v>
      </c>
      <c r="H1967" s="7" t="str">
        <f aca="false">'Raw Data'!M1967</f>
        <v>Moderate</v>
      </c>
      <c r="I1967" s="7" t="n">
        <f aca="false">(IF(D1967="Current",3,IF(D1967="Former",1,0)))+(IF(E1967="High",3,IF(E1967="Normal",1,0)))+(IF(F1967&gt;=240,2,IF(F1967&gt;=200,1,0)))+(IF(G1967="Yes",2,0))+(IF(H1967="High",2,IF(H1967="Moderate",1,0)))</f>
        <v>5</v>
      </c>
      <c r="J1967" s="7" t="str">
        <f aca="false">IF(I1967&gt;=8,"High",IF(I1967&gt;=4,"Medium","Low"))</f>
        <v>Medium</v>
      </c>
    </row>
    <row r="1968" customFormat="false" ht="15" hidden="false" customHeight="true" outlineLevel="0" collapsed="false">
      <c r="A1968" s="7" t="n">
        <f aca="false">'Raw Data'!A1968</f>
        <v>634</v>
      </c>
      <c r="B1968" s="7" t="n">
        <f aca="false">'Raw Data'!B1968</f>
        <v>26</v>
      </c>
      <c r="C1968" s="7" t="str">
        <f aca="false">'Raw Data'!C1968</f>
        <v>Male</v>
      </c>
      <c r="D1968" s="7" t="str">
        <f aca="false">'Raw Data'!D1968</f>
        <v>Former</v>
      </c>
      <c r="E1968" s="7" t="str">
        <f aca="false">'Raw Data'!J1968</f>
        <v>Normal</v>
      </c>
      <c r="F1968" s="7" t="n">
        <f aca="false">'Raw Data'!K1968</f>
        <v>135.2</v>
      </c>
      <c r="G1968" s="7" t="str">
        <f aca="false">'Raw Data'!L1968</f>
        <v>No</v>
      </c>
      <c r="H1968" s="7" t="str">
        <f aca="false">'Raw Data'!M1968</f>
        <v>Moderate</v>
      </c>
      <c r="I1968" s="7" t="n">
        <f aca="false">(IF(D1968="Current",3,IF(D1968="Former",1,0)))+(IF(E1968="High",3,IF(E1968="Normal",1,0)))+(IF(F1968&gt;=240,2,IF(F1968&gt;=200,1,0)))+(IF(G1968="Yes",2,0))+(IF(H1968="High",2,IF(H1968="Moderate",1,0)))</f>
        <v>3</v>
      </c>
      <c r="J1968" s="7" t="str">
        <f aca="false">IF(I1968&gt;=8,"High",IF(I1968&gt;=4,"Medium","Low"))</f>
        <v>Low</v>
      </c>
    </row>
    <row r="1969" customFormat="false" ht="15" hidden="false" customHeight="true" outlineLevel="0" collapsed="false">
      <c r="A1969" s="7" t="n">
        <f aca="false">'Raw Data'!A1969</f>
        <v>645</v>
      </c>
      <c r="B1969" s="7" t="n">
        <f aca="false">'Raw Data'!B1969</f>
        <v>33</v>
      </c>
      <c r="C1969" s="7" t="str">
        <f aca="false">'Raw Data'!C1969</f>
        <v>Female</v>
      </c>
      <c r="D1969" s="7" t="str">
        <f aca="false">'Raw Data'!D1969</f>
        <v>Former</v>
      </c>
      <c r="E1969" s="7" t="str">
        <f aca="false">'Raw Data'!J1969</f>
        <v>Normal</v>
      </c>
      <c r="F1969" s="7" t="n">
        <f aca="false">'Raw Data'!K1969</f>
        <v>289.4</v>
      </c>
      <c r="G1969" s="7" t="str">
        <f aca="false">'Raw Data'!L1969</f>
        <v>No</v>
      </c>
      <c r="H1969" s="7" t="str">
        <f aca="false">'Raw Data'!M1969</f>
        <v>Moderate</v>
      </c>
      <c r="I1969" s="7" t="n">
        <f aca="false">(IF(D1969="Current",3,IF(D1969="Former",1,0)))+(IF(E1969="High",3,IF(E1969="Normal",1,0)))+(IF(F1969&gt;=240,2,IF(F1969&gt;=200,1,0)))+(IF(G1969="Yes",2,0))+(IF(H1969="High",2,IF(H1969="Moderate",1,0)))</f>
        <v>5</v>
      </c>
      <c r="J1969" s="7" t="str">
        <f aca="false">IF(I1969&gt;=8,"High",IF(I1969&gt;=4,"Medium","Low"))</f>
        <v>Medium</v>
      </c>
    </row>
    <row r="1970" customFormat="false" ht="15" hidden="false" customHeight="true" outlineLevel="0" collapsed="false">
      <c r="A1970" s="7" t="n">
        <f aca="false">'Raw Data'!A1970</f>
        <v>656</v>
      </c>
      <c r="B1970" s="7" t="n">
        <f aca="false">'Raw Data'!B1970</f>
        <v>75</v>
      </c>
      <c r="C1970" s="7" t="str">
        <f aca="false">'Raw Data'!C1970</f>
        <v>Female</v>
      </c>
      <c r="D1970" s="7" t="str">
        <f aca="false">'Raw Data'!D1970</f>
        <v>Former</v>
      </c>
      <c r="E1970" s="7" t="str">
        <f aca="false">'Raw Data'!J1970</f>
        <v>Normal</v>
      </c>
      <c r="F1970" s="7" t="n">
        <f aca="false">'Raw Data'!K1970</f>
        <v>296.3</v>
      </c>
      <c r="G1970" s="7" t="str">
        <f aca="false">'Raw Data'!L1970</f>
        <v>No</v>
      </c>
      <c r="H1970" s="7" t="str">
        <f aca="false">'Raw Data'!M1970</f>
        <v>Moderate</v>
      </c>
      <c r="I1970" s="7" t="n">
        <f aca="false">(IF(D1970="Current",3,IF(D1970="Former",1,0)))+(IF(E1970="High",3,IF(E1970="Normal",1,0)))+(IF(F1970&gt;=240,2,IF(F1970&gt;=200,1,0)))+(IF(G1970="Yes",2,0))+(IF(H1970="High",2,IF(H1970="Moderate",1,0)))</f>
        <v>5</v>
      </c>
      <c r="J1970" s="7" t="str">
        <f aca="false">IF(I1970&gt;=8,"High",IF(I1970&gt;=4,"Medium","Low"))</f>
        <v>Medium</v>
      </c>
    </row>
    <row r="1971" customFormat="false" ht="15" hidden="false" customHeight="true" outlineLevel="0" collapsed="false">
      <c r="A1971" s="7" t="n">
        <f aca="false">'Raw Data'!A1971</f>
        <v>760</v>
      </c>
      <c r="B1971" s="7" t="n">
        <f aca="false">'Raw Data'!B1971</f>
        <v>54</v>
      </c>
      <c r="C1971" s="7" t="str">
        <f aca="false">'Raw Data'!C1971</f>
        <v>Female</v>
      </c>
      <c r="D1971" s="7" t="str">
        <f aca="false">'Raw Data'!D1971</f>
        <v>Former</v>
      </c>
      <c r="E1971" s="7" t="str">
        <f aca="false">'Raw Data'!J1971</f>
        <v>Normal</v>
      </c>
      <c r="F1971" s="7" t="n">
        <f aca="false">'Raw Data'!K1971</f>
        <v>269.8</v>
      </c>
      <c r="G1971" s="7" t="str">
        <f aca="false">'Raw Data'!L1971</f>
        <v>Yes</v>
      </c>
      <c r="H1971" s="7" t="str">
        <f aca="false">'Raw Data'!M1971</f>
        <v>Moderate</v>
      </c>
      <c r="I1971" s="7" t="n">
        <f aca="false">(IF(D1971="Current",3,IF(D1971="Former",1,0)))+(IF(E1971="High",3,IF(E1971="Normal",1,0)))+(IF(F1971&gt;=240,2,IF(F1971&gt;=200,1,0)))+(IF(G1971="Yes",2,0))+(IF(H1971="High",2,IF(H1971="Moderate",1,0)))</f>
        <v>7</v>
      </c>
      <c r="J1971" s="7" t="str">
        <f aca="false">IF(I1971&gt;=8,"High",IF(I1971&gt;=4,"Medium","Low"))</f>
        <v>Medium</v>
      </c>
    </row>
    <row r="1972" customFormat="false" ht="15" hidden="false" customHeight="true" outlineLevel="0" collapsed="false">
      <c r="A1972" s="7" t="n">
        <f aca="false">'Raw Data'!A1972</f>
        <v>776</v>
      </c>
      <c r="B1972" s="7" t="n">
        <f aca="false">'Raw Data'!B1972</f>
        <v>57</v>
      </c>
      <c r="C1972" s="7" t="str">
        <f aca="false">'Raw Data'!C1972</f>
        <v>Female</v>
      </c>
      <c r="D1972" s="7" t="str">
        <f aca="false">'Raw Data'!D1972</f>
        <v>Former</v>
      </c>
      <c r="E1972" s="7" t="str">
        <f aca="false">'Raw Data'!J1972</f>
        <v>Normal</v>
      </c>
      <c r="F1972" s="7" t="n">
        <f aca="false">'Raw Data'!K1972</f>
        <v>247.4</v>
      </c>
      <c r="G1972" s="7" t="str">
        <f aca="false">'Raw Data'!L1972</f>
        <v>No</v>
      </c>
      <c r="H1972" s="7" t="str">
        <f aca="false">'Raw Data'!M1972</f>
        <v>Moderate</v>
      </c>
      <c r="I1972" s="7" t="n">
        <f aca="false">(IF(D1972="Current",3,IF(D1972="Former",1,0)))+(IF(E1972="High",3,IF(E1972="Normal",1,0)))+(IF(F1972&gt;=240,2,IF(F1972&gt;=200,1,0)))+(IF(G1972="Yes",2,0))+(IF(H1972="High",2,IF(H1972="Moderate",1,0)))</f>
        <v>5</v>
      </c>
      <c r="J1972" s="7" t="str">
        <f aca="false">IF(I1972&gt;=8,"High",IF(I1972&gt;=4,"Medium","Low"))</f>
        <v>Medium</v>
      </c>
    </row>
    <row r="1973" customFormat="false" ht="15" hidden="false" customHeight="true" outlineLevel="0" collapsed="false">
      <c r="A1973" s="7" t="n">
        <f aca="false">'Raw Data'!A1973</f>
        <v>828</v>
      </c>
      <c r="B1973" s="7" t="n">
        <f aca="false">'Raw Data'!B1973</f>
        <v>21</v>
      </c>
      <c r="C1973" s="7" t="str">
        <f aca="false">'Raw Data'!C1973</f>
        <v>Female</v>
      </c>
      <c r="D1973" s="7" t="str">
        <f aca="false">'Raw Data'!D1973</f>
        <v>Former</v>
      </c>
      <c r="E1973" s="7" t="str">
        <f aca="false">'Raw Data'!J1973</f>
        <v>Normal</v>
      </c>
      <c r="F1973" s="7" t="n">
        <f aca="false">'Raw Data'!K1973</f>
        <v>251.5</v>
      </c>
      <c r="G1973" s="7" t="str">
        <f aca="false">'Raw Data'!L1973</f>
        <v>No</v>
      </c>
      <c r="H1973" s="7" t="str">
        <f aca="false">'Raw Data'!M1973</f>
        <v>Moderate</v>
      </c>
      <c r="I1973" s="7" t="n">
        <f aca="false">(IF(D1973="Current",3,IF(D1973="Former",1,0)))+(IF(E1973="High",3,IF(E1973="Normal",1,0)))+(IF(F1973&gt;=240,2,IF(F1973&gt;=200,1,0)))+(IF(G1973="Yes",2,0))+(IF(H1973="High",2,IF(H1973="Moderate",1,0)))</f>
        <v>5</v>
      </c>
      <c r="J1973" s="7" t="str">
        <f aca="false">IF(I1973&gt;=8,"High",IF(I1973&gt;=4,"Medium","Low"))</f>
        <v>Medium</v>
      </c>
    </row>
    <row r="1974" customFormat="false" ht="15" hidden="false" customHeight="true" outlineLevel="0" collapsed="false">
      <c r="A1974" s="7" t="n">
        <f aca="false">'Raw Data'!A1974</f>
        <v>838</v>
      </c>
      <c r="B1974" s="7" t="n">
        <f aca="false">'Raw Data'!B1974</f>
        <v>31</v>
      </c>
      <c r="C1974" s="7" t="str">
        <f aca="false">'Raw Data'!C1974</f>
        <v>Male</v>
      </c>
      <c r="D1974" s="7" t="str">
        <f aca="false">'Raw Data'!D1974</f>
        <v>Former</v>
      </c>
      <c r="E1974" s="7" t="str">
        <f aca="false">'Raw Data'!J1974</f>
        <v>Normal</v>
      </c>
      <c r="F1974" s="7" t="n">
        <f aca="false">'Raw Data'!K1974</f>
        <v>150.6</v>
      </c>
      <c r="G1974" s="7" t="str">
        <f aca="false">'Raw Data'!L1974</f>
        <v>No</v>
      </c>
      <c r="H1974" s="7" t="str">
        <f aca="false">'Raw Data'!M1974</f>
        <v>Moderate</v>
      </c>
      <c r="I1974" s="7" t="n">
        <f aca="false">(IF(D1974="Current",3,IF(D1974="Former",1,0)))+(IF(E1974="High",3,IF(E1974="Normal",1,0)))+(IF(F1974&gt;=240,2,IF(F1974&gt;=200,1,0)))+(IF(G1974="Yes",2,0))+(IF(H1974="High",2,IF(H1974="Moderate",1,0)))</f>
        <v>3</v>
      </c>
      <c r="J1974" s="7" t="str">
        <f aca="false">IF(I1974&gt;=8,"High",IF(I1974&gt;=4,"Medium","Low"))</f>
        <v>Low</v>
      </c>
    </row>
    <row r="1975" customFormat="false" ht="15" hidden="false" customHeight="true" outlineLevel="0" collapsed="false">
      <c r="A1975" s="7" t="n">
        <f aca="false">'Raw Data'!A1975</f>
        <v>874</v>
      </c>
      <c r="B1975" s="7" t="n">
        <f aca="false">'Raw Data'!B1975</f>
        <v>54</v>
      </c>
      <c r="C1975" s="7" t="str">
        <f aca="false">'Raw Data'!C1975</f>
        <v>Male</v>
      </c>
      <c r="D1975" s="7" t="str">
        <f aca="false">'Raw Data'!D1975</f>
        <v>Former</v>
      </c>
      <c r="E1975" s="7" t="str">
        <f aca="false">'Raw Data'!J1975</f>
        <v>Normal</v>
      </c>
      <c r="F1975" s="7" t="n">
        <f aca="false">'Raw Data'!K1975</f>
        <v>234.8</v>
      </c>
      <c r="G1975" s="7" t="str">
        <f aca="false">'Raw Data'!L1975</f>
        <v>No</v>
      </c>
      <c r="H1975" s="7" t="str">
        <f aca="false">'Raw Data'!M1975</f>
        <v>Moderate</v>
      </c>
      <c r="I1975" s="7" t="n">
        <f aca="false">(IF(D1975="Current",3,IF(D1975="Former",1,0)))+(IF(E1975="High",3,IF(E1975="Normal",1,0)))+(IF(F1975&gt;=240,2,IF(F1975&gt;=200,1,0)))+(IF(G1975="Yes",2,0))+(IF(H1975="High",2,IF(H1975="Moderate",1,0)))</f>
        <v>4</v>
      </c>
      <c r="J1975" s="7" t="str">
        <f aca="false">IF(I1975&gt;=8,"High",IF(I1975&gt;=4,"Medium","Low"))</f>
        <v>Medium</v>
      </c>
    </row>
    <row r="1976" customFormat="false" ht="15" hidden="false" customHeight="true" outlineLevel="0" collapsed="false">
      <c r="A1976" s="7" t="n">
        <f aca="false">'Raw Data'!A1976</f>
        <v>884</v>
      </c>
      <c r="B1976" s="7" t="n">
        <f aca="false">'Raw Data'!B1976</f>
        <v>58</v>
      </c>
      <c r="C1976" s="7" t="str">
        <f aca="false">'Raw Data'!C1976</f>
        <v>Female</v>
      </c>
      <c r="D1976" s="7" t="str">
        <f aca="false">'Raw Data'!D1976</f>
        <v>Former</v>
      </c>
      <c r="E1976" s="7" t="str">
        <f aca="false">'Raw Data'!J1976</f>
        <v>Normal</v>
      </c>
      <c r="F1976" s="7" t="n">
        <f aca="false">'Raw Data'!K1976</f>
        <v>272.2</v>
      </c>
      <c r="G1976" s="7" t="str">
        <f aca="false">'Raw Data'!L1976</f>
        <v>No</v>
      </c>
      <c r="H1976" s="7" t="str">
        <f aca="false">'Raw Data'!M1976</f>
        <v>Moderate</v>
      </c>
      <c r="I1976" s="7" t="n">
        <f aca="false">(IF(D1976="Current",3,IF(D1976="Former",1,0)))+(IF(E1976="High",3,IF(E1976="Normal",1,0)))+(IF(F1976&gt;=240,2,IF(F1976&gt;=200,1,0)))+(IF(G1976="Yes",2,0))+(IF(H1976="High",2,IF(H1976="Moderate",1,0)))</f>
        <v>5</v>
      </c>
      <c r="J1976" s="7" t="str">
        <f aca="false">IF(I1976&gt;=8,"High",IF(I1976&gt;=4,"Medium","Low"))</f>
        <v>Medium</v>
      </c>
    </row>
    <row r="1977" customFormat="false" ht="15" hidden="false" customHeight="true" outlineLevel="0" collapsed="false">
      <c r="A1977" s="7" t="n">
        <f aca="false">'Raw Data'!A1977</f>
        <v>937</v>
      </c>
      <c r="B1977" s="7" t="n">
        <f aca="false">'Raw Data'!B1977</f>
        <v>87</v>
      </c>
      <c r="C1977" s="7" t="str">
        <f aca="false">'Raw Data'!C1977</f>
        <v>Male</v>
      </c>
      <c r="D1977" s="7" t="str">
        <f aca="false">'Raw Data'!D1977</f>
        <v>Former</v>
      </c>
      <c r="E1977" s="7" t="str">
        <f aca="false">'Raw Data'!J1977</f>
        <v>Normal</v>
      </c>
      <c r="F1977" s="7" t="n">
        <f aca="false">'Raw Data'!K1977</f>
        <v>257.8</v>
      </c>
      <c r="G1977" s="7" t="str">
        <f aca="false">'Raw Data'!L1977</f>
        <v>No</v>
      </c>
      <c r="H1977" s="7" t="str">
        <f aca="false">'Raw Data'!M1977</f>
        <v>Moderate</v>
      </c>
      <c r="I1977" s="7" t="n">
        <f aca="false">(IF(D1977="Current",3,IF(D1977="Former",1,0)))+(IF(E1977="High",3,IF(E1977="Normal",1,0)))+(IF(F1977&gt;=240,2,IF(F1977&gt;=200,1,0)))+(IF(G1977="Yes",2,0))+(IF(H1977="High",2,IF(H1977="Moderate",1,0)))</f>
        <v>5</v>
      </c>
      <c r="J1977" s="7" t="str">
        <f aca="false">IF(I1977&gt;=8,"High",IF(I1977&gt;=4,"Medium","Low"))</f>
        <v>Medium</v>
      </c>
    </row>
    <row r="1978" customFormat="false" ht="15" hidden="false" customHeight="true" outlineLevel="0" collapsed="false">
      <c r="A1978" s="7" t="n">
        <f aca="false">'Raw Data'!A1978</f>
        <v>982</v>
      </c>
      <c r="B1978" s="7" t="n">
        <f aca="false">'Raw Data'!B1978</f>
        <v>37</v>
      </c>
      <c r="C1978" s="7" t="str">
        <f aca="false">'Raw Data'!C1978</f>
        <v>Male</v>
      </c>
      <c r="D1978" s="7" t="str">
        <f aca="false">'Raw Data'!D1978</f>
        <v>Former</v>
      </c>
      <c r="E1978" s="7" t="str">
        <f aca="false">'Raw Data'!J1978</f>
        <v>Normal</v>
      </c>
      <c r="F1978" s="7" t="n">
        <f aca="false">'Raw Data'!K1978</f>
        <v>153.3</v>
      </c>
      <c r="G1978" s="7" t="str">
        <f aca="false">'Raw Data'!L1978</f>
        <v>No</v>
      </c>
      <c r="H1978" s="7" t="str">
        <f aca="false">'Raw Data'!M1978</f>
        <v>Moderate</v>
      </c>
      <c r="I1978" s="7" t="n">
        <f aca="false">(IF(D1978="Current",3,IF(D1978="Former",1,0)))+(IF(E1978="High",3,IF(E1978="Normal",1,0)))+(IF(F1978&gt;=240,2,IF(F1978&gt;=200,1,0)))+(IF(G1978="Yes",2,0))+(IF(H1978="High",2,IF(H1978="Moderate",1,0)))</f>
        <v>3</v>
      </c>
      <c r="J1978" s="7" t="str">
        <f aca="false">IF(I1978&gt;=8,"High",IF(I1978&gt;=4,"Medium","Low"))</f>
        <v>Low</v>
      </c>
    </row>
    <row r="1979" customFormat="false" ht="15" hidden="false" customHeight="true" outlineLevel="0" collapsed="false">
      <c r="A1979" s="7" t="n">
        <f aca="false">'Raw Data'!A1979</f>
        <v>995</v>
      </c>
      <c r="B1979" s="7" t="n">
        <f aca="false">'Raw Data'!B1979</f>
        <v>53</v>
      </c>
      <c r="C1979" s="7" t="str">
        <f aca="false">'Raw Data'!C1979</f>
        <v>Male</v>
      </c>
      <c r="D1979" s="7" t="str">
        <f aca="false">'Raw Data'!D1979</f>
        <v>Former</v>
      </c>
      <c r="E1979" s="7" t="str">
        <f aca="false">'Raw Data'!J1979</f>
        <v>Normal</v>
      </c>
      <c r="F1979" s="7" t="n">
        <f aca="false">'Raw Data'!K1979</f>
        <v>293.4</v>
      </c>
      <c r="G1979" s="7" t="str">
        <f aca="false">'Raw Data'!L1979</f>
        <v>No</v>
      </c>
      <c r="H1979" s="7" t="str">
        <f aca="false">'Raw Data'!M1979</f>
        <v>Moderate</v>
      </c>
      <c r="I1979" s="7" t="n">
        <f aca="false">(IF(D1979="Current",3,IF(D1979="Former",1,0)))+(IF(E1979="High",3,IF(E1979="Normal",1,0)))+(IF(F1979&gt;=240,2,IF(F1979&gt;=200,1,0)))+(IF(G1979="Yes",2,0))+(IF(H1979="High",2,IF(H1979="Moderate",1,0)))</f>
        <v>5</v>
      </c>
      <c r="J1979" s="7" t="str">
        <f aca="false">IF(I1979&gt;=8,"High",IF(I1979&gt;=4,"Medium","Low"))</f>
        <v>Medium</v>
      </c>
    </row>
    <row r="1980" customFormat="false" ht="15" hidden="false" customHeight="true" outlineLevel="0" collapsed="false">
      <c r="A1980" s="7" t="n">
        <f aca="false">'Raw Data'!A1980</f>
        <v>1002</v>
      </c>
      <c r="B1980" s="7" t="n">
        <f aca="false">'Raw Data'!B1980</f>
        <v>48</v>
      </c>
      <c r="C1980" s="7" t="str">
        <f aca="false">'Raw Data'!C1980</f>
        <v>Male</v>
      </c>
      <c r="D1980" s="7" t="str">
        <f aca="false">'Raw Data'!D1980</f>
        <v>Former</v>
      </c>
      <c r="E1980" s="7" t="str">
        <f aca="false">'Raw Data'!J1980</f>
        <v>Normal</v>
      </c>
      <c r="F1980" s="7" t="n">
        <f aca="false">'Raw Data'!K1980</f>
        <v>283.8</v>
      </c>
      <c r="G1980" s="7" t="str">
        <f aca="false">'Raw Data'!L1980</f>
        <v>No</v>
      </c>
      <c r="H1980" s="7" t="str">
        <f aca="false">'Raw Data'!M1980</f>
        <v>Moderate</v>
      </c>
      <c r="I1980" s="7" t="n">
        <f aca="false">(IF(D1980="Current",3,IF(D1980="Former",1,0)))+(IF(E1980="High",3,IF(E1980="Normal",1,0)))+(IF(F1980&gt;=240,2,IF(F1980&gt;=200,1,0)))+(IF(G1980="Yes",2,0))+(IF(H1980="High",2,IF(H1980="Moderate",1,0)))</f>
        <v>5</v>
      </c>
      <c r="J1980" s="7" t="str">
        <f aca="false">IF(I1980&gt;=8,"High",IF(I1980&gt;=4,"Medium","Low"))</f>
        <v>Medium</v>
      </c>
    </row>
    <row r="1981" customFormat="false" ht="15" hidden="false" customHeight="true" outlineLevel="0" collapsed="false">
      <c r="A1981" s="7" t="n">
        <f aca="false">'Raw Data'!A1981</f>
        <v>1026</v>
      </c>
      <c r="B1981" s="7" t="n">
        <f aca="false">'Raw Data'!B1981</f>
        <v>67</v>
      </c>
      <c r="C1981" s="7" t="str">
        <f aca="false">'Raw Data'!C1981</f>
        <v>Male</v>
      </c>
      <c r="D1981" s="7" t="str">
        <f aca="false">'Raw Data'!D1981</f>
        <v>Former</v>
      </c>
      <c r="E1981" s="7" t="str">
        <f aca="false">'Raw Data'!J1981</f>
        <v>Normal</v>
      </c>
      <c r="F1981" s="7" t="n">
        <f aca="false">'Raw Data'!K1981</f>
        <v>274.9</v>
      </c>
      <c r="G1981" s="7" t="str">
        <f aca="false">'Raw Data'!L1981</f>
        <v>No</v>
      </c>
      <c r="H1981" s="7" t="str">
        <f aca="false">'Raw Data'!M1981</f>
        <v>Moderate</v>
      </c>
      <c r="I1981" s="7" t="n">
        <f aca="false">(IF(D1981="Current",3,IF(D1981="Former",1,0)))+(IF(E1981="High",3,IF(E1981="Normal",1,0)))+(IF(F1981&gt;=240,2,IF(F1981&gt;=200,1,0)))+(IF(G1981="Yes",2,0))+(IF(H1981="High",2,IF(H1981="Moderate",1,0)))</f>
        <v>5</v>
      </c>
      <c r="J1981" s="7" t="str">
        <f aca="false">IF(I1981&gt;=8,"High",IF(I1981&gt;=4,"Medium","Low"))</f>
        <v>Medium</v>
      </c>
    </row>
    <row r="1982" customFormat="false" ht="15" hidden="false" customHeight="true" outlineLevel="0" collapsed="false">
      <c r="A1982" s="7" t="n">
        <f aca="false">'Raw Data'!A1982</f>
        <v>1027</v>
      </c>
      <c r="B1982" s="7" t="n">
        <f aca="false">'Raw Data'!B1982</f>
        <v>35</v>
      </c>
      <c r="C1982" s="7" t="str">
        <f aca="false">'Raw Data'!C1982</f>
        <v>Female</v>
      </c>
      <c r="D1982" s="7" t="str">
        <f aca="false">'Raw Data'!D1982</f>
        <v>Former</v>
      </c>
      <c r="E1982" s="7" t="str">
        <f aca="false">'Raw Data'!J1982</f>
        <v>Normal</v>
      </c>
      <c r="F1982" s="7" t="n">
        <f aca="false">'Raw Data'!K1982</f>
        <v>211.1</v>
      </c>
      <c r="G1982" s="7" t="str">
        <f aca="false">'Raw Data'!L1982</f>
        <v>No</v>
      </c>
      <c r="H1982" s="7" t="str">
        <f aca="false">'Raw Data'!M1982</f>
        <v>Moderate</v>
      </c>
      <c r="I1982" s="7" t="n">
        <f aca="false">(IF(D1982="Current",3,IF(D1982="Former",1,0)))+(IF(E1982="High",3,IF(E1982="Normal",1,0)))+(IF(F1982&gt;=240,2,IF(F1982&gt;=200,1,0)))+(IF(G1982="Yes",2,0))+(IF(H1982="High",2,IF(H1982="Moderate",1,0)))</f>
        <v>4</v>
      </c>
      <c r="J1982" s="7" t="str">
        <f aca="false">IF(I1982&gt;=8,"High",IF(I1982&gt;=4,"Medium","Low"))</f>
        <v>Medium</v>
      </c>
    </row>
    <row r="1983" customFormat="false" ht="15" hidden="false" customHeight="true" outlineLevel="0" collapsed="false">
      <c r="A1983" s="7" t="n">
        <f aca="false">'Raw Data'!A1983</f>
        <v>1032</v>
      </c>
      <c r="B1983" s="7" t="n">
        <f aca="false">'Raw Data'!B1983</f>
        <v>29</v>
      </c>
      <c r="C1983" s="7" t="str">
        <f aca="false">'Raw Data'!C1983</f>
        <v>Female</v>
      </c>
      <c r="D1983" s="7" t="str">
        <f aca="false">'Raw Data'!D1983</f>
        <v>Former</v>
      </c>
      <c r="E1983" s="7" t="str">
        <f aca="false">'Raw Data'!J1983</f>
        <v>Normal</v>
      </c>
      <c r="F1983" s="7" t="n">
        <f aca="false">'Raw Data'!K1983</f>
        <v>147.8</v>
      </c>
      <c r="G1983" s="7" t="str">
        <f aca="false">'Raw Data'!L1983</f>
        <v>Yes</v>
      </c>
      <c r="H1983" s="7" t="str">
        <f aca="false">'Raw Data'!M1983</f>
        <v>Moderate</v>
      </c>
      <c r="I1983" s="7" t="n">
        <f aca="false">(IF(D1983="Current",3,IF(D1983="Former",1,0)))+(IF(E1983="High",3,IF(E1983="Normal",1,0)))+(IF(F1983&gt;=240,2,IF(F1983&gt;=200,1,0)))+(IF(G1983="Yes",2,0))+(IF(H1983="High",2,IF(H1983="Moderate",1,0)))</f>
        <v>5</v>
      </c>
      <c r="J1983" s="7" t="str">
        <f aca="false">IF(I1983&gt;=8,"High",IF(I1983&gt;=4,"Medium","Low"))</f>
        <v>Medium</v>
      </c>
    </row>
    <row r="1984" customFormat="false" ht="15" hidden="false" customHeight="true" outlineLevel="0" collapsed="false">
      <c r="A1984" s="7" t="n">
        <f aca="false">'Raw Data'!A1984</f>
        <v>1055</v>
      </c>
      <c r="B1984" s="7" t="n">
        <f aca="false">'Raw Data'!B1984</f>
        <v>18</v>
      </c>
      <c r="C1984" s="7" t="str">
        <f aca="false">'Raw Data'!C1984</f>
        <v>Female</v>
      </c>
      <c r="D1984" s="7" t="str">
        <f aca="false">'Raw Data'!D1984</f>
        <v>Former</v>
      </c>
      <c r="E1984" s="7" t="str">
        <f aca="false">'Raw Data'!J1984</f>
        <v>Normal</v>
      </c>
      <c r="F1984" s="7" t="n">
        <f aca="false">'Raw Data'!K1984</f>
        <v>158</v>
      </c>
      <c r="G1984" s="7" t="str">
        <f aca="false">'Raw Data'!L1984</f>
        <v>No</v>
      </c>
      <c r="H1984" s="7" t="str">
        <f aca="false">'Raw Data'!M1984</f>
        <v>Moderate</v>
      </c>
      <c r="I1984" s="7" t="n">
        <f aca="false">(IF(D1984="Current",3,IF(D1984="Former",1,0)))+(IF(E1984="High",3,IF(E1984="Normal",1,0)))+(IF(F1984&gt;=240,2,IF(F1984&gt;=200,1,0)))+(IF(G1984="Yes",2,0))+(IF(H1984="High",2,IF(H1984="Moderate",1,0)))</f>
        <v>3</v>
      </c>
      <c r="J1984" s="7" t="str">
        <f aca="false">IF(I1984&gt;=8,"High",IF(I1984&gt;=4,"Medium","Low"))</f>
        <v>Low</v>
      </c>
    </row>
    <row r="1985" customFormat="false" ht="15" hidden="false" customHeight="true" outlineLevel="0" collapsed="false">
      <c r="A1985" s="7" t="n">
        <f aca="false">'Raw Data'!A1985</f>
        <v>1064</v>
      </c>
      <c r="B1985" s="7" t="n">
        <f aca="false">'Raw Data'!B1985</f>
        <v>64</v>
      </c>
      <c r="C1985" s="7" t="str">
        <f aca="false">'Raw Data'!C1985</f>
        <v>Male</v>
      </c>
      <c r="D1985" s="7" t="str">
        <f aca="false">'Raw Data'!D1985</f>
        <v>Former</v>
      </c>
      <c r="E1985" s="7" t="str">
        <f aca="false">'Raw Data'!J1985</f>
        <v>Normal</v>
      </c>
      <c r="F1985" s="7" t="n">
        <f aca="false">'Raw Data'!K1985</f>
        <v>215.1</v>
      </c>
      <c r="G1985" s="7" t="str">
        <f aca="false">'Raw Data'!L1985</f>
        <v>Yes</v>
      </c>
      <c r="H1985" s="7" t="str">
        <f aca="false">'Raw Data'!M1985</f>
        <v>Moderate</v>
      </c>
      <c r="I1985" s="7" t="n">
        <f aca="false">(IF(D1985="Current",3,IF(D1985="Former",1,0)))+(IF(E1985="High",3,IF(E1985="Normal",1,0)))+(IF(F1985&gt;=240,2,IF(F1985&gt;=200,1,0)))+(IF(G1985="Yes",2,0))+(IF(H1985="High",2,IF(H1985="Moderate",1,0)))</f>
        <v>6</v>
      </c>
      <c r="J1985" s="7" t="str">
        <f aca="false">IF(I1985&gt;=8,"High",IF(I1985&gt;=4,"Medium","Low"))</f>
        <v>Medium</v>
      </c>
    </row>
    <row r="1986" customFormat="false" ht="15" hidden="false" customHeight="true" outlineLevel="0" collapsed="false">
      <c r="A1986" s="7" t="n">
        <f aca="false">'Raw Data'!A1986</f>
        <v>1082</v>
      </c>
      <c r="B1986" s="7" t="n">
        <f aca="false">'Raw Data'!B1986</f>
        <v>89</v>
      </c>
      <c r="C1986" s="7" t="str">
        <f aca="false">'Raw Data'!C1986</f>
        <v>Female</v>
      </c>
      <c r="D1986" s="7" t="str">
        <f aca="false">'Raw Data'!D1986</f>
        <v>Former</v>
      </c>
      <c r="E1986" s="7" t="str">
        <f aca="false">'Raw Data'!J1986</f>
        <v>Normal</v>
      </c>
      <c r="F1986" s="7" t="n">
        <f aca="false">'Raw Data'!K1986</f>
        <v>139.2</v>
      </c>
      <c r="G1986" s="7" t="str">
        <f aca="false">'Raw Data'!L1986</f>
        <v>No</v>
      </c>
      <c r="H1986" s="7" t="str">
        <f aca="false">'Raw Data'!M1986</f>
        <v>Moderate</v>
      </c>
      <c r="I1986" s="7" t="n">
        <f aca="false">(IF(D1986="Current",3,IF(D1986="Former",1,0)))+(IF(E1986="High",3,IF(E1986="Normal",1,0)))+(IF(F1986&gt;=240,2,IF(F1986&gt;=200,1,0)))+(IF(G1986="Yes",2,0))+(IF(H1986="High",2,IF(H1986="Moderate",1,0)))</f>
        <v>3</v>
      </c>
      <c r="J1986" s="7" t="str">
        <f aca="false">IF(I1986&gt;=8,"High",IF(I1986&gt;=4,"Medium","Low"))</f>
        <v>Low</v>
      </c>
    </row>
    <row r="1987" customFormat="false" ht="15" hidden="false" customHeight="true" outlineLevel="0" collapsed="false">
      <c r="A1987" s="7" t="n">
        <f aca="false">'Raw Data'!A1987</f>
        <v>1089</v>
      </c>
      <c r="B1987" s="7" t="n">
        <f aca="false">'Raw Data'!B1987</f>
        <v>61</v>
      </c>
      <c r="C1987" s="7" t="str">
        <f aca="false">'Raw Data'!C1987</f>
        <v>Male</v>
      </c>
      <c r="D1987" s="7" t="str">
        <f aca="false">'Raw Data'!D1987</f>
        <v>Former</v>
      </c>
      <c r="E1987" s="7" t="str">
        <f aca="false">'Raw Data'!J1987</f>
        <v>Normal</v>
      </c>
      <c r="F1987" s="7" t="n">
        <f aca="false">'Raw Data'!K1987</f>
        <v>166.2</v>
      </c>
      <c r="G1987" s="7" t="str">
        <f aca="false">'Raw Data'!L1987</f>
        <v>Yes</v>
      </c>
      <c r="H1987" s="7" t="str">
        <f aca="false">'Raw Data'!M1987</f>
        <v>Moderate</v>
      </c>
      <c r="I1987" s="7" t="n">
        <f aca="false">(IF(D1987="Current",3,IF(D1987="Former",1,0)))+(IF(E1987="High",3,IF(E1987="Normal",1,0)))+(IF(F1987&gt;=240,2,IF(F1987&gt;=200,1,0)))+(IF(G1987="Yes",2,0))+(IF(H1987="High",2,IF(H1987="Moderate",1,0)))</f>
        <v>5</v>
      </c>
      <c r="J1987" s="7" t="str">
        <f aca="false">IF(I1987&gt;=8,"High",IF(I1987&gt;=4,"Medium","Low"))</f>
        <v>Medium</v>
      </c>
    </row>
    <row r="1988" customFormat="false" ht="15" hidden="false" customHeight="true" outlineLevel="0" collapsed="false">
      <c r="A1988" s="7" t="n">
        <f aca="false">'Raw Data'!A1988</f>
        <v>1099</v>
      </c>
      <c r="B1988" s="7" t="n">
        <f aca="false">'Raw Data'!B1988</f>
        <v>57</v>
      </c>
      <c r="C1988" s="7" t="str">
        <f aca="false">'Raw Data'!C1988</f>
        <v>Female</v>
      </c>
      <c r="D1988" s="7" t="str">
        <f aca="false">'Raw Data'!D1988</f>
        <v>Former</v>
      </c>
      <c r="E1988" s="7" t="str">
        <f aca="false">'Raw Data'!J1988</f>
        <v>Normal</v>
      </c>
      <c r="F1988" s="7" t="n">
        <f aca="false">'Raw Data'!K1988</f>
        <v>264.2</v>
      </c>
      <c r="G1988" s="7" t="str">
        <f aca="false">'Raw Data'!L1988</f>
        <v>Yes</v>
      </c>
      <c r="H1988" s="7" t="str">
        <f aca="false">'Raw Data'!M1988</f>
        <v>Moderate</v>
      </c>
      <c r="I1988" s="7" t="n">
        <f aca="false">(IF(D1988="Current",3,IF(D1988="Former",1,0)))+(IF(E1988="High",3,IF(E1988="Normal",1,0)))+(IF(F1988&gt;=240,2,IF(F1988&gt;=200,1,0)))+(IF(G1988="Yes",2,0))+(IF(H1988="High",2,IF(H1988="Moderate",1,0)))</f>
        <v>7</v>
      </c>
      <c r="J1988" s="7" t="str">
        <f aca="false">IF(I1988&gt;=8,"High",IF(I1988&gt;=4,"Medium","Low"))</f>
        <v>Medium</v>
      </c>
    </row>
    <row r="1989" customFormat="false" ht="15" hidden="false" customHeight="true" outlineLevel="0" collapsed="false">
      <c r="A1989" s="7" t="n">
        <f aca="false">'Raw Data'!A1989</f>
        <v>1108</v>
      </c>
      <c r="B1989" s="7" t="n">
        <f aca="false">'Raw Data'!B1989</f>
        <v>26</v>
      </c>
      <c r="C1989" s="7" t="str">
        <f aca="false">'Raw Data'!C1989</f>
        <v>Male</v>
      </c>
      <c r="D1989" s="7" t="str">
        <f aca="false">'Raw Data'!D1989</f>
        <v>Former</v>
      </c>
      <c r="E1989" s="7" t="str">
        <f aca="false">'Raw Data'!J1989</f>
        <v>Normal</v>
      </c>
      <c r="F1989" s="7" t="n">
        <f aca="false">'Raw Data'!K1989</f>
        <v>188.7</v>
      </c>
      <c r="G1989" s="7" t="str">
        <f aca="false">'Raw Data'!L1989</f>
        <v>No</v>
      </c>
      <c r="H1989" s="7" t="str">
        <f aca="false">'Raw Data'!M1989</f>
        <v>Moderate</v>
      </c>
      <c r="I1989" s="7" t="n">
        <f aca="false">(IF(D1989="Current",3,IF(D1989="Former",1,0)))+(IF(E1989="High",3,IF(E1989="Normal",1,0)))+(IF(F1989&gt;=240,2,IF(F1989&gt;=200,1,0)))+(IF(G1989="Yes",2,0))+(IF(H1989="High",2,IF(H1989="Moderate",1,0)))</f>
        <v>3</v>
      </c>
      <c r="J1989" s="7" t="str">
        <f aca="false">IF(I1989&gt;=8,"High",IF(I1989&gt;=4,"Medium","Low"))</f>
        <v>Low</v>
      </c>
    </row>
    <row r="1990" customFormat="false" ht="15" hidden="false" customHeight="true" outlineLevel="0" collapsed="false">
      <c r="A1990" s="7" t="n">
        <f aca="false">'Raw Data'!A1990</f>
        <v>1139</v>
      </c>
      <c r="B1990" s="7" t="n">
        <f aca="false">'Raw Data'!B1990</f>
        <v>78</v>
      </c>
      <c r="C1990" s="7" t="str">
        <f aca="false">'Raw Data'!C1990</f>
        <v>Female</v>
      </c>
      <c r="D1990" s="7" t="str">
        <f aca="false">'Raw Data'!D1990</f>
        <v>Former</v>
      </c>
      <c r="E1990" s="7" t="str">
        <f aca="false">'Raw Data'!J1990</f>
        <v>Normal</v>
      </c>
      <c r="F1990" s="7" t="n">
        <f aca="false">'Raw Data'!K1990</f>
        <v>122</v>
      </c>
      <c r="G1990" s="7" t="str">
        <f aca="false">'Raw Data'!L1990</f>
        <v>Yes</v>
      </c>
      <c r="H1990" s="7" t="str">
        <f aca="false">'Raw Data'!M1990</f>
        <v>Moderate</v>
      </c>
      <c r="I1990" s="7" t="n">
        <f aca="false">(IF(D1990="Current",3,IF(D1990="Former",1,0)))+(IF(E1990="High",3,IF(E1990="Normal",1,0)))+(IF(F1990&gt;=240,2,IF(F1990&gt;=200,1,0)))+(IF(G1990="Yes",2,0))+(IF(H1990="High",2,IF(H1990="Moderate",1,0)))</f>
        <v>5</v>
      </c>
      <c r="J1990" s="7" t="str">
        <f aca="false">IF(I1990&gt;=8,"High",IF(I1990&gt;=4,"Medium","Low"))</f>
        <v>Medium</v>
      </c>
    </row>
    <row r="1991" customFormat="false" ht="15" hidden="false" customHeight="true" outlineLevel="0" collapsed="false">
      <c r="A1991" s="7" t="n">
        <f aca="false">'Raw Data'!A1991</f>
        <v>1144</v>
      </c>
      <c r="B1991" s="7" t="n">
        <f aca="false">'Raw Data'!B1991</f>
        <v>65</v>
      </c>
      <c r="C1991" s="7" t="str">
        <f aca="false">'Raw Data'!C1991</f>
        <v>Female</v>
      </c>
      <c r="D1991" s="7" t="str">
        <f aca="false">'Raw Data'!D1991</f>
        <v>Former</v>
      </c>
      <c r="E1991" s="7" t="str">
        <f aca="false">'Raw Data'!J1991</f>
        <v>Normal</v>
      </c>
      <c r="F1991" s="7" t="n">
        <f aca="false">'Raw Data'!K1991</f>
        <v>292.8</v>
      </c>
      <c r="G1991" s="7" t="str">
        <f aca="false">'Raw Data'!L1991</f>
        <v>No</v>
      </c>
      <c r="H1991" s="7" t="str">
        <f aca="false">'Raw Data'!M1991</f>
        <v>Moderate</v>
      </c>
      <c r="I1991" s="7" t="n">
        <f aca="false">(IF(D1991="Current",3,IF(D1991="Former",1,0)))+(IF(E1991="High",3,IF(E1991="Normal",1,0)))+(IF(F1991&gt;=240,2,IF(F1991&gt;=200,1,0)))+(IF(G1991="Yes",2,0))+(IF(H1991="High",2,IF(H1991="Moderate",1,0)))</f>
        <v>5</v>
      </c>
      <c r="J1991" s="7" t="str">
        <f aca="false">IF(I1991&gt;=8,"High",IF(I1991&gt;=4,"Medium","Low"))</f>
        <v>Medium</v>
      </c>
    </row>
    <row r="1992" customFormat="false" ht="15" hidden="false" customHeight="true" outlineLevel="0" collapsed="false">
      <c r="A1992" s="7" t="n">
        <f aca="false">'Raw Data'!A1992</f>
        <v>1191</v>
      </c>
      <c r="B1992" s="7" t="n">
        <f aca="false">'Raw Data'!B1992</f>
        <v>75</v>
      </c>
      <c r="C1992" s="7" t="str">
        <f aca="false">'Raw Data'!C1992</f>
        <v>Female</v>
      </c>
      <c r="D1992" s="7" t="str">
        <f aca="false">'Raw Data'!D1992</f>
        <v>Former</v>
      </c>
      <c r="E1992" s="7" t="str">
        <f aca="false">'Raw Data'!J1992</f>
        <v>Normal</v>
      </c>
      <c r="F1992" s="7" t="n">
        <f aca="false">'Raw Data'!K1992</f>
        <v>163.7</v>
      </c>
      <c r="G1992" s="7" t="str">
        <f aca="false">'Raw Data'!L1992</f>
        <v>No</v>
      </c>
      <c r="H1992" s="7" t="str">
        <f aca="false">'Raw Data'!M1992</f>
        <v>Moderate</v>
      </c>
      <c r="I1992" s="7" t="n">
        <f aca="false">(IF(D1992="Current",3,IF(D1992="Former",1,0)))+(IF(E1992="High",3,IF(E1992="Normal",1,0)))+(IF(F1992&gt;=240,2,IF(F1992&gt;=200,1,0)))+(IF(G1992="Yes",2,0))+(IF(H1992="High",2,IF(H1992="Moderate",1,0)))</f>
        <v>3</v>
      </c>
      <c r="J1992" s="7" t="str">
        <f aca="false">IF(I1992&gt;=8,"High",IF(I1992&gt;=4,"Medium","Low"))</f>
        <v>Low</v>
      </c>
    </row>
    <row r="1993" customFormat="false" ht="15" hidden="false" customHeight="true" outlineLevel="0" collapsed="false">
      <c r="A1993" s="7" t="n">
        <f aca="false">'Raw Data'!A1993</f>
        <v>1197</v>
      </c>
      <c r="B1993" s="7" t="n">
        <f aca="false">'Raw Data'!B1993</f>
        <v>83</v>
      </c>
      <c r="C1993" s="7" t="str">
        <f aca="false">'Raw Data'!C1993</f>
        <v>Female</v>
      </c>
      <c r="D1993" s="7" t="str">
        <f aca="false">'Raw Data'!D1993</f>
        <v>Former</v>
      </c>
      <c r="E1993" s="7" t="str">
        <f aca="false">'Raw Data'!J1993</f>
        <v>Normal</v>
      </c>
      <c r="F1993" s="7" t="n">
        <f aca="false">'Raw Data'!K1993</f>
        <v>145.5</v>
      </c>
      <c r="G1993" s="7" t="str">
        <f aca="false">'Raw Data'!L1993</f>
        <v>Yes</v>
      </c>
      <c r="H1993" s="7" t="str">
        <f aca="false">'Raw Data'!M1993</f>
        <v>Moderate</v>
      </c>
      <c r="I1993" s="7" t="n">
        <f aca="false">(IF(D1993="Current",3,IF(D1993="Former",1,0)))+(IF(E1993="High",3,IF(E1993="Normal",1,0)))+(IF(F1993&gt;=240,2,IF(F1993&gt;=200,1,0)))+(IF(G1993="Yes",2,0))+(IF(H1993="High",2,IF(H1993="Moderate",1,0)))</f>
        <v>5</v>
      </c>
      <c r="J1993" s="7" t="str">
        <f aca="false">IF(I1993&gt;=8,"High",IF(I1993&gt;=4,"Medium","Low"))</f>
        <v>Medium</v>
      </c>
    </row>
    <row r="1994" customFormat="false" ht="15" hidden="false" customHeight="true" outlineLevel="0" collapsed="false">
      <c r="A1994" s="7" t="n">
        <f aca="false">'Raw Data'!A1994</f>
        <v>1214</v>
      </c>
      <c r="B1994" s="7" t="n">
        <f aca="false">'Raw Data'!B1994</f>
        <v>27</v>
      </c>
      <c r="C1994" s="7" t="str">
        <f aca="false">'Raw Data'!C1994</f>
        <v>Female</v>
      </c>
      <c r="D1994" s="7" t="str">
        <f aca="false">'Raw Data'!D1994</f>
        <v>Former</v>
      </c>
      <c r="E1994" s="7" t="str">
        <f aca="false">'Raw Data'!J1994</f>
        <v>Normal</v>
      </c>
      <c r="F1994" s="7" t="n">
        <f aca="false">'Raw Data'!K1994</f>
        <v>148.1</v>
      </c>
      <c r="G1994" s="7" t="str">
        <f aca="false">'Raw Data'!L1994</f>
        <v>No</v>
      </c>
      <c r="H1994" s="7" t="str">
        <f aca="false">'Raw Data'!M1994</f>
        <v>Moderate</v>
      </c>
      <c r="I1994" s="7" t="n">
        <f aca="false">(IF(D1994="Current",3,IF(D1994="Former",1,0)))+(IF(E1994="High",3,IF(E1994="Normal",1,0)))+(IF(F1994&gt;=240,2,IF(F1994&gt;=200,1,0)))+(IF(G1994="Yes",2,0))+(IF(H1994="High",2,IF(H1994="Moderate",1,0)))</f>
        <v>3</v>
      </c>
      <c r="J1994" s="7" t="str">
        <f aca="false">IF(I1994&gt;=8,"High",IF(I1994&gt;=4,"Medium","Low"))</f>
        <v>Low</v>
      </c>
    </row>
    <row r="1995" customFormat="false" ht="15" hidden="false" customHeight="true" outlineLevel="0" collapsed="false">
      <c r="A1995" s="7" t="n">
        <f aca="false">'Raw Data'!A1995</f>
        <v>1228</v>
      </c>
      <c r="B1995" s="7" t="n">
        <f aca="false">'Raw Data'!B1995</f>
        <v>21</v>
      </c>
      <c r="C1995" s="7" t="str">
        <f aca="false">'Raw Data'!C1995</f>
        <v>Female</v>
      </c>
      <c r="D1995" s="7" t="str">
        <f aca="false">'Raw Data'!D1995</f>
        <v>Former</v>
      </c>
      <c r="E1995" s="7" t="str">
        <f aca="false">'Raw Data'!J1995</f>
        <v>Normal</v>
      </c>
      <c r="F1995" s="7" t="n">
        <f aca="false">'Raw Data'!K1995</f>
        <v>279.8</v>
      </c>
      <c r="G1995" s="7" t="str">
        <f aca="false">'Raw Data'!L1995</f>
        <v>No</v>
      </c>
      <c r="H1995" s="7" t="str">
        <f aca="false">'Raw Data'!M1995</f>
        <v>Moderate</v>
      </c>
      <c r="I1995" s="7" t="n">
        <f aca="false">(IF(D1995="Current",3,IF(D1995="Former",1,0)))+(IF(E1995="High",3,IF(E1995="Normal",1,0)))+(IF(F1995&gt;=240,2,IF(F1995&gt;=200,1,0)))+(IF(G1995="Yes",2,0))+(IF(H1995="High",2,IF(H1995="Moderate",1,0)))</f>
        <v>5</v>
      </c>
      <c r="J1995" s="7" t="str">
        <f aca="false">IF(I1995&gt;=8,"High",IF(I1995&gt;=4,"Medium","Low"))</f>
        <v>Medium</v>
      </c>
    </row>
    <row r="1996" customFormat="false" ht="15" hidden="false" customHeight="true" outlineLevel="0" collapsed="false">
      <c r="A1996" s="7" t="n">
        <f aca="false">'Raw Data'!A1996</f>
        <v>1240</v>
      </c>
      <c r="B1996" s="7" t="n">
        <f aca="false">'Raw Data'!B1996</f>
        <v>53</v>
      </c>
      <c r="C1996" s="7" t="str">
        <f aca="false">'Raw Data'!C1996</f>
        <v>Male</v>
      </c>
      <c r="D1996" s="7" t="str">
        <f aca="false">'Raw Data'!D1996</f>
        <v>Former</v>
      </c>
      <c r="E1996" s="7" t="str">
        <f aca="false">'Raw Data'!J1996</f>
        <v>Normal</v>
      </c>
      <c r="F1996" s="7" t="n">
        <f aca="false">'Raw Data'!K1996</f>
        <v>141.7</v>
      </c>
      <c r="G1996" s="7" t="str">
        <f aca="false">'Raw Data'!L1996</f>
        <v>Yes</v>
      </c>
      <c r="H1996" s="7" t="str">
        <f aca="false">'Raw Data'!M1996</f>
        <v>Moderate</v>
      </c>
      <c r="I1996" s="7" t="n">
        <f aca="false">(IF(D1996="Current",3,IF(D1996="Former",1,0)))+(IF(E1996="High",3,IF(E1996="Normal",1,0)))+(IF(F1996&gt;=240,2,IF(F1996&gt;=200,1,0)))+(IF(G1996="Yes",2,0))+(IF(H1996="High",2,IF(H1996="Moderate",1,0)))</f>
        <v>5</v>
      </c>
      <c r="J1996" s="7" t="str">
        <f aca="false">IF(I1996&gt;=8,"High",IF(I1996&gt;=4,"Medium","Low"))</f>
        <v>Medium</v>
      </c>
    </row>
    <row r="1997" customFormat="false" ht="15" hidden="false" customHeight="true" outlineLevel="0" collapsed="false">
      <c r="A1997" s="7" t="n">
        <f aca="false">'Raw Data'!A1997</f>
        <v>1275</v>
      </c>
      <c r="B1997" s="7" t="n">
        <f aca="false">'Raw Data'!B1997</f>
        <v>66</v>
      </c>
      <c r="C1997" s="7" t="str">
        <f aca="false">'Raw Data'!C1997</f>
        <v>Male</v>
      </c>
      <c r="D1997" s="7" t="str">
        <f aca="false">'Raw Data'!D1997</f>
        <v>Former</v>
      </c>
      <c r="E1997" s="7" t="str">
        <f aca="false">'Raw Data'!J1997</f>
        <v>Normal</v>
      </c>
      <c r="F1997" s="7" t="n">
        <f aca="false">'Raw Data'!K1997</f>
        <v>123.5</v>
      </c>
      <c r="G1997" s="7" t="str">
        <f aca="false">'Raw Data'!L1997</f>
        <v>Yes</v>
      </c>
      <c r="H1997" s="7" t="str">
        <f aca="false">'Raw Data'!M1997</f>
        <v>Moderate</v>
      </c>
      <c r="I1997" s="7" t="n">
        <f aca="false">(IF(D1997="Current",3,IF(D1997="Former",1,0)))+(IF(E1997="High",3,IF(E1997="Normal",1,0)))+(IF(F1997&gt;=240,2,IF(F1997&gt;=200,1,0)))+(IF(G1997="Yes",2,0))+(IF(H1997="High",2,IF(H1997="Moderate",1,0)))</f>
        <v>5</v>
      </c>
      <c r="J1997" s="7" t="str">
        <f aca="false">IF(I1997&gt;=8,"High",IF(I1997&gt;=4,"Medium","Low"))</f>
        <v>Medium</v>
      </c>
    </row>
    <row r="1998" customFormat="false" ht="15" hidden="false" customHeight="true" outlineLevel="0" collapsed="false">
      <c r="A1998" s="7" t="n">
        <f aca="false">'Raw Data'!A1998</f>
        <v>1277</v>
      </c>
      <c r="B1998" s="7" t="n">
        <f aca="false">'Raw Data'!B1998</f>
        <v>69</v>
      </c>
      <c r="C1998" s="7" t="str">
        <f aca="false">'Raw Data'!C1998</f>
        <v>Female</v>
      </c>
      <c r="D1998" s="7" t="str">
        <f aca="false">'Raw Data'!D1998</f>
        <v>Former</v>
      </c>
      <c r="E1998" s="7" t="str">
        <f aca="false">'Raw Data'!J1998</f>
        <v>Normal</v>
      </c>
      <c r="F1998" s="7" t="n">
        <f aca="false">'Raw Data'!K1998</f>
        <v>184.6</v>
      </c>
      <c r="G1998" s="7" t="str">
        <f aca="false">'Raw Data'!L1998</f>
        <v>No</v>
      </c>
      <c r="H1998" s="7" t="str">
        <f aca="false">'Raw Data'!M1998</f>
        <v>Moderate</v>
      </c>
      <c r="I1998" s="7" t="n">
        <f aca="false">(IF(D1998="Current",3,IF(D1998="Former",1,0)))+(IF(E1998="High",3,IF(E1998="Normal",1,0)))+(IF(F1998&gt;=240,2,IF(F1998&gt;=200,1,0)))+(IF(G1998="Yes",2,0))+(IF(H1998="High",2,IF(H1998="Moderate",1,0)))</f>
        <v>3</v>
      </c>
      <c r="J1998" s="7" t="str">
        <f aca="false">IF(I1998&gt;=8,"High",IF(I1998&gt;=4,"Medium","Low"))</f>
        <v>Low</v>
      </c>
    </row>
    <row r="1999" customFormat="false" ht="15" hidden="false" customHeight="true" outlineLevel="0" collapsed="false">
      <c r="A1999" s="7" t="n">
        <f aca="false">'Raw Data'!A1999</f>
        <v>1312</v>
      </c>
      <c r="B1999" s="7" t="n">
        <f aca="false">'Raw Data'!B1999</f>
        <v>41</v>
      </c>
      <c r="C1999" s="7" t="str">
        <f aca="false">'Raw Data'!C1999</f>
        <v>Male</v>
      </c>
      <c r="D1999" s="7" t="str">
        <f aca="false">'Raw Data'!D1999</f>
        <v>Former</v>
      </c>
      <c r="E1999" s="7" t="str">
        <f aca="false">'Raw Data'!J1999</f>
        <v>Normal</v>
      </c>
      <c r="F1999" s="7" t="n">
        <f aca="false">'Raw Data'!K1999</f>
        <v>292.6</v>
      </c>
      <c r="G1999" s="7" t="str">
        <f aca="false">'Raw Data'!L1999</f>
        <v>Yes</v>
      </c>
      <c r="H1999" s="7" t="str">
        <f aca="false">'Raw Data'!M1999</f>
        <v>Moderate</v>
      </c>
      <c r="I1999" s="7" t="n">
        <f aca="false">(IF(D1999="Current",3,IF(D1999="Former",1,0)))+(IF(E1999="High",3,IF(E1999="Normal",1,0)))+(IF(F1999&gt;=240,2,IF(F1999&gt;=200,1,0)))+(IF(G1999="Yes",2,0))+(IF(H1999="High",2,IF(H1999="Moderate",1,0)))</f>
        <v>7</v>
      </c>
      <c r="J1999" s="7" t="str">
        <f aca="false">IF(I1999&gt;=8,"High",IF(I1999&gt;=4,"Medium","Low"))</f>
        <v>Medium</v>
      </c>
    </row>
    <row r="2000" customFormat="false" ht="15" hidden="false" customHeight="true" outlineLevel="0" collapsed="false">
      <c r="A2000" s="7" t="n">
        <f aca="false">'Raw Data'!A2000</f>
        <v>1336</v>
      </c>
      <c r="B2000" s="7" t="n">
        <f aca="false">'Raw Data'!B2000</f>
        <v>76</v>
      </c>
      <c r="C2000" s="7" t="str">
        <f aca="false">'Raw Data'!C2000</f>
        <v>Male</v>
      </c>
      <c r="D2000" s="7" t="str">
        <f aca="false">'Raw Data'!D2000</f>
        <v>Former</v>
      </c>
      <c r="E2000" s="7" t="str">
        <f aca="false">'Raw Data'!J2000</f>
        <v>Normal</v>
      </c>
      <c r="F2000" s="7" t="n">
        <f aca="false">'Raw Data'!K2000</f>
        <v>161.5</v>
      </c>
      <c r="G2000" s="7" t="str">
        <f aca="false">'Raw Data'!L2000</f>
        <v>No</v>
      </c>
      <c r="H2000" s="7" t="str">
        <f aca="false">'Raw Data'!M2000</f>
        <v>Moderate</v>
      </c>
      <c r="I2000" s="7" t="n">
        <f aca="false">(IF(D2000="Current",3,IF(D2000="Former",1,0)))+(IF(E2000="High",3,IF(E2000="Normal",1,0)))+(IF(F2000&gt;=240,2,IF(F2000&gt;=200,1,0)))+(IF(G2000="Yes",2,0))+(IF(H2000="High",2,IF(H2000="Moderate",1,0)))</f>
        <v>3</v>
      </c>
      <c r="J2000" s="7" t="str">
        <f aca="false">IF(I2000&gt;=8,"High",IF(I2000&gt;=4,"Medium","Low"))</f>
        <v>Low</v>
      </c>
    </row>
    <row r="2001" customFormat="false" ht="15" hidden="false" customHeight="true" outlineLevel="0" collapsed="false">
      <c r="A2001" s="7" t="n">
        <f aca="false">'Raw Data'!A2001</f>
        <v>1389</v>
      </c>
      <c r="B2001" s="7" t="n">
        <f aca="false">'Raw Data'!B2001</f>
        <v>70</v>
      </c>
      <c r="C2001" s="7" t="str">
        <f aca="false">'Raw Data'!C2001</f>
        <v>Female</v>
      </c>
      <c r="D2001" s="7" t="str">
        <f aca="false">'Raw Data'!D2001</f>
        <v>Former</v>
      </c>
      <c r="E2001" s="7" t="str">
        <f aca="false">'Raw Data'!J2001</f>
        <v>Normal</v>
      </c>
      <c r="F2001" s="7" t="n">
        <f aca="false">'Raw Data'!K2001</f>
        <v>194.3</v>
      </c>
      <c r="G2001" s="7" t="str">
        <f aca="false">'Raw Data'!L2001</f>
        <v>Yes</v>
      </c>
      <c r="H2001" s="7" t="str">
        <f aca="false">'Raw Data'!M2001</f>
        <v>Moderate</v>
      </c>
      <c r="I2001" s="7" t="n">
        <f aca="false">(IF(D2001="Current",3,IF(D2001="Former",1,0)))+(IF(E2001="High",3,IF(E2001="Normal",1,0)))+(IF(F2001&gt;=240,2,IF(F2001&gt;=200,1,0)))+(IF(G2001="Yes",2,0))+(IF(H2001="High",2,IF(H2001="Moderate",1,0)))</f>
        <v>5</v>
      </c>
      <c r="J2001" s="7" t="str">
        <f aca="false">IF(I2001&gt;=8,"High",IF(I2001&gt;=4,"Medium","Low"))</f>
        <v>Medium</v>
      </c>
    </row>
    <row r="2002" customFormat="false" ht="15" hidden="false" customHeight="true" outlineLevel="0" collapsed="false">
      <c r="A2002" s="7" t="n">
        <f aca="false">'Raw Data'!A2002</f>
        <v>1506</v>
      </c>
      <c r="B2002" s="7" t="n">
        <f aca="false">'Raw Data'!B2002</f>
        <v>18</v>
      </c>
      <c r="C2002" s="7" t="str">
        <f aca="false">'Raw Data'!C2002</f>
        <v>Male</v>
      </c>
      <c r="D2002" s="7" t="str">
        <f aca="false">'Raw Data'!D2002</f>
        <v>Former</v>
      </c>
      <c r="E2002" s="7" t="str">
        <f aca="false">'Raw Data'!J2002</f>
        <v>Normal</v>
      </c>
      <c r="F2002" s="7" t="n">
        <f aca="false">'Raw Data'!K2002</f>
        <v>217.1</v>
      </c>
      <c r="G2002" s="7" t="str">
        <f aca="false">'Raw Data'!L2002</f>
        <v>Yes</v>
      </c>
      <c r="H2002" s="7" t="str">
        <f aca="false">'Raw Data'!M2002</f>
        <v>Moderate</v>
      </c>
      <c r="I2002" s="7" t="n">
        <f aca="false">(IF(D2002="Current",3,IF(D2002="Former",1,0)))+(IF(E2002="High",3,IF(E2002="Normal",1,0)))+(IF(F2002&gt;=240,2,IF(F2002&gt;=200,1,0)))+(IF(G2002="Yes",2,0))+(IF(H2002="High",2,IF(H2002="Moderate",1,0)))</f>
        <v>6</v>
      </c>
      <c r="J2002" s="7" t="str">
        <f aca="false">IF(I2002&gt;=8,"High",IF(I2002&gt;=4,"Medium","Low"))</f>
        <v>Medium</v>
      </c>
    </row>
    <row r="2003" customFormat="false" ht="15" hidden="false" customHeight="true" outlineLevel="0" collapsed="false">
      <c r="A2003" s="7" t="n">
        <f aca="false">'Raw Data'!A2003</f>
        <v>1511</v>
      </c>
      <c r="B2003" s="7" t="n">
        <f aca="false">'Raw Data'!B2003</f>
        <v>49</v>
      </c>
      <c r="C2003" s="7" t="str">
        <f aca="false">'Raw Data'!C2003</f>
        <v>Female</v>
      </c>
      <c r="D2003" s="7" t="str">
        <f aca="false">'Raw Data'!D2003</f>
        <v>Former</v>
      </c>
      <c r="E2003" s="7" t="str">
        <f aca="false">'Raw Data'!J2003</f>
        <v>Normal</v>
      </c>
      <c r="F2003" s="7" t="n">
        <f aca="false">'Raw Data'!K2003</f>
        <v>130.4</v>
      </c>
      <c r="G2003" s="7" t="str">
        <f aca="false">'Raw Data'!L2003</f>
        <v>Yes</v>
      </c>
      <c r="H2003" s="7" t="str">
        <f aca="false">'Raw Data'!M2003</f>
        <v>Moderate</v>
      </c>
      <c r="I2003" s="7" t="n">
        <f aca="false">(IF(D2003="Current",3,IF(D2003="Former",1,0)))+(IF(E2003="High",3,IF(E2003="Normal",1,0)))+(IF(F2003&gt;=240,2,IF(F2003&gt;=200,1,0)))+(IF(G2003="Yes",2,0))+(IF(H2003="High",2,IF(H2003="Moderate",1,0)))</f>
        <v>5</v>
      </c>
      <c r="J2003" s="7" t="str">
        <f aca="false">IF(I2003&gt;=8,"High",IF(I2003&gt;=4,"Medium","Low"))</f>
        <v>Medium</v>
      </c>
    </row>
    <row r="2004" customFormat="false" ht="15" hidden="false" customHeight="true" outlineLevel="0" collapsed="false">
      <c r="A2004" s="7" t="n">
        <f aca="false">'Raw Data'!A2004</f>
        <v>1543</v>
      </c>
      <c r="B2004" s="7" t="n">
        <f aca="false">'Raw Data'!B2004</f>
        <v>25</v>
      </c>
      <c r="C2004" s="7" t="str">
        <f aca="false">'Raw Data'!C2004</f>
        <v>Female</v>
      </c>
      <c r="D2004" s="7" t="str">
        <f aca="false">'Raw Data'!D2004</f>
        <v>Former</v>
      </c>
      <c r="E2004" s="7" t="str">
        <f aca="false">'Raw Data'!J2004</f>
        <v>Normal</v>
      </c>
      <c r="F2004" s="7" t="n">
        <f aca="false">'Raw Data'!K2004</f>
        <v>143.5</v>
      </c>
      <c r="G2004" s="7" t="str">
        <f aca="false">'Raw Data'!L2004</f>
        <v>No</v>
      </c>
      <c r="H2004" s="7" t="str">
        <f aca="false">'Raw Data'!M2004</f>
        <v>Moderate</v>
      </c>
      <c r="I2004" s="7" t="n">
        <f aca="false">(IF(D2004="Current",3,IF(D2004="Former",1,0)))+(IF(E2004="High",3,IF(E2004="Normal",1,0)))+(IF(F2004&gt;=240,2,IF(F2004&gt;=200,1,0)))+(IF(G2004="Yes",2,0))+(IF(H2004="High",2,IF(H2004="Moderate",1,0)))</f>
        <v>3</v>
      </c>
      <c r="J2004" s="7" t="str">
        <f aca="false">IF(I2004&gt;=8,"High",IF(I2004&gt;=4,"Medium","Low"))</f>
        <v>Low</v>
      </c>
    </row>
    <row r="2005" customFormat="false" ht="15" hidden="false" customHeight="true" outlineLevel="0" collapsed="false">
      <c r="A2005" s="7" t="n">
        <f aca="false">'Raw Data'!A2005</f>
        <v>1546</v>
      </c>
      <c r="B2005" s="7" t="n">
        <f aca="false">'Raw Data'!B2005</f>
        <v>76</v>
      </c>
      <c r="C2005" s="7" t="str">
        <f aca="false">'Raw Data'!C2005</f>
        <v>Male</v>
      </c>
      <c r="D2005" s="7" t="str">
        <f aca="false">'Raw Data'!D2005</f>
        <v>Former</v>
      </c>
      <c r="E2005" s="7" t="str">
        <f aca="false">'Raw Data'!J2005</f>
        <v>Normal</v>
      </c>
      <c r="F2005" s="7" t="n">
        <f aca="false">'Raw Data'!K2005</f>
        <v>162.8</v>
      </c>
      <c r="G2005" s="7" t="str">
        <f aca="false">'Raw Data'!L2005</f>
        <v>No</v>
      </c>
      <c r="H2005" s="7" t="str">
        <f aca="false">'Raw Data'!M2005</f>
        <v>Moderate</v>
      </c>
      <c r="I2005" s="7" t="n">
        <f aca="false">(IF(D2005="Current",3,IF(D2005="Former",1,0)))+(IF(E2005="High",3,IF(E2005="Normal",1,0)))+(IF(F2005&gt;=240,2,IF(F2005&gt;=200,1,0)))+(IF(G2005="Yes",2,0))+(IF(H2005="High",2,IF(H2005="Moderate",1,0)))</f>
        <v>3</v>
      </c>
      <c r="J2005" s="7" t="str">
        <f aca="false">IF(I2005&gt;=8,"High",IF(I2005&gt;=4,"Medium","Low"))</f>
        <v>Low</v>
      </c>
    </row>
    <row r="2006" customFormat="false" ht="15" hidden="false" customHeight="true" outlineLevel="0" collapsed="false">
      <c r="A2006" s="7" t="n">
        <f aca="false">'Raw Data'!A2006</f>
        <v>1556</v>
      </c>
      <c r="B2006" s="7" t="n">
        <f aca="false">'Raw Data'!B2006</f>
        <v>46</v>
      </c>
      <c r="C2006" s="7" t="str">
        <f aca="false">'Raw Data'!C2006</f>
        <v>Male</v>
      </c>
      <c r="D2006" s="7" t="str">
        <f aca="false">'Raw Data'!D2006</f>
        <v>Former</v>
      </c>
      <c r="E2006" s="7" t="str">
        <f aca="false">'Raw Data'!J2006</f>
        <v>Normal</v>
      </c>
      <c r="F2006" s="7" t="n">
        <f aca="false">'Raw Data'!K2006</f>
        <v>150.3</v>
      </c>
      <c r="G2006" s="7" t="str">
        <f aca="false">'Raw Data'!L2006</f>
        <v>No</v>
      </c>
      <c r="H2006" s="7" t="str">
        <f aca="false">'Raw Data'!M2006</f>
        <v>Moderate</v>
      </c>
      <c r="I2006" s="7" t="n">
        <f aca="false">(IF(D2006="Current",3,IF(D2006="Former",1,0)))+(IF(E2006="High",3,IF(E2006="Normal",1,0)))+(IF(F2006&gt;=240,2,IF(F2006&gt;=200,1,0)))+(IF(G2006="Yes",2,0))+(IF(H2006="High",2,IF(H2006="Moderate",1,0)))</f>
        <v>3</v>
      </c>
      <c r="J2006" s="7" t="str">
        <f aca="false">IF(I2006&gt;=8,"High",IF(I2006&gt;=4,"Medium","Low"))</f>
        <v>Low</v>
      </c>
    </row>
    <row r="2007" customFormat="false" ht="15" hidden="false" customHeight="true" outlineLevel="0" collapsed="false">
      <c r="A2007" s="7" t="n">
        <f aca="false">'Raw Data'!A2007</f>
        <v>1585</v>
      </c>
      <c r="B2007" s="7" t="n">
        <f aca="false">'Raw Data'!B2007</f>
        <v>64</v>
      </c>
      <c r="C2007" s="7" t="str">
        <f aca="false">'Raw Data'!C2007</f>
        <v>Male</v>
      </c>
      <c r="D2007" s="7" t="str">
        <f aca="false">'Raw Data'!D2007</f>
        <v>Former</v>
      </c>
      <c r="E2007" s="7" t="str">
        <f aca="false">'Raw Data'!J2007</f>
        <v>Normal</v>
      </c>
      <c r="F2007" s="7" t="n">
        <f aca="false">'Raw Data'!K2007</f>
        <v>185.8</v>
      </c>
      <c r="G2007" s="7" t="str">
        <f aca="false">'Raw Data'!L2007</f>
        <v>Yes</v>
      </c>
      <c r="H2007" s="7" t="str">
        <f aca="false">'Raw Data'!M2007</f>
        <v>Moderate</v>
      </c>
      <c r="I2007" s="7" t="n">
        <f aca="false">(IF(D2007="Current",3,IF(D2007="Former",1,0)))+(IF(E2007="High",3,IF(E2007="Normal",1,0)))+(IF(F2007&gt;=240,2,IF(F2007&gt;=200,1,0)))+(IF(G2007="Yes",2,0))+(IF(H2007="High",2,IF(H2007="Moderate",1,0)))</f>
        <v>5</v>
      </c>
      <c r="J2007" s="7" t="str">
        <f aca="false">IF(I2007&gt;=8,"High",IF(I2007&gt;=4,"Medium","Low"))</f>
        <v>Medium</v>
      </c>
    </row>
    <row r="2008" customFormat="false" ht="15" hidden="false" customHeight="true" outlineLevel="0" collapsed="false">
      <c r="A2008" s="7" t="n">
        <f aca="false">'Raw Data'!A2008</f>
        <v>1600</v>
      </c>
      <c r="B2008" s="7" t="n">
        <f aca="false">'Raw Data'!B2008</f>
        <v>66</v>
      </c>
      <c r="C2008" s="7" t="str">
        <f aca="false">'Raw Data'!C2008</f>
        <v>Male</v>
      </c>
      <c r="D2008" s="7" t="str">
        <f aca="false">'Raw Data'!D2008</f>
        <v>Former</v>
      </c>
      <c r="E2008" s="7" t="str">
        <f aca="false">'Raw Data'!J2008</f>
        <v>Normal</v>
      </c>
      <c r="F2008" s="7" t="n">
        <f aca="false">'Raw Data'!K2008</f>
        <v>159.7</v>
      </c>
      <c r="G2008" s="7" t="str">
        <f aca="false">'Raw Data'!L2008</f>
        <v>No</v>
      </c>
      <c r="H2008" s="7" t="str">
        <f aca="false">'Raw Data'!M2008</f>
        <v>Moderate</v>
      </c>
      <c r="I2008" s="7" t="n">
        <f aca="false">(IF(D2008="Current",3,IF(D2008="Former",1,0)))+(IF(E2008="High",3,IF(E2008="Normal",1,0)))+(IF(F2008&gt;=240,2,IF(F2008&gt;=200,1,0)))+(IF(G2008="Yes",2,0))+(IF(H2008="High",2,IF(H2008="Moderate",1,0)))</f>
        <v>3</v>
      </c>
      <c r="J2008" s="7" t="str">
        <f aca="false">IF(I2008&gt;=8,"High",IF(I2008&gt;=4,"Medium","Low"))</f>
        <v>Low</v>
      </c>
    </row>
    <row r="2009" customFormat="false" ht="15" hidden="false" customHeight="true" outlineLevel="0" collapsed="false">
      <c r="A2009" s="7" t="n">
        <f aca="false">'Raw Data'!A2009</f>
        <v>1628</v>
      </c>
      <c r="B2009" s="7" t="n">
        <f aca="false">'Raw Data'!B2009</f>
        <v>75</v>
      </c>
      <c r="C2009" s="7" t="str">
        <f aca="false">'Raw Data'!C2009</f>
        <v>Female</v>
      </c>
      <c r="D2009" s="7" t="str">
        <f aca="false">'Raw Data'!D2009</f>
        <v>Former</v>
      </c>
      <c r="E2009" s="7" t="str">
        <f aca="false">'Raw Data'!J2009</f>
        <v>Normal</v>
      </c>
      <c r="F2009" s="7" t="n">
        <f aca="false">'Raw Data'!K2009</f>
        <v>180.7</v>
      </c>
      <c r="G2009" s="7" t="str">
        <f aca="false">'Raw Data'!L2009</f>
        <v>No</v>
      </c>
      <c r="H2009" s="7" t="str">
        <f aca="false">'Raw Data'!M2009</f>
        <v>Moderate</v>
      </c>
      <c r="I2009" s="7" t="n">
        <f aca="false">(IF(D2009="Current",3,IF(D2009="Former",1,0)))+(IF(E2009="High",3,IF(E2009="Normal",1,0)))+(IF(F2009&gt;=240,2,IF(F2009&gt;=200,1,0)))+(IF(G2009="Yes",2,0))+(IF(H2009="High",2,IF(H2009="Moderate",1,0)))</f>
        <v>3</v>
      </c>
      <c r="J2009" s="7" t="str">
        <f aca="false">IF(I2009&gt;=8,"High",IF(I2009&gt;=4,"Medium","Low"))</f>
        <v>Low</v>
      </c>
    </row>
    <row r="2010" customFormat="false" ht="15" hidden="false" customHeight="true" outlineLevel="0" collapsed="false">
      <c r="A2010" s="7" t="n">
        <f aca="false">'Raw Data'!A2010</f>
        <v>1630</v>
      </c>
      <c r="B2010" s="7" t="n">
        <f aca="false">'Raw Data'!B2010</f>
        <v>54</v>
      </c>
      <c r="C2010" s="7" t="str">
        <f aca="false">'Raw Data'!C2010</f>
        <v>Female</v>
      </c>
      <c r="D2010" s="7" t="str">
        <f aca="false">'Raw Data'!D2010</f>
        <v>Former</v>
      </c>
      <c r="E2010" s="7" t="str">
        <f aca="false">'Raw Data'!J2010</f>
        <v>Normal</v>
      </c>
      <c r="F2010" s="7" t="n">
        <f aca="false">'Raw Data'!K2010</f>
        <v>144.4</v>
      </c>
      <c r="G2010" s="7" t="str">
        <f aca="false">'Raw Data'!L2010</f>
        <v>No</v>
      </c>
      <c r="H2010" s="7" t="str">
        <f aca="false">'Raw Data'!M2010</f>
        <v>Moderate</v>
      </c>
      <c r="I2010" s="7" t="n">
        <f aca="false">(IF(D2010="Current",3,IF(D2010="Former",1,0)))+(IF(E2010="High",3,IF(E2010="Normal",1,0)))+(IF(F2010&gt;=240,2,IF(F2010&gt;=200,1,0)))+(IF(G2010="Yes",2,0))+(IF(H2010="High",2,IF(H2010="Moderate",1,0)))</f>
        <v>3</v>
      </c>
      <c r="J2010" s="7" t="str">
        <f aca="false">IF(I2010&gt;=8,"High",IF(I2010&gt;=4,"Medium","Low"))</f>
        <v>Low</v>
      </c>
    </row>
    <row r="2011" customFormat="false" ht="15" hidden="false" customHeight="true" outlineLevel="0" collapsed="false">
      <c r="A2011" s="7" t="n">
        <f aca="false">'Raw Data'!A2011</f>
        <v>1678</v>
      </c>
      <c r="B2011" s="7" t="n">
        <f aca="false">'Raw Data'!B2011</f>
        <v>40</v>
      </c>
      <c r="C2011" s="7" t="str">
        <f aca="false">'Raw Data'!C2011</f>
        <v>Female</v>
      </c>
      <c r="D2011" s="7" t="str">
        <f aca="false">'Raw Data'!D2011</f>
        <v>Former</v>
      </c>
      <c r="E2011" s="7" t="str">
        <f aca="false">'Raw Data'!J2011</f>
        <v>Normal</v>
      </c>
      <c r="F2011" s="7" t="n">
        <f aca="false">'Raw Data'!K2011</f>
        <v>206</v>
      </c>
      <c r="G2011" s="7" t="str">
        <f aca="false">'Raw Data'!L2011</f>
        <v>No</v>
      </c>
      <c r="H2011" s="7" t="str">
        <f aca="false">'Raw Data'!M2011</f>
        <v>Moderate</v>
      </c>
      <c r="I2011" s="7" t="n">
        <f aca="false">(IF(D2011="Current",3,IF(D2011="Former",1,0)))+(IF(E2011="High",3,IF(E2011="Normal",1,0)))+(IF(F2011&gt;=240,2,IF(F2011&gt;=200,1,0)))+(IF(G2011="Yes",2,0))+(IF(H2011="High",2,IF(H2011="Moderate",1,0)))</f>
        <v>4</v>
      </c>
      <c r="J2011" s="7" t="str">
        <f aca="false">IF(I2011&gt;=8,"High",IF(I2011&gt;=4,"Medium","Low"))</f>
        <v>Medium</v>
      </c>
    </row>
    <row r="2012" customFormat="false" ht="15" hidden="false" customHeight="true" outlineLevel="0" collapsed="false">
      <c r="A2012" s="7" t="n">
        <f aca="false">'Raw Data'!A2012</f>
        <v>1685</v>
      </c>
      <c r="B2012" s="7" t="n">
        <f aca="false">'Raw Data'!B2012</f>
        <v>45</v>
      </c>
      <c r="C2012" s="7" t="str">
        <f aca="false">'Raw Data'!C2012</f>
        <v>Female</v>
      </c>
      <c r="D2012" s="7" t="str">
        <f aca="false">'Raw Data'!D2012</f>
        <v>Former</v>
      </c>
      <c r="E2012" s="7" t="str">
        <f aca="false">'Raw Data'!J2012</f>
        <v>Normal</v>
      </c>
      <c r="F2012" s="7" t="n">
        <f aca="false">'Raw Data'!K2012</f>
        <v>125.2</v>
      </c>
      <c r="G2012" s="7" t="str">
        <f aca="false">'Raw Data'!L2012</f>
        <v>No</v>
      </c>
      <c r="H2012" s="7" t="str">
        <f aca="false">'Raw Data'!M2012</f>
        <v>Moderate</v>
      </c>
      <c r="I2012" s="7" t="n">
        <f aca="false">(IF(D2012="Current",3,IF(D2012="Former",1,0)))+(IF(E2012="High",3,IF(E2012="Normal",1,0)))+(IF(F2012&gt;=240,2,IF(F2012&gt;=200,1,0)))+(IF(G2012="Yes",2,0))+(IF(H2012="High",2,IF(H2012="Moderate",1,0)))</f>
        <v>3</v>
      </c>
      <c r="J2012" s="7" t="str">
        <f aca="false">IF(I2012&gt;=8,"High",IF(I2012&gt;=4,"Medium","Low"))</f>
        <v>Low</v>
      </c>
    </row>
    <row r="2013" customFormat="false" ht="15" hidden="false" customHeight="true" outlineLevel="0" collapsed="false">
      <c r="A2013" s="7" t="n">
        <f aca="false">'Raw Data'!A2013</f>
        <v>1724</v>
      </c>
      <c r="B2013" s="7" t="n">
        <f aca="false">'Raw Data'!B2013</f>
        <v>43</v>
      </c>
      <c r="C2013" s="7" t="str">
        <f aca="false">'Raw Data'!C2013</f>
        <v>Male</v>
      </c>
      <c r="D2013" s="7" t="str">
        <f aca="false">'Raw Data'!D2013</f>
        <v>Former</v>
      </c>
      <c r="E2013" s="7" t="str">
        <f aca="false">'Raw Data'!J2013</f>
        <v>Normal</v>
      </c>
      <c r="F2013" s="7" t="n">
        <f aca="false">'Raw Data'!K2013</f>
        <v>163.3</v>
      </c>
      <c r="G2013" s="7" t="str">
        <f aca="false">'Raw Data'!L2013</f>
        <v>Yes</v>
      </c>
      <c r="H2013" s="7" t="str">
        <f aca="false">'Raw Data'!M2013</f>
        <v>Moderate</v>
      </c>
      <c r="I2013" s="7" t="n">
        <f aca="false">(IF(D2013="Current",3,IF(D2013="Former",1,0)))+(IF(E2013="High",3,IF(E2013="Normal",1,0)))+(IF(F2013&gt;=240,2,IF(F2013&gt;=200,1,0)))+(IF(G2013="Yes",2,0))+(IF(H2013="High",2,IF(H2013="Moderate",1,0)))</f>
        <v>5</v>
      </c>
      <c r="J2013" s="7" t="str">
        <f aca="false">IF(I2013&gt;=8,"High",IF(I2013&gt;=4,"Medium","Low"))</f>
        <v>Medium</v>
      </c>
    </row>
    <row r="2014" customFormat="false" ht="15" hidden="false" customHeight="true" outlineLevel="0" collapsed="false">
      <c r="A2014" s="7" t="n">
        <f aca="false">'Raw Data'!A2014</f>
        <v>1726</v>
      </c>
      <c r="B2014" s="7" t="n">
        <f aca="false">'Raw Data'!B2014</f>
        <v>67</v>
      </c>
      <c r="C2014" s="7" t="str">
        <f aca="false">'Raw Data'!C2014</f>
        <v>Female</v>
      </c>
      <c r="D2014" s="7" t="str">
        <f aca="false">'Raw Data'!D2014</f>
        <v>Former</v>
      </c>
      <c r="E2014" s="7" t="str">
        <f aca="false">'Raw Data'!J2014</f>
        <v>Normal</v>
      </c>
      <c r="F2014" s="7" t="n">
        <f aca="false">'Raw Data'!K2014</f>
        <v>160.6</v>
      </c>
      <c r="G2014" s="7" t="str">
        <f aca="false">'Raw Data'!L2014</f>
        <v>No</v>
      </c>
      <c r="H2014" s="7" t="str">
        <f aca="false">'Raw Data'!M2014</f>
        <v>Moderate</v>
      </c>
      <c r="I2014" s="7" t="n">
        <f aca="false">(IF(D2014="Current",3,IF(D2014="Former",1,0)))+(IF(E2014="High",3,IF(E2014="Normal",1,0)))+(IF(F2014&gt;=240,2,IF(F2014&gt;=200,1,0)))+(IF(G2014="Yes",2,0))+(IF(H2014="High",2,IF(H2014="Moderate",1,0)))</f>
        <v>3</v>
      </c>
      <c r="J2014" s="7" t="str">
        <f aca="false">IF(I2014&gt;=8,"High",IF(I2014&gt;=4,"Medium","Low"))</f>
        <v>Low</v>
      </c>
    </row>
    <row r="2015" customFormat="false" ht="15" hidden="false" customHeight="true" outlineLevel="0" collapsed="false">
      <c r="A2015" s="7" t="n">
        <f aca="false">'Raw Data'!A2015</f>
        <v>1763</v>
      </c>
      <c r="B2015" s="7" t="n">
        <f aca="false">'Raw Data'!B2015</f>
        <v>35</v>
      </c>
      <c r="C2015" s="7" t="str">
        <f aca="false">'Raw Data'!C2015</f>
        <v>Female</v>
      </c>
      <c r="D2015" s="7" t="str">
        <f aca="false">'Raw Data'!D2015</f>
        <v>Former</v>
      </c>
      <c r="E2015" s="7" t="str">
        <f aca="false">'Raw Data'!J2015</f>
        <v>Normal</v>
      </c>
      <c r="F2015" s="7" t="n">
        <f aca="false">'Raw Data'!K2015</f>
        <v>297.5</v>
      </c>
      <c r="G2015" s="7" t="str">
        <f aca="false">'Raw Data'!L2015</f>
        <v>No</v>
      </c>
      <c r="H2015" s="7" t="str">
        <f aca="false">'Raw Data'!M2015</f>
        <v>Moderate</v>
      </c>
      <c r="I2015" s="7" t="n">
        <f aca="false">(IF(D2015="Current",3,IF(D2015="Former",1,0)))+(IF(E2015="High",3,IF(E2015="Normal",1,0)))+(IF(F2015&gt;=240,2,IF(F2015&gt;=200,1,0)))+(IF(G2015="Yes",2,0))+(IF(H2015="High",2,IF(H2015="Moderate",1,0)))</f>
        <v>5</v>
      </c>
      <c r="J2015" s="7" t="str">
        <f aca="false">IF(I2015&gt;=8,"High",IF(I2015&gt;=4,"Medium","Low"))</f>
        <v>Medium</v>
      </c>
    </row>
    <row r="2016" customFormat="false" ht="15" hidden="false" customHeight="true" outlineLevel="0" collapsed="false">
      <c r="A2016" s="7" t="n">
        <f aca="false">'Raw Data'!A2016</f>
        <v>1776</v>
      </c>
      <c r="B2016" s="7" t="n">
        <f aca="false">'Raw Data'!B2016</f>
        <v>61</v>
      </c>
      <c r="C2016" s="7" t="str">
        <f aca="false">'Raw Data'!C2016</f>
        <v>Male</v>
      </c>
      <c r="D2016" s="7" t="str">
        <f aca="false">'Raw Data'!D2016</f>
        <v>Former</v>
      </c>
      <c r="E2016" s="7" t="str">
        <f aca="false">'Raw Data'!J2016</f>
        <v>Normal</v>
      </c>
      <c r="F2016" s="7" t="n">
        <f aca="false">'Raw Data'!K2016</f>
        <v>238.5</v>
      </c>
      <c r="G2016" s="7" t="str">
        <f aca="false">'Raw Data'!L2016</f>
        <v>No</v>
      </c>
      <c r="H2016" s="7" t="str">
        <f aca="false">'Raw Data'!M2016</f>
        <v>Moderate</v>
      </c>
      <c r="I2016" s="7" t="n">
        <f aca="false">(IF(D2016="Current",3,IF(D2016="Former",1,0)))+(IF(E2016="High",3,IF(E2016="Normal",1,0)))+(IF(F2016&gt;=240,2,IF(F2016&gt;=200,1,0)))+(IF(G2016="Yes",2,0))+(IF(H2016="High",2,IF(H2016="Moderate",1,0)))</f>
        <v>4</v>
      </c>
      <c r="J2016" s="7" t="str">
        <f aca="false">IF(I2016&gt;=8,"High",IF(I2016&gt;=4,"Medium","Low"))</f>
        <v>Medium</v>
      </c>
    </row>
    <row r="2017" customFormat="false" ht="15" hidden="false" customHeight="true" outlineLevel="0" collapsed="false">
      <c r="A2017" s="7" t="n">
        <f aca="false">'Raw Data'!A2017</f>
        <v>1816</v>
      </c>
      <c r="B2017" s="7" t="n">
        <f aca="false">'Raw Data'!B2017</f>
        <v>35</v>
      </c>
      <c r="C2017" s="7" t="str">
        <f aca="false">'Raw Data'!C2017</f>
        <v>Male</v>
      </c>
      <c r="D2017" s="7" t="str">
        <f aca="false">'Raw Data'!D2017</f>
        <v>Former</v>
      </c>
      <c r="E2017" s="7" t="str">
        <f aca="false">'Raw Data'!J2017</f>
        <v>Normal</v>
      </c>
      <c r="F2017" s="7" t="n">
        <f aca="false">'Raw Data'!K2017</f>
        <v>265.9</v>
      </c>
      <c r="G2017" s="7" t="str">
        <f aca="false">'Raw Data'!L2017</f>
        <v>No</v>
      </c>
      <c r="H2017" s="7" t="str">
        <f aca="false">'Raw Data'!M2017</f>
        <v>Moderate</v>
      </c>
      <c r="I2017" s="7" t="n">
        <f aca="false">(IF(D2017="Current",3,IF(D2017="Former",1,0)))+(IF(E2017="High",3,IF(E2017="Normal",1,0)))+(IF(F2017&gt;=240,2,IF(F2017&gt;=200,1,0)))+(IF(G2017="Yes",2,0))+(IF(H2017="High",2,IF(H2017="Moderate",1,0)))</f>
        <v>5</v>
      </c>
      <c r="J2017" s="7" t="str">
        <f aca="false">IF(I2017&gt;=8,"High",IF(I2017&gt;=4,"Medium","Low"))</f>
        <v>Medium</v>
      </c>
    </row>
    <row r="2018" customFormat="false" ht="15" hidden="false" customHeight="true" outlineLevel="0" collapsed="false">
      <c r="A2018" s="7" t="n">
        <f aca="false">'Raw Data'!A2018</f>
        <v>1840</v>
      </c>
      <c r="B2018" s="7" t="n">
        <f aca="false">'Raw Data'!B2018</f>
        <v>81</v>
      </c>
      <c r="C2018" s="7" t="str">
        <f aca="false">'Raw Data'!C2018</f>
        <v>Male</v>
      </c>
      <c r="D2018" s="7" t="str">
        <f aca="false">'Raw Data'!D2018</f>
        <v>Former</v>
      </c>
      <c r="E2018" s="7" t="str">
        <f aca="false">'Raw Data'!J2018</f>
        <v>Normal</v>
      </c>
      <c r="F2018" s="7" t="n">
        <f aca="false">'Raw Data'!K2018</f>
        <v>147.6</v>
      </c>
      <c r="G2018" s="7" t="str">
        <f aca="false">'Raw Data'!L2018</f>
        <v>Yes</v>
      </c>
      <c r="H2018" s="7" t="str">
        <f aca="false">'Raw Data'!M2018</f>
        <v>Moderate</v>
      </c>
      <c r="I2018" s="7" t="n">
        <f aca="false">(IF(D2018="Current",3,IF(D2018="Former",1,0)))+(IF(E2018="High",3,IF(E2018="Normal",1,0)))+(IF(F2018&gt;=240,2,IF(F2018&gt;=200,1,0)))+(IF(G2018="Yes",2,0))+(IF(H2018="High",2,IF(H2018="Moderate",1,0)))</f>
        <v>5</v>
      </c>
      <c r="J2018" s="7" t="str">
        <f aca="false">IF(I2018&gt;=8,"High",IF(I2018&gt;=4,"Medium","Low"))</f>
        <v>Medium</v>
      </c>
    </row>
    <row r="2019" customFormat="false" ht="15" hidden="false" customHeight="true" outlineLevel="0" collapsed="false">
      <c r="A2019" s="7" t="n">
        <f aca="false">'Raw Data'!A2019</f>
        <v>1846</v>
      </c>
      <c r="B2019" s="7" t="n">
        <f aca="false">'Raw Data'!B2019</f>
        <v>46</v>
      </c>
      <c r="C2019" s="7" t="str">
        <f aca="false">'Raw Data'!C2019</f>
        <v>Male</v>
      </c>
      <c r="D2019" s="7" t="str">
        <f aca="false">'Raw Data'!D2019</f>
        <v>Former</v>
      </c>
      <c r="E2019" s="7" t="str">
        <f aca="false">'Raw Data'!J2019</f>
        <v>Normal</v>
      </c>
      <c r="F2019" s="7" t="n">
        <f aca="false">'Raw Data'!K2019</f>
        <v>263.1</v>
      </c>
      <c r="G2019" s="7" t="str">
        <f aca="false">'Raw Data'!L2019</f>
        <v>Yes</v>
      </c>
      <c r="H2019" s="7" t="str">
        <f aca="false">'Raw Data'!M2019</f>
        <v>Moderate</v>
      </c>
      <c r="I2019" s="7" t="n">
        <f aca="false">(IF(D2019="Current",3,IF(D2019="Former",1,0)))+(IF(E2019="High",3,IF(E2019="Normal",1,0)))+(IF(F2019&gt;=240,2,IF(F2019&gt;=200,1,0)))+(IF(G2019="Yes",2,0))+(IF(H2019="High",2,IF(H2019="Moderate",1,0)))</f>
        <v>7</v>
      </c>
      <c r="J2019" s="7" t="str">
        <f aca="false">IF(I2019&gt;=8,"High",IF(I2019&gt;=4,"Medium","Low"))</f>
        <v>Medium</v>
      </c>
    </row>
    <row r="2020" customFormat="false" ht="15" hidden="false" customHeight="true" outlineLevel="0" collapsed="false">
      <c r="A2020" s="7" t="n">
        <f aca="false">'Raw Data'!A2020</f>
        <v>1847</v>
      </c>
      <c r="B2020" s="7" t="n">
        <f aca="false">'Raw Data'!B2020</f>
        <v>80</v>
      </c>
      <c r="C2020" s="7" t="str">
        <f aca="false">'Raw Data'!C2020</f>
        <v>Male</v>
      </c>
      <c r="D2020" s="7" t="str">
        <f aca="false">'Raw Data'!D2020</f>
        <v>Former</v>
      </c>
      <c r="E2020" s="7" t="str">
        <f aca="false">'Raw Data'!J2020</f>
        <v>Normal</v>
      </c>
      <c r="F2020" s="7" t="n">
        <f aca="false">'Raw Data'!K2020</f>
        <v>257.7</v>
      </c>
      <c r="G2020" s="7" t="str">
        <f aca="false">'Raw Data'!L2020</f>
        <v>Yes</v>
      </c>
      <c r="H2020" s="7" t="str">
        <f aca="false">'Raw Data'!M2020</f>
        <v>Moderate</v>
      </c>
      <c r="I2020" s="7" t="n">
        <f aca="false">(IF(D2020="Current",3,IF(D2020="Former",1,0)))+(IF(E2020="High",3,IF(E2020="Normal",1,0)))+(IF(F2020&gt;=240,2,IF(F2020&gt;=200,1,0)))+(IF(G2020="Yes",2,0))+(IF(H2020="High",2,IF(H2020="Moderate",1,0)))</f>
        <v>7</v>
      </c>
      <c r="J2020" s="7" t="str">
        <f aca="false">IF(I2020&gt;=8,"High",IF(I2020&gt;=4,"Medium","Low"))</f>
        <v>Medium</v>
      </c>
    </row>
    <row r="2021" customFormat="false" ht="15" hidden="false" customHeight="true" outlineLevel="0" collapsed="false">
      <c r="A2021" s="7" t="n">
        <f aca="false">'Raw Data'!A2021</f>
        <v>1857</v>
      </c>
      <c r="B2021" s="7" t="n">
        <f aca="false">'Raw Data'!B2021</f>
        <v>76</v>
      </c>
      <c r="C2021" s="7" t="str">
        <f aca="false">'Raw Data'!C2021</f>
        <v>Female</v>
      </c>
      <c r="D2021" s="7" t="str">
        <f aca="false">'Raw Data'!D2021</f>
        <v>Former</v>
      </c>
      <c r="E2021" s="7" t="str">
        <f aca="false">'Raw Data'!J2021</f>
        <v>Normal</v>
      </c>
      <c r="F2021" s="7" t="n">
        <f aca="false">'Raw Data'!K2021</f>
        <v>230.9</v>
      </c>
      <c r="G2021" s="7" t="str">
        <f aca="false">'Raw Data'!L2021</f>
        <v>No</v>
      </c>
      <c r="H2021" s="7" t="str">
        <f aca="false">'Raw Data'!M2021</f>
        <v>Moderate</v>
      </c>
      <c r="I2021" s="7" t="n">
        <f aca="false">(IF(D2021="Current",3,IF(D2021="Former",1,0)))+(IF(E2021="High",3,IF(E2021="Normal",1,0)))+(IF(F2021&gt;=240,2,IF(F2021&gt;=200,1,0)))+(IF(G2021="Yes",2,0))+(IF(H2021="High",2,IF(H2021="Moderate",1,0)))</f>
        <v>4</v>
      </c>
      <c r="J2021" s="7" t="str">
        <f aca="false">IF(I2021&gt;=8,"High",IF(I2021&gt;=4,"Medium","Low"))</f>
        <v>Medium</v>
      </c>
    </row>
    <row r="2022" customFormat="false" ht="15" hidden="false" customHeight="true" outlineLevel="0" collapsed="false">
      <c r="A2022" s="7" t="n">
        <f aca="false">'Raw Data'!A2022</f>
        <v>1878</v>
      </c>
      <c r="B2022" s="7" t="n">
        <f aca="false">'Raw Data'!B2022</f>
        <v>68</v>
      </c>
      <c r="C2022" s="7" t="str">
        <f aca="false">'Raw Data'!C2022</f>
        <v>Male</v>
      </c>
      <c r="D2022" s="7" t="str">
        <f aca="false">'Raw Data'!D2022</f>
        <v>Former</v>
      </c>
      <c r="E2022" s="7" t="str">
        <f aca="false">'Raw Data'!J2022</f>
        <v>Normal</v>
      </c>
      <c r="F2022" s="7" t="n">
        <f aca="false">'Raw Data'!K2022</f>
        <v>279.2</v>
      </c>
      <c r="G2022" s="7" t="str">
        <f aca="false">'Raw Data'!L2022</f>
        <v>No</v>
      </c>
      <c r="H2022" s="7" t="str">
        <f aca="false">'Raw Data'!M2022</f>
        <v>Moderate</v>
      </c>
      <c r="I2022" s="7" t="n">
        <f aca="false">(IF(D2022="Current",3,IF(D2022="Former",1,0)))+(IF(E2022="High",3,IF(E2022="Normal",1,0)))+(IF(F2022&gt;=240,2,IF(F2022&gt;=200,1,0)))+(IF(G2022="Yes",2,0))+(IF(H2022="High",2,IF(H2022="Moderate",1,0)))</f>
        <v>5</v>
      </c>
      <c r="J2022" s="7" t="str">
        <f aca="false">IF(I2022&gt;=8,"High",IF(I2022&gt;=4,"Medium","Low"))</f>
        <v>Medium</v>
      </c>
    </row>
    <row r="2023" customFormat="false" ht="15" hidden="false" customHeight="true" outlineLevel="0" collapsed="false">
      <c r="A2023" s="7" t="n">
        <f aca="false">'Raw Data'!A2023</f>
        <v>1881</v>
      </c>
      <c r="B2023" s="7" t="n">
        <f aca="false">'Raw Data'!B2023</f>
        <v>52</v>
      </c>
      <c r="C2023" s="7" t="str">
        <f aca="false">'Raw Data'!C2023</f>
        <v>Female</v>
      </c>
      <c r="D2023" s="7" t="str">
        <f aca="false">'Raw Data'!D2023</f>
        <v>Former</v>
      </c>
      <c r="E2023" s="7" t="str">
        <f aca="false">'Raw Data'!J2023</f>
        <v>Normal</v>
      </c>
      <c r="F2023" s="7" t="n">
        <f aca="false">'Raw Data'!K2023</f>
        <v>294.2</v>
      </c>
      <c r="G2023" s="7" t="str">
        <f aca="false">'Raw Data'!L2023</f>
        <v>Yes</v>
      </c>
      <c r="H2023" s="7" t="str">
        <f aca="false">'Raw Data'!M2023</f>
        <v>Moderate</v>
      </c>
      <c r="I2023" s="7" t="n">
        <f aca="false">(IF(D2023="Current",3,IF(D2023="Former",1,0)))+(IF(E2023="High",3,IF(E2023="Normal",1,0)))+(IF(F2023&gt;=240,2,IF(F2023&gt;=200,1,0)))+(IF(G2023="Yes",2,0))+(IF(H2023="High",2,IF(H2023="Moderate",1,0)))</f>
        <v>7</v>
      </c>
      <c r="J2023" s="7" t="str">
        <f aca="false">IF(I2023&gt;=8,"High",IF(I2023&gt;=4,"Medium","Low"))</f>
        <v>Medium</v>
      </c>
    </row>
    <row r="2024" customFormat="false" ht="15" hidden="false" customHeight="true" outlineLevel="0" collapsed="false">
      <c r="A2024" s="7" t="n">
        <f aca="false">'Raw Data'!A2024</f>
        <v>1882</v>
      </c>
      <c r="B2024" s="7" t="n">
        <f aca="false">'Raw Data'!B2024</f>
        <v>19</v>
      </c>
      <c r="C2024" s="7" t="str">
        <f aca="false">'Raw Data'!C2024</f>
        <v>Female</v>
      </c>
      <c r="D2024" s="7" t="str">
        <f aca="false">'Raw Data'!D2024</f>
        <v>Former</v>
      </c>
      <c r="E2024" s="7" t="str">
        <f aca="false">'Raw Data'!J2024</f>
        <v>Normal</v>
      </c>
      <c r="F2024" s="7" t="n">
        <f aca="false">'Raw Data'!K2024</f>
        <v>196</v>
      </c>
      <c r="G2024" s="7" t="str">
        <f aca="false">'Raw Data'!L2024</f>
        <v>Yes</v>
      </c>
      <c r="H2024" s="7" t="str">
        <f aca="false">'Raw Data'!M2024</f>
        <v>Moderate</v>
      </c>
      <c r="I2024" s="7" t="n">
        <f aca="false">(IF(D2024="Current",3,IF(D2024="Former",1,0)))+(IF(E2024="High",3,IF(E2024="Normal",1,0)))+(IF(F2024&gt;=240,2,IF(F2024&gt;=200,1,0)))+(IF(G2024="Yes",2,0))+(IF(H2024="High",2,IF(H2024="Moderate",1,0)))</f>
        <v>5</v>
      </c>
      <c r="J2024" s="7" t="str">
        <f aca="false">IF(I2024&gt;=8,"High",IF(I2024&gt;=4,"Medium","Low"))</f>
        <v>Medium</v>
      </c>
    </row>
    <row r="2025" customFormat="false" ht="15" hidden="false" customHeight="true" outlineLevel="0" collapsed="false">
      <c r="A2025" s="7" t="n">
        <f aca="false">'Raw Data'!A2025</f>
        <v>1919</v>
      </c>
      <c r="B2025" s="7" t="n">
        <f aca="false">'Raw Data'!B2025</f>
        <v>25</v>
      </c>
      <c r="C2025" s="7" t="str">
        <f aca="false">'Raw Data'!C2025</f>
        <v>Male</v>
      </c>
      <c r="D2025" s="7" t="str">
        <f aca="false">'Raw Data'!D2025</f>
        <v>Former</v>
      </c>
      <c r="E2025" s="7" t="str">
        <f aca="false">'Raw Data'!J2025</f>
        <v>Normal</v>
      </c>
      <c r="F2025" s="7" t="n">
        <f aca="false">'Raw Data'!K2025</f>
        <v>229.5</v>
      </c>
      <c r="G2025" s="7" t="str">
        <f aca="false">'Raw Data'!L2025</f>
        <v>No</v>
      </c>
      <c r="H2025" s="7" t="str">
        <f aca="false">'Raw Data'!M2025</f>
        <v>Moderate</v>
      </c>
      <c r="I2025" s="7" t="n">
        <f aca="false">(IF(D2025="Current",3,IF(D2025="Former",1,0)))+(IF(E2025="High",3,IF(E2025="Normal",1,0)))+(IF(F2025&gt;=240,2,IF(F2025&gt;=200,1,0)))+(IF(G2025="Yes",2,0))+(IF(H2025="High",2,IF(H2025="Moderate",1,0)))</f>
        <v>4</v>
      </c>
      <c r="J2025" s="7" t="str">
        <f aca="false">IF(I2025&gt;=8,"High",IF(I2025&gt;=4,"Medium","Low"))</f>
        <v>Medium</v>
      </c>
    </row>
    <row r="2026" customFormat="false" ht="15" hidden="false" customHeight="true" outlineLevel="0" collapsed="false">
      <c r="A2026" s="7" t="n">
        <f aca="false">'Raw Data'!A2026</f>
        <v>1923</v>
      </c>
      <c r="B2026" s="7" t="n">
        <f aca="false">'Raw Data'!B2026</f>
        <v>46</v>
      </c>
      <c r="C2026" s="7" t="str">
        <f aca="false">'Raw Data'!C2026</f>
        <v>Female</v>
      </c>
      <c r="D2026" s="7" t="str">
        <f aca="false">'Raw Data'!D2026</f>
        <v>Former</v>
      </c>
      <c r="E2026" s="7" t="str">
        <f aca="false">'Raw Data'!J2026</f>
        <v>Normal</v>
      </c>
      <c r="F2026" s="7" t="n">
        <f aca="false">'Raw Data'!K2026</f>
        <v>209</v>
      </c>
      <c r="G2026" s="7" t="str">
        <f aca="false">'Raw Data'!L2026</f>
        <v>Yes</v>
      </c>
      <c r="H2026" s="7" t="str">
        <f aca="false">'Raw Data'!M2026</f>
        <v>Moderate</v>
      </c>
      <c r="I2026" s="7" t="n">
        <f aca="false">(IF(D2026="Current",3,IF(D2026="Former",1,0)))+(IF(E2026="High",3,IF(E2026="Normal",1,0)))+(IF(F2026&gt;=240,2,IF(F2026&gt;=200,1,0)))+(IF(G2026="Yes",2,0))+(IF(H2026="High",2,IF(H2026="Moderate",1,0)))</f>
        <v>6</v>
      </c>
      <c r="J2026" s="7" t="str">
        <f aca="false">IF(I2026&gt;=8,"High",IF(I2026&gt;=4,"Medium","Low"))</f>
        <v>Medium</v>
      </c>
    </row>
    <row r="2027" customFormat="false" ht="15" hidden="false" customHeight="true" outlineLevel="0" collapsed="false">
      <c r="A2027" s="7" t="n">
        <f aca="false">'Raw Data'!A2027</f>
        <v>1941</v>
      </c>
      <c r="B2027" s="7" t="n">
        <f aca="false">'Raw Data'!B2027</f>
        <v>82</v>
      </c>
      <c r="C2027" s="7" t="str">
        <f aca="false">'Raw Data'!C2027</f>
        <v>Male</v>
      </c>
      <c r="D2027" s="7" t="str">
        <f aca="false">'Raw Data'!D2027</f>
        <v>Former</v>
      </c>
      <c r="E2027" s="7" t="str">
        <f aca="false">'Raw Data'!J2027</f>
        <v>Normal</v>
      </c>
      <c r="F2027" s="7" t="n">
        <f aca="false">'Raw Data'!K2027</f>
        <v>211.4</v>
      </c>
      <c r="G2027" s="7" t="str">
        <f aca="false">'Raw Data'!L2027</f>
        <v>No</v>
      </c>
      <c r="H2027" s="7" t="str">
        <f aca="false">'Raw Data'!M2027</f>
        <v>Moderate</v>
      </c>
      <c r="I2027" s="7" t="n">
        <f aca="false">(IF(D2027="Current",3,IF(D2027="Former",1,0)))+(IF(E2027="High",3,IF(E2027="Normal",1,0)))+(IF(F2027&gt;=240,2,IF(F2027&gt;=200,1,0)))+(IF(G2027="Yes",2,0))+(IF(H2027="High",2,IF(H2027="Moderate",1,0)))</f>
        <v>4</v>
      </c>
      <c r="J2027" s="7" t="str">
        <f aca="false">IF(I2027&gt;=8,"High",IF(I2027&gt;=4,"Medium","Low"))</f>
        <v>Medium</v>
      </c>
    </row>
    <row r="2028" customFormat="false" ht="15" hidden="false" customHeight="true" outlineLevel="0" collapsed="false">
      <c r="A2028" s="7" t="n">
        <f aca="false">'Raw Data'!A2028</f>
        <v>1954</v>
      </c>
      <c r="B2028" s="7" t="n">
        <f aca="false">'Raw Data'!B2028</f>
        <v>70</v>
      </c>
      <c r="C2028" s="7" t="str">
        <f aca="false">'Raw Data'!C2028</f>
        <v>Female</v>
      </c>
      <c r="D2028" s="7" t="str">
        <f aca="false">'Raw Data'!D2028</f>
        <v>Former</v>
      </c>
      <c r="E2028" s="7" t="str">
        <f aca="false">'Raw Data'!J2028</f>
        <v>Normal</v>
      </c>
      <c r="F2028" s="7" t="n">
        <f aca="false">'Raw Data'!K2028</f>
        <v>277.4</v>
      </c>
      <c r="G2028" s="7" t="str">
        <f aca="false">'Raw Data'!L2028</f>
        <v>Yes</v>
      </c>
      <c r="H2028" s="7" t="str">
        <f aca="false">'Raw Data'!M2028</f>
        <v>Moderate</v>
      </c>
      <c r="I2028" s="7" t="n">
        <f aca="false">(IF(D2028="Current",3,IF(D2028="Former",1,0)))+(IF(E2028="High",3,IF(E2028="Normal",1,0)))+(IF(F2028&gt;=240,2,IF(F2028&gt;=200,1,0)))+(IF(G2028="Yes",2,0))+(IF(H2028="High",2,IF(H2028="Moderate",1,0)))</f>
        <v>7</v>
      </c>
      <c r="J2028" s="7" t="str">
        <f aca="false">IF(I2028&gt;=8,"High",IF(I2028&gt;=4,"Medium","Low"))</f>
        <v>Medium</v>
      </c>
    </row>
    <row r="2029" customFormat="false" ht="15" hidden="false" customHeight="true" outlineLevel="0" collapsed="false">
      <c r="A2029" s="7" t="n">
        <f aca="false">'Raw Data'!A2029</f>
        <v>1973</v>
      </c>
      <c r="B2029" s="7" t="n">
        <f aca="false">'Raw Data'!B2029</f>
        <v>64</v>
      </c>
      <c r="C2029" s="7" t="str">
        <f aca="false">'Raw Data'!C2029</f>
        <v>Male</v>
      </c>
      <c r="D2029" s="7" t="str">
        <f aca="false">'Raw Data'!D2029</f>
        <v>Former</v>
      </c>
      <c r="E2029" s="7" t="str">
        <f aca="false">'Raw Data'!J2029</f>
        <v>Normal</v>
      </c>
      <c r="F2029" s="7" t="n">
        <f aca="false">'Raw Data'!K2029</f>
        <v>203.5</v>
      </c>
      <c r="G2029" s="7" t="str">
        <f aca="false">'Raw Data'!L2029</f>
        <v>No</v>
      </c>
      <c r="H2029" s="7" t="str">
        <f aca="false">'Raw Data'!M2029</f>
        <v>Moderate</v>
      </c>
      <c r="I2029" s="7" t="n">
        <f aca="false">(IF(D2029="Current",3,IF(D2029="Former",1,0)))+(IF(E2029="High",3,IF(E2029="Normal",1,0)))+(IF(F2029&gt;=240,2,IF(F2029&gt;=200,1,0)))+(IF(G2029="Yes",2,0))+(IF(H2029="High",2,IF(H2029="Moderate",1,0)))</f>
        <v>4</v>
      </c>
      <c r="J2029" s="7" t="str">
        <f aca="false">IF(I2029&gt;=8,"High",IF(I2029&gt;=4,"Medium","Low"))</f>
        <v>Medium</v>
      </c>
    </row>
    <row r="2030" customFormat="false" ht="15" hidden="false" customHeight="true" outlineLevel="0" collapsed="false">
      <c r="A2030" s="7" t="n">
        <f aca="false">'Raw Data'!A2030</f>
        <v>1975</v>
      </c>
      <c r="B2030" s="7" t="n">
        <f aca="false">'Raw Data'!B2030</f>
        <v>42</v>
      </c>
      <c r="C2030" s="7" t="str">
        <f aca="false">'Raw Data'!C2030</f>
        <v>Male</v>
      </c>
      <c r="D2030" s="7" t="str">
        <f aca="false">'Raw Data'!D2030</f>
        <v>Former</v>
      </c>
      <c r="E2030" s="7" t="str">
        <f aca="false">'Raw Data'!J2030</f>
        <v>Normal</v>
      </c>
      <c r="F2030" s="7" t="n">
        <f aca="false">'Raw Data'!K2030</f>
        <v>136.5</v>
      </c>
      <c r="G2030" s="7" t="str">
        <f aca="false">'Raw Data'!L2030</f>
        <v>No</v>
      </c>
      <c r="H2030" s="7" t="str">
        <f aca="false">'Raw Data'!M2030</f>
        <v>Moderate</v>
      </c>
      <c r="I2030" s="7" t="n">
        <f aca="false">(IF(D2030="Current",3,IF(D2030="Former",1,0)))+(IF(E2030="High",3,IF(E2030="Normal",1,0)))+(IF(F2030&gt;=240,2,IF(F2030&gt;=200,1,0)))+(IF(G2030="Yes",2,0))+(IF(H2030="High",2,IF(H2030="Moderate",1,0)))</f>
        <v>3</v>
      </c>
      <c r="J2030" s="7" t="str">
        <f aca="false">IF(I2030&gt;=8,"High",IF(I2030&gt;=4,"Medium","Low"))</f>
        <v>Low</v>
      </c>
    </row>
    <row r="2031" customFormat="false" ht="15" hidden="false" customHeight="true" outlineLevel="0" collapsed="false">
      <c r="A2031" s="7" t="n">
        <f aca="false">'Raw Data'!A2031</f>
        <v>1983</v>
      </c>
      <c r="B2031" s="7" t="n">
        <f aca="false">'Raw Data'!B2031</f>
        <v>55</v>
      </c>
      <c r="C2031" s="7" t="str">
        <f aca="false">'Raw Data'!C2031</f>
        <v>Female</v>
      </c>
      <c r="D2031" s="7" t="str">
        <f aca="false">'Raw Data'!D2031</f>
        <v>Former</v>
      </c>
      <c r="E2031" s="7" t="str">
        <f aca="false">'Raw Data'!J2031</f>
        <v>Normal</v>
      </c>
      <c r="F2031" s="7" t="n">
        <f aca="false">'Raw Data'!K2031</f>
        <v>162.3</v>
      </c>
      <c r="G2031" s="7" t="str">
        <f aca="false">'Raw Data'!L2031</f>
        <v>No</v>
      </c>
      <c r="H2031" s="7" t="str">
        <f aca="false">'Raw Data'!M2031</f>
        <v>Moderate</v>
      </c>
      <c r="I2031" s="7" t="n">
        <f aca="false">(IF(D2031="Current",3,IF(D2031="Former",1,0)))+(IF(E2031="High",3,IF(E2031="Normal",1,0)))+(IF(F2031&gt;=240,2,IF(F2031&gt;=200,1,0)))+(IF(G2031="Yes",2,0))+(IF(H2031="High",2,IF(H2031="Moderate",1,0)))</f>
        <v>3</v>
      </c>
      <c r="J2031" s="7" t="str">
        <f aca="false">IF(I2031&gt;=8,"High",IF(I2031&gt;=4,"Medium","Low"))</f>
        <v>Low</v>
      </c>
    </row>
    <row r="2032" customFormat="false" ht="15" hidden="false" customHeight="true" outlineLevel="0" collapsed="false">
      <c r="A2032" s="7" t="n">
        <f aca="false">'Raw Data'!A2032</f>
        <v>2009</v>
      </c>
      <c r="B2032" s="7" t="n">
        <f aca="false">'Raw Data'!B2032</f>
        <v>87</v>
      </c>
      <c r="C2032" s="7" t="str">
        <f aca="false">'Raw Data'!C2032</f>
        <v>Male</v>
      </c>
      <c r="D2032" s="7" t="str">
        <f aca="false">'Raw Data'!D2032</f>
        <v>Former</v>
      </c>
      <c r="E2032" s="7" t="str">
        <f aca="false">'Raw Data'!J2032</f>
        <v>Normal</v>
      </c>
      <c r="F2032" s="7" t="n">
        <f aca="false">'Raw Data'!K2032</f>
        <v>209.9</v>
      </c>
      <c r="G2032" s="7" t="str">
        <f aca="false">'Raw Data'!L2032</f>
        <v>No</v>
      </c>
      <c r="H2032" s="7" t="str">
        <f aca="false">'Raw Data'!M2032</f>
        <v>Moderate</v>
      </c>
      <c r="I2032" s="7" t="n">
        <f aca="false">(IF(D2032="Current",3,IF(D2032="Former",1,0)))+(IF(E2032="High",3,IF(E2032="Normal",1,0)))+(IF(F2032&gt;=240,2,IF(F2032&gt;=200,1,0)))+(IF(G2032="Yes",2,0))+(IF(H2032="High",2,IF(H2032="Moderate",1,0)))</f>
        <v>4</v>
      </c>
      <c r="J2032" s="7" t="str">
        <f aca="false">IF(I2032&gt;=8,"High",IF(I2032&gt;=4,"Medium","Low"))</f>
        <v>Medium</v>
      </c>
    </row>
    <row r="2033" customFormat="false" ht="15" hidden="false" customHeight="true" outlineLevel="0" collapsed="false">
      <c r="A2033" s="7" t="n">
        <f aca="false">'Raw Data'!A2033</f>
        <v>2041</v>
      </c>
      <c r="B2033" s="7" t="n">
        <f aca="false">'Raw Data'!B2033</f>
        <v>34</v>
      </c>
      <c r="C2033" s="7" t="str">
        <f aca="false">'Raw Data'!C2033</f>
        <v>Male</v>
      </c>
      <c r="D2033" s="7" t="str">
        <f aca="false">'Raw Data'!D2033</f>
        <v>Former</v>
      </c>
      <c r="E2033" s="7" t="str">
        <f aca="false">'Raw Data'!J2033</f>
        <v>Normal</v>
      </c>
      <c r="F2033" s="7" t="n">
        <f aca="false">'Raw Data'!K2033</f>
        <v>238.7</v>
      </c>
      <c r="G2033" s="7" t="str">
        <f aca="false">'Raw Data'!L2033</f>
        <v>No</v>
      </c>
      <c r="H2033" s="7" t="str">
        <f aca="false">'Raw Data'!M2033</f>
        <v>Moderate</v>
      </c>
      <c r="I2033" s="7" t="n">
        <f aca="false">(IF(D2033="Current",3,IF(D2033="Former",1,0)))+(IF(E2033="High",3,IF(E2033="Normal",1,0)))+(IF(F2033&gt;=240,2,IF(F2033&gt;=200,1,0)))+(IF(G2033="Yes",2,0))+(IF(H2033="High",2,IF(H2033="Moderate",1,0)))</f>
        <v>4</v>
      </c>
      <c r="J2033" s="7" t="str">
        <f aca="false">IF(I2033&gt;=8,"High",IF(I2033&gt;=4,"Medium","Low"))</f>
        <v>Medium</v>
      </c>
    </row>
    <row r="2034" customFormat="false" ht="15" hidden="false" customHeight="true" outlineLevel="0" collapsed="false">
      <c r="A2034" s="7" t="n">
        <f aca="false">'Raw Data'!A2034</f>
        <v>2074</v>
      </c>
      <c r="B2034" s="7" t="n">
        <f aca="false">'Raw Data'!B2034</f>
        <v>23</v>
      </c>
      <c r="C2034" s="7" t="str">
        <f aca="false">'Raw Data'!C2034</f>
        <v>Male</v>
      </c>
      <c r="D2034" s="7" t="str">
        <f aca="false">'Raw Data'!D2034</f>
        <v>Former</v>
      </c>
      <c r="E2034" s="7" t="str">
        <f aca="false">'Raw Data'!J2034</f>
        <v>Normal</v>
      </c>
      <c r="F2034" s="7" t="n">
        <f aca="false">'Raw Data'!K2034</f>
        <v>276.1</v>
      </c>
      <c r="G2034" s="7" t="str">
        <f aca="false">'Raw Data'!L2034</f>
        <v>No</v>
      </c>
      <c r="H2034" s="7" t="str">
        <f aca="false">'Raw Data'!M2034</f>
        <v>Moderate</v>
      </c>
      <c r="I2034" s="7" t="n">
        <f aca="false">(IF(D2034="Current",3,IF(D2034="Former",1,0)))+(IF(E2034="High",3,IF(E2034="Normal",1,0)))+(IF(F2034&gt;=240,2,IF(F2034&gt;=200,1,0)))+(IF(G2034="Yes",2,0))+(IF(H2034="High",2,IF(H2034="Moderate",1,0)))</f>
        <v>5</v>
      </c>
      <c r="J2034" s="7" t="str">
        <f aca="false">IF(I2034&gt;=8,"High",IF(I2034&gt;=4,"Medium","Low"))</f>
        <v>Medium</v>
      </c>
    </row>
    <row r="2035" customFormat="false" ht="15" hidden="false" customHeight="true" outlineLevel="0" collapsed="false">
      <c r="A2035" s="7" t="n">
        <f aca="false">'Raw Data'!A2035</f>
        <v>2133</v>
      </c>
      <c r="B2035" s="7" t="n">
        <f aca="false">'Raw Data'!B2035</f>
        <v>33</v>
      </c>
      <c r="C2035" s="7" t="str">
        <f aca="false">'Raw Data'!C2035</f>
        <v>Female</v>
      </c>
      <c r="D2035" s="7" t="str">
        <f aca="false">'Raw Data'!D2035</f>
        <v>Former</v>
      </c>
      <c r="E2035" s="7" t="str">
        <f aca="false">'Raw Data'!J2035</f>
        <v>Normal</v>
      </c>
      <c r="F2035" s="7" t="n">
        <f aca="false">'Raw Data'!K2035</f>
        <v>174.4</v>
      </c>
      <c r="G2035" s="7" t="str">
        <f aca="false">'Raw Data'!L2035</f>
        <v>No</v>
      </c>
      <c r="H2035" s="7" t="str">
        <f aca="false">'Raw Data'!M2035</f>
        <v>Moderate</v>
      </c>
      <c r="I2035" s="7" t="n">
        <f aca="false">(IF(D2035="Current",3,IF(D2035="Former",1,0)))+(IF(E2035="High",3,IF(E2035="Normal",1,0)))+(IF(F2035&gt;=240,2,IF(F2035&gt;=200,1,0)))+(IF(G2035="Yes",2,0))+(IF(H2035="High",2,IF(H2035="Moderate",1,0)))</f>
        <v>3</v>
      </c>
      <c r="J2035" s="7" t="str">
        <f aca="false">IF(I2035&gt;=8,"High",IF(I2035&gt;=4,"Medium","Low"))</f>
        <v>Low</v>
      </c>
    </row>
    <row r="2036" customFormat="false" ht="15" hidden="false" customHeight="true" outlineLevel="0" collapsed="false">
      <c r="A2036" s="7" t="n">
        <f aca="false">'Raw Data'!A2036</f>
        <v>2142</v>
      </c>
      <c r="B2036" s="7" t="n">
        <f aca="false">'Raw Data'!B2036</f>
        <v>48</v>
      </c>
      <c r="C2036" s="7" t="str">
        <f aca="false">'Raw Data'!C2036</f>
        <v>Female</v>
      </c>
      <c r="D2036" s="7" t="str">
        <f aca="false">'Raw Data'!D2036</f>
        <v>Former</v>
      </c>
      <c r="E2036" s="7" t="str">
        <f aca="false">'Raw Data'!J2036</f>
        <v>Normal</v>
      </c>
      <c r="F2036" s="7" t="n">
        <f aca="false">'Raw Data'!K2036</f>
        <v>285.2</v>
      </c>
      <c r="G2036" s="7" t="str">
        <f aca="false">'Raw Data'!L2036</f>
        <v>No</v>
      </c>
      <c r="H2036" s="7" t="str">
        <f aca="false">'Raw Data'!M2036</f>
        <v>Moderate</v>
      </c>
      <c r="I2036" s="7" t="n">
        <f aca="false">(IF(D2036="Current",3,IF(D2036="Former",1,0)))+(IF(E2036="High",3,IF(E2036="Normal",1,0)))+(IF(F2036&gt;=240,2,IF(F2036&gt;=200,1,0)))+(IF(G2036="Yes",2,0))+(IF(H2036="High",2,IF(H2036="Moderate",1,0)))</f>
        <v>5</v>
      </c>
      <c r="J2036" s="7" t="str">
        <f aca="false">IF(I2036&gt;=8,"High",IF(I2036&gt;=4,"Medium","Low"))</f>
        <v>Medium</v>
      </c>
    </row>
    <row r="2037" customFormat="false" ht="15" hidden="false" customHeight="true" outlineLevel="0" collapsed="false">
      <c r="A2037" s="7" t="n">
        <f aca="false">'Raw Data'!A2037</f>
        <v>2194</v>
      </c>
      <c r="B2037" s="7" t="n">
        <f aca="false">'Raw Data'!B2037</f>
        <v>31</v>
      </c>
      <c r="C2037" s="7" t="str">
        <f aca="false">'Raw Data'!C2037</f>
        <v>Female</v>
      </c>
      <c r="D2037" s="7" t="str">
        <f aca="false">'Raw Data'!D2037</f>
        <v>Former</v>
      </c>
      <c r="E2037" s="7" t="str">
        <f aca="false">'Raw Data'!J2037</f>
        <v>Normal</v>
      </c>
      <c r="F2037" s="7" t="n">
        <f aca="false">'Raw Data'!K2037</f>
        <v>163</v>
      </c>
      <c r="G2037" s="7" t="str">
        <f aca="false">'Raw Data'!L2037</f>
        <v>No</v>
      </c>
      <c r="H2037" s="7" t="str">
        <f aca="false">'Raw Data'!M2037</f>
        <v>Moderate</v>
      </c>
      <c r="I2037" s="7" t="n">
        <f aca="false">(IF(D2037="Current",3,IF(D2037="Former",1,0)))+(IF(E2037="High",3,IF(E2037="Normal",1,0)))+(IF(F2037&gt;=240,2,IF(F2037&gt;=200,1,0)))+(IF(G2037="Yes",2,0))+(IF(H2037="High",2,IF(H2037="Moderate",1,0)))</f>
        <v>3</v>
      </c>
      <c r="J2037" s="7" t="str">
        <f aca="false">IF(I2037&gt;=8,"High",IF(I2037&gt;=4,"Medium","Low"))</f>
        <v>Low</v>
      </c>
    </row>
    <row r="2038" customFormat="false" ht="15" hidden="false" customHeight="true" outlineLevel="0" collapsed="false">
      <c r="A2038" s="7" t="n">
        <f aca="false">'Raw Data'!A2038</f>
        <v>2214</v>
      </c>
      <c r="B2038" s="7" t="n">
        <f aca="false">'Raw Data'!B2038</f>
        <v>22</v>
      </c>
      <c r="C2038" s="7" t="str">
        <f aca="false">'Raw Data'!C2038</f>
        <v>Female</v>
      </c>
      <c r="D2038" s="7" t="str">
        <f aca="false">'Raw Data'!D2038</f>
        <v>Former</v>
      </c>
      <c r="E2038" s="7" t="str">
        <f aca="false">'Raw Data'!J2038</f>
        <v>Normal</v>
      </c>
      <c r="F2038" s="7" t="n">
        <f aca="false">'Raw Data'!K2038</f>
        <v>131.5</v>
      </c>
      <c r="G2038" s="7" t="str">
        <f aca="false">'Raw Data'!L2038</f>
        <v>No</v>
      </c>
      <c r="H2038" s="7" t="str">
        <f aca="false">'Raw Data'!M2038</f>
        <v>Moderate</v>
      </c>
      <c r="I2038" s="7" t="n">
        <f aca="false">(IF(D2038="Current",3,IF(D2038="Former",1,0)))+(IF(E2038="High",3,IF(E2038="Normal",1,0)))+(IF(F2038&gt;=240,2,IF(F2038&gt;=200,1,0)))+(IF(G2038="Yes",2,0))+(IF(H2038="High",2,IF(H2038="Moderate",1,0)))</f>
        <v>3</v>
      </c>
      <c r="J2038" s="7" t="str">
        <f aca="false">IF(I2038&gt;=8,"High",IF(I2038&gt;=4,"Medium","Low"))</f>
        <v>Low</v>
      </c>
    </row>
    <row r="2039" customFormat="false" ht="15" hidden="false" customHeight="true" outlineLevel="0" collapsed="false">
      <c r="A2039" s="7" t="n">
        <f aca="false">'Raw Data'!A2039</f>
        <v>2242</v>
      </c>
      <c r="B2039" s="7" t="n">
        <f aca="false">'Raw Data'!B2039</f>
        <v>81</v>
      </c>
      <c r="C2039" s="7" t="str">
        <f aca="false">'Raw Data'!C2039</f>
        <v>Female</v>
      </c>
      <c r="D2039" s="7" t="str">
        <f aca="false">'Raw Data'!D2039</f>
        <v>Former</v>
      </c>
      <c r="E2039" s="7" t="str">
        <f aca="false">'Raw Data'!J2039</f>
        <v>Normal</v>
      </c>
      <c r="F2039" s="7" t="n">
        <f aca="false">'Raw Data'!K2039</f>
        <v>180.2</v>
      </c>
      <c r="G2039" s="7" t="str">
        <f aca="false">'Raw Data'!L2039</f>
        <v>No</v>
      </c>
      <c r="H2039" s="7" t="str">
        <f aca="false">'Raw Data'!M2039</f>
        <v>Moderate</v>
      </c>
      <c r="I2039" s="7" t="n">
        <f aca="false">(IF(D2039="Current",3,IF(D2039="Former",1,0)))+(IF(E2039="High",3,IF(E2039="Normal",1,0)))+(IF(F2039&gt;=240,2,IF(F2039&gt;=200,1,0)))+(IF(G2039="Yes",2,0))+(IF(H2039="High",2,IF(H2039="Moderate",1,0)))</f>
        <v>3</v>
      </c>
      <c r="J2039" s="7" t="str">
        <f aca="false">IF(I2039&gt;=8,"High",IF(I2039&gt;=4,"Medium","Low"))</f>
        <v>Low</v>
      </c>
    </row>
    <row r="2040" customFormat="false" ht="15" hidden="false" customHeight="true" outlineLevel="0" collapsed="false">
      <c r="A2040" s="7" t="n">
        <f aca="false">'Raw Data'!A2040</f>
        <v>2257</v>
      </c>
      <c r="B2040" s="7" t="n">
        <f aca="false">'Raw Data'!B2040</f>
        <v>77</v>
      </c>
      <c r="C2040" s="7" t="str">
        <f aca="false">'Raw Data'!C2040</f>
        <v>Male</v>
      </c>
      <c r="D2040" s="7" t="str">
        <f aca="false">'Raw Data'!D2040</f>
        <v>Former</v>
      </c>
      <c r="E2040" s="7" t="str">
        <f aca="false">'Raw Data'!J2040</f>
        <v>Normal</v>
      </c>
      <c r="F2040" s="7" t="n">
        <f aca="false">'Raw Data'!K2040</f>
        <v>213.2</v>
      </c>
      <c r="G2040" s="7" t="str">
        <f aca="false">'Raw Data'!L2040</f>
        <v>No</v>
      </c>
      <c r="H2040" s="7" t="str">
        <f aca="false">'Raw Data'!M2040</f>
        <v>Moderate</v>
      </c>
      <c r="I2040" s="7" t="n">
        <f aca="false">(IF(D2040="Current",3,IF(D2040="Former",1,0)))+(IF(E2040="High",3,IF(E2040="Normal",1,0)))+(IF(F2040&gt;=240,2,IF(F2040&gt;=200,1,0)))+(IF(G2040="Yes",2,0))+(IF(H2040="High",2,IF(H2040="Moderate",1,0)))</f>
        <v>4</v>
      </c>
      <c r="J2040" s="7" t="str">
        <f aca="false">IF(I2040&gt;=8,"High",IF(I2040&gt;=4,"Medium","Low"))</f>
        <v>Medium</v>
      </c>
    </row>
    <row r="2041" customFormat="false" ht="15" hidden="false" customHeight="true" outlineLevel="0" collapsed="false">
      <c r="A2041" s="7" t="n">
        <f aca="false">'Raw Data'!A2041</f>
        <v>2333</v>
      </c>
      <c r="B2041" s="7" t="n">
        <f aca="false">'Raw Data'!B2041</f>
        <v>68</v>
      </c>
      <c r="C2041" s="7" t="str">
        <f aca="false">'Raw Data'!C2041</f>
        <v>Male</v>
      </c>
      <c r="D2041" s="7" t="str">
        <f aca="false">'Raw Data'!D2041</f>
        <v>Former</v>
      </c>
      <c r="E2041" s="7" t="str">
        <f aca="false">'Raw Data'!J2041</f>
        <v>Normal</v>
      </c>
      <c r="F2041" s="7" t="n">
        <f aca="false">'Raw Data'!K2041</f>
        <v>199.2</v>
      </c>
      <c r="G2041" s="7" t="str">
        <f aca="false">'Raw Data'!L2041</f>
        <v>No</v>
      </c>
      <c r="H2041" s="7" t="str">
        <f aca="false">'Raw Data'!M2041</f>
        <v>Moderate</v>
      </c>
      <c r="I2041" s="7" t="n">
        <f aca="false">(IF(D2041="Current",3,IF(D2041="Former",1,0)))+(IF(E2041="High",3,IF(E2041="Normal",1,0)))+(IF(F2041&gt;=240,2,IF(F2041&gt;=200,1,0)))+(IF(G2041="Yes",2,0))+(IF(H2041="High",2,IF(H2041="Moderate",1,0)))</f>
        <v>3</v>
      </c>
      <c r="J2041" s="7" t="str">
        <f aca="false">IF(I2041&gt;=8,"High",IF(I2041&gt;=4,"Medium","Low"))</f>
        <v>Low</v>
      </c>
    </row>
    <row r="2042" customFormat="false" ht="15" hidden="false" customHeight="true" outlineLevel="0" collapsed="false">
      <c r="A2042" s="7" t="n">
        <f aca="false">'Raw Data'!A2042</f>
        <v>2360</v>
      </c>
      <c r="B2042" s="7" t="n">
        <f aca="false">'Raw Data'!B2042</f>
        <v>80</v>
      </c>
      <c r="C2042" s="7" t="str">
        <f aca="false">'Raw Data'!C2042</f>
        <v>Female</v>
      </c>
      <c r="D2042" s="7" t="str">
        <f aca="false">'Raw Data'!D2042</f>
        <v>Former</v>
      </c>
      <c r="E2042" s="7" t="str">
        <f aca="false">'Raw Data'!J2042</f>
        <v>Normal</v>
      </c>
      <c r="F2042" s="7" t="n">
        <f aca="false">'Raw Data'!K2042</f>
        <v>265.9</v>
      </c>
      <c r="G2042" s="7" t="str">
        <f aca="false">'Raw Data'!L2042</f>
        <v>No</v>
      </c>
      <c r="H2042" s="7" t="str">
        <f aca="false">'Raw Data'!M2042</f>
        <v>Moderate</v>
      </c>
      <c r="I2042" s="7" t="n">
        <f aca="false">(IF(D2042="Current",3,IF(D2042="Former",1,0)))+(IF(E2042="High",3,IF(E2042="Normal",1,0)))+(IF(F2042&gt;=240,2,IF(F2042&gt;=200,1,0)))+(IF(G2042="Yes",2,0))+(IF(H2042="High",2,IF(H2042="Moderate",1,0)))</f>
        <v>5</v>
      </c>
      <c r="J2042" s="7" t="str">
        <f aca="false">IF(I2042&gt;=8,"High",IF(I2042&gt;=4,"Medium","Low"))</f>
        <v>Medium</v>
      </c>
    </row>
    <row r="2043" customFormat="false" ht="15" hidden="false" customHeight="true" outlineLevel="0" collapsed="false">
      <c r="A2043" s="7" t="n">
        <f aca="false">'Raw Data'!A2043</f>
        <v>2374</v>
      </c>
      <c r="B2043" s="7" t="n">
        <f aca="false">'Raw Data'!B2043</f>
        <v>22</v>
      </c>
      <c r="C2043" s="7" t="str">
        <f aca="false">'Raw Data'!C2043</f>
        <v>Male</v>
      </c>
      <c r="D2043" s="7" t="str">
        <f aca="false">'Raw Data'!D2043</f>
        <v>Former</v>
      </c>
      <c r="E2043" s="7" t="str">
        <f aca="false">'Raw Data'!J2043</f>
        <v>Normal</v>
      </c>
      <c r="F2043" s="7" t="n">
        <f aca="false">'Raw Data'!K2043</f>
        <v>284.6</v>
      </c>
      <c r="G2043" s="7" t="str">
        <f aca="false">'Raw Data'!L2043</f>
        <v>Yes</v>
      </c>
      <c r="H2043" s="7" t="str">
        <f aca="false">'Raw Data'!M2043</f>
        <v>Moderate</v>
      </c>
      <c r="I2043" s="7" t="n">
        <f aca="false">(IF(D2043="Current",3,IF(D2043="Former",1,0)))+(IF(E2043="High",3,IF(E2043="Normal",1,0)))+(IF(F2043&gt;=240,2,IF(F2043&gt;=200,1,0)))+(IF(G2043="Yes",2,0))+(IF(H2043="High",2,IF(H2043="Moderate",1,0)))</f>
        <v>7</v>
      </c>
      <c r="J2043" s="7" t="str">
        <f aca="false">IF(I2043&gt;=8,"High",IF(I2043&gt;=4,"Medium","Low"))</f>
        <v>Medium</v>
      </c>
    </row>
    <row r="2044" customFormat="false" ht="15" hidden="false" customHeight="true" outlineLevel="0" collapsed="false">
      <c r="A2044" s="7" t="n">
        <f aca="false">'Raw Data'!A2044</f>
        <v>2376</v>
      </c>
      <c r="B2044" s="7" t="n">
        <f aca="false">'Raw Data'!B2044</f>
        <v>76</v>
      </c>
      <c r="C2044" s="7" t="str">
        <f aca="false">'Raw Data'!C2044</f>
        <v>Female</v>
      </c>
      <c r="D2044" s="7" t="str">
        <f aca="false">'Raw Data'!D2044</f>
        <v>Former</v>
      </c>
      <c r="E2044" s="7" t="str">
        <f aca="false">'Raw Data'!J2044</f>
        <v>Normal</v>
      </c>
      <c r="F2044" s="7" t="n">
        <f aca="false">'Raw Data'!K2044</f>
        <v>268.4</v>
      </c>
      <c r="G2044" s="7" t="str">
        <f aca="false">'Raw Data'!L2044</f>
        <v>No</v>
      </c>
      <c r="H2044" s="7" t="str">
        <f aca="false">'Raw Data'!M2044</f>
        <v>Moderate</v>
      </c>
      <c r="I2044" s="7" t="n">
        <f aca="false">(IF(D2044="Current",3,IF(D2044="Former",1,0)))+(IF(E2044="High",3,IF(E2044="Normal",1,0)))+(IF(F2044&gt;=240,2,IF(F2044&gt;=200,1,0)))+(IF(G2044="Yes",2,0))+(IF(H2044="High",2,IF(H2044="Moderate",1,0)))</f>
        <v>5</v>
      </c>
      <c r="J2044" s="7" t="str">
        <f aca="false">IF(I2044&gt;=8,"High",IF(I2044&gt;=4,"Medium","Low"))</f>
        <v>Medium</v>
      </c>
    </row>
    <row r="2045" customFormat="false" ht="15" hidden="false" customHeight="true" outlineLevel="0" collapsed="false">
      <c r="A2045" s="7" t="n">
        <f aca="false">'Raw Data'!A2045</f>
        <v>2388</v>
      </c>
      <c r="B2045" s="7" t="n">
        <f aca="false">'Raw Data'!B2045</f>
        <v>59</v>
      </c>
      <c r="C2045" s="7" t="str">
        <f aca="false">'Raw Data'!C2045</f>
        <v>Male</v>
      </c>
      <c r="D2045" s="7" t="str">
        <f aca="false">'Raw Data'!D2045</f>
        <v>Former</v>
      </c>
      <c r="E2045" s="7" t="str">
        <f aca="false">'Raw Data'!J2045</f>
        <v>Normal</v>
      </c>
      <c r="F2045" s="7" t="n">
        <f aca="false">'Raw Data'!K2045</f>
        <v>229.2</v>
      </c>
      <c r="G2045" s="7" t="str">
        <f aca="false">'Raw Data'!L2045</f>
        <v>No</v>
      </c>
      <c r="H2045" s="7" t="str">
        <f aca="false">'Raw Data'!M2045</f>
        <v>Moderate</v>
      </c>
      <c r="I2045" s="7" t="n">
        <f aca="false">(IF(D2045="Current",3,IF(D2045="Former",1,0)))+(IF(E2045="High",3,IF(E2045="Normal",1,0)))+(IF(F2045&gt;=240,2,IF(F2045&gt;=200,1,0)))+(IF(G2045="Yes",2,0))+(IF(H2045="High",2,IF(H2045="Moderate",1,0)))</f>
        <v>4</v>
      </c>
      <c r="J2045" s="7" t="str">
        <f aca="false">IF(I2045&gt;=8,"High",IF(I2045&gt;=4,"Medium","Low"))</f>
        <v>Medium</v>
      </c>
    </row>
    <row r="2046" customFormat="false" ht="15" hidden="false" customHeight="true" outlineLevel="0" collapsed="false">
      <c r="A2046" s="7" t="n">
        <f aca="false">'Raw Data'!A2046</f>
        <v>2410</v>
      </c>
      <c r="B2046" s="7" t="n">
        <f aca="false">'Raw Data'!B2046</f>
        <v>87</v>
      </c>
      <c r="C2046" s="7" t="str">
        <f aca="false">'Raw Data'!C2046</f>
        <v>Male</v>
      </c>
      <c r="D2046" s="7" t="str">
        <f aca="false">'Raw Data'!D2046</f>
        <v>Former</v>
      </c>
      <c r="E2046" s="7" t="str">
        <f aca="false">'Raw Data'!J2046</f>
        <v>Normal</v>
      </c>
      <c r="F2046" s="7" t="n">
        <f aca="false">'Raw Data'!K2046</f>
        <v>281.7</v>
      </c>
      <c r="G2046" s="7" t="str">
        <f aca="false">'Raw Data'!L2046</f>
        <v>No</v>
      </c>
      <c r="H2046" s="7" t="str">
        <f aca="false">'Raw Data'!M2046</f>
        <v>Moderate</v>
      </c>
      <c r="I2046" s="7" t="n">
        <f aca="false">(IF(D2046="Current",3,IF(D2046="Former",1,0)))+(IF(E2046="High",3,IF(E2046="Normal",1,0)))+(IF(F2046&gt;=240,2,IF(F2046&gt;=200,1,0)))+(IF(G2046="Yes",2,0))+(IF(H2046="High",2,IF(H2046="Moderate",1,0)))</f>
        <v>5</v>
      </c>
      <c r="J2046" s="7" t="str">
        <f aca="false">IF(I2046&gt;=8,"High",IF(I2046&gt;=4,"Medium","Low"))</f>
        <v>Medium</v>
      </c>
    </row>
    <row r="2047" customFormat="false" ht="15" hidden="false" customHeight="true" outlineLevel="0" collapsed="false">
      <c r="A2047" s="7" t="n">
        <f aca="false">'Raw Data'!A2047</f>
        <v>2447</v>
      </c>
      <c r="B2047" s="7" t="n">
        <f aca="false">'Raw Data'!B2047</f>
        <v>53</v>
      </c>
      <c r="C2047" s="7" t="str">
        <f aca="false">'Raw Data'!C2047</f>
        <v>Female</v>
      </c>
      <c r="D2047" s="7" t="str">
        <f aca="false">'Raw Data'!D2047</f>
        <v>Former</v>
      </c>
      <c r="E2047" s="7" t="str">
        <f aca="false">'Raw Data'!J2047</f>
        <v>Normal</v>
      </c>
      <c r="F2047" s="7" t="n">
        <f aca="false">'Raw Data'!K2047</f>
        <v>127.2</v>
      </c>
      <c r="G2047" s="7" t="str">
        <f aca="false">'Raw Data'!L2047</f>
        <v>Yes</v>
      </c>
      <c r="H2047" s="7" t="str">
        <f aca="false">'Raw Data'!M2047</f>
        <v>Moderate</v>
      </c>
      <c r="I2047" s="7" t="n">
        <f aca="false">(IF(D2047="Current",3,IF(D2047="Former",1,0)))+(IF(E2047="High",3,IF(E2047="Normal",1,0)))+(IF(F2047&gt;=240,2,IF(F2047&gt;=200,1,0)))+(IF(G2047="Yes",2,0))+(IF(H2047="High",2,IF(H2047="Moderate",1,0)))</f>
        <v>5</v>
      </c>
      <c r="J2047" s="7" t="str">
        <f aca="false">IF(I2047&gt;=8,"High",IF(I2047&gt;=4,"Medium","Low"))</f>
        <v>Medium</v>
      </c>
    </row>
    <row r="2048" customFormat="false" ht="15" hidden="false" customHeight="true" outlineLevel="0" collapsed="false">
      <c r="A2048" s="7" t="n">
        <f aca="false">'Raw Data'!A2048</f>
        <v>101</v>
      </c>
      <c r="B2048" s="7" t="n">
        <f aca="false">'Raw Data'!B2048</f>
        <v>38</v>
      </c>
      <c r="C2048" s="7" t="str">
        <f aca="false">'Raw Data'!C2048</f>
        <v>Male</v>
      </c>
      <c r="D2048" s="7" t="str">
        <f aca="false">'Raw Data'!D2048</f>
        <v>Former</v>
      </c>
      <c r="E2048" s="7" t="str">
        <f aca="false">'Raw Data'!J2048</f>
        <v>Normal</v>
      </c>
      <c r="F2048" s="7" t="n">
        <f aca="false">'Raw Data'!K2048</f>
        <v>208.1</v>
      </c>
      <c r="G2048" s="7" t="str">
        <f aca="false">'Raw Data'!L2048</f>
        <v>Yes</v>
      </c>
      <c r="H2048" s="7" t="str">
        <f aca="false">'Raw Data'!M2048</f>
        <v>High</v>
      </c>
      <c r="I2048" s="7" t="n">
        <f aca="false">(IF(D2048="Current",3,IF(D2048="Former",1,0)))+(IF(E2048="High",3,IF(E2048="Normal",1,0)))+(IF(F2048&gt;=240,2,IF(F2048&gt;=200,1,0)))+(IF(G2048="Yes",2,0))+(IF(H2048="High",2,IF(H2048="Moderate",1,0)))</f>
        <v>7</v>
      </c>
      <c r="J2048" s="7" t="str">
        <f aca="false">IF(I2048&gt;=8,"High",IF(I2048&gt;=4,"Medium","Low"))</f>
        <v>Medium</v>
      </c>
    </row>
    <row r="2049" customFormat="false" ht="15" hidden="false" customHeight="true" outlineLevel="0" collapsed="false">
      <c r="A2049" s="7" t="n">
        <f aca="false">'Raw Data'!A2049</f>
        <v>364</v>
      </c>
      <c r="B2049" s="7" t="n">
        <f aca="false">'Raw Data'!B2049</f>
        <v>71</v>
      </c>
      <c r="C2049" s="7" t="str">
        <f aca="false">'Raw Data'!C2049</f>
        <v>Female</v>
      </c>
      <c r="D2049" s="7" t="str">
        <f aca="false">'Raw Data'!D2049</f>
        <v>Former</v>
      </c>
      <c r="E2049" s="7" t="str">
        <f aca="false">'Raw Data'!J2049</f>
        <v>Normal</v>
      </c>
      <c r="F2049" s="7" t="n">
        <f aca="false">'Raw Data'!K2049</f>
        <v>162.7</v>
      </c>
      <c r="G2049" s="7" t="str">
        <f aca="false">'Raw Data'!L2049</f>
        <v>No</v>
      </c>
      <c r="H2049" s="7" t="str">
        <f aca="false">'Raw Data'!M2049</f>
        <v>High</v>
      </c>
      <c r="I2049" s="7" t="n">
        <f aca="false">(IF(D2049="Current",3,IF(D2049="Former",1,0)))+(IF(E2049="High",3,IF(E2049="Normal",1,0)))+(IF(F2049&gt;=240,2,IF(F2049&gt;=200,1,0)))+(IF(G2049="Yes",2,0))+(IF(H2049="High",2,IF(H2049="Moderate",1,0)))</f>
        <v>4</v>
      </c>
      <c r="J2049" s="7" t="str">
        <f aca="false">IF(I2049&gt;=8,"High",IF(I2049&gt;=4,"Medium","Low"))</f>
        <v>Medium</v>
      </c>
    </row>
    <row r="2050" customFormat="false" ht="15" hidden="false" customHeight="true" outlineLevel="0" collapsed="false">
      <c r="A2050" s="7" t="n">
        <f aca="false">'Raw Data'!A2050</f>
        <v>402</v>
      </c>
      <c r="B2050" s="7" t="n">
        <f aca="false">'Raw Data'!B2050</f>
        <v>47</v>
      </c>
      <c r="C2050" s="7" t="str">
        <f aca="false">'Raw Data'!C2050</f>
        <v>Male</v>
      </c>
      <c r="D2050" s="7" t="str">
        <f aca="false">'Raw Data'!D2050</f>
        <v>Former</v>
      </c>
      <c r="E2050" s="7" t="str">
        <f aca="false">'Raw Data'!J2050</f>
        <v>Normal</v>
      </c>
      <c r="F2050" s="7" t="n">
        <f aca="false">'Raw Data'!K2050</f>
        <v>166.8</v>
      </c>
      <c r="G2050" s="7" t="str">
        <f aca="false">'Raw Data'!L2050</f>
        <v>No</v>
      </c>
      <c r="H2050" s="7" t="str">
        <f aca="false">'Raw Data'!M2050</f>
        <v>High</v>
      </c>
      <c r="I2050" s="7" t="n">
        <f aca="false">(IF(D2050="Current",3,IF(D2050="Former",1,0)))+(IF(E2050="High",3,IF(E2050="Normal",1,0)))+(IF(F2050&gt;=240,2,IF(F2050&gt;=200,1,0)))+(IF(G2050="Yes",2,0))+(IF(H2050="High",2,IF(H2050="Moderate",1,0)))</f>
        <v>4</v>
      </c>
      <c r="J2050" s="7" t="str">
        <f aca="false">IF(I2050&gt;=8,"High",IF(I2050&gt;=4,"Medium","Low"))</f>
        <v>Medium</v>
      </c>
    </row>
    <row r="2051" customFormat="false" ht="15" hidden="false" customHeight="true" outlineLevel="0" collapsed="false">
      <c r="A2051" s="7" t="n">
        <f aca="false">'Raw Data'!A2051</f>
        <v>536</v>
      </c>
      <c r="B2051" s="7" t="n">
        <f aca="false">'Raw Data'!B2051</f>
        <v>34</v>
      </c>
      <c r="C2051" s="7" t="str">
        <f aca="false">'Raw Data'!C2051</f>
        <v>Male</v>
      </c>
      <c r="D2051" s="7" t="str">
        <f aca="false">'Raw Data'!D2051</f>
        <v>Former</v>
      </c>
      <c r="E2051" s="7" t="str">
        <f aca="false">'Raw Data'!J2051</f>
        <v>Normal</v>
      </c>
      <c r="F2051" s="7" t="n">
        <f aca="false">'Raw Data'!K2051</f>
        <v>193</v>
      </c>
      <c r="G2051" s="7" t="str">
        <f aca="false">'Raw Data'!L2051</f>
        <v>Yes</v>
      </c>
      <c r="H2051" s="7" t="str">
        <f aca="false">'Raw Data'!M2051</f>
        <v>High</v>
      </c>
      <c r="I2051" s="7" t="n">
        <f aca="false">(IF(D2051="Current",3,IF(D2051="Former",1,0)))+(IF(E2051="High",3,IF(E2051="Normal",1,0)))+(IF(F2051&gt;=240,2,IF(F2051&gt;=200,1,0)))+(IF(G2051="Yes",2,0))+(IF(H2051="High",2,IF(H2051="Moderate",1,0)))</f>
        <v>6</v>
      </c>
      <c r="J2051" s="7" t="str">
        <f aca="false">IF(I2051&gt;=8,"High",IF(I2051&gt;=4,"Medium","Low"))</f>
        <v>Medium</v>
      </c>
    </row>
    <row r="2052" customFormat="false" ht="15" hidden="false" customHeight="true" outlineLevel="0" collapsed="false">
      <c r="A2052" s="7" t="n">
        <f aca="false">'Raw Data'!A2052</f>
        <v>661</v>
      </c>
      <c r="B2052" s="7" t="n">
        <f aca="false">'Raw Data'!B2052</f>
        <v>30</v>
      </c>
      <c r="C2052" s="7" t="str">
        <f aca="false">'Raw Data'!C2052</f>
        <v>Male</v>
      </c>
      <c r="D2052" s="7" t="str">
        <f aca="false">'Raw Data'!D2052</f>
        <v>Former</v>
      </c>
      <c r="E2052" s="7" t="str">
        <f aca="false">'Raw Data'!J2052</f>
        <v>Normal</v>
      </c>
      <c r="F2052" s="7" t="n">
        <f aca="false">'Raw Data'!K2052</f>
        <v>174.3</v>
      </c>
      <c r="G2052" s="7" t="str">
        <f aca="false">'Raw Data'!L2052</f>
        <v>No</v>
      </c>
      <c r="H2052" s="7" t="str">
        <f aca="false">'Raw Data'!M2052</f>
        <v>High</v>
      </c>
      <c r="I2052" s="7" t="n">
        <f aca="false">(IF(D2052="Current",3,IF(D2052="Former",1,0)))+(IF(E2052="High",3,IF(E2052="Normal",1,0)))+(IF(F2052&gt;=240,2,IF(F2052&gt;=200,1,0)))+(IF(G2052="Yes",2,0))+(IF(H2052="High",2,IF(H2052="Moderate",1,0)))</f>
        <v>4</v>
      </c>
      <c r="J2052" s="7" t="str">
        <f aca="false">IF(I2052&gt;=8,"High",IF(I2052&gt;=4,"Medium","Low"))</f>
        <v>Medium</v>
      </c>
    </row>
    <row r="2053" customFormat="false" ht="15" hidden="false" customHeight="true" outlineLevel="0" collapsed="false">
      <c r="A2053" s="7" t="n">
        <f aca="false">'Raw Data'!A2053</f>
        <v>786</v>
      </c>
      <c r="B2053" s="7" t="n">
        <f aca="false">'Raw Data'!B2053</f>
        <v>80</v>
      </c>
      <c r="C2053" s="7" t="str">
        <f aca="false">'Raw Data'!C2053</f>
        <v>Female</v>
      </c>
      <c r="D2053" s="7" t="str">
        <f aca="false">'Raw Data'!D2053</f>
        <v>Former</v>
      </c>
      <c r="E2053" s="7" t="str">
        <f aca="false">'Raw Data'!J2053</f>
        <v>Normal</v>
      </c>
      <c r="F2053" s="7" t="n">
        <f aca="false">'Raw Data'!K2053</f>
        <v>201.3</v>
      </c>
      <c r="G2053" s="7" t="str">
        <f aca="false">'Raw Data'!L2053</f>
        <v>No</v>
      </c>
      <c r="H2053" s="7" t="str">
        <f aca="false">'Raw Data'!M2053</f>
        <v>High</v>
      </c>
      <c r="I2053" s="7" t="n">
        <f aca="false">(IF(D2053="Current",3,IF(D2053="Former",1,0)))+(IF(E2053="High",3,IF(E2053="Normal",1,0)))+(IF(F2053&gt;=240,2,IF(F2053&gt;=200,1,0)))+(IF(G2053="Yes",2,0))+(IF(H2053="High",2,IF(H2053="Moderate",1,0)))</f>
        <v>5</v>
      </c>
      <c r="J2053" s="7" t="str">
        <f aca="false">IF(I2053&gt;=8,"High",IF(I2053&gt;=4,"Medium","Low"))</f>
        <v>Medium</v>
      </c>
    </row>
    <row r="2054" customFormat="false" ht="15" hidden="false" customHeight="true" outlineLevel="0" collapsed="false">
      <c r="A2054" s="7" t="n">
        <f aca="false">'Raw Data'!A2054</f>
        <v>788</v>
      </c>
      <c r="B2054" s="7" t="n">
        <f aca="false">'Raw Data'!B2054</f>
        <v>79</v>
      </c>
      <c r="C2054" s="7" t="str">
        <f aca="false">'Raw Data'!C2054</f>
        <v>Male</v>
      </c>
      <c r="D2054" s="7" t="str">
        <f aca="false">'Raw Data'!D2054</f>
        <v>Former</v>
      </c>
      <c r="E2054" s="7" t="str">
        <f aca="false">'Raw Data'!J2054</f>
        <v>Normal</v>
      </c>
      <c r="F2054" s="7" t="n">
        <f aca="false">'Raw Data'!K2054</f>
        <v>271.6</v>
      </c>
      <c r="G2054" s="7" t="str">
        <f aca="false">'Raw Data'!L2054</f>
        <v>Yes</v>
      </c>
      <c r="H2054" s="7" t="str">
        <f aca="false">'Raw Data'!M2054</f>
        <v>High</v>
      </c>
      <c r="I2054" s="7" t="n">
        <f aca="false">(IF(D2054="Current",3,IF(D2054="Former",1,0)))+(IF(E2054="High",3,IF(E2054="Normal",1,0)))+(IF(F2054&gt;=240,2,IF(F2054&gt;=200,1,0)))+(IF(G2054="Yes",2,0))+(IF(H2054="High",2,IF(H2054="Moderate",1,0)))</f>
        <v>8</v>
      </c>
      <c r="J2054" s="7" t="str">
        <f aca="false">IF(I2054&gt;=8,"High",IF(I2054&gt;=4,"Medium","Low"))</f>
        <v>High</v>
      </c>
    </row>
    <row r="2055" customFormat="false" ht="15" hidden="false" customHeight="true" outlineLevel="0" collapsed="false">
      <c r="A2055" s="7" t="n">
        <f aca="false">'Raw Data'!A2055</f>
        <v>855</v>
      </c>
      <c r="B2055" s="7" t="n">
        <f aca="false">'Raw Data'!B2055</f>
        <v>68</v>
      </c>
      <c r="C2055" s="7" t="str">
        <f aca="false">'Raw Data'!C2055</f>
        <v>Female</v>
      </c>
      <c r="D2055" s="7" t="str">
        <f aca="false">'Raw Data'!D2055</f>
        <v>Former</v>
      </c>
      <c r="E2055" s="7" t="str">
        <f aca="false">'Raw Data'!J2055</f>
        <v>Normal</v>
      </c>
      <c r="F2055" s="7" t="n">
        <f aca="false">'Raw Data'!K2055</f>
        <v>165.4</v>
      </c>
      <c r="G2055" s="7" t="str">
        <f aca="false">'Raw Data'!L2055</f>
        <v>No</v>
      </c>
      <c r="H2055" s="7" t="str">
        <f aca="false">'Raw Data'!M2055</f>
        <v>High</v>
      </c>
      <c r="I2055" s="7" t="n">
        <f aca="false">(IF(D2055="Current",3,IF(D2055="Former",1,0)))+(IF(E2055="High",3,IF(E2055="Normal",1,0)))+(IF(F2055&gt;=240,2,IF(F2055&gt;=200,1,0)))+(IF(G2055="Yes",2,0))+(IF(H2055="High",2,IF(H2055="Moderate",1,0)))</f>
        <v>4</v>
      </c>
      <c r="J2055" s="7" t="str">
        <f aca="false">IF(I2055&gt;=8,"High",IF(I2055&gt;=4,"Medium","Low"))</f>
        <v>Medium</v>
      </c>
    </row>
    <row r="2056" customFormat="false" ht="15" hidden="false" customHeight="true" outlineLevel="0" collapsed="false">
      <c r="A2056" s="7" t="n">
        <f aca="false">'Raw Data'!A2056</f>
        <v>936</v>
      </c>
      <c r="B2056" s="7" t="n">
        <f aca="false">'Raw Data'!B2056</f>
        <v>41</v>
      </c>
      <c r="C2056" s="7" t="str">
        <f aca="false">'Raw Data'!C2056</f>
        <v>Male</v>
      </c>
      <c r="D2056" s="7" t="str">
        <f aca="false">'Raw Data'!D2056</f>
        <v>Former</v>
      </c>
      <c r="E2056" s="7" t="str">
        <f aca="false">'Raw Data'!J2056</f>
        <v>Normal</v>
      </c>
      <c r="F2056" s="7" t="n">
        <f aca="false">'Raw Data'!K2056</f>
        <v>250.6</v>
      </c>
      <c r="G2056" s="7" t="str">
        <f aca="false">'Raw Data'!L2056</f>
        <v>Yes</v>
      </c>
      <c r="H2056" s="7" t="str">
        <f aca="false">'Raw Data'!M2056</f>
        <v>High</v>
      </c>
      <c r="I2056" s="7" t="n">
        <f aca="false">(IF(D2056="Current",3,IF(D2056="Former",1,0)))+(IF(E2056="High",3,IF(E2056="Normal",1,0)))+(IF(F2056&gt;=240,2,IF(F2056&gt;=200,1,0)))+(IF(G2056="Yes",2,0))+(IF(H2056="High",2,IF(H2056="Moderate",1,0)))</f>
        <v>8</v>
      </c>
      <c r="J2056" s="7" t="str">
        <f aca="false">IF(I2056&gt;=8,"High",IF(I2056&gt;=4,"Medium","Low"))</f>
        <v>High</v>
      </c>
    </row>
    <row r="2057" customFormat="false" ht="15" hidden="false" customHeight="true" outlineLevel="0" collapsed="false">
      <c r="A2057" s="7" t="n">
        <f aca="false">'Raw Data'!A2057</f>
        <v>947</v>
      </c>
      <c r="B2057" s="7" t="n">
        <f aca="false">'Raw Data'!B2057</f>
        <v>47</v>
      </c>
      <c r="C2057" s="7" t="str">
        <f aca="false">'Raw Data'!C2057</f>
        <v>Male</v>
      </c>
      <c r="D2057" s="7" t="str">
        <f aca="false">'Raw Data'!D2057</f>
        <v>Former</v>
      </c>
      <c r="E2057" s="7" t="str">
        <f aca="false">'Raw Data'!J2057</f>
        <v>Normal</v>
      </c>
      <c r="F2057" s="7" t="n">
        <f aca="false">'Raw Data'!K2057</f>
        <v>130.7</v>
      </c>
      <c r="G2057" s="7" t="str">
        <f aca="false">'Raw Data'!L2057</f>
        <v>Yes</v>
      </c>
      <c r="H2057" s="7" t="str">
        <f aca="false">'Raw Data'!M2057</f>
        <v>High</v>
      </c>
      <c r="I2057" s="7" t="n">
        <f aca="false">(IF(D2057="Current",3,IF(D2057="Former",1,0)))+(IF(E2057="High",3,IF(E2057="Normal",1,0)))+(IF(F2057&gt;=240,2,IF(F2057&gt;=200,1,0)))+(IF(G2057="Yes",2,0))+(IF(H2057="High",2,IF(H2057="Moderate",1,0)))</f>
        <v>6</v>
      </c>
      <c r="J2057" s="7" t="str">
        <f aca="false">IF(I2057&gt;=8,"High",IF(I2057&gt;=4,"Medium","Low"))</f>
        <v>Medium</v>
      </c>
    </row>
    <row r="2058" customFormat="false" ht="15" hidden="false" customHeight="true" outlineLevel="0" collapsed="false">
      <c r="A2058" s="7" t="n">
        <f aca="false">'Raw Data'!A2058</f>
        <v>984</v>
      </c>
      <c r="B2058" s="7" t="n">
        <f aca="false">'Raw Data'!B2058</f>
        <v>26</v>
      </c>
      <c r="C2058" s="7" t="str">
        <f aca="false">'Raw Data'!C2058</f>
        <v>Female</v>
      </c>
      <c r="D2058" s="7" t="str">
        <f aca="false">'Raw Data'!D2058</f>
        <v>Former</v>
      </c>
      <c r="E2058" s="7" t="str">
        <f aca="false">'Raw Data'!J2058</f>
        <v>Normal</v>
      </c>
      <c r="F2058" s="7" t="n">
        <f aca="false">'Raw Data'!K2058</f>
        <v>248.2</v>
      </c>
      <c r="G2058" s="7" t="str">
        <f aca="false">'Raw Data'!L2058</f>
        <v>No</v>
      </c>
      <c r="H2058" s="7" t="str">
        <f aca="false">'Raw Data'!M2058</f>
        <v>High</v>
      </c>
      <c r="I2058" s="7" t="n">
        <f aca="false">(IF(D2058="Current",3,IF(D2058="Former",1,0)))+(IF(E2058="High",3,IF(E2058="Normal",1,0)))+(IF(F2058&gt;=240,2,IF(F2058&gt;=200,1,0)))+(IF(G2058="Yes",2,0))+(IF(H2058="High",2,IF(H2058="Moderate",1,0)))</f>
        <v>6</v>
      </c>
      <c r="J2058" s="7" t="str">
        <f aca="false">IF(I2058&gt;=8,"High",IF(I2058&gt;=4,"Medium","Low"))</f>
        <v>Medium</v>
      </c>
    </row>
    <row r="2059" customFormat="false" ht="15" hidden="false" customHeight="true" outlineLevel="0" collapsed="false">
      <c r="A2059" s="7" t="n">
        <f aca="false">'Raw Data'!A2059</f>
        <v>1017</v>
      </c>
      <c r="B2059" s="7" t="n">
        <f aca="false">'Raw Data'!B2059</f>
        <v>21</v>
      </c>
      <c r="C2059" s="7" t="str">
        <f aca="false">'Raw Data'!C2059</f>
        <v>Male</v>
      </c>
      <c r="D2059" s="7" t="str">
        <f aca="false">'Raw Data'!D2059</f>
        <v>Former</v>
      </c>
      <c r="E2059" s="7" t="str">
        <f aca="false">'Raw Data'!J2059</f>
        <v>Normal</v>
      </c>
      <c r="F2059" s="7" t="n">
        <f aca="false">'Raw Data'!K2059</f>
        <v>171.8</v>
      </c>
      <c r="G2059" s="7" t="str">
        <f aca="false">'Raw Data'!L2059</f>
        <v>No</v>
      </c>
      <c r="H2059" s="7" t="str">
        <f aca="false">'Raw Data'!M2059</f>
        <v>High</v>
      </c>
      <c r="I2059" s="7" t="n">
        <f aca="false">(IF(D2059="Current",3,IF(D2059="Former",1,0)))+(IF(E2059="High",3,IF(E2059="Normal",1,0)))+(IF(F2059&gt;=240,2,IF(F2059&gt;=200,1,0)))+(IF(G2059="Yes",2,0))+(IF(H2059="High",2,IF(H2059="Moderate",1,0)))</f>
        <v>4</v>
      </c>
      <c r="J2059" s="7" t="str">
        <f aca="false">IF(I2059&gt;=8,"High",IF(I2059&gt;=4,"Medium","Low"))</f>
        <v>Medium</v>
      </c>
    </row>
    <row r="2060" customFormat="false" ht="15" hidden="false" customHeight="true" outlineLevel="0" collapsed="false">
      <c r="A2060" s="7" t="n">
        <f aca="false">'Raw Data'!A2060</f>
        <v>1028</v>
      </c>
      <c r="B2060" s="7" t="n">
        <f aca="false">'Raw Data'!B2060</f>
        <v>54</v>
      </c>
      <c r="C2060" s="7" t="str">
        <f aca="false">'Raw Data'!C2060</f>
        <v>Male</v>
      </c>
      <c r="D2060" s="7" t="str">
        <f aca="false">'Raw Data'!D2060</f>
        <v>Former</v>
      </c>
      <c r="E2060" s="7" t="str">
        <f aca="false">'Raw Data'!J2060</f>
        <v>Normal</v>
      </c>
      <c r="F2060" s="7" t="n">
        <f aca="false">'Raw Data'!K2060</f>
        <v>286.7</v>
      </c>
      <c r="G2060" s="7" t="str">
        <f aca="false">'Raw Data'!L2060</f>
        <v>No</v>
      </c>
      <c r="H2060" s="7" t="str">
        <f aca="false">'Raw Data'!M2060</f>
        <v>High</v>
      </c>
      <c r="I2060" s="7" t="n">
        <f aca="false">(IF(D2060="Current",3,IF(D2060="Former",1,0)))+(IF(E2060="High",3,IF(E2060="Normal",1,0)))+(IF(F2060&gt;=240,2,IF(F2060&gt;=200,1,0)))+(IF(G2060="Yes",2,0))+(IF(H2060="High",2,IF(H2060="Moderate",1,0)))</f>
        <v>6</v>
      </c>
      <c r="J2060" s="7" t="str">
        <f aca="false">IF(I2060&gt;=8,"High",IF(I2060&gt;=4,"Medium","Low"))</f>
        <v>Medium</v>
      </c>
    </row>
    <row r="2061" customFormat="false" ht="15" hidden="false" customHeight="true" outlineLevel="0" collapsed="false">
      <c r="A2061" s="7" t="n">
        <f aca="false">'Raw Data'!A2061</f>
        <v>1045</v>
      </c>
      <c r="B2061" s="7" t="n">
        <f aca="false">'Raw Data'!B2061</f>
        <v>51</v>
      </c>
      <c r="C2061" s="7" t="str">
        <f aca="false">'Raw Data'!C2061</f>
        <v>Female</v>
      </c>
      <c r="D2061" s="7" t="str">
        <f aca="false">'Raw Data'!D2061</f>
        <v>Former</v>
      </c>
      <c r="E2061" s="7" t="str">
        <f aca="false">'Raw Data'!J2061</f>
        <v>Normal</v>
      </c>
      <c r="F2061" s="7" t="n">
        <f aca="false">'Raw Data'!K2061</f>
        <v>244.9</v>
      </c>
      <c r="G2061" s="7" t="str">
        <f aca="false">'Raw Data'!L2061</f>
        <v>No</v>
      </c>
      <c r="H2061" s="7" t="str">
        <f aca="false">'Raw Data'!M2061</f>
        <v>High</v>
      </c>
      <c r="I2061" s="7" t="n">
        <f aca="false">(IF(D2061="Current",3,IF(D2061="Former",1,0)))+(IF(E2061="High",3,IF(E2061="Normal",1,0)))+(IF(F2061&gt;=240,2,IF(F2061&gt;=200,1,0)))+(IF(G2061="Yes",2,0))+(IF(H2061="High",2,IF(H2061="Moderate",1,0)))</f>
        <v>6</v>
      </c>
      <c r="J2061" s="7" t="str">
        <f aca="false">IF(I2061&gt;=8,"High",IF(I2061&gt;=4,"Medium","Low"))</f>
        <v>Medium</v>
      </c>
    </row>
    <row r="2062" customFormat="false" ht="15" hidden="false" customHeight="true" outlineLevel="0" collapsed="false">
      <c r="A2062" s="7" t="n">
        <f aca="false">'Raw Data'!A2062</f>
        <v>1056</v>
      </c>
      <c r="B2062" s="7" t="n">
        <f aca="false">'Raw Data'!B2062</f>
        <v>44</v>
      </c>
      <c r="C2062" s="7" t="str">
        <f aca="false">'Raw Data'!C2062</f>
        <v>Female</v>
      </c>
      <c r="D2062" s="7" t="str">
        <f aca="false">'Raw Data'!D2062</f>
        <v>Former</v>
      </c>
      <c r="E2062" s="7" t="str">
        <f aca="false">'Raw Data'!J2062</f>
        <v>Normal</v>
      </c>
      <c r="F2062" s="7" t="n">
        <f aca="false">'Raw Data'!K2062</f>
        <v>121.6</v>
      </c>
      <c r="G2062" s="7" t="str">
        <f aca="false">'Raw Data'!L2062</f>
        <v>Yes</v>
      </c>
      <c r="H2062" s="7" t="str">
        <f aca="false">'Raw Data'!M2062</f>
        <v>High</v>
      </c>
      <c r="I2062" s="7" t="n">
        <f aca="false">(IF(D2062="Current",3,IF(D2062="Former",1,0)))+(IF(E2062="High",3,IF(E2062="Normal",1,0)))+(IF(F2062&gt;=240,2,IF(F2062&gt;=200,1,0)))+(IF(G2062="Yes",2,0))+(IF(H2062="High",2,IF(H2062="Moderate",1,0)))</f>
        <v>6</v>
      </c>
      <c r="J2062" s="7" t="str">
        <f aca="false">IF(I2062&gt;=8,"High",IF(I2062&gt;=4,"Medium","Low"))</f>
        <v>Medium</v>
      </c>
    </row>
    <row r="2063" customFormat="false" ht="15" hidden="false" customHeight="true" outlineLevel="0" collapsed="false">
      <c r="A2063" s="7" t="n">
        <f aca="false">'Raw Data'!A2063</f>
        <v>1113</v>
      </c>
      <c r="B2063" s="7" t="n">
        <f aca="false">'Raw Data'!B2063</f>
        <v>23</v>
      </c>
      <c r="C2063" s="7" t="str">
        <f aca="false">'Raw Data'!C2063</f>
        <v>Male</v>
      </c>
      <c r="D2063" s="7" t="str">
        <f aca="false">'Raw Data'!D2063</f>
        <v>Former</v>
      </c>
      <c r="E2063" s="7" t="str">
        <f aca="false">'Raw Data'!J2063</f>
        <v>Normal</v>
      </c>
      <c r="F2063" s="7" t="n">
        <f aca="false">'Raw Data'!K2063</f>
        <v>275.9</v>
      </c>
      <c r="G2063" s="7" t="str">
        <f aca="false">'Raw Data'!L2063</f>
        <v>No</v>
      </c>
      <c r="H2063" s="7" t="str">
        <f aca="false">'Raw Data'!M2063</f>
        <v>High</v>
      </c>
      <c r="I2063" s="7" t="n">
        <f aca="false">(IF(D2063="Current",3,IF(D2063="Former",1,0)))+(IF(E2063="High",3,IF(E2063="Normal",1,0)))+(IF(F2063&gt;=240,2,IF(F2063&gt;=200,1,0)))+(IF(G2063="Yes",2,0))+(IF(H2063="High",2,IF(H2063="Moderate",1,0)))</f>
        <v>6</v>
      </c>
      <c r="J2063" s="7" t="str">
        <f aca="false">IF(I2063&gt;=8,"High",IF(I2063&gt;=4,"Medium","Low"))</f>
        <v>Medium</v>
      </c>
    </row>
    <row r="2064" customFormat="false" ht="15" hidden="false" customHeight="true" outlineLevel="0" collapsed="false">
      <c r="A2064" s="7" t="n">
        <f aca="false">'Raw Data'!A2064</f>
        <v>1190</v>
      </c>
      <c r="B2064" s="7" t="n">
        <f aca="false">'Raw Data'!B2064</f>
        <v>61</v>
      </c>
      <c r="C2064" s="7" t="str">
        <f aca="false">'Raw Data'!C2064</f>
        <v>Female</v>
      </c>
      <c r="D2064" s="7" t="str">
        <f aca="false">'Raw Data'!D2064</f>
        <v>Former</v>
      </c>
      <c r="E2064" s="7" t="str">
        <f aca="false">'Raw Data'!J2064</f>
        <v>Normal</v>
      </c>
      <c r="F2064" s="7" t="n">
        <f aca="false">'Raw Data'!K2064</f>
        <v>197.4</v>
      </c>
      <c r="G2064" s="7" t="str">
        <f aca="false">'Raw Data'!L2064</f>
        <v>Yes</v>
      </c>
      <c r="H2064" s="7" t="str">
        <f aca="false">'Raw Data'!M2064</f>
        <v>High</v>
      </c>
      <c r="I2064" s="7" t="n">
        <f aca="false">(IF(D2064="Current",3,IF(D2064="Former",1,0)))+(IF(E2064="High",3,IF(E2064="Normal",1,0)))+(IF(F2064&gt;=240,2,IF(F2064&gt;=200,1,0)))+(IF(G2064="Yes",2,0))+(IF(H2064="High",2,IF(H2064="Moderate",1,0)))</f>
        <v>6</v>
      </c>
      <c r="J2064" s="7" t="str">
        <f aca="false">IF(I2064&gt;=8,"High",IF(I2064&gt;=4,"Medium","Low"))</f>
        <v>Medium</v>
      </c>
    </row>
    <row r="2065" customFormat="false" ht="15" hidden="false" customHeight="true" outlineLevel="0" collapsed="false">
      <c r="A2065" s="7" t="n">
        <f aca="false">'Raw Data'!A2065</f>
        <v>1225</v>
      </c>
      <c r="B2065" s="7" t="n">
        <f aca="false">'Raw Data'!B2065</f>
        <v>38</v>
      </c>
      <c r="C2065" s="7" t="str">
        <f aca="false">'Raw Data'!C2065</f>
        <v>Male</v>
      </c>
      <c r="D2065" s="7" t="str">
        <f aca="false">'Raw Data'!D2065</f>
        <v>Former</v>
      </c>
      <c r="E2065" s="7" t="str">
        <f aca="false">'Raw Data'!J2065</f>
        <v>Normal</v>
      </c>
      <c r="F2065" s="7" t="n">
        <f aca="false">'Raw Data'!K2065</f>
        <v>216</v>
      </c>
      <c r="G2065" s="7" t="str">
        <f aca="false">'Raw Data'!L2065</f>
        <v>No</v>
      </c>
      <c r="H2065" s="7" t="str">
        <f aca="false">'Raw Data'!M2065</f>
        <v>High</v>
      </c>
      <c r="I2065" s="7" t="n">
        <f aca="false">(IF(D2065="Current",3,IF(D2065="Former",1,0)))+(IF(E2065="High",3,IF(E2065="Normal",1,0)))+(IF(F2065&gt;=240,2,IF(F2065&gt;=200,1,0)))+(IF(G2065="Yes",2,0))+(IF(H2065="High",2,IF(H2065="Moderate",1,0)))</f>
        <v>5</v>
      </c>
      <c r="J2065" s="7" t="str">
        <f aca="false">IF(I2065&gt;=8,"High",IF(I2065&gt;=4,"Medium","Low"))</f>
        <v>Medium</v>
      </c>
    </row>
    <row r="2066" customFormat="false" ht="15" hidden="false" customHeight="true" outlineLevel="0" collapsed="false">
      <c r="A2066" s="7" t="n">
        <f aca="false">'Raw Data'!A2066</f>
        <v>1354</v>
      </c>
      <c r="B2066" s="7" t="n">
        <f aca="false">'Raw Data'!B2066</f>
        <v>36</v>
      </c>
      <c r="C2066" s="7" t="str">
        <f aca="false">'Raw Data'!C2066</f>
        <v>Female</v>
      </c>
      <c r="D2066" s="7" t="str">
        <f aca="false">'Raw Data'!D2066</f>
        <v>Former</v>
      </c>
      <c r="E2066" s="7" t="str">
        <f aca="false">'Raw Data'!J2066</f>
        <v>Normal</v>
      </c>
      <c r="F2066" s="7" t="n">
        <f aca="false">'Raw Data'!K2066</f>
        <v>143.6</v>
      </c>
      <c r="G2066" s="7" t="str">
        <f aca="false">'Raw Data'!L2066</f>
        <v>No</v>
      </c>
      <c r="H2066" s="7" t="str">
        <f aca="false">'Raw Data'!M2066</f>
        <v>High</v>
      </c>
      <c r="I2066" s="7" t="n">
        <f aca="false">(IF(D2066="Current",3,IF(D2066="Former",1,0)))+(IF(E2066="High",3,IF(E2066="Normal",1,0)))+(IF(F2066&gt;=240,2,IF(F2066&gt;=200,1,0)))+(IF(G2066="Yes",2,0))+(IF(H2066="High",2,IF(H2066="Moderate",1,0)))</f>
        <v>4</v>
      </c>
      <c r="J2066" s="7" t="str">
        <f aca="false">IF(I2066&gt;=8,"High",IF(I2066&gt;=4,"Medium","Low"))</f>
        <v>Medium</v>
      </c>
    </row>
    <row r="2067" customFormat="false" ht="15" hidden="false" customHeight="true" outlineLevel="0" collapsed="false">
      <c r="A2067" s="7" t="n">
        <f aca="false">'Raw Data'!A2067</f>
        <v>1498</v>
      </c>
      <c r="B2067" s="7" t="n">
        <f aca="false">'Raw Data'!B2067</f>
        <v>57</v>
      </c>
      <c r="C2067" s="7" t="str">
        <f aca="false">'Raw Data'!C2067</f>
        <v>Male</v>
      </c>
      <c r="D2067" s="7" t="str">
        <f aca="false">'Raw Data'!D2067</f>
        <v>Former</v>
      </c>
      <c r="E2067" s="7" t="str">
        <f aca="false">'Raw Data'!J2067</f>
        <v>Normal</v>
      </c>
      <c r="F2067" s="7" t="n">
        <f aca="false">'Raw Data'!K2067</f>
        <v>194</v>
      </c>
      <c r="G2067" s="7" t="str">
        <f aca="false">'Raw Data'!L2067</f>
        <v>No</v>
      </c>
      <c r="H2067" s="7" t="str">
        <f aca="false">'Raw Data'!M2067</f>
        <v>High</v>
      </c>
      <c r="I2067" s="7" t="n">
        <f aca="false">(IF(D2067="Current",3,IF(D2067="Former",1,0)))+(IF(E2067="High",3,IF(E2067="Normal",1,0)))+(IF(F2067&gt;=240,2,IF(F2067&gt;=200,1,0)))+(IF(G2067="Yes",2,0))+(IF(H2067="High",2,IF(H2067="Moderate",1,0)))</f>
        <v>4</v>
      </c>
      <c r="J2067" s="7" t="str">
        <f aca="false">IF(I2067&gt;=8,"High",IF(I2067&gt;=4,"Medium","Low"))</f>
        <v>Medium</v>
      </c>
    </row>
    <row r="2068" customFormat="false" ht="15" hidden="false" customHeight="true" outlineLevel="0" collapsed="false">
      <c r="A2068" s="7" t="n">
        <f aca="false">'Raw Data'!A2068</f>
        <v>1582</v>
      </c>
      <c r="B2068" s="7" t="n">
        <f aca="false">'Raw Data'!B2068</f>
        <v>29</v>
      </c>
      <c r="C2068" s="7" t="str">
        <f aca="false">'Raw Data'!C2068</f>
        <v>Female</v>
      </c>
      <c r="D2068" s="7" t="str">
        <f aca="false">'Raw Data'!D2068</f>
        <v>Former</v>
      </c>
      <c r="E2068" s="7" t="str">
        <f aca="false">'Raw Data'!J2068</f>
        <v>Normal</v>
      </c>
      <c r="F2068" s="7" t="n">
        <f aca="false">'Raw Data'!K2068</f>
        <v>182</v>
      </c>
      <c r="G2068" s="7" t="str">
        <f aca="false">'Raw Data'!L2068</f>
        <v>No</v>
      </c>
      <c r="H2068" s="7" t="str">
        <f aca="false">'Raw Data'!M2068</f>
        <v>High</v>
      </c>
      <c r="I2068" s="7" t="n">
        <f aca="false">(IF(D2068="Current",3,IF(D2068="Former",1,0)))+(IF(E2068="High",3,IF(E2068="Normal",1,0)))+(IF(F2068&gt;=240,2,IF(F2068&gt;=200,1,0)))+(IF(G2068="Yes",2,0))+(IF(H2068="High",2,IF(H2068="Moderate",1,0)))</f>
        <v>4</v>
      </c>
      <c r="J2068" s="7" t="str">
        <f aca="false">IF(I2068&gt;=8,"High",IF(I2068&gt;=4,"Medium","Low"))</f>
        <v>Medium</v>
      </c>
    </row>
    <row r="2069" customFormat="false" ht="15" hidden="false" customHeight="true" outlineLevel="0" collapsed="false">
      <c r="A2069" s="7" t="n">
        <f aca="false">'Raw Data'!A2069</f>
        <v>1688</v>
      </c>
      <c r="B2069" s="7" t="n">
        <f aca="false">'Raw Data'!B2069</f>
        <v>19</v>
      </c>
      <c r="C2069" s="7" t="str">
        <f aca="false">'Raw Data'!C2069</f>
        <v>Male</v>
      </c>
      <c r="D2069" s="7" t="str">
        <f aca="false">'Raw Data'!D2069</f>
        <v>Former</v>
      </c>
      <c r="E2069" s="7" t="str">
        <f aca="false">'Raw Data'!J2069</f>
        <v>Normal</v>
      </c>
      <c r="F2069" s="7" t="n">
        <f aca="false">'Raw Data'!K2069</f>
        <v>138.2</v>
      </c>
      <c r="G2069" s="7" t="str">
        <f aca="false">'Raw Data'!L2069</f>
        <v>No</v>
      </c>
      <c r="H2069" s="7" t="str">
        <f aca="false">'Raw Data'!M2069</f>
        <v>High</v>
      </c>
      <c r="I2069" s="7" t="n">
        <f aca="false">(IF(D2069="Current",3,IF(D2069="Former",1,0)))+(IF(E2069="High",3,IF(E2069="Normal",1,0)))+(IF(F2069&gt;=240,2,IF(F2069&gt;=200,1,0)))+(IF(G2069="Yes",2,0))+(IF(H2069="High",2,IF(H2069="Moderate",1,0)))</f>
        <v>4</v>
      </c>
      <c r="J2069" s="7" t="str">
        <f aca="false">IF(I2069&gt;=8,"High",IF(I2069&gt;=4,"Medium","Low"))</f>
        <v>Medium</v>
      </c>
    </row>
    <row r="2070" customFormat="false" ht="15" hidden="false" customHeight="true" outlineLevel="0" collapsed="false">
      <c r="A2070" s="7" t="n">
        <f aca="false">'Raw Data'!A2070</f>
        <v>1858</v>
      </c>
      <c r="B2070" s="7" t="n">
        <f aca="false">'Raw Data'!B2070</f>
        <v>25</v>
      </c>
      <c r="C2070" s="7" t="str">
        <f aca="false">'Raw Data'!C2070</f>
        <v>Male</v>
      </c>
      <c r="D2070" s="7" t="str">
        <f aca="false">'Raw Data'!D2070</f>
        <v>Former</v>
      </c>
      <c r="E2070" s="7" t="str">
        <f aca="false">'Raw Data'!J2070</f>
        <v>Normal</v>
      </c>
      <c r="F2070" s="7" t="n">
        <f aca="false">'Raw Data'!K2070</f>
        <v>208.2</v>
      </c>
      <c r="G2070" s="7" t="str">
        <f aca="false">'Raw Data'!L2070</f>
        <v>No</v>
      </c>
      <c r="H2070" s="7" t="str">
        <f aca="false">'Raw Data'!M2070</f>
        <v>High</v>
      </c>
      <c r="I2070" s="7" t="n">
        <f aca="false">(IF(D2070="Current",3,IF(D2070="Former",1,0)))+(IF(E2070="High",3,IF(E2070="Normal",1,0)))+(IF(F2070&gt;=240,2,IF(F2070&gt;=200,1,0)))+(IF(G2070="Yes",2,0))+(IF(H2070="High",2,IF(H2070="Moderate",1,0)))</f>
        <v>5</v>
      </c>
      <c r="J2070" s="7" t="str">
        <f aca="false">IF(I2070&gt;=8,"High",IF(I2070&gt;=4,"Medium","Low"))</f>
        <v>Medium</v>
      </c>
    </row>
    <row r="2071" customFormat="false" ht="15" hidden="false" customHeight="true" outlineLevel="0" collapsed="false">
      <c r="A2071" s="7" t="n">
        <f aca="false">'Raw Data'!A2071</f>
        <v>1947</v>
      </c>
      <c r="B2071" s="7" t="n">
        <f aca="false">'Raw Data'!B2071</f>
        <v>53</v>
      </c>
      <c r="C2071" s="7" t="str">
        <f aca="false">'Raw Data'!C2071</f>
        <v>Female</v>
      </c>
      <c r="D2071" s="7" t="str">
        <f aca="false">'Raw Data'!D2071</f>
        <v>Former</v>
      </c>
      <c r="E2071" s="7" t="str">
        <f aca="false">'Raw Data'!J2071</f>
        <v>Normal</v>
      </c>
      <c r="F2071" s="7" t="n">
        <f aca="false">'Raw Data'!K2071</f>
        <v>182.7</v>
      </c>
      <c r="G2071" s="7" t="str">
        <f aca="false">'Raw Data'!L2071</f>
        <v>No</v>
      </c>
      <c r="H2071" s="7" t="str">
        <f aca="false">'Raw Data'!M2071</f>
        <v>High</v>
      </c>
      <c r="I2071" s="7" t="n">
        <f aca="false">(IF(D2071="Current",3,IF(D2071="Former",1,0)))+(IF(E2071="High",3,IF(E2071="Normal",1,0)))+(IF(F2071&gt;=240,2,IF(F2071&gt;=200,1,0)))+(IF(G2071="Yes",2,0))+(IF(H2071="High",2,IF(H2071="Moderate",1,0)))</f>
        <v>4</v>
      </c>
      <c r="J2071" s="7" t="str">
        <f aca="false">IF(I2071&gt;=8,"High",IF(I2071&gt;=4,"Medium","Low"))</f>
        <v>Medium</v>
      </c>
    </row>
    <row r="2072" customFormat="false" ht="15" hidden="false" customHeight="true" outlineLevel="0" collapsed="false">
      <c r="A2072" s="7" t="n">
        <f aca="false">'Raw Data'!A2072</f>
        <v>2061</v>
      </c>
      <c r="B2072" s="7" t="n">
        <f aca="false">'Raw Data'!B2072</f>
        <v>52</v>
      </c>
      <c r="C2072" s="7" t="str">
        <f aca="false">'Raw Data'!C2072</f>
        <v>Female</v>
      </c>
      <c r="D2072" s="7" t="str">
        <f aca="false">'Raw Data'!D2072</f>
        <v>Former</v>
      </c>
      <c r="E2072" s="7" t="str">
        <f aca="false">'Raw Data'!J2072</f>
        <v>Normal</v>
      </c>
      <c r="F2072" s="7" t="n">
        <f aca="false">'Raw Data'!K2072</f>
        <v>185.6</v>
      </c>
      <c r="G2072" s="7" t="str">
        <f aca="false">'Raw Data'!L2072</f>
        <v>No</v>
      </c>
      <c r="H2072" s="7" t="str">
        <f aca="false">'Raw Data'!M2072</f>
        <v>High</v>
      </c>
      <c r="I2072" s="7" t="n">
        <f aca="false">(IF(D2072="Current",3,IF(D2072="Former",1,0)))+(IF(E2072="High",3,IF(E2072="Normal",1,0)))+(IF(F2072&gt;=240,2,IF(F2072&gt;=200,1,0)))+(IF(G2072="Yes",2,0))+(IF(H2072="High",2,IF(H2072="Moderate",1,0)))</f>
        <v>4</v>
      </c>
      <c r="J2072" s="7" t="str">
        <f aca="false">IF(I2072&gt;=8,"High",IF(I2072&gt;=4,"Medium","Low"))</f>
        <v>Medium</v>
      </c>
    </row>
    <row r="2073" customFormat="false" ht="15" hidden="false" customHeight="true" outlineLevel="0" collapsed="false">
      <c r="A2073" s="7" t="n">
        <f aca="false">'Raw Data'!A2073</f>
        <v>2152</v>
      </c>
      <c r="B2073" s="7" t="n">
        <f aca="false">'Raw Data'!B2073</f>
        <v>75</v>
      </c>
      <c r="C2073" s="7" t="str">
        <f aca="false">'Raw Data'!C2073</f>
        <v>Male</v>
      </c>
      <c r="D2073" s="7" t="str">
        <f aca="false">'Raw Data'!D2073</f>
        <v>Former</v>
      </c>
      <c r="E2073" s="7" t="str">
        <f aca="false">'Raw Data'!J2073</f>
        <v>Normal</v>
      </c>
      <c r="F2073" s="7" t="n">
        <f aca="false">'Raw Data'!K2073</f>
        <v>210.8</v>
      </c>
      <c r="G2073" s="7" t="str">
        <f aca="false">'Raw Data'!L2073</f>
        <v>No</v>
      </c>
      <c r="H2073" s="7" t="str">
        <f aca="false">'Raw Data'!M2073</f>
        <v>High</v>
      </c>
      <c r="I2073" s="7" t="n">
        <f aca="false">(IF(D2073="Current",3,IF(D2073="Former",1,0)))+(IF(E2073="High",3,IF(E2073="Normal",1,0)))+(IF(F2073&gt;=240,2,IF(F2073&gt;=200,1,0)))+(IF(G2073="Yes",2,0))+(IF(H2073="High",2,IF(H2073="Moderate",1,0)))</f>
        <v>5</v>
      </c>
      <c r="J2073" s="7" t="str">
        <f aca="false">IF(I2073&gt;=8,"High",IF(I2073&gt;=4,"Medium","Low"))</f>
        <v>Medium</v>
      </c>
    </row>
    <row r="2074" customFormat="false" ht="15" hidden="false" customHeight="true" outlineLevel="0" collapsed="false">
      <c r="A2074" s="7" t="n">
        <f aca="false">'Raw Data'!A2074</f>
        <v>2182</v>
      </c>
      <c r="B2074" s="7" t="n">
        <f aca="false">'Raw Data'!B2074</f>
        <v>69</v>
      </c>
      <c r="C2074" s="7" t="str">
        <f aca="false">'Raw Data'!C2074</f>
        <v>Female</v>
      </c>
      <c r="D2074" s="7" t="str">
        <f aca="false">'Raw Data'!D2074</f>
        <v>Former</v>
      </c>
      <c r="E2074" s="7" t="str">
        <f aca="false">'Raw Data'!J2074</f>
        <v>Normal</v>
      </c>
      <c r="F2074" s="7" t="n">
        <f aca="false">'Raw Data'!K2074</f>
        <v>299.9</v>
      </c>
      <c r="G2074" s="7" t="str">
        <f aca="false">'Raw Data'!L2074</f>
        <v>No</v>
      </c>
      <c r="H2074" s="7" t="str">
        <f aca="false">'Raw Data'!M2074</f>
        <v>High</v>
      </c>
      <c r="I2074" s="7" t="n">
        <f aca="false">(IF(D2074="Current",3,IF(D2074="Former",1,0)))+(IF(E2074="High",3,IF(E2074="Normal",1,0)))+(IF(F2074&gt;=240,2,IF(F2074&gt;=200,1,0)))+(IF(G2074="Yes",2,0))+(IF(H2074="High",2,IF(H2074="Moderate",1,0)))</f>
        <v>6</v>
      </c>
      <c r="J2074" s="7" t="str">
        <f aca="false">IF(I2074&gt;=8,"High",IF(I2074&gt;=4,"Medium","Low"))</f>
        <v>Medium</v>
      </c>
    </row>
    <row r="2075" customFormat="false" ht="15" hidden="false" customHeight="true" outlineLevel="0" collapsed="false">
      <c r="A2075" s="7" t="n">
        <f aca="false">'Raw Data'!A2075</f>
        <v>2243</v>
      </c>
      <c r="B2075" s="7" t="n">
        <f aca="false">'Raw Data'!B2075</f>
        <v>67</v>
      </c>
      <c r="C2075" s="7" t="str">
        <f aca="false">'Raw Data'!C2075</f>
        <v>Female</v>
      </c>
      <c r="D2075" s="7" t="str">
        <f aca="false">'Raw Data'!D2075</f>
        <v>Former</v>
      </c>
      <c r="E2075" s="7" t="str">
        <f aca="false">'Raw Data'!J2075</f>
        <v>Normal</v>
      </c>
      <c r="F2075" s="7" t="n">
        <f aca="false">'Raw Data'!K2075</f>
        <v>160.1</v>
      </c>
      <c r="G2075" s="7" t="str">
        <f aca="false">'Raw Data'!L2075</f>
        <v>No</v>
      </c>
      <c r="H2075" s="7" t="str">
        <f aca="false">'Raw Data'!M2075</f>
        <v>High</v>
      </c>
      <c r="I2075" s="7" t="n">
        <f aca="false">(IF(D2075="Current",3,IF(D2075="Former",1,0)))+(IF(E2075="High",3,IF(E2075="Normal",1,0)))+(IF(F2075&gt;=240,2,IF(F2075&gt;=200,1,0)))+(IF(G2075="Yes",2,0))+(IF(H2075="High",2,IF(H2075="Moderate",1,0)))</f>
        <v>4</v>
      </c>
      <c r="J2075" s="7" t="str">
        <f aca="false">IF(I2075&gt;=8,"High",IF(I2075&gt;=4,"Medium","Low"))</f>
        <v>Medium</v>
      </c>
    </row>
    <row r="2076" customFormat="false" ht="15" hidden="false" customHeight="true" outlineLevel="0" collapsed="false">
      <c r="A2076" s="7" t="n">
        <f aca="false">'Raw Data'!A2076</f>
        <v>2280</v>
      </c>
      <c r="B2076" s="7" t="n">
        <f aca="false">'Raw Data'!B2076</f>
        <v>78</v>
      </c>
      <c r="C2076" s="7" t="str">
        <f aca="false">'Raw Data'!C2076</f>
        <v>Male</v>
      </c>
      <c r="D2076" s="7" t="str">
        <f aca="false">'Raw Data'!D2076</f>
        <v>Former</v>
      </c>
      <c r="E2076" s="7" t="str">
        <f aca="false">'Raw Data'!J2076</f>
        <v>Normal</v>
      </c>
      <c r="F2076" s="7" t="n">
        <f aca="false">'Raw Data'!K2076</f>
        <v>146.7</v>
      </c>
      <c r="G2076" s="7" t="str">
        <f aca="false">'Raw Data'!L2076</f>
        <v>Yes</v>
      </c>
      <c r="H2076" s="7" t="str">
        <f aca="false">'Raw Data'!M2076</f>
        <v>High</v>
      </c>
      <c r="I2076" s="7" t="n">
        <f aca="false">(IF(D2076="Current",3,IF(D2076="Former",1,0)))+(IF(E2076="High",3,IF(E2076="Normal",1,0)))+(IF(F2076&gt;=240,2,IF(F2076&gt;=200,1,0)))+(IF(G2076="Yes",2,0))+(IF(H2076="High",2,IF(H2076="Moderate",1,0)))</f>
        <v>6</v>
      </c>
      <c r="J2076" s="7" t="str">
        <f aca="false">IF(I2076&gt;=8,"High",IF(I2076&gt;=4,"Medium","Low"))</f>
        <v>Medium</v>
      </c>
    </row>
    <row r="2077" customFormat="false" ht="15" hidden="false" customHeight="true" outlineLevel="0" collapsed="false">
      <c r="A2077" s="7" t="n">
        <f aca="false">'Raw Data'!A2077</f>
        <v>2302</v>
      </c>
      <c r="B2077" s="7" t="n">
        <f aca="false">'Raw Data'!B2077</f>
        <v>55</v>
      </c>
      <c r="C2077" s="7" t="str">
        <f aca="false">'Raw Data'!C2077</f>
        <v>Male</v>
      </c>
      <c r="D2077" s="7" t="str">
        <f aca="false">'Raw Data'!D2077</f>
        <v>Former</v>
      </c>
      <c r="E2077" s="7" t="str">
        <f aca="false">'Raw Data'!J2077</f>
        <v>Normal</v>
      </c>
      <c r="F2077" s="7" t="n">
        <f aca="false">'Raw Data'!K2077</f>
        <v>180.7</v>
      </c>
      <c r="G2077" s="7" t="str">
        <f aca="false">'Raw Data'!L2077</f>
        <v>No</v>
      </c>
      <c r="H2077" s="7" t="str">
        <f aca="false">'Raw Data'!M2077</f>
        <v>High</v>
      </c>
      <c r="I2077" s="7" t="n">
        <f aca="false">(IF(D2077="Current",3,IF(D2077="Former",1,0)))+(IF(E2077="High",3,IF(E2077="Normal",1,0)))+(IF(F2077&gt;=240,2,IF(F2077&gt;=200,1,0)))+(IF(G2077="Yes",2,0))+(IF(H2077="High",2,IF(H2077="Moderate",1,0)))</f>
        <v>4</v>
      </c>
      <c r="J2077" s="7" t="str">
        <f aca="false">IF(I2077&gt;=8,"High",IF(I2077&gt;=4,"Medium","Low"))</f>
        <v>Medium</v>
      </c>
    </row>
    <row r="2078" customFormat="false" ht="15" hidden="false" customHeight="true" outlineLevel="0" collapsed="false">
      <c r="A2078" s="7" t="n">
        <f aca="false">'Raw Data'!A2078</f>
        <v>2323</v>
      </c>
      <c r="B2078" s="7" t="n">
        <f aca="false">'Raw Data'!B2078</f>
        <v>32</v>
      </c>
      <c r="C2078" s="7" t="str">
        <f aca="false">'Raw Data'!C2078</f>
        <v>Female</v>
      </c>
      <c r="D2078" s="7" t="str">
        <f aca="false">'Raw Data'!D2078</f>
        <v>Former</v>
      </c>
      <c r="E2078" s="7" t="str">
        <f aca="false">'Raw Data'!J2078</f>
        <v>Normal</v>
      </c>
      <c r="F2078" s="7" t="n">
        <f aca="false">'Raw Data'!K2078</f>
        <v>195.7</v>
      </c>
      <c r="G2078" s="7" t="str">
        <f aca="false">'Raw Data'!L2078</f>
        <v>Yes</v>
      </c>
      <c r="H2078" s="7" t="str">
        <f aca="false">'Raw Data'!M2078</f>
        <v>High</v>
      </c>
      <c r="I2078" s="7" t="n">
        <f aca="false">(IF(D2078="Current",3,IF(D2078="Former",1,0)))+(IF(E2078="High",3,IF(E2078="Normal",1,0)))+(IF(F2078&gt;=240,2,IF(F2078&gt;=200,1,0)))+(IF(G2078="Yes",2,0))+(IF(H2078="High",2,IF(H2078="Moderate",1,0)))</f>
        <v>6</v>
      </c>
      <c r="J2078" s="7" t="str">
        <f aca="false">IF(I2078&gt;=8,"High",IF(I2078&gt;=4,"Medium","Low"))</f>
        <v>Medium</v>
      </c>
    </row>
    <row r="2079" customFormat="false" ht="15" hidden="false" customHeight="true" outlineLevel="0" collapsed="false">
      <c r="A2079" s="7" t="n">
        <f aca="false">'Raw Data'!A2079</f>
        <v>2347</v>
      </c>
      <c r="B2079" s="7" t="n">
        <f aca="false">'Raw Data'!B2079</f>
        <v>40</v>
      </c>
      <c r="C2079" s="7" t="str">
        <f aca="false">'Raw Data'!C2079</f>
        <v>Male</v>
      </c>
      <c r="D2079" s="7" t="str">
        <f aca="false">'Raw Data'!D2079</f>
        <v>Former</v>
      </c>
      <c r="E2079" s="7" t="str">
        <f aca="false">'Raw Data'!J2079</f>
        <v>Normal</v>
      </c>
      <c r="F2079" s="7" t="n">
        <f aca="false">'Raw Data'!K2079</f>
        <v>212.5</v>
      </c>
      <c r="G2079" s="7" t="str">
        <f aca="false">'Raw Data'!L2079</f>
        <v>No</v>
      </c>
      <c r="H2079" s="7" t="str">
        <f aca="false">'Raw Data'!M2079</f>
        <v>High</v>
      </c>
      <c r="I2079" s="7" t="n">
        <f aca="false">(IF(D2079="Current",3,IF(D2079="Former",1,0)))+(IF(E2079="High",3,IF(E2079="Normal",1,0)))+(IF(F2079&gt;=240,2,IF(F2079&gt;=200,1,0)))+(IF(G2079="Yes",2,0))+(IF(H2079="High",2,IF(H2079="Moderate",1,0)))</f>
        <v>5</v>
      </c>
      <c r="J2079" s="7" t="str">
        <f aca="false">IF(I2079&gt;=8,"High",IF(I2079&gt;=4,"Medium","Low"))</f>
        <v>Medium</v>
      </c>
    </row>
    <row r="2080" customFormat="false" ht="15" hidden="false" customHeight="true" outlineLevel="0" collapsed="false">
      <c r="A2080" s="7" t="n">
        <f aca="false">'Raw Data'!A2080</f>
        <v>2373</v>
      </c>
      <c r="B2080" s="7" t="n">
        <f aca="false">'Raw Data'!B2080</f>
        <v>78</v>
      </c>
      <c r="C2080" s="7" t="str">
        <f aca="false">'Raw Data'!C2080</f>
        <v>Female</v>
      </c>
      <c r="D2080" s="7" t="str">
        <f aca="false">'Raw Data'!D2080</f>
        <v>Former</v>
      </c>
      <c r="E2080" s="7" t="str">
        <f aca="false">'Raw Data'!J2080</f>
        <v>Normal</v>
      </c>
      <c r="F2080" s="7" t="n">
        <f aca="false">'Raw Data'!K2080</f>
        <v>271.3</v>
      </c>
      <c r="G2080" s="7" t="str">
        <f aca="false">'Raw Data'!L2080</f>
        <v>Yes</v>
      </c>
      <c r="H2080" s="7" t="str">
        <f aca="false">'Raw Data'!M2080</f>
        <v>High</v>
      </c>
      <c r="I2080" s="7" t="n">
        <f aca="false">(IF(D2080="Current",3,IF(D2080="Former",1,0)))+(IF(E2080="High",3,IF(E2080="Normal",1,0)))+(IF(F2080&gt;=240,2,IF(F2080&gt;=200,1,0)))+(IF(G2080="Yes",2,0))+(IF(H2080="High",2,IF(H2080="Moderate",1,0)))</f>
        <v>8</v>
      </c>
      <c r="J2080" s="7" t="str">
        <f aca="false">IF(I2080&gt;=8,"High",IF(I2080&gt;=4,"Medium","Low"))</f>
        <v>High</v>
      </c>
    </row>
    <row r="2081" customFormat="false" ht="15" hidden="false" customHeight="true" outlineLevel="0" collapsed="false">
      <c r="A2081" s="7" t="n">
        <f aca="false">'Raw Data'!A2081</f>
        <v>47</v>
      </c>
      <c r="B2081" s="7" t="n">
        <f aca="false">'Raw Data'!B2081</f>
        <v>79</v>
      </c>
      <c r="C2081" s="7" t="str">
        <f aca="false">'Raw Data'!C2081</f>
        <v>Male</v>
      </c>
      <c r="D2081" s="7" t="str">
        <f aca="false">'Raw Data'!D2081</f>
        <v>Current</v>
      </c>
      <c r="E2081" s="7" t="str">
        <f aca="false">'Raw Data'!J2081</f>
        <v>Normal</v>
      </c>
      <c r="F2081" s="7" t="n">
        <f aca="false">'Raw Data'!K2081</f>
        <v>293.4</v>
      </c>
      <c r="G2081" s="7" t="str">
        <f aca="false">'Raw Data'!L2081</f>
        <v>Yes</v>
      </c>
      <c r="H2081" s="7" t="str">
        <f aca="false">'Raw Data'!M2081</f>
        <v>High</v>
      </c>
      <c r="I2081" s="7" t="n">
        <f aca="false">(IF(D2081="Current",3,IF(D2081="Former",1,0)))+(IF(E2081="High",3,IF(E2081="Normal",1,0)))+(IF(F2081&gt;=240,2,IF(F2081&gt;=200,1,0)))+(IF(G2081="Yes",2,0))+(IF(H2081="High",2,IF(H2081="Moderate",1,0)))</f>
        <v>10</v>
      </c>
      <c r="J2081" s="7" t="str">
        <f aca="false">IF(I2081&gt;=8,"High",IF(I2081&gt;=4,"Medium","Low"))</f>
        <v>High</v>
      </c>
    </row>
    <row r="2082" customFormat="false" ht="15" hidden="false" customHeight="true" outlineLevel="0" collapsed="false">
      <c r="A2082" s="7" t="n">
        <f aca="false">'Raw Data'!A2082</f>
        <v>79</v>
      </c>
      <c r="B2082" s="7" t="n">
        <f aca="false">'Raw Data'!B2082</f>
        <v>37</v>
      </c>
      <c r="C2082" s="7" t="str">
        <f aca="false">'Raw Data'!C2082</f>
        <v>Male</v>
      </c>
      <c r="D2082" s="7" t="str">
        <f aca="false">'Raw Data'!D2082</f>
        <v>Current</v>
      </c>
      <c r="E2082" s="7" t="str">
        <f aca="false">'Raw Data'!J2082</f>
        <v>Normal</v>
      </c>
      <c r="F2082" s="7" t="n">
        <f aca="false">'Raw Data'!K2082</f>
        <v>171.8</v>
      </c>
      <c r="G2082" s="7" t="str">
        <f aca="false">'Raw Data'!L2082</f>
        <v>No</v>
      </c>
      <c r="H2082" s="7" t="str">
        <f aca="false">'Raw Data'!M2082</f>
        <v>High</v>
      </c>
      <c r="I2082" s="7" t="n">
        <f aca="false">(IF(D2082="Current",3,IF(D2082="Former",1,0)))+(IF(E2082="High",3,IF(E2082="Normal",1,0)))+(IF(F2082&gt;=240,2,IF(F2082&gt;=200,1,0)))+(IF(G2082="Yes",2,0))+(IF(H2082="High",2,IF(H2082="Moderate",1,0)))</f>
        <v>6</v>
      </c>
      <c r="J2082" s="7" t="str">
        <f aca="false">IF(I2082&gt;=8,"High",IF(I2082&gt;=4,"Medium","Low"))</f>
        <v>Medium</v>
      </c>
    </row>
    <row r="2083" customFormat="false" ht="15" hidden="false" customHeight="true" outlineLevel="0" collapsed="false">
      <c r="A2083" s="7" t="n">
        <f aca="false">'Raw Data'!A2083</f>
        <v>92</v>
      </c>
      <c r="B2083" s="7" t="n">
        <f aca="false">'Raw Data'!B2083</f>
        <v>29</v>
      </c>
      <c r="C2083" s="7" t="str">
        <f aca="false">'Raw Data'!C2083</f>
        <v>Female</v>
      </c>
      <c r="D2083" s="7" t="str">
        <f aca="false">'Raw Data'!D2083</f>
        <v>Current</v>
      </c>
      <c r="E2083" s="7" t="str">
        <f aca="false">'Raw Data'!J2083</f>
        <v>Normal</v>
      </c>
      <c r="F2083" s="7" t="n">
        <f aca="false">'Raw Data'!K2083</f>
        <v>275</v>
      </c>
      <c r="G2083" s="7" t="str">
        <f aca="false">'Raw Data'!L2083</f>
        <v>Yes</v>
      </c>
      <c r="H2083" s="7" t="str">
        <f aca="false">'Raw Data'!M2083</f>
        <v>High</v>
      </c>
      <c r="I2083" s="7" t="n">
        <f aca="false">(IF(D2083="Current",3,IF(D2083="Former",1,0)))+(IF(E2083="High",3,IF(E2083="Normal",1,0)))+(IF(F2083&gt;=240,2,IF(F2083&gt;=200,1,0)))+(IF(G2083="Yes",2,0))+(IF(H2083="High",2,IF(H2083="Moderate",1,0)))</f>
        <v>10</v>
      </c>
      <c r="J2083" s="7" t="str">
        <f aca="false">IF(I2083&gt;=8,"High",IF(I2083&gt;=4,"Medium","Low"))</f>
        <v>High</v>
      </c>
    </row>
    <row r="2084" customFormat="false" ht="15" hidden="false" customHeight="true" outlineLevel="0" collapsed="false">
      <c r="A2084" s="7" t="n">
        <f aca="false">'Raw Data'!A2084</f>
        <v>104</v>
      </c>
      <c r="B2084" s="7" t="n">
        <f aca="false">'Raw Data'!B2084</f>
        <v>56</v>
      </c>
      <c r="C2084" s="7" t="str">
        <f aca="false">'Raw Data'!C2084</f>
        <v>Male</v>
      </c>
      <c r="D2084" s="7" t="str">
        <f aca="false">'Raw Data'!D2084</f>
        <v>Current</v>
      </c>
      <c r="E2084" s="7" t="str">
        <f aca="false">'Raw Data'!J2084</f>
        <v>Normal</v>
      </c>
      <c r="F2084" s="7" t="n">
        <f aca="false">'Raw Data'!K2084</f>
        <v>213.6</v>
      </c>
      <c r="G2084" s="7" t="str">
        <f aca="false">'Raw Data'!L2084</f>
        <v>No</v>
      </c>
      <c r="H2084" s="7" t="str">
        <f aca="false">'Raw Data'!M2084</f>
        <v>High</v>
      </c>
      <c r="I2084" s="7" t="n">
        <f aca="false">(IF(D2084="Current",3,IF(D2084="Former",1,0)))+(IF(E2084="High",3,IF(E2084="Normal",1,0)))+(IF(F2084&gt;=240,2,IF(F2084&gt;=200,1,0)))+(IF(G2084="Yes",2,0))+(IF(H2084="High",2,IF(H2084="Moderate",1,0)))</f>
        <v>7</v>
      </c>
      <c r="J2084" s="7" t="str">
        <f aca="false">IF(I2084&gt;=8,"High",IF(I2084&gt;=4,"Medium","Low"))</f>
        <v>Medium</v>
      </c>
    </row>
    <row r="2085" customFormat="false" ht="15" hidden="false" customHeight="true" outlineLevel="0" collapsed="false">
      <c r="A2085" s="7" t="n">
        <f aca="false">'Raw Data'!A2085</f>
        <v>181</v>
      </c>
      <c r="B2085" s="7" t="n">
        <f aca="false">'Raw Data'!B2085</f>
        <v>41</v>
      </c>
      <c r="C2085" s="7" t="str">
        <f aca="false">'Raw Data'!C2085</f>
        <v>Male</v>
      </c>
      <c r="D2085" s="7" t="str">
        <f aca="false">'Raw Data'!D2085</f>
        <v>Current</v>
      </c>
      <c r="E2085" s="7" t="str">
        <f aca="false">'Raw Data'!J2085</f>
        <v>Normal</v>
      </c>
      <c r="F2085" s="7" t="n">
        <f aca="false">'Raw Data'!K2085</f>
        <v>298.5</v>
      </c>
      <c r="G2085" s="7" t="str">
        <f aca="false">'Raw Data'!L2085</f>
        <v>No</v>
      </c>
      <c r="H2085" s="7" t="str">
        <f aca="false">'Raw Data'!M2085</f>
        <v>High</v>
      </c>
      <c r="I2085" s="7" t="n">
        <f aca="false">(IF(D2085="Current",3,IF(D2085="Former",1,0)))+(IF(E2085="High",3,IF(E2085="Normal",1,0)))+(IF(F2085&gt;=240,2,IF(F2085&gt;=200,1,0)))+(IF(G2085="Yes",2,0))+(IF(H2085="High",2,IF(H2085="Moderate",1,0)))</f>
        <v>8</v>
      </c>
      <c r="J2085" s="7" t="str">
        <f aca="false">IF(I2085&gt;=8,"High",IF(I2085&gt;=4,"Medium","Low"))</f>
        <v>High</v>
      </c>
    </row>
    <row r="2086" customFormat="false" ht="15" hidden="false" customHeight="true" outlineLevel="0" collapsed="false">
      <c r="A2086" s="7" t="n">
        <f aca="false">'Raw Data'!A2086</f>
        <v>280</v>
      </c>
      <c r="B2086" s="7" t="n">
        <f aca="false">'Raw Data'!B2086</f>
        <v>63</v>
      </c>
      <c r="C2086" s="7" t="str">
        <f aca="false">'Raw Data'!C2086</f>
        <v>Male</v>
      </c>
      <c r="D2086" s="7" t="str">
        <f aca="false">'Raw Data'!D2086</f>
        <v>Current</v>
      </c>
      <c r="E2086" s="7" t="str">
        <f aca="false">'Raw Data'!J2086</f>
        <v>Normal</v>
      </c>
      <c r="F2086" s="7" t="n">
        <f aca="false">'Raw Data'!K2086</f>
        <v>129</v>
      </c>
      <c r="G2086" s="7" t="str">
        <f aca="false">'Raw Data'!L2086</f>
        <v>No</v>
      </c>
      <c r="H2086" s="7" t="str">
        <f aca="false">'Raw Data'!M2086</f>
        <v>High</v>
      </c>
      <c r="I2086" s="7" t="n">
        <f aca="false">(IF(D2086="Current",3,IF(D2086="Former",1,0)))+(IF(E2086="High",3,IF(E2086="Normal",1,0)))+(IF(F2086&gt;=240,2,IF(F2086&gt;=200,1,0)))+(IF(G2086="Yes",2,0))+(IF(H2086="High",2,IF(H2086="Moderate",1,0)))</f>
        <v>6</v>
      </c>
      <c r="J2086" s="7" t="str">
        <f aca="false">IF(I2086&gt;=8,"High",IF(I2086&gt;=4,"Medium","Low"))</f>
        <v>Medium</v>
      </c>
    </row>
    <row r="2087" customFormat="false" ht="15" hidden="false" customHeight="true" outlineLevel="0" collapsed="false">
      <c r="A2087" s="7" t="n">
        <f aca="false">'Raw Data'!A2087</f>
        <v>290</v>
      </c>
      <c r="B2087" s="7" t="n">
        <f aca="false">'Raw Data'!B2087</f>
        <v>25</v>
      </c>
      <c r="C2087" s="7" t="str">
        <f aca="false">'Raw Data'!C2087</f>
        <v>Male</v>
      </c>
      <c r="D2087" s="7" t="str">
        <f aca="false">'Raw Data'!D2087</f>
        <v>Current</v>
      </c>
      <c r="E2087" s="7" t="str">
        <f aca="false">'Raw Data'!J2087</f>
        <v>Normal</v>
      </c>
      <c r="F2087" s="7" t="n">
        <f aca="false">'Raw Data'!K2087</f>
        <v>185.6</v>
      </c>
      <c r="G2087" s="7" t="str">
        <f aca="false">'Raw Data'!L2087</f>
        <v>Yes</v>
      </c>
      <c r="H2087" s="7" t="str">
        <f aca="false">'Raw Data'!M2087</f>
        <v>High</v>
      </c>
      <c r="I2087" s="7" t="n">
        <f aca="false">(IF(D2087="Current",3,IF(D2087="Former",1,0)))+(IF(E2087="High",3,IF(E2087="Normal",1,0)))+(IF(F2087&gt;=240,2,IF(F2087&gt;=200,1,0)))+(IF(G2087="Yes",2,0))+(IF(H2087="High",2,IF(H2087="Moderate",1,0)))</f>
        <v>8</v>
      </c>
      <c r="J2087" s="7" t="str">
        <f aca="false">IF(I2087&gt;=8,"High",IF(I2087&gt;=4,"Medium","Low"))</f>
        <v>High</v>
      </c>
    </row>
    <row r="2088" customFormat="false" ht="15" hidden="false" customHeight="true" outlineLevel="0" collapsed="false">
      <c r="A2088" s="7" t="n">
        <f aca="false">'Raw Data'!A2088</f>
        <v>304</v>
      </c>
      <c r="B2088" s="7" t="n">
        <f aca="false">'Raw Data'!B2088</f>
        <v>76</v>
      </c>
      <c r="C2088" s="7" t="str">
        <f aca="false">'Raw Data'!C2088</f>
        <v>Male</v>
      </c>
      <c r="D2088" s="7" t="str">
        <f aca="false">'Raw Data'!D2088</f>
        <v>Current</v>
      </c>
      <c r="E2088" s="7" t="str">
        <f aca="false">'Raw Data'!J2088</f>
        <v>Normal</v>
      </c>
      <c r="F2088" s="7" t="n">
        <f aca="false">'Raw Data'!K2088</f>
        <v>130.2</v>
      </c>
      <c r="G2088" s="7" t="str">
        <f aca="false">'Raw Data'!L2088</f>
        <v>No</v>
      </c>
      <c r="H2088" s="7" t="str">
        <f aca="false">'Raw Data'!M2088</f>
        <v>High</v>
      </c>
      <c r="I2088" s="7" t="n">
        <f aca="false">(IF(D2088="Current",3,IF(D2088="Former",1,0)))+(IF(E2088="High",3,IF(E2088="Normal",1,0)))+(IF(F2088&gt;=240,2,IF(F2088&gt;=200,1,0)))+(IF(G2088="Yes",2,0))+(IF(H2088="High",2,IF(H2088="Moderate",1,0)))</f>
        <v>6</v>
      </c>
      <c r="J2088" s="7" t="str">
        <f aca="false">IF(I2088&gt;=8,"High",IF(I2088&gt;=4,"Medium","Low"))</f>
        <v>Medium</v>
      </c>
    </row>
    <row r="2089" customFormat="false" ht="15" hidden="false" customHeight="true" outlineLevel="0" collapsed="false">
      <c r="A2089" s="7" t="n">
        <f aca="false">'Raw Data'!A2089</f>
        <v>371</v>
      </c>
      <c r="B2089" s="7" t="n">
        <f aca="false">'Raw Data'!B2089</f>
        <v>66</v>
      </c>
      <c r="C2089" s="7" t="str">
        <f aca="false">'Raw Data'!C2089</f>
        <v>Male</v>
      </c>
      <c r="D2089" s="7" t="str">
        <f aca="false">'Raw Data'!D2089</f>
        <v>Current</v>
      </c>
      <c r="E2089" s="7" t="str">
        <f aca="false">'Raw Data'!J2089</f>
        <v>Normal</v>
      </c>
      <c r="F2089" s="7" t="n">
        <f aca="false">'Raw Data'!K2089</f>
        <v>247.1</v>
      </c>
      <c r="G2089" s="7" t="str">
        <f aca="false">'Raw Data'!L2089</f>
        <v>No</v>
      </c>
      <c r="H2089" s="7" t="str">
        <f aca="false">'Raw Data'!M2089</f>
        <v>High</v>
      </c>
      <c r="I2089" s="7" t="n">
        <f aca="false">(IF(D2089="Current",3,IF(D2089="Former",1,0)))+(IF(E2089="High",3,IF(E2089="Normal",1,0)))+(IF(F2089&gt;=240,2,IF(F2089&gt;=200,1,0)))+(IF(G2089="Yes",2,0))+(IF(H2089="High",2,IF(H2089="Moderate",1,0)))</f>
        <v>8</v>
      </c>
      <c r="J2089" s="7" t="str">
        <f aca="false">IF(I2089&gt;=8,"High",IF(I2089&gt;=4,"Medium","Low"))</f>
        <v>High</v>
      </c>
    </row>
    <row r="2090" customFormat="false" ht="15" hidden="false" customHeight="true" outlineLevel="0" collapsed="false">
      <c r="A2090" s="7" t="n">
        <f aca="false">'Raw Data'!A2090</f>
        <v>411</v>
      </c>
      <c r="B2090" s="7" t="n">
        <f aca="false">'Raw Data'!B2090</f>
        <v>68</v>
      </c>
      <c r="C2090" s="7" t="str">
        <f aca="false">'Raw Data'!C2090</f>
        <v>Female</v>
      </c>
      <c r="D2090" s="7" t="str">
        <f aca="false">'Raw Data'!D2090</f>
        <v>Current</v>
      </c>
      <c r="E2090" s="7" t="str">
        <f aca="false">'Raw Data'!J2090</f>
        <v>Normal</v>
      </c>
      <c r="F2090" s="7" t="n">
        <f aca="false">'Raw Data'!K2090</f>
        <v>293.8</v>
      </c>
      <c r="G2090" s="7" t="str">
        <f aca="false">'Raw Data'!L2090</f>
        <v>Yes</v>
      </c>
      <c r="H2090" s="7" t="str">
        <f aca="false">'Raw Data'!M2090</f>
        <v>High</v>
      </c>
      <c r="I2090" s="7" t="n">
        <f aca="false">(IF(D2090="Current",3,IF(D2090="Former",1,0)))+(IF(E2090="High",3,IF(E2090="Normal",1,0)))+(IF(F2090&gt;=240,2,IF(F2090&gt;=200,1,0)))+(IF(G2090="Yes",2,0))+(IF(H2090="High",2,IF(H2090="Moderate",1,0)))</f>
        <v>10</v>
      </c>
      <c r="J2090" s="7" t="str">
        <f aca="false">IF(I2090&gt;=8,"High",IF(I2090&gt;=4,"Medium","Low"))</f>
        <v>High</v>
      </c>
    </row>
    <row r="2091" customFormat="false" ht="15" hidden="false" customHeight="true" outlineLevel="0" collapsed="false">
      <c r="A2091" s="7" t="n">
        <f aca="false">'Raw Data'!A2091</f>
        <v>470</v>
      </c>
      <c r="B2091" s="7" t="n">
        <f aca="false">'Raw Data'!B2091</f>
        <v>88</v>
      </c>
      <c r="C2091" s="7" t="str">
        <f aca="false">'Raw Data'!C2091</f>
        <v>Male</v>
      </c>
      <c r="D2091" s="7" t="str">
        <f aca="false">'Raw Data'!D2091</f>
        <v>Current</v>
      </c>
      <c r="E2091" s="7" t="str">
        <f aca="false">'Raw Data'!J2091</f>
        <v>Normal</v>
      </c>
      <c r="F2091" s="7" t="n">
        <f aca="false">'Raw Data'!K2091</f>
        <v>205.3</v>
      </c>
      <c r="G2091" s="7" t="str">
        <f aca="false">'Raw Data'!L2091</f>
        <v>No</v>
      </c>
      <c r="H2091" s="7" t="str">
        <f aca="false">'Raw Data'!M2091</f>
        <v>High</v>
      </c>
      <c r="I2091" s="7" t="n">
        <f aca="false">(IF(D2091="Current",3,IF(D2091="Former",1,0)))+(IF(E2091="High",3,IF(E2091="Normal",1,0)))+(IF(F2091&gt;=240,2,IF(F2091&gt;=200,1,0)))+(IF(G2091="Yes",2,0))+(IF(H2091="High",2,IF(H2091="Moderate",1,0)))</f>
        <v>7</v>
      </c>
      <c r="J2091" s="7" t="str">
        <f aca="false">IF(I2091&gt;=8,"High",IF(I2091&gt;=4,"Medium","Low"))</f>
        <v>Medium</v>
      </c>
    </row>
    <row r="2092" customFormat="false" ht="15" hidden="false" customHeight="true" outlineLevel="0" collapsed="false">
      <c r="A2092" s="7" t="n">
        <f aca="false">'Raw Data'!A2092</f>
        <v>476</v>
      </c>
      <c r="B2092" s="7" t="n">
        <f aca="false">'Raw Data'!B2092</f>
        <v>75</v>
      </c>
      <c r="C2092" s="7" t="str">
        <f aca="false">'Raw Data'!C2092</f>
        <v>Female</v>
      </c>
      <c r="D2092" s="7" t="str">
        <f aca="false">'Raw Data'!D2092</f>
        <v>Current</v>
      </c>
      <c r="E2092" s="7" t="str">
        <f aca="false">'Raw Data'!J2092</f>
        <v>Normal</v>
      </c>
      <c r="F2092" s="7" t="n">
        <f aca="false">'Raw Data'!K2092</f>
        <v>170.3</v>
      </c>
      <c r="G2092" s="7" t="str">
        <f aca="false">'Raw Data'!L2092</f>
        <v>No</v>
      </c>
      <c r="H2092" s="7" t="str">
        <f aca="false">'Raw Data'!M2092</f>
        <v>High</v>
      </c>
      <c r="I2092" s="7" t="n">
        <f aca="false">(IF(D2092="Current",3,IF(D2092="Former",1,0)))+(IF(E2092="High",3,IF(E2092="Normal",1,0)))+(IF(F2092&gt;=240,2,IF(F2092&gt;=200,1,0)))+(IF(G2092="Yes",2,0))+(IF(H2092="High",2,IF(H2092="Moderate",1,0)))</f>
        <v>6</v>
      </c>
      <c r="J2092" s="7" t="str">
        <f aca="false">IF(I2092&gt;=8,"High",IF(I2092&gt;=4,"Medium","Low"))</f>
        <v>Medium</v>
      </c>
    </row>
    <row r="2093" customFormat="false" ht="15" hidden="false" customHeight="true" outlineLevel="0" collapsed="false">
      <c r="A2093" s="7" t="n">
        <f aca="false">'Raw Data'!A2093</f>
        <v>493</v>
      </c>
      <c r="B2093" s="7" t="n">
        <f aca="false">'Raw Data'!B2093</f>
        <v>64</v>
      </c>
      <c r="C2093" s="7" t="str">
        <f aca="false">'Raw Data'!C2093</f>
        <v>Male</v>
      </c>
      <c r="D2093" s="7" t="str">
        <f aca="false">'Raw Data'!D2093</f>
        <v>Current</v>
      </c>
      <c r="E2093" s="7" t="str">
        <f aca="false">'Raw Data'!J2093</f>
        <v>Normal</v>
      </c>
      <c r="F2093" s="7" t="n">
        <f aca="false">'Raw Data'!K2093</f>
        <v>160.9</v>
      </c>
      <c r="G2093" s="7" t="str">
        <f aca="false">'Raw Data'!L2093</f>
        <v>No</v>
      </c>
      <c r="H2093" s="7" t="str">
        <f aca="false">'Raw Data'!M2093</f>
        <v>High</v>
      </c>
      <c r="I2093" s="7" t="n">
        <f aca="false">(IF(D2093="Current",3,IF(D2093="Former",1,0)))+(IF(E2093="High",3,IF(E2093="Normal",1,0)))+(IF(F2093&gt;=240,2,IF(F2093&gt;=200,1,0)))+(IF(G2093="Yes",2,0))+(IF(H2093="High",2,IF(H2093="Moderate",1,0)))</f>
        <v>6</v>
      </c>
      <c r="J2093" s="7" t="str">
        <f aca="false">IF(I2093&gt;=8,"High",IF(I2093&gt;=4,"Medium","Low"))</f>
        <v>Medium</v>
      </c>
    </row>
    <row r="2094" customFormat="false" ht="15" hidden="false" customHeight="true" outlineLevel="0" collapsed="false">
      <c r="A2094" s="7" t="n">
        <f aca="false">'Raw Data'!A2094</f>
        <v>591</v>
      </c>
      <c r="B2094" s="7" t="n">
        <f aca="false">'Raw Data'!B2094</f>
        <v>44</v>
      </c>
      <c r="C2094" s="7" t="str">
        <f aca="false">'Raw Data'!C2094</f>
        <v>Male</v>
      </c>
      <c r="D2094" s="7" t="str">
        <f aca="false">'Raw Data'!D2094</f>
        <v>Current</v>
      </c>
      <c r="E2094" s="7" t="str">
        <f aca="false">'Raw Data'!J2094</f>
        <v>Normal</v>
      </c>
      <c r="F2094" s="7" t="n">
        <f aca="false">'Raw Data'!K2094</f>
        <v>284.7</v>
      </c>
      <c r="G2094" s="7" t="str">
        <f aca="false">'Raw Data'!L2094</f>
        <v>No</v>
      </c>
      <c r="H2094" s="7" t="str">
        <f aca="false">'Raw Data'!M2094</f>
        <v>High</v>
      </c>
      <c r="I2094" s="7" t="n">
        <f aca="false">(IF(D2094="Current",3,IF(D2094="Former",1,0)))+(IF(E2094="High",3,IF(E2094="Normal",1,0)))+(IF(F2094&gt;=240,2,IF(F2094&gt;=200,1,0)))+(IF(G2094="Yes",2,0))+(IF(H2094="High",2,IF(H2094="Moderate",1,0)))</f>
        <v>8</v>
      </c>
      <c r="J2094" s="7" t="str">
        <f aca="false">IF(I2094&gt;=8,"High",IF(I2094&gt;=4,"Medium","Low"))</f>
        <v>High</v>
      </c>
    </row>
    <row r="2095" customFormat="false" ht="15" hidden="false" customHeight="true" outlineLevel="0" collapsed="false">
      <c r="A2095" s="7" t="n">
        <f aca="false">'Raw Data'!A2095</f>
        <v>639</v>
      </c>
      <c r="B2095" s="7" t="n">
        <f aca="false">'Raw Data'!B2095</f>
        <v>30</v>
      </c>
      <c r="C2095" s="7" t="str">
        <f aca="false">'Raw Data'!C2095</f>
        <v>Male</v>
      </c>
      <c r="D2095" s="7" t="str">
        <f aca="false">'Raw Data'!D2095</f>
        <v>Current</v>
      </c>
      <c r="E2095" s="7" t="str">
        <f aca="false">'Raw Data'!J2095</f>
        <v>Normal</v>
      </c>
      <c r="F2095" s="7" t="n">
        <f aca="false">'Raw Data'!K2095</f>
        <v>210.6</v>
      </c>
      <c r="G2095" s="7" t="str">
        <f aca="false">'Raw Data'!L2095</f>
        <v>Yes</v>
      </c>
      <c r="H2095" s="7" t="str">
        <f aca="false">'Raw Data'!M2095</f>
        <v>High</v>
      </c>
      <c r="I2095" s="7" t="n">
        <f aca="false">(IF(D2095="Current",3,IF(D2095="Former",1,0)))+(IF(E2095="High",3,IF(E2095="Normal",1,0)))+(IF(F2095&gt;=240,2,IF(F2095&gt;=200,1,0)))+(IF(G2095="Yes",2,0))+(IF(H2095="High",2,IF(H2095="Moderate",1,0)))</f>
        <v>9</v>
      </c>
      <c r="J2095" s="7" t="str">
        <f aca="false">IF(I2095&gt;=8,"High",IF(I2095&gt;=4,"Medium","Low"))</f>
        <v>High</v>
      </c>
    </row>
    <row r="2096" customFormat="false" ht="15" hidden="false" customHeight="true" outlineLevel="0" collapsed="false">
      <c r="A2096" s="7" t="n">
        <f aca="false">'Raw Data'!A2096</f>
        <v>660</v>
      </c>
      <c r="B2096" s="7" t="n">
        <f aca="false">'Raw Data'!B2096</f>
        <v>33</v>
      </c>
      <c r="C2096" s="7" t="str">
        <f aca="false">'Raw Data'!C2096</f>
        <v>Female</v>
      </c>
      <c r="D2096" s="7" t="str">
        <f aca="false">'Raw Data'!D2096</f>
        <v>Current</v>
      </c>
      <c r="E2096" s="7" t="str">
        <f aca="false">'Raw Data'!J2096</f>
        <v>Normal</v>
      </c>
      <c r="F2096" s="7" t="n">
        <f aca="false">'Raw Data'!K2096</f>
        <v>239.2</v>
      </c>
      <c r="G2096" s="7" t="str">
        <f aca="false">'Raw Data'!L2096</f>
        <v>No</v>
      </c>
      <c r="H2096" s="7" t="str">
        <f aca="false">'Raw Data'!M2096</f>
        <v>High</v>
      </c>
      <c r="I2096" s="7" t="n">
        <f aca="false">(IF(D2096="Current",3,IF(D2096="Former",1,0)))+(IF(E2096="High",3,IF(E2096="Normal",1,0)))+(IF(F2096&gt;=240,2,IF(F2096&gt;=200,1,0)))+(IF(G2096="Yes",2,0))+(IF(H2096="High",2,IF(H2096="Moderate",1,0)))</f>
        <v>7</v>
      </c>
      <c r="J2096" s="7" t="str">
        <f aca="false">IF(I2096&gt;=8,"High",IF(I2096&gt;=4,"Medium","Low"))</f>
        <v>Medium</v>
      </c>
    </row>
    <row r="2097" customFormat="false" ht="15" hidden="false" customHeight="true" outlineLevel="0" collapsed="false">
      <c r="A2097" s="7" t="n">
        <f aca="false">'Raw Data'!A2097</f>
        <v>684</v>
      </c>
      <c r="B2097" s="7" t="n">
        <f aca="false">'Raw Data'!B2097</f>
        <v>86</v>
      </c>
      <c r="C2097" s="7" t="str">
        <f aca="false">'Raw Data'!C2097</f>
        <v>Female</v>
      </c>
      <c r="D2097" s="7" t="str">
        <f aca="false">'Raw Data'!D2097</f>
        <v>Current</v>
      </c>
      <c r="E2097" s="7" t="str">
        <f aca="false">'Raw Data'!J2097</f>
        <v>Normal</v>
      </c>
      <c r="F2097" s="7" t="n">
        <f aca="false">'Raw Data'!K2097</f>
        <v>129.8</v>
      </c>
      <c r="G2097" s="7" t="str">
        <f aca="false">'Raw Data'!L2097</f>
        <v>No</v>
      </c>
      <c r="H2097" s="7" t="str">
        <f aca="false">'Raw Data'!M2097</f>
        <v>High</v>
      </c>
      <c r="I2097" s="7" t="n">
        <f aca="false">(IF(D2097="Current",3,IF(D2097="Former",1,0)))+(IF(E2097="High",3,IF(E2097="Normal",1,0)))+(IF(F2097&gt;=240,2,IF(F2097&gt;=200,1,0)))+(IF(G2097="Yes",2,0))+(IF(H2097="High",2,IF(H2097="Moderate",1,0)))</f>
        <v>6</v>
      </c>
      <c r="J2097" s="7" t="str">
        <f aca="false">IF(I2097&gt;=8,"High",IF(I2097&gt;=4,"Medium","Low"))</f>
        <v>Medium</v>
      </c>
    </row>
    <row r="2098" customFormat="false" ht="15" hidden="false" customHeight="true" outlineLevel="0" collapsed="false">
      <c r="A2098" s="7" t="n">
        <f aca="false">'Raw Data'!A2098</f>
        <v>740</v>
      </c>
      <c r="B2098" s="7" t="n">
        <f aca="false">'Raw Data'!B2098</f>
        <v>60</v>
      </c>
      <c r="C2098" s="7" t="str">
        <f aca="false">'Raw Data'!C2098</f>
        <v>Male</v>
      </c>
      <c r="D2098" s="7" t="str">
        <f aca="false">'Raw Data'!D2098</f>
        <v>Current</v>
      </c>
      <c r="E2098" s="7" t="str">
        <f aca="false">'Raw Data'!J2098</f>
        <v>Normal</v>
      </c>
      <c r="F2098" s="7" t="n">
        <f aca="false">'Raw Data'!K2098</f>
        <v>224.2</v>
      </c>
      <c r="G2098" s="7" t="str">
        <f aca="false">'Raw Data'!L2098</f>
        <v>Yes</v>
      </c>
      <c r="H2098" s="7" t="str">
        <f aca="false">'Raw Data'!M2098</f>
        <v>High</v>
      </c>
      <c r="I2098" s="7" t="n">
        <f aca="false">(IF(D2098="Current",3,IF(D2098="Former",1,0)))+(IF(E2098="High",3,IF(E2098="Normal",1,0)))+(IF(F2098&gt;=240,2,IF(F2098&gt;=200,1,0)))+(IF(G2098="Yes",2,0))+(IF(H2098="High",2,IF(H2098="Moderate",1,0)))</f>
        <v>9</v>
      </c>
      <c r="J2098" s="7" t="str">
        <f aca="false">IF(I2098&gt;=8,"High",IF(I2098&gt;=4,"Medium","Low"))</f>
        <v>High</v>
      </c>
    </row>
    <row r="2099" customFormat="false" ht="15" hidden="false" customHeight="true" outlineLevel="0" collapsed="false">
      <c r="A2099" s="7" t="n">
        <f aca="false">'Raw Data'!A2099</f>
        <v>820</v>
      </c>
      <c r="B2099" s="7" t="n">
        <f aca="false">'Raw Data'!B2099</f>
        <v>51</v>
      </c>
      <c r="C2099" s="7" t="str">
        <f aca="false">'Raw Data'!C2099</f>
        <v>Female</v>
      </c>
      <c r="D2099" s="7" t="str">
        <f aca="false">'Raw Data'!D2099</f>
        <v>Current</v>
      </c>
      <c r="E2099" s="7" t="str">
        <f aca="false">'Raw Data'!J2099</f>
        <v>Normal</v>
      </c>
      <c r="F2099" s="7" t="n">
        <f aca="false">'Raw Data'!K2099</f>
        <v>208.5</v>
      </c>
      <c r="G2099" s="7" t="str">
        <f aca="false">'Raw Data'!L2099</f>
        <v>No</v>
      </c>
      <c r="H2099" s="7" t="str">
        <f aca="false">'Raw Data'!M2099</f>
        <v>High</v>
      </c>
      <c r="I2099" s="7" t="n">
        <f aca="false">(IF(D2099="Current",3,IF(D2099="Former",1,0)))+(IF(E2099="High",3,IF(E2099="Normal",1,0)))+(IF(F2099&gt;=240,2,IF(F2099&gt;=200,1,0)))+(IF(G2099="Yes",2,0))+(IF(H2099="High",2,IF(H2099="Moderate",1,0)))</f>
        <v>7</v>
      </c>
      <c r="J2099" s="7" t="str">
        <f aca="false">IF(I2099&gt;=8,"High",IF(I2099&gt;=4,"Medium","Low"))</f>
        <v>Medium</v>
      </c>
    </row>
    <row r="2100" customFormat="false" ht="15" hidden="false" customHeight="true" outlineLevel="0" collapsed="false">
      <c r="A2100" s="7" t="n">
        <f aca="false">'Raw Data'!A2100</f>
        <v>960</v>
      </c>
      <c r="B2100" s="7" t="n">
        <f aca="false">'Raw Data'!B2100</f>
        <v>35</v>
      </c>
      <c r="C2100" s="7" t="str">
        <f aca="false">'Raw Data'!C2100</f>
        <v>Female</v>
      </c>
      <c r="D2100" s="7" t="str">
        <f aca="false">'Raw Data'!D2100</f>
        <v>Current</v>
      </c>
      <c r="E2100" s="7" t="str">
        <f aca="false">'Raw Data'!J2100</f>
        <v>Normal</v>
      </c>
      <c r="F2100" s="7" t="n">
        <f aca="false">'Raw Data'!K2100</f>
        <v>211.3</v>
      </c>
      <c r="G2100" s="7" t="str">
        <f aca="false">'Raw Data'!L2100</f>
        <v>No</v>
      </c>
      <c r="H2100" s="7" t="str">
        <f aca="false">'Raw Data'!M2100</f>
        <v>High</v>
      </c>
      <c r="I2100" s="7" t="n">
        <f aca="false">(IF(D2100="Current",3,IF(D2100="Former",1,0)))+(IF(E2100="High",3,IF(E2100="Normal",1,0)))+(IF(F2100&gt;=240,2,IF(F2100&gt;=200,1,0)))+(IF(G2100="Yes",2,0))+(IF(H2100="High",2,IF(H2100="Moderate",1,0)))</f>
        <v>7</v>
      </c>
      <c r="J2100" s="7" t="str">
        <f aca="false">IF(I2100&gt;=8,"High",IF(I2100&gt;=4,"Medium","Low"))</f>
        <v>Medium</v>
      </c>
    </row>
    <row r="2101" customFormat="false" ht="15" hidden="false" customHeight="true" outlineLevel="0" collapsed="false">
      <c r="A2101" s="7" t="n">
        <f aca="false">'Raw Data'!A2101</f>
        <v>967</v>
      </c>
      <c r="B2101" s="7" t="n">
        <f aca="false">'Raw Data'!B2101</f>
        <v>38</v>
      </c>
      <c r="C2101" s="7" t="str">
        <f aca="false">'Raw Data'!C2101</f>
        <v>Female</v>
      </c>
      <c r="D2101" s="7" t="str">
        <f aca="false">'Raw Data'!D2101</f>
        <v>Current</v>
      </c>
      <c r="E2101" s="7" t="str">
        <f aca="false">'Raw Data'!J2101</f>
        <v>Normal</v>
      </c>
      <c r="F2101" s="7" t="n">
        <f aca="false">'Raw Data'!K2101</f>
        <v>179.5</v>
      </c>
      <c r="G2101" s="7" t="str">
        <f aca="false">'Raw Data'!L2101</f>
        <v>No</v>
      </c>
      <c r="H2101" s="7" t="str">
        <f aca="false">'Raw Data'!M2101</f>
        <v>High</v>
      </c>
      <c r="I2101" s="7" t="n">
        <f aca="false">(IF(D2101="Current",3,IF(D2101="Former",1,0)))+(IF(E2101="High",3,IF(E2101="Normal",1,0)))+(IF(F2101&gt;=240,2,IF(F2101&gt;=200,1,0)))+(IF(G2101="Yes",2,0))+(IF(H2101="High",2,IF(H2101="Moderate",1,0)))</f>
        <v>6</v>
      </c>
      <c r="J2101" s="7" t="str">
        <f aca="false">IF(I2101&gt;=8,"High",IF(I2101&gt;=4,"Medium","Low"))</f>
        <v>Medium</v>
      </c>
    </row>
    <row r="2102" customFormat="false" ht="15" hidden="false" customHeight="true" outlineLevel="0" collapsed="false">
      <c r="A2102" s="7" t="n">
        <f aca="false">'Raw Data'!A2102</f>
        <v>970</v>
      </c>
      <c r="B2102" s="7" t="n">
        <f aca="false">'Raw Data'!B2102</f>
        <v>54</v>
      </c>
      <c r="C2102" s="7" t="str">
        <f aca="false">'Raw Data'!C2102</f>
        <v>Male</v>
      </c>
      <c r="D2102" s="7" t="str">
        <f aca="false">'Raw Data'!D2102</f>
        <v>Current</v>
      </c>
      <c r="E2102" s="7" t="str">
        <f aca="false">'Raw Data'!J2102</f>
        <v>Normal</v>
      </c>
      <c r="F2102" s="7" t="n">
        <f aca="false">'Raw Data'!K2102</f>
        <v>213.5</v>
      </c>
      <c r="G2102" s="7" t="str">
        <f aca="false">'Raw Data'!L2102</f>
        <v>No</v>
      </c>
      <c r="H2102" s="7" t="str">
        <f aca="false">'Raw Data'!M2102</f>
        <v>High</v>
      </c>
      <c r="I2102" s="7" t="n">
        <f aca="false">(IF(D2102="Current",3,IF(D2102="Former",1,0)))+(IF(E2102="High",3,IF(E2102="Normal",1,0)))+(IF(F2102&gt;=240,2,IF(F2102&gt;=200,1,0)))+(IF(G2102="Yes",2,0))+(IF(H2102="High",2,IF(H2102="Moderate",1,0)))</f>
        <v>7</v>
      </c>
      <c r="J2102" s="7" t="str">
        <f aca="false">IF(I2102&gt;=8,"High",IF(I2102&gt;=4,"Medium","Low"))</f>
        <v>Medium</v>
      </c>
    </row>
    <row r="2103" customFormat="false" ht="15" hidden="false" customHeight="true" outlineLevel="0" collapsed="false">
      <c r="A2103" s="7" t="n">
        <f aca="false">'Raw Data'!A2103</f>
        <v>1005</v>
      </c>
      <c r="B2103" s="7" t="n">
        <f aca="false">'Raw Data'!B2103</f>
        <v>89</v>
      </c>
      <c r="C2103" s="7" t="str">
        <f aca="false">'Raw Data'!C2103</f>
        <v>Female</v>
      </c>
      <c r="D2103" s="7" t="str">
        <f aca="false">'Raw Data'!D2103</f>
        <v>Current</v>
      </c>
      <c r="E2103" s="7" t="str">
        <f aca="false">'Raw Data'!J2103</f>
        <v>Normal</v>
      </c>
      <c r="F2103" s="7" t="n">
        <f aca="false">'Raw Data'!K2103</f>
        <v>220.8</v>
      </c>
      <c r="G2103" s="7" t="str">
        <f aca="false">'Raw Data'!L2103</f>
        <v>No</v>
      </c>
      <c r="H2103" s="7" t="str">
        <f aca="false">'Raw Data'!M2103</f>
        <v>High</v>
      </c>
      <c r="I2103" s="7" t="n">
        <f aca="false">(IF(D2103="Current",3,IF(D2103="Former",1,0)))+(IF(E2103="High",3,IF(E2103="Normal",1,0)))+(IF(F2103&gt;=240,2,IF(F2103&gt;=200,1,0)))+(IF(G2103="Yes",2,0))+(IF(H2103="High",2,IF(H2103="Moderate",1,0)))</f>
        <v>7</v>
      </c>
      <c r="J2103" s="7" t="str">
        <f aca="false">IF(I2103&gt;=8,"High",IF(I2103&gt;=4,"Medium","Low"))</f>
        <v>Medium</v>
      </c>
    </row>
    <row r="2104" customFormat="false" ht="15" hidden="false" customHeight="true" outlineLevel="0" collapsed="false">
      <c r="A2104" s="7" t="n">
        <f aca="false">'Raw Data'!A2104</f>
        <v>1081</v>
      </c>
      <c r="B2104" s="7" t="n">
        <f aca="false">'Raw Data'!B2104</f>
        <v>55</v>
      </c>
      <c r="C2104" s="7" t="str">
        <f aca="false">'Raw Data'!C2104</f>
        <v>Male</v>
      </c>
      <c r="D2104" s="7" t="str">
        <f aca="false">'Raw Data'!D2104</f>
        <v>Current</v>
      </c>
      <c r="E2104" s="7" t="str">
        <f aca="false">'Raw Data'!J2104</f>
        <v>Normal</v>
      </c>
      <c r="F2104" s="7" t="n">
        <f aca="false">'Raw Data'!K2104</f>
        <v>166.1</v>
      </c>
      <c r="G2104" s="7" t="str">
        <f aca="false">'Raw Data'!L2104</f>
        <v>Yes</v>
      </c>
      <c r="H2104" s="7" t="str">
        <f aca="false">'Raw Data'!M2104</f>
        <v>High</v>
      </c>
      <c r="I2104" s="7" t="n">
        <f aca="false">(IF(D2104="Current",3,IF(D2104="Former",1,0)))+(IF(E2104="High",3,IF(E2104="Normal",1,0)))+(IF(F2104&gt;=240,2,IF(F2104&gt;=200,1,0)))+(IF(G2104="Yes",2,0))+(IF(H2104="High",2,IF(H2104="Moderate",1,0)))</f>
        <v>8</v>
      </c>
      <c r="J2104" s="7" t="str">
        <f aca="false">IF(I2104&gt;=8,"High",IF(I2104&gt;=4,"Medium","Low"))</f>
        <v>High</v>
      </c>
    </row>
    <row r="2105" customFormat="false" ht="15" hidden="false" customHeight="true" outlineLevel="0" collapsed="false">
      <c r="A2105" s="7" t="n">
        <f aca="false">'Raw Data'!A2105</f>
        <v>1292</v>
      </c>
      <c r="B2105" s="7" t="n">
        <f aca="false">'Raw Data'!B2105</f>
        <v>77</v>
      </c>
      <c r="C2105" s="7" t="str">
        <f aca="false">'Raw Data'!C2105</f>
        <v>Male</v>
      </c>
      <c r="D2105" s="7" t="str">
        <f aca="false">'Raw Data'!D2105</f>
        <v>Current</v>
      </c>
      <c r="E2105" s="7" t="str">
        <f aca="false">'Raw Data'!J2105</f>
        <v>Normal</v>
      </c>
      <c r="F2105" s="7" t="n">
        <f aca="false">'Raw Data'!K2105</f>
        <v>236.2</v>
      </c>
      <c r="G2105" s="7" t="str">
        <f aca="false">'Raw Data'!L2105</f>
        <v>No</v>
      </c>
      <c r="H2105" s="7" t="str">
        <f aca="false">'Raw Data'!M2105</f>
        <v>High</v>
      </c>
      <c r="I2105" s="7" t="n">
        <f aca="false">(IF(D2105="Current",3,IF(D2105="Former",1,0)))+(IF(E2105="High",3,IF(E2105="Normal",1,0)))+(IF(F2105&gt;=240,2,IF(F2105&gt;=200,1,0)))+(IF(G2105="Yes",2,0))+(IF(H2105="High",2,IF(H2105="Moderate",1,0)))</f>
        <v>7</v>
      </c>
      <c r="J2105" s="7" t="str">
        <f aca="false">IF(I2105&gt;=8,"High",IF(I2105&gt;=4,"Medium","Low"))</f>
        <v>Medium</v>
      </c>
    </row>
    <row r="2106" customFormat="false" ht="15" hidden="false" customHeight="true" outlineLevel="0" collapsed="false">
      <c r="A2106" s="7" t="n">
        <f aca="false">'Raw Data'!A2106</f>
        <v>1409</v>
      </c>
      <c r="B2106" s="7" t="n">
        <f aca="false">'Raw Data'!B2106</f>
        <v>69</v>
      </c>
      <c r="C2106" s="7" t="str">
        <f aca="false">'Raw Data'!C2106</f>
        <v>Female</v>
      </c>
      <c r="D2106" s="7" t="str">
        <f aca="false">'Raw Data'!D2106</f>
        <v>Current</v>
      </c>
      <c r="E2106" s="7" t="str">
        <f aca="false">'Raw Data'!J2106</f>
        <v>Normal</v>
      </c>
      <c r="F2106" s="7" t="n">
        <f aca="false">'Raw Data'!K2106</f>
        <v>153.7</v>
      </c>
      <c r="G2106" s="7" t="str">
        <f aca="false">'Raw Data'!L2106</f>
        <v>No</v>
      </c>
      <c r="H2106" s="7" t="str">
        <f aca="false">'Raw Data'!M2106</f>
        <v>High</v>
      </c>
      <c r="I2106" s="7" t="n">
        <f aca="false">(IF(D2106="Current",3,IF(D2106="Former",1,0)))+(IF(E2106="High",3,IF(E2106="Normal",1,0)))+(IF(F2106&gt;=240,2,IF(F2106&gt;=200,1,0)))+(IF(G2106="Yes",2,0))+(IF(H2106="High",2,IF(H2106="Moderate",1,0)))</f>
        <v>6</v>
      </c>
      <c r="J2106" s="7" t="str">
        <f aca="false">IF(I2106&gt;=8,"High",IF(I2106&gt;=4,"Medium","Low"))</f>
        <v>Medium</v>
      </c>
    </row>
    <row r="2107" customFormat="false" ht="15" hidden="false" customHeight="true" outlineLevel="0" collapsed="false">
      <c r="A2107" s="7" t="n">
        <f aca="false">'Raw Data'!A2107</f>
        <v>1448</v>
      </c>
      <c r="B2107" s="7" t="n">
        <f aca="false">'Raw Data'!B2107</f>
        <v>33</v>
      </c>
      <c r="C2107" s="7" t="str">
        <f aca="false">'Raw Data'!C2107</f>
        <v>Male</v>
      </c>
      <c r="D2107" s="7" t="str">
        <f aca="false">'Raw Data'!D2107</f>
        <v>Current</v>
      </c>
      <c r="E2107" s="7" t="str">
        <f aca="false">'Raw Data'!J2107</f>
        <v>Normal</v>
      </c>
      <c r="F2107" s="7" t="n">
        <f aca="false">'Raw Data'!K2107</f>
        <v>158.7</v>
      </c>
      <c r="G2107" s="7" t="str">
        <f aca="false">'Raw Data'!L2107</f>
        <v>No</v>
      </c>
      <c r="H2107" s="7" t="str">
        <f aca="false">'Raw Data'!M2107</f>
        <v>High</v>
      </c>
      <c r="I2107" s="7" t="n">
        <f aca="false">(IF(D2107="Current",3,IF(D2107="Former",1,0)))+(IF(E2107="High",3,IF(E2107="Normal",1,0)))+(IF(F2107&gt;=240,2,IF(F2107&gt;=200,1,0)))+(IF(G2107="Yes",2,0))+(IF(H2107="High",2,IF(H2107="Moderate",1,0)))</f>
        <v>6</v>
      </c>
      <c r="J2107" s="7" t="str">
        <f aca="false">IF(I2107&gt;=8,"High",IF(I2107&gt;=4,"Medium","Low"))</f>
        <v>Medium</v>
      </c>
    </row>
    <row r="2108" customFormat="false" ht="15" hidden="false" customHeight="true" outlineLevel="0" collapsed="false">
      <c r="A2108" s="7" t="n">
        <f aca="false">'Raw Data'!A2108</f>
        <v>1492</v>
      </c>
      <c r="B2108" s="7" t="n">
        <f aca="false">'Raw Data'!B2108</f>
        <v>18</v>
      </c>
      <c r="C2108" s="7" t="str">
        <f aca="false">'Raw Data'!C2108</f>
        <v>Male</v>
      </c>
      <c r="D2108" s="7" t="str">
        <f aca="false">'Raw Data'!D2108</f>
        <v>Current</v>
      </c>
      <c r="E2108" s="7" t="str">
        <f aca="false">'Raw Data'!J2108</f>
        <v>Normal</v>
      </c>
      <c r="F2108" s="7" t="n">
        <f aca="false">'Raw Data'!K2108</f>
        <v>219.2</v>
      </c>
      <c r="G2108" s="7" t="str">
        <f aca="false">'Raw Data'!L2108</f>
        <v>Yes</v>
      </c>
      <c r="H2108" s="7" t="str">
        <f aca="false">'Raw Data'!M2108</f>
        <v>High</v>
      </c>
      <c r="I2108" s="7" t="n">
        <f aca="false">(IF(D2108="Current",3,IF(D2108="Former",1,0)))+(IF(E2108="High",3,IF(E2108="Normal",1,0)))+(IF(F2108&gt;=240,2,IF(F2108&gt;=200,1,0)))+(IF(G2108="Yes",2,0))+(IF(H2108="High",2,IF(H2108="Moderate",1,0)))</f>
        <v>9</v>
      </c>
      <c r="J2108" s="7" t="str">
        <f aca="false">IF(I2108&gt;=8,"High",IF(I2108&gt;=4,"Medium","Low"))</f>
        <v>High</v>
      </c>
    </row>
    <row r="2109" customFormat="false" ht="15" hidden="false" customHeight="true" outlineLevel="0" collapsed="false">
      <c r="A2109" s="7" t="n">
        <f aca="false">'Raw Data'!A2109</f>
        <v>1554</v>
      </c>
      <c r="B2109" s="7" t="n">
        <f aca="false">'Raw Data'!B2109</f>
        <v>70</v>
      </c>
      <c r="C2109" s="7" t="str">
        <f aca="false">'Raw Data'!C2109</f>
        <v>Female</v>
      </c>
      <c r="D2109" s="7" t="str">
        <f aca="false">'Raw Data'!D2109</f>
        <v>Current</v>
      </c>
      <c r="E2109" s="7" t="str">
        <f aca="false">'Raw Data'!J2109</f>
        <v>Normal</v>
      </c>
      <c r="F2109" s="7" t="n">
        <f aca="false">'Raw Data'!K2109</f>
        <v>135.7</v>
      </c>
      <c r="G2109" s="7" t="str">
        <f aca="false">'Raw Data'!L2109</f>
        <v>No</v>
      </c>
      <c r="H2109" s="7" t="str">
        <f aca="false">'Raw Data'!M2109</f>
        <v>High</v>
      </c>
      <c r="I2109" s="7" t="n">
        <f aca="false">(IF(D2109="Current",3,IF(D2109="Former",1,0)))+(IF(E2109="High",3,IF(E2109="Normal",1,0)))+(IF(F2109&gt;=240,2,IF(F2109&gt;=200,1,0)))+(IF(G2109="Yes",2,0))+(IF(H2109="High",2,IF(H2109="Moderate",1,0)))</f>
        <v>6</v>
      </c>
      <c r="J2109" s="7" t="str">
        <f aca="false">IF(I2109&gt;=8,"High",IF(I2109&gt;=4,"Medium","Low"))</f>
        <v>Medium</v>
      </c>
    </row>
    <row r="2110" customFormat="false" ht="15" hidden="false" customHeight="true" outlineLevel="0" collapsed="false">
      <c r="A2110" s="7" t="n">
        <f aca="false">'Raw Data'!A2110</f>
        <v>1558</v>
      </c>
      <c r="B2110" s="7" t="n">
        <f aca="false">'Raw Data'!B2110</f>
        <v>27</v>
      </c>
      <c r="C2110" s="7" t="str">
        <f aca="false">'Raw Data'!C2110</f>
        <v>Female</v>
      </c>
      <c r="D2110" s="7" t="str">
        <f aca="false">'Raw Data'!D2110</f>
        <v>Current</v>
      </c>
      <c r="E2110" s="7" t="str">
        <f aca="false">'Raw Data'!J2110</f>
        <v>Normal</v>
      </c>
      <c r="F2110" s="7" t="n">
        <f aca="false">'Raw Data'!K2110</f>
        <v>277.3</v>
      </c>
      <c r="G2110" s="7" t="str">
        <f aca="false">'Raw Data'!L2110</f>
        <v>No</v>
      </c>
      <c r="H2110" s="7" t="str">
        <f aca="false">'Raw Data'!M2110</f>
        <v>High</v>
      </c>
      <c r="I2110" s="7" t="n">
        <f aca="false">(IF(D2110="Current",3,IF(D2110="Former",1,0)))+(IF(E2110="High",3,IF(E2110="Normal",1,0)))+(IF(F2110&gt;=240,2,IF(F2110&gt;=200,1,0)))+(IF(G2110="Yes",2,0))+(IF(H2110="High",2,IF(H2110="Moderate",1,0)))</f>
        <v>8</v>
      </c>
      <c r="J2110" s="7" t="str">
        <f aca="false">IF(I2110&gt;=8,"High",IF(I2110&gt;=4,"Medium","Low"))</f>
        <v>High</v>
      </c>
    </row>
    <row r="2111" customFormat="false" ht="15" hidden="false" customHeight="true" outlineLevel="0" collapsed="false">
      <c r="A2111" s="7" t="n">
        <f aca="false">'Raw Data'!A2111</f>
        <v>1563</v>
      </c>
      <c r="B2111" s="7" t="n">
        <f aca="false">'Raw Data'!B2111</f>
        <v>66</v>
      </c>
      <c r="C2111" s="7" t="str">
        <f aca="false">'Raw Data'!C2111</f>
        <v>Female</v>
      </c>
      <c r="D2111" s="7" t="str">
        <f aca="false">'Raw Data'!D2111</f>
        <v>Current</v>
      </c>
      <c r="E2111" s="7" t="str">
        <f aca="false">'Raw Data'!J2111</f>
        <v>Normal</v>
      </c>
      <c r="F2111" s="7" t="n">
        <f aca="false">'Raw Data'!K2111</f>
        <v>215.7</v>
      </c>
      <c r="G2111" s="7" t="str">
        <f aca="false">'Raw Data'!L2111</f>
        <v>Yes</v>
      </c>
      <c r="H2111" s="7" t="str">
        <f aca="false">'Raw Data'!M2111</f>
        <v>High</v>
      </c>
      <c r="I2111" s="7" t="n">
        <f aca="false">(IF(D2111="Current",3,IF(D2111="Former",1,0)))+(IF(E2111="High",3,IF(E2111="Normal",1,0)))+(IF(F2111&gt;=240,2,IF(F2111&gt;=200,1,0)))+(IF(G2111="Yes",2,0))+(IF(H2111="High",2,IF(H2111="Moderate",1,0)))</f>
        <v>9</v>
      </c>
      <c r="J2111" s="7" t="str">
        <f aca="false">IF(I2111&gt;=8,"High",IF(I2111&gt;=4,"Medium","Low"))</f>
        <v>High</v>
      </c>
    </row>
    <row r="2112" customFormat="false" ht="15" hidden="false" customHeight="true" outlineLevel="0" collapsed="false">
      <c r="A2112" s="7" t="n">
        <f aca="false">'Raw Data'!A2112</f>
        <v>1576</v>
      </c>
      <c r="B2112" s="7" t="n">
        <f aca="false">'Raw Data'!B2112</f>
        <v>37</v>
      </c>
      <c r="C2112" s="7" t="str">
        <f aca="false">'Raw Data'!C2112</f>
        <v>Male</v>
      </c>
      <c r="D2112" s="7" t="str">
        <f aca="false">'Raw Data'!D2112</f>
        <v>Current</v>
      </c>
      <c r="E2112" s="7" t="str">
        <f aca="false">'Raw Data'!J2112</f>
        <v>Normal</v>
      </c>
      <c r="F2112" s="7" t="n">
        <f aca="false">'Raw Data'!K2112</f>
        <v>231.2</v>
      </c>
      <c r="G2112" s="7" t="str">
        <f aca="false">'Raw Data'!L2112</f>
        <v>No</v>
      </c>
      <c r="H2112" s="7" t="str">
        <f aca="false">'Raw Data'!M2112</f>
        <v>High</v>
      </c>
      <c r="I2112" s="7" t="n">
        <f aca="false">(IF(D2112="Current",3,IF(D2112="Former",1,0)))+(IF(E2112="High",3,IF(E2112="Normal",1,0)))+(IF(F2112&gt;=240,2,IF(F2112&gt;=200,1,0)))+(IF(G2112="Yes",2,0))+(IF(H2112="High",2,IF(H2112="Moderate",1,0)))</f>
        <v>7</v>
      </c>
      <c r="J2112" s="7" t="str">
        <f aca="false">IF(I2112&gt;=8,"High",IF(I2112&gt;=4,"Medium","Low"))</f>
        <v>Medium</v>
      </c>
    </row>
    <row r="2113" customFormat="false" ht="15" hidden="false" customHeight="true" outlineLevel="0" collapsed="false">
      <c r="A2113" s="7" t="n">
        <f aca="false">'Raw Data'!A2113</f>
        <v>1584</v>
      </c>
      <c r="B2113" s="7" t="n">
        <f aca="false">'Raw Data'!B2113</f>
        <v>86</v>
      </c>
      <c r="C2113" s="7" t="str">
        <f aca="false">'Raw Data'!C2113</f>
        <v>Male</v>
      </c>
      <c r="D2113" s="7" t="str">
        <f aca="false">'Raw Data'!D2113</f>
        <v>Current</v>
      </c>
      <c r="E2113" s="7" t="str">
        <f aca="false">'Raw Data'!J2113</f>
        <v>Normal</v>
      </c>
      <c r="F2113" s="7" t="n">
        <f aca="false">'Raw Data'!K2113</f>
        <v>164.3</v>
      </c>
      <c r="G2113" s="7" t="str">
        <f aca="false">'Raw Data'!L2113</f>
        <v>No</v>
      </c>
      <c r="H2113" s="7" t="str">
        <f aca="false">'Raw Data'!M2113</f>
        <v>High</v>
      </c>
      <c r="I2113" s="7" t="n">
        <f aca="false">(IF(D2113="Current",3,IF(D2113="Former",1,0)))+(IF(E2113="High",3,IF(E2113="Normal",1,0)))+(IF(F2113&gt;=240,2,IF(F2113&gt;=200,1,0)))+(IF(G2113="Yes",2,0))+(IF(H2113="High",2,IF(H2113="Moderate",1,0)))</f>
        <v>6</v>
      </c>
      <c r="J2113" s="7" t="str">
        <f aca="false">IF(I2113&gt;=8,"High",IF(I2113&gt;=4,"Medium","Low"))</f>
        <v>Medium</v>
      </c>
    </row>
    <row r="2114" customFormat="false" ht="15" hidden="false" customHeight="true" outlineLevel="0" collapsed="false">
      <c r="A2114" s="7" t="n">
        <f aca="false">'Raw Data'!A2114</f>
        <v>1605</v>
      </c>
      <c r="B2114" s="7" t="n">
        <f aca="false">'Raw Data'!B2114</f>
        <v>65</v>
      </c>
      <c r="C2114" s="7" t="str">
        <f aca="false">'Raw Data'!C2114</f>
        <v>Male</v>
      </c>
      <c r="D2114" s="7" t="str">
        <f aca="false">'Raw Data'!D2114</f>
        <v>Current</v>
      </c>
      <c r="E2114" s="7" t="str">
        <f aca="false">'Raw Data'!J2114</f>
        <v>Normal</v>
      </c>
      <c r="F2114" s="7" t="n">
        <f aca="false">'Raw Data'!K2114</f>
        <v>190.3</v>
      </c>
      <c r="G2114" s="7" t="str">
        <f aca="false">'Raw Data'!L2114</f>
        <v>Yes</v>
      </c>
      <c r="H2114" s="7" t="str">
        <f aca="false">'Raw Data'!M2114</f>
        <v>High</v>
      </c>
      <c r="I2114" s="7" t="n">
        <f aca="false">(IF(D2114="Current",3,IF(D2114="Former",1,0)))+(IF(E2114="High",3,IF(E2114="Normal",1,0)))+(IF(F2114&gt;=240,2,IF(F2114&gt;=200,1,0)))+(IF(G2114="Yes",2,0))+(IF(H2114="High",2,IF(H2114="Moderate",1,0)))</f>
        <v>8</v>
      </c>
      <c r="J2114" s="7" t="str">
        <f aca="false">IF(I2114&gt;=8,"High",IF(I2114&gt;=4,"Medium","Low"))</f>
        <v>High</v>
      </c>
    </row>
    <row r="2115" customFormat="false" ht="15" hidden="false" customHeight="true" outlineLevel="0" collapsed="false">
      <c r="A2115" s="7" t="n">
        <f aca="false">'Raw Data'!A2115</f>
        <v>1619</v>
      </c>
      <c r="B2115" s="7" t="n">
        <f aca="false">'Raw Data'!B2115</f>
        <v>38</v>
      </c>
      <c r="C2115" s="7" t="str">
        <f aca="false">'Raw Data'!C2115</f>
        <v>Male</v>
      </c>
      <c r="D2115" s="7" t="str">
        <f aca="false">'Raw Data'!D2115</f>
        <v>Current</v>
      </c>
      <c r="E2115" s="7" t="str">
        <f aca="false">'Raw Data'!J2115</f>
        <v>Normal</v>
      </c>
      <c r="F2115" s="7" t="n">
        <f aca="false">'Raw Data'!K2115</f>
        <v>247.6</v>
      </c>
      <c r="G2115" s="7" t="str">
        <f aca="false">'Raw Data'!L2115</f>
        <v>No</v>
      </c>
      <c r="H2115" s="7" t="str">
        <f aca="false">'Raw Data'!M2115</f>
        <v>High</v>
      </c>
      <c r="I2115" s="7" t="n">
        <f aca="false">(IF(D2115="Current",3,IF(D2115="Former",1,0)))+(IF(E2115="High",3,IF(E2115="Normal",1,0)))+(IF(F2115&gt;=240,2,IF(F2115&gt;=200,1,0)))+(IF(G2115="Yes",2,0))+(IF(H2115="High",2,IF(H2115="Moderate",1,0)))</f>
        <v>8</v>
      </c>
      <c r="J2115" s="7" t="str">
        <f aca="false">IF(I2115&gt;=8,"High",IF(I2115&gt;=4,"Medium","Low"))</f>
        <v>High</v>
      </c>
    </row>
    <row r="2116" customFormat="false" ht="15" hidden="false" customHeight="true" outlineLevel="0" collapsed="false">
      <c r="A2116" s="7" t="n">
        <f aca="false">'Raw Data'!A2116</f>
        <v>1623</v>
      </c>
      <c r="B2116" s="7" t="n">
        <f aca="false">'Raw Data'!B2116</f>
        <v>25</v>
      </c>
      <c r="C2116" s="7" t="str">
        <f aca="false">'Raw Data'!C2116</f>
        <v>Female</v>
      </c>
      <c r="D2116" s="7" t="str">
        <f aca="false">'Raw Data'!D2116</f>
        <v>Current</v>
      </c>
      <c r="E2116" s="7" t="str">
        <f aca="false">'Raw Data'!J2116</f>
        <v>Normal</v>
      </c>
      <c r="F2116" s="7" t="n">
        <f aca="false">'Raw Data'!K2116</f>
        <v>296.5</v>
      </c>
      <c r="G2116" s="7" t="str">
        <f aca="false">'Raw Data'!L2116</f>
        <v>No</v>
      </c>
      <c r="H2116" s="7" t="str">
        <f aca="false">'Raw Data'!M2116</f>
        <v>High</v>
      </c>
      <c r="I2116" s="7" t="n">
        <f aca="false">(IF(D2116="Current",3,IF(D2116="Former",1,0)))+(IF(E2116="High",3,IF(E2116="Normal",1,0)))+(IF(F2116&gt;=240,2,IF(F2116&gt;=200,1,0)))+(IF(G2116="Yes",2,0))+(IF(H2116="High",2,IF(H2116="Moderate",1,0)))</f>
        <v>8</v>
      </c>
      <c r="J2116" s="7" t="str">
        <f aca="false">IF(I2116&gt;=8,"High",IF(I2116&gt;=4,"Medium","Low"))</f>
        <v>High</v>
      </c>
    </row>
    <row r="2117" customFormat="false" ht="15" hidden="false" customHeight="true" outlineLevel="0" collapsed="false">
      <c r="A2117" s="7" t="n">
        <f aca="false">'Raw Data'!A2117</f>
        <v>1715</v>
      </c>
      <c r="B2117" s="7" t="n">
        <f aca="false">'Raw Data'!B2117</f>
        <v>28</v>
      </c>
      <c r="C2117" s="7" t="str">
        <f aca="false">'Raw Data'!C2117</f>
        <v>Female</v>
      </c>
      <c r="D2117" s="7" t="str">
        <f aca="false">'Raw Data'!D2117</f>
        <v>Current</v>
      </c>
      <c r="E2117" s="7" t="str">
        <f aca="false">'Raw Data'!J2117</f>
        <v>Normal</v>
      </c>
      <c r="F2117" s="7" t="n">
        <f aca="false">'Raw Data'!K2117</f>
        <v>230.9</v>
      </c>
      <c r="G2117" s="7" t="str">
        <f aca="false">'Raw Data'!L2117</f>
        <v>Yes</v>
      </c>
      <c r="H2117" s="7" t="str">
        <f aca="false">'Raw Data'!M2117</f>
        <v>High</v>
      </c>
      <c r="I2117" s="7" t="n">
        <f aca="false">(IF(D2117="Current",3,IF(D2117="Former",1,0)))+(IF(E2117="High",3,IF(E2117="Normal",1,0)))+(IF(F2117&gt;=240,2,IF(F2117&gt;=200,1,0)))+(IF(G2117="Yes",2,0))+(IF(H2117="High",2,IF(H2117="Moderate",1,0)))</f>
        <v>9</v>
      </c>
      <c r="J2117" s="7" t="str">
        <f aca="false">IF(I2117&gt;=8,"High",IF(I2117&gt;=4,"Medium","Low"))</f>
        <v>High</v>
      </c>
    </row>
    <row r="2118" customFormat="false" ht="15" hidden="false" customHeight="true" outlineLevel="0" collapsed="false">
      <c r="A2118" s="7" t="n">
        <f aca="false">'Raw Data'!A2118</f>
        <v>1718</v>
      </c>
      <c r="B2118" s="7" t="n">
        <f aca="false">'Raw Data'!B2118</f>
        <v>71</v>
      </c>
      <c r="C2118" s="7" t="str">
        <f aca="false">'Raw Data'!C2118</f>
        <v>Male</v>
      </c>
      <c r="D2118" s="7" t="str">
        <f aca="false">'Raw Data'!D2118</f>
        <v>Current</v>
      </c>
      <c r="E2118" s="7" t="str">
        <f aca="false">'Raw Data'!J2118</f>
        <v>Normal</v>
      </c>
      <c r="F2118" s="7" t="n">
        <f aca="false">'Raw Data'!K2118</f>
        <v>234.1</v>
      </c>
      <c r="G2118" s="7" t="str">
        <f aca="false">'Raw Data'!L2118</f>
        <v>No</v>
      </c>
      <c r="H2118" s="7" t="str">
        <f aca="false">'Raw Data'!M2118</f>
        <v>High</v>
      </c>
      <c r="I2118" s="7" t="n">
        <f aca="false">(IF(D2118="Current",3,IF(D2118="Former",1,0)))+(IF(E2118="High",3,IF(E2118="Normal",1,0)))+(IF(F2118&gt;=240,2,IF(F2118&gt;=200,1,0)))+(IF(G2118="Yes",2,0))+(IF(H2118="High",2,IF(H2118="Moderate",1,0)))</f>
        <v>7</v>
      </c>
      <c r="J2118" s="7" t="str">
        <f aca="false">IF(I2118&gt;=8,"High",IF(I2118&gt;=4,"Medium","Low"))</f>
        <v>Medium</v>
      </c>
    </row>
    <row r="2119" customFormat="false" ht="15" hidden="false" customHeight="true" outlineLevel="0" collapsed="false">
      <c r="A2119" s="7" t="n">
        <f aca="false">'Raw Data'!A2119</f>
        <v>1728</v>
      </c>
      <c r="B2119" s="7" t="n">
        <f aca="false">'Raw Data'!B2119</f>
        <v>25</v>
      </c>
      <c r="C2119" s="7" t="str">
        <f aca="false">'Raw Data'!C2119</f>
        <v>Female</v>
      </c>
      <c r="D2119" s="7" t="str">
        <f aca="false">'Raw Data'!D2119</f>
        <v>Current</v>
      </c>
      <c r="E2119" s="7" t="str">
        <f aca="false">'Raw Data'!J2119</f>
        <v>Normal</v>
      </c>
      <c r="F2119" s="7" t="n">
        <f aca="false">'Raw Data'!K2119</f>
        <v>255.3</v>
      </c>
      <c r="G2119" s="7" t="str">
        <f aca="false">'Raw Data'!L2119</f>
        <v>No</v>
      </c>
      <c r="H2119" s="7" t="str">
        <f aca="false">'Raw Data'!M2119</f>
        <v>High</v>
      </c>
      <c r="I2119" s="7" t="n">
        <f aca="false">(IF(D2119="Current",3,IF(D2119="Former",1,0)))+(IF(E2119="High",3,IF(E2119="Normal",1,0)))+(IF(F2119&gt;=240,2,IF(F2119&gt;=200,1,0)))+(IF(G2119="Yes",2,0))+(IF(H2119="High",2,IF(H2119="Moderate",1,0)))</f>
        <v>8</v>
      </c>
      <c r="J2119" s="7" t="str">
        <f aca="false">IF(I2119&gt;=8,"High",IF(I2119&gt;=4,"Medium","Low"))</f>
        <v>High</v>
      </c>
    </row>
    <row r="2120" customFormat="false" ht="15" hidden="false" customHeight="true" outlineLevel="0" collapsed="false">
      <c r="A2120" s="7" t="n">
        <f aca="false">'Raw Data'!A2120</f>
        <v>1750</v>
      </c>
      <c r="B2120" s="7" t="n">
        <f aca="false">'Raw Data'!B2120</f>
        <v>52</v>
      </c>
      <c r="C2120" s="7" t="str">
        <f aca="false">'Raw Data'!C2120</f>
        <v>Female</v>
      </c>
      <c r="D2120" s="7" t="str">
        <f aca="false">'Raw Data'!D2120</f>
        <v>Current</v>
      </c>
      <c r="E2120" s="7" t="str">
        <f aca="false">'Raw Data'!J2120</f>
        <v>Normal</v>
      </c>
      <c r="F2120" s="7" t="n">
        <f aca="false">'Raw Data'!K2120</f>
        <v>146.2</v>
      </c>
      <c r="G2120" s="7" t="str">
        <f aca="false">'Raw Data'!L2120</f>
        <v>No</v>
      </c>
      <c r="H2120" s="7" t="str">
        <f aca="false">'Raw Data'!M2120</f>
        <v>High</v>
      </c>
      <c r="I2120" s="7" t="n">
        <f aca="false">(IF(D2120="Current",3,IF(D2120="Former",1,0)))+(IF(E2120="High",3,IF(E2120="Normal",1,0)))+(IF(F2120&gt;=240,2,IF(F2120&gt;=200,1,0)))+(IF(G2120="Yes",2,0))+(IF(H2120="High",2,IF(H2120="Moderate",1,0)))</f>
        <v>6</v>
      </c>
      <c r="J2120" s="7" t="str">
        <f aca="false">IF(I2120&gt;=8,"High",IF(I2120&gt;=4,"Medium","Low"))</f>
        <v>Medium</v>
      </c>
    </row>
    <row r="2121" customFormat="false" ht="15" hidden="false" customHeight="true" outlineLevel="0" collapsed="false">
      <c r="A2121" s="7" t="n">
        <f aca="false">'Raw Data'!A2121</f>
        <v>1799</v>
      </c>
      <c r="B2121" s="7" t="n">
        <f aca="false">'Raw Data'!B2121</f>
        <v>83</v>
      </c>
      <c r="C2121" s="7" t="str">
        <f aca="false">'Raw Data'!C2121</f>
        <v>Female</v>
      </c>
      <c r="D2121" s="7" t="str">
        <f aca="false">'Raw Data'!D2121</f>
        <v>Current</v>
      </c>
      <c r="E2121" s="7" t="str">
        <f aca="false">'Raw Data'!J2121</f>
        <v>Normal</v>
      </c>
      <c r="F2121" s="7" t="n">
        <f aca="false">'Raw Data'!K2121</f>
        <v>288.9</v>
      </c>
      <c r="G2121" s="7" t="str">
        <f aca="false">'Raw Data'!L2121</f>
        <v>Yes</v>
      </c>
      <c r="H2121" s="7" t="str">
        <f aca="false">'Raw Data'!M2121</f>
        <v>High</v>
      </c>
      <c r="I2121" s="7" t="n">
        <f aca="false">(IF(D2121="Current",3,IF(D2121="Former",1,0)))+(IF(E2121="High",3,IF(E2121="Normal",1,0)))+(IF(F2121&gt;=240,2,IF(F2121&gt;=200,1,0)))+(IF(G2121="Yes",2,0))+(IF(H2121="High",2,IF(H2121="Moderate",1,0)))</f>
        <v>10</v>
      </c>
      <c r="J2121" s="7" t="str">
        <f aca="false">IF(I2121&gt;=8,"High",IF(I2121&gt;=4,"Medium","Low"))</f>
        <v>High</v>
      </c>
    </row>
    <row r="2122" customFormat="false" ht="15" hidden="false" customHeight="true" outlineLevel="0" collapsed="false">
      <c r="A2122" s="7" t="n">
        <f aca="false">'Raw Data'!A2122</f>
        <v>1818</v>
      </c>
      <c r="B2122" s="7" t="n">
        <f aca="false">'Raw Data'!B2122</f>
        <v>62</v>
      </c>
      <c r="C2122" s="7" t="str">
        <f aca="false">'Raw Data'!C2122</f>
        <v>Male</v>
      </c>
      <c r="D2122" s="7" t="str">
        <f aca="false">'Raw Data'!D2122</f>
        <v>Current</v>
      </c>
      <c r="E2122" s="7" t="str">
        <f aca="false">'Raw Data'!J2122</f>
        <v>Normal</v>
      </c>
      <c r="F2122" s="7" t="n">
        <f aca="false">'Raw Data'!K2122</f>
        <v>238.8</v>
      </c>
      <c r="G2122" s="7" t="str">
        <f aca="false">'Raw Data'!L2122</f>
        <v>No</v>
      </c>
      <c r="H2122" s="7" t="str">
        <f aca="false">'Raw Data'!M2122</f>
        <v>High</v>
      </c>
      <c r="I2122" s="7" t="n">
        <f aca="false">(IF(D2122="Current",3,IF(D2122="Former",1,0)))+(IF(E2122="High",3,IF(E2122="Normal",1,0)))+(IF(F2122&gt;=240,2,IF(F2122&gt;=200,1,0)))+(IF(G2122="Yes",2,0))+(IF(H2122="High",2,IF(H2122="Moderate",1,0)))</f>
        <v>7</v>
      </c>
      <c r="J2122" s="7" t="str">
        <f aca="false">IF(I2122&gt;=8,"High",IF(I2122&gt;=4,"Medium","Low"))</f>
        <v>Medium</v>
      </c>
    </row>
    <row r="2123" customFormat="false" ht="15" hidden="false" customHeight="true" outlineLevel="0" collapsed="false">
      <c r="A2123" s="7" t="n">
        <f aca="false">'Raw Data'!A2123</f>
        <v>1829</v>
      </c>
      <c r="B2123" s="7" t="n">
        <f aca="false">'Raw Data'!B2123</f>
        <v>19</v>
      </c>
      <c r="C2123" s="7" t="str">
        <f aca="false">'Raw Data'!C2123</f>
        <v>Male</v>
      </c>
      <c r="D2123" s="7" t="str">
        <f aca="false">'Raw Data'!D2123</f>
        <v>Current</v>
      </c>
      <c r="E2123" s="7" t="str">
        <f aca="false">'Raw Data'!J2123</f>
        <v>Normal</v>
      </c>
      <c r="F2123" s="7" t="n">
        <f aca="false">'Raw Data'!K2123</f>
        <v>249.5</v>
      </c>
      <c r="G2123" s="7" t="str">
        <f aca="false">'Raw Data'!L2123</f>
        <v>No</v>
      </c>
      <c r="H2123" s="7" t="str">
        <f aca="false">'Raw Data'!M2123</f>
        <v>High</v>
      </c>
      <c r="I2123" s="7" t="n">
        <f aca="false">(IF(D2123="Current",3,IF(D2123="Former",1,0)))+(IF(E2123="High",3,IF(E2123="Normal",1,0)))+(IF(F2123&gt;=240,2,IF(F2123&gt;=200,1,0)))+(IF(G2123="Yes",2,0))+(IF(H2123="High",2,IF(H2123="Moderate",1,0)))</f>
        <v>8</v>
      </c>
      <c r="J2123" s="7" t="str">
        <f aca="false">IF(I2123&gt;=8,"High",IF(I2123&gt;=4,"Medium","Low"))</f>
        <v>High</v>
      </c>
    </row>
    <row r="2124" customFormat="false" ht="15" hidden="false" customHeight="true" outlineLevel="0" collapsed="false">
      <c r="A2124" s="7" t="n">
        <f aca="false">'Raw Data'!A2124</f>
        <v>1844</v>
      </c>
      <c r="B2124" s="7" t="n">
        <f aca="false">'Raw Data'!B2124</f>
        <v>61</v>
      </c>
      <c r="C2124" s="7" t="str">
        <f aca="false">'Raw Data'!C2124</f>
        <v>Male</v>
      </c>
      <c r="D2124" s="7" t="str">
        <f aca="false">'Raw Data'!D2124</f>
        <v>Current</v>
      </c>
      <c r="E2124" s="7" t="str">
        <f aca="false">'Raw Data'!J2124</f>
        <v>Normal</v>
      </c>
      <c r="F2124" s="7" t="n">
        <f aca="false">'Raw Data'!K2124</f>
        <v>187</v>
      </c>
      <c r="G2124" s="7" t="str">
        <f aca="false">'Raw Data'!L2124</f>
        <v>Yes</v>
      </c>
      <c r="H2124" s="7" t="str">
        <f aca="false">'Raw Data'!M2124</f>
        <v>High</v>
      </c>
      <c r="I2124" s="7" t="n">
        <f aca="false">(IF(D2124="Current",3,IF(D2124="Former",1,0)))+(IF(E2124="High",3,IF(E2124="Normal",1,0)))+(IF(F2124&gt;=240,2,IF(F2124&gt;=200,1,0)))+(IF(G2124="Yes",2,0))+(IF(H2124="High",2,IF(H2124="Moderate",1,0)))</f>
        <v>8</v>
      </c>
      <c r="J2124" s="7" t="str">
        <f aca="false">IF(I2124&gt;=8,"High",IF(I2124&gt;=4,"Medium","Low"))</f>
        <v>High</v>
      </c>
    </row>
    <row r="2125" customFormat="false" ht="15" hidden="false" customHeight="true" outlineLevel="0" collapsed="false">
      <c r="A2125" s="7" t="n">
        <f aca="false">'Raw Data'!A2125</f>
        <v>1849</v>
      </c>
      <c r="B2125" s="7" t="n">
        <f aca="false">'Raw Data'!B2125</f>
        <v>40</v>
      </c>
      <c r="C2125" s="7" t="str">
        <f aca="false">'Raw Data'!C2125</f>
        <v>Female</v>
      </c>
      <c r="D2125" s="7" t="str">
        <f aca="false">'Raw Data'!D2125</f>
        <v>Current</v>
      </c>
      <c r="E2125" s="7" t="str">
        <f aca="false">'Raw Data'!J2125</f>
        <v>Normal</v>
      </c>
      <c r="F2125" s="7" t="n">
        <f aca="false">'Raw Data'!K2125</f>
        <v>274.8</v>
      </c>
      <c r="G2125" s="7" t="str">
        <f aca="false">'Raw Data'!L2125</f>
        <v>No</v>
      </c>
      <c r="H2125" s="7" t="str">
        <f aca="false">'Raw Data'!M2125</f>
        <v>High</v>
      </c>
      <c r="I2125" s="7" t="n">
        <f aca="false">(IF(D2125="Current",3,IF(D2125="Former",1,0)))+(IF(E2125="High",3,IF(E2125="Normal",1,0)))+(IF(F2125&gt;=240,2,IF(F2125&gt;=200,1,0)))+(IF(G2125="Yes",2,0))+(IF(H2125="High",2,IF(H2125="Moderate",1,0)))</f>
        <v>8</v>
      </c>
      <c r="J2125" s="7" t="str">
        <f aca="false">IF(I2125&gt;=8,"High",IF(I2125&gt;=4,"Medium","Low"))</f>
        <v>High</v>
      </c>
    </row>
    <row r="2126" customFormat="false" ht="15" hidden="false" customHeight="true" outlineLevel="0" collapsed="false">
      <c r="A2126" s="7" t="n">
        <f aca="false">'Raw Data'!A2126</f>
        <v>1854</v>
      </c>
      <c r="B2126" s="7" t="n">
        <f aca="false">'Raw Data'!B2126</f>
        <v>34</v>
      </c>
      <c r="C2126" s="7" t="str">
        <f aca="false">'Raw Data'!C2126</f>
        <v>Male</v>
      </c>
      <c r="D2126" s="7" t="str">
        <f aca="false">'Raw Data'!D2126</f>
        <v>Current</v>
      </c>
      <c r="E2126" s="7" t="str">
        <f aca="false">'Raw Data'!J2126</f>
        <v>Normal</v>
      </c>
      <c r="F2126" s="7" t="n">
        <f aca="false">'Raw Data'!K2126</f>
        <v>218.2</v>
      </c>
      <c r="G2126" s="7" t="str">
        <f aca="false">'Raw Data'!L2126</f>
        <v>No</v>
      </c>
      <c r="H2126" s="7" t="str">
        <f aca="false">'Raw Data'!M2126</f>
        <v>High</v>
      </c>
      <c r="I2126" s="7" t="n">
        <f aca="false">(IF(D2126="Current",3,IF(D2126="Former",1,0)))+(IF(E2126="High",3,IF(E2126="Normal",1,0)))+(IF(F2126&gt;=240,2,IF(F2126&gt;=200,1,0)))+(IF(G2126="Yes",2,0))+(IF(H2126="High",2,IF(H2126="Moderate",1,0)))</f>
        <v>7</v>
      </c>
      <c r="J2126" s="7" t="str">
        <f aca="false">IF(I2126&gt;=8,"High",IF(I2126&gt;=4,"Medium","Low"))</f>
        <v>Medium</v>
      </c>
    </row>
    <row r="2127" customFormat="false" ht="15" hidden="false" customHeight="true" outlineLevel="0" collapsed="false">
      <c r="A2127" s="7" t="n">
        <f aca="false">'Raw Data'!A2127</f>
        <v>1866</v>
      </c>
      <c r="B2127" s="7" t="n">
        <f aca="false">'Raw Data'!B2127</f>
        <v>81</v>
      </c>
      <c r="C2127" s="7" t="str">
        <f aca="false">'Raw Data'!C2127</f>
        <v>Female</v>
      </c>
      <c r="D2127" s="7" t="str">
        <f aca="false">'Raw Data'!D2127</f>
        <v>Current</v>
      </c>
      <c r="E2127" s="7" t="str">
        <f aca="false">'Raw Data'!J2127</f>
        <v>Normal</v>
      </c>
      <c r="F2127" s="7" t="n">
        <f aca="false">'Raw Data'!K2127</f>
        <v>268.9</v>
      </c>
      <c r="G2127" s="7" t="str">
        <f aca="false">'Raw Data'!L2127</f>
        <v>No</v>
      </c>
      <c r="H2127" s="7" t="str">
        <f aca="false">'Raw Data'!M2127</f>
        <v>High</v>
      </c>
      <c r="I2127" s="7" t="n">
        <f aca="false">(IF(D2127="Current",3,IF(D2127="Former",1,0)))+(IF(E2127="High",3,IF(E2127="Normal",1,0)))+(IF(F2127&gt;=240,2,IF(F2127&gt;=200,1,0)))+(IF(G2127="Yes",2,0))+(IF(H2127="High",2,IF(H2127="Moderate",1,0)))</f>
        <v>8</v>
      </c>
      <c r="J2127" s="7" t="str">
        <f aca="false">IF(I2127&gt;=8,"High",IF(I2127&gt;=4,"Medium","Low"))</f>
        <v>High</v>
      </c>
    </row>
    <row r="2128" customFormat="false" ht="15" hidden="false" customHeight="true" outlineLevel="0" collapsed="false">
      <c r="A2128" s="7" t="n">
        <f aca="false">'Raw Data'!A2128</f>
        <v>1868</v>
      </c>
      <c r="B2128" s="7" t="n">
        <f aca="false">'Raw Data'!B2128</f>
        <v>32</v>
      </c>
      <c r="C2128" s="7" t="str">
        <f aca="false">'Raw Data'!C2128</f>
        <v>Male</v>
      </c>
      <c r="D2128" s="7" t="str">
        <f aca="false">'Raw Data'!D2128</f>
        <v>Current</v>
      </c>
      <c r="E2128" s="7" t="str">
        <f aca="false">'Raw Data'!J2128</f>
        <v>Normal</v>
      </c>
      <c r="F2128" s="7" t="n">
        <f aca="false">'Raw Data'!K2128</f>
        <v>293</v>
      </c>
      <c r="G2128" s="7" t="str">
        <f aca="false">'Raw Data'!L2128</f>
        <v>Yes</v>
      </c>
      <c r="H2128" s="7" t="str">
        <f aca="false">'Raw Data'!M2128</f>
        <v>High</v>
      </c>
      <c r="I2128" s="7" t="n">
        <f aca="false">(IF(D2128="Current",3,IF(D2128="Former",1,0)))+(IF(E2128="High",3,IF(E2128="Normal",1,0)))+(IF(F2128&gt;=240,2,IF(F2128&gt;=200,1,0)))+(IF(G2128="Yes",2,0))+(IF(H2128="High",2,IF(H2128="Moderate",1,0)))</f>
        <v>10</v>
      </c>
      <c r="J2128" s="7" t="str">
        <f aca="false">IF(I2128&gt;=8,"High",IF(I2128&gt;=4,"Medium","Low"))</f>
        <v>High</v>
      </c>
    </row>
    <row r="2129" customFormat="false" ht="15" hidden="false" customHeight="true" outlineLevel="0" collapsed="false">
      <c r="A2129" s="7" t="n">
        <f aca="false">'Raw Data'!A2129</f>
        <v>1873</v>
      </c>
      <c r="B2129" s="7" t="n">
        <f aca="false">'Raw Data'!B2129</f>
        <v>80</v>
      </c>
      <c r="C2129" s="7" t="str">
        <f aca="false">'Raw Data'!C2129</f>
        <v>Male</v>
      </c>
      <c r="D2129" s="7" t="str">
        <f aca="false">'Raw Data'!D2129</f>
        <v>Current</v>
      </c>
      <c r="E2129" s="7" t="str">
        <f aca="false">'Raw Data'!J2129</f>
        <v>Normal</v>
      </c>
      <c r="F2129" s="7" t="n">
        <f aca="false">'Raw Data'!K2129</f>
        <v>268.5</v>
      </c>
      <c r="G2129" s="7" t="str">
        <f aca="false">'Raw Data'!L2129</f>
        <v>No</v>
      </c>
      <c r="H2129" s="7" t="str">
        <f aca="false">'Raw Data'!M2129</f>
        <v>High</v>
      </c>
      <c r="I2129" s="7" t="n">
        <f aca="false">(IF(D2129="Current",3,IF(D2129="Former",1,0)))+(IF(E2129="High",3,IF(E2129="Normal",1,0)))+(IF(F2129&gt;=240,2,IF(F2129&gt;=200,1,0)))+(IF(G2129="Yes",2,0))+(IF(H2129="High",2,IF(H2129="Moderate",1,0)))</f>
        <v>8</v>
      </c>
      <c r="J2129" s="7" t="str">
        <f aca="false">IF(I2129&gt;=8,"High",IF(I2129&gt;=4,"Medium","Low"))</f>
        <v>High</v>
      </c>
    </row>
    <row r="2130" customFormat="false" ht="15" hidden="false" customHeight="true" outlineLevel="0" collapsed="false">
      <c r="A2130" s="7" t="n">
        <f aca="false">'Raw Data'!A2130</f>
        <v>1904</v>
      </c>
      <c r="B2130" s="7" t="n">
        <f aca="false">'Raw Data'!B2130</f>
        <v>59</v>
      </c>
      <c r="C2130" s="7" t="str">
        <f aca="false">'Raw Data'!C2130</f>
        <v>Female</v>
      </c>
      <c r="D2130" s="7" t="str">
        <f aca="false">'Raw Data'!D2130</f>
        <v>Current</v>
      </c>
      <c r="E2130" s="7" t="str">
        <f aca="false">'Raw Data'!J2130</f>
        <v>Normal</v>
      </c>
      <c r="F2130" s="7" t="n">
        <f aca="false">'Raw Data'!K2130</f>
        <v>167.4</v>
      </c>
      <c r="G2130" s="7" t="str">
        <f aca="false">'Raw Data'!L2130</f>
        <v>No</v>
      </c>
      <c r="H2130" s="7" t="str">
        <f aca="false">'Raw Data'!M2130</f>
        <v>High</v>
      </c>
      <c r="I2130" s="7" t="n">
        <f aca="false">(IF(D2130="Current",3,IF(D2130="Former",1,0)))+(IF(E2130="High",3,IF(E2130="Normal",1,0)))+(IF(F2130&gt;=240,2,IF(F2130&gt;=200,1,0)))+(IF(G2130="Yes",2,0))+(IF(H2130="High",2,IF(H2130="Moderate",1,0)))</f>
        <v>6</v>
      </c>
      <c r="J2130" s="7" t="str">
        <f aca="false">IF(I2130&gt;=8,"High",IF(I2130&gt;=4,"Medium","Low"))</f>
        <v>Medium</v>
      </c>
    </row>
    <row r="2131" customFormat="false" ht="15" hidden="false" customHeight="true" outlineLevel="0" collapsed="false">
      <c r="A2131" s="7" t="n">
        <f aca="false">'Raw Data'!A2131</f>
        <v>1914</v>
      </c>
      <c r="B2131" s="7" t="n">
        <f aca="false">'Raw Data'!B2131</f>
        <v>85</v>
      </c>
      <c r="C2131" s="7" t="str">
        <f aca="false">'Raw Data'!C2131</f>
        <v>Female</v>
      </c>
      <c r="D2131" s="7" t="str">
        <f aca="false">'Raw Data'!D2131</f>
        <v>Current</v>
      </c>
      <c r="E2131" s="7" t="str">
        <f aca="false">'Raw Data'!J2131</f>
        <v>Normal</v>
      </c>
      <c r="F2131" s="7" t="n">
        <f aca="false">'Raw Data'!K2131</f>
        <v>284.2</v>
      </c>
      <c r="G2131" s="7" t="str">
        <f aca="false">'Raw Data'!L2131</f>
        <v>No</v>
      </c>
      <c r="H2131" s="7" t="str">
        <f aca="false">'Raw Data'!M2131</f>
        <v>High</v>
      </c>
      <c r="I2131" s="7" t="n">
        <f aca="false">(IF(D2131="Current",3,IF(D2131="Former",1,0)))+(IF(E2131="High",3,IF(E2131="Normal",1,0)))+(IF(F2131&gt;=240,2,IF(F2131&gt;=200,1,0)))+(IF(G2131="Yes",2,0))+(IF(H2131="High",2,IF(H2131="Moderate",1,0)))</f>
        <v>8</v>
      </c>
      <c r="J2131" s="7" t="str">
        <f aca="false">IF(I2131&gt;=8,"High",IF(I2131&gt;=4,"Medium","Low"))</f>
        <v>High</v>
      </c>
    </row>
    <row r="2132" customFormat="false" ht="15" hidden="false" customHeight="true" outlineLevel="0" collapsed="false">
      <c r="A2132" s="7" t="n">
        <f aca="false">'Raw Data'!A2132</f>
        <v>1922</v>
      </c>
      <c r="B2132" s="7" t="n">
        <f aca="false">'Raw Data'!B2132</f>
        <v>49</v>
      </c>
      <c r="C2132" s="7" t="str">
        <f aca="false">'Raw Data'!C2132</f>
        <v>Female</v>
      </c>
      <c r="D2132" s="7" t="str">
        <f aca="false">'Raw Data'!D2132</f>
        <v>Current</v>
      </c>
      <c r="E2132" s="7" t="str">
        <f aca="false">'Raw Data'!J2132</f>
        <v>Normal</v>
      </c>
      <c r="F2132" s="7" t="n">
        <f aca="false">'Raw Data'!K2132</f>
        <v>180.5</v>
      </c>
      <c r="G2132" s="7" t="str">
        <f aca="false">'Raw Data'!L2132</f>
        <v>No</v>
      </c>
      <c r="H2132" s="7" t="str">
        <f aca="false">'Raw Data'!M2132</f>
        <v>High</v>
      </c>
      <c r="I2132" s="7" t="n">
        <f aca="false">(IF(D2132="Current",3,IF(D2132="Former",1,0)))+(IF(E2132="High",3,IF(E2132="Normal",1,0)))+(IF(F2132&gt;=240,2,IF(F2132&gt;=200,1,0)))+(IF(G2132="Yes",2,0))+(IF(H2132="High",2,IF(H2132="Moderate",1,0)))</f>
        <v>6</v>
      </c>
      <c r="J2132" s="7" t="str">
        <f aca="false">IF(I2132&gt;=8,"High",IF(I2132&gt;=4,"Medium","Low"))</f>
        <v>Medium</v>
      </c>
    </row>
    <row r="2133" customFormat="false" ht="15" hidden="false" customHeight="true" outlineLevel="0" collapsed="false">
      <c r="A2133" s="7" t="n">
        <f aca="false">'Raw Data'!A2133</f>
        <v>2085</v>
      </c>
      <c r="B2133" s="7" t="n">
        <f aca="false">'Raw Data'!B2133</f>
        <v>82</v>
      </c>
      <c r="C2133" s="7" t="str">
        <f aca="false">'Raw Data'!C2133</f>
        <v>Female</v>
      </c>
      <c r="D2133" s="7" t="str">
        <f aca="false">'Raw Data'!D2133</f>
        <v>Current</v>
      </c>
      <c r="E2133" s="7" t="str">
        <f aca="false">'Raw Data'!J2133</f>
        <v>Normal</v>
      </c>
      <c r="F2133" s="7" t="n">
        <f aca="false">'Raw Data'!K2133</f>
        <v>212.8</v>
      </c>
      <c r="G2133" s="7" t="str">
        <f aca="false">'Raw Data'!L2133</f>
        <v>No</v>
      </c>
      <c r="H2133" s="7" t="str">
        <f aca="false">'Raw Data'!M2133</f>
        <v>High</v>
      </c>
      <c r="I2133" s="7" t="n">
        <f aca="false">(IF(D2133="Current",3,IF(D2133="Former",1,0)))+(IF(E2133="High",3,IF(E2133="Normal",1,0)))+(IF(F2133&gt;=240,2,IF(F2133&gt;=200,1,0)))+(IF(G2133="Yes",2,0))+(IF(H2133="High",2,IF(H2133="Moderate",1,0)))</f>
        <v>7</v>
      </c>
      <c r="J2133" s="7" t="str">
        <f aca="false">IF(I2133&gt;=8,"High",IF(I2133&gt;=4,"Medium","Low"))</f>
        <v>Medium</v>
      </c>
    </row>
    <row r="2134" customFormat="false" ht="15" hidden="false" customHeight="true" outlineLevel="0" collapsed="false">
      <c r="A2134" s="7" t="n">
        <f aca="false">'Raw Data'!A2134</f>
        <v>2087</v>
      </c>
      <c r="B2134" s="7" t="n">
        <f aca="false">'Raw Data'!B2134</f>
        <v>45</v>
      </c>
      <c r="C2134" s="7" t="str">
        <f aca="false">'Raw Data'!C2134</f>
        <v>Female</v>
      </c>
      <c r="D2134" s="7" t="str">
        <f aca="false">'Raw Data'!D2134</f>
        <v>Current</v>
      </c>
      <c r="E2134" s="7" t="str">
        <f aca="false">'Raw Data'!J2134</f>
        <v>Normal</v>
      </c>
      <c r="F2134" s="7" t="n">
        <f aca="false">'Raw Data'!K2134</f>
        <v>287.8</v>
      </c>
      <c r="G2134" s="7" t="str">
        <f aca="false">'Raw Data'!L2134</f>
        <v>No</v>
      </c>
      <c r="H2134" s="7" t="str">
        <f aca="false">'Raw Data'!M2134</f>
        <v>High</v>
      </c>
      <c r="I2134" s="7" t="n">
        <f aca="false">(IF(D2134="Current",3,IF(D2134="Former",1,0)))+(IF(E2134="High",3,IF(E2134="Normal",1,0)))+(IF(F2134&gt;=240,2,IF(F2134&gt;=200,1,0)))+(IF(G2134="Yes",2,0))+(IF(H2134="High",2,IF(H2134="Moderate",1,0)))</f>
        <v>8</v>
      </c>
      <c r="J2134" s="7" t="str">
        <f aca="false">IF(I2134&gt;=8,"High",IF(I2134&gt;=4,"Medium","Low"))</f>
        <v>High</v>
      </c>
    </row>
    <row r="2135" customFormat="false" ht="15" hidden="false" customHeight="true" outlineLevel="0" collapsed="false">
      <c r="A2135" s="7" t="n">
        <f aca="false">'Raw Data'!A2135</f>
        <v>2139</v>
      </c>
      <c r="B2135" s="7" t="n">
        <f aca="false">'Raw Data'!B2135</f>
        <v>47</v>
      </c>
      <c r="C2135" s="7" t="str">
        <f aca="false">'Raw Data'!C2135</f>
        <v>Male</v>
      </c>
      <c r="D2135" s="7" t="str">
        <f aca="false">'Raw Data'!D2135</f>
        <v>Current</v>
      </c>
      <c r="E2135" s="7" t="str">
        <f aca="false">'Raw Data'!J2135</f>
        <v>Normal</v>
      </c>
      <c r="F2135" s="7" t="n">
        <f aca="false">'Raw Data'!K2135</f>
        <v>290.7</v>
      </c>
      <c r="G2135" s="7" t="str">
        <f aca="false">'Raw Data'!L2135</f>
        <v>No</v>
      </c>
      <c r="H2135" s="7" t="str">
        <f aca="false">'Raw Data'!M2135</f>
        <v>High</v>
      </c>
      <c r="I2135" s="7" t="n">
        <f aca="false">(IF(D2135="Current",3,IF(D2135="Former",1,0)))+(IF(E2135="High",3,IF(E2135="Normal",1,0)))+(IF(F2135&gt;=240,2,IF(F2135&gt;=200,1,0)))+(IF(G2135="Yes",2,0))+(IF(H2135="High",2,IF(H2135="Moderate",1,0)))</f>
        <v>8</v>
      </c>
      <c r="J2135" s="7" t="str">
        <f aca="false">IF(I2135&gt;=8,"High",IF(I2135&gt;=4,"Medium","Low"))</f>
        <v>High</v>
      </c>
    </row>
    <row r="2136" customFormat="false" ht="15" hidden="false" customHeight="true" outlineLevel="0" collapsed="false">
      <c r="A2136" s="7" t="n">
        <f aca="false">'Raw Data'!A2136</f>
        <v>2159</v>
      </c>
      <c r="B2136" s="7" t="n">
        <f aca="false">'Raw Data'!B2136</f>
        <v>43</v>
      </c>
      <c r="C2136" s="7" t="str">
        <f aca="false">'Raw Data'!C2136</f>
        <v>Female</v>
      </c>
      <c r="D2136" s="7" t="str">
        <f aca="false">'Raw Data'!D2136</f>
        <v>Current</v>
      </c>
      <c r="E2136" s="7" t="str">
        <f aca="false">'Raw Data'!J2136</f>
        <v>Normal</v>
      </c>
      <c r="F2136" s="7" t="n">
        <f aca="false">'Raw Data'!K2136</f>
        <v>180.7</v>
      </c>
      <c r="G2136" s="7" t="str">
        <f aca="false">'Raw Data'!L2136</f>
        <v>No</v>
      </c>
      <c r="H2136" s="7" t="str">
        <f aca="false">'Raw Data'!M2136</f>
        <v>High</v>
      </c>
      <c r="I2136" s="7" t="n">
        <f aca="false">(IF(D2136="Current",3,IF(D2136="Former",1,0)))+(IF(E2136="High",3,IF(E2136="Normal",1,0)))+(IF(F2136&gt;=240,2,IF(F2136&gt;=200,1,0)))+(IF(G2136="Yes",2,0))+(IF(H2136="High",2,IF(H2136="Moderate",1,0)))</f>
        <v>6</v>
      </c>
      <c r="J2136" s="7" t="str">
        <f aca="false">IF(I2136&gt;=8,"High",IF(I2136&gt;=4,"Medium","Low"))</f>
        <v>Medium</v>
      </c>
    </row>
    <row r="2137" customFormat="false" ht="15" hidden="false" customHeight="true" outlineLevel="0" collapsed="false">
      <c r="A2137" s="7" t="n">
        <f aca="false">'Raw Data'!A2137</f>
        <v>2188</v>
      </c>
      <c r="B2137" s="7" t="n">
        <f aca="false">'Raw Data'!B2137</f>
        <v>77</v>
      </c>
      <c r="C2137" s="7" t="str">
        <f aca="false">'Raw Data'!C2137</f>
        <v>Male</v>
      </c>
      <c r="D2137" s="7" t="str">
        <f aca="false">'Raw Data'!D2137</f>
        <v>Current</v>
      </c>
      <c r="E2137" s="7" t="str">
        <f aca="false">'Raw Data'!J2137</f>
        <v>Normal</v>
      </c>
      <c r="F2137" s="7" t="n">
        <f aca="false">'Raw Data'!K2137</f>
        <v>163</v>
      </c>
      <c r="G2137" s="7" t="str">
        <f aca="false">'Raw Data'!L2137</f>
        <v>No</v>
      </c>
      <c r="H2137" s="7" t="str">
        <f aca="false">'Raw Data'!M2137</f>
        <v>High</v>
      </c>
      <c r="I2137" s="7" t="n">
        <f aca="false">(IF(D2137="Current",3,IF(D2137="Former",1,0)))+(IF(E2137="High",3,IF(E2137="Normal",1,0)))+(IF(F2137&gt;=240,2,IF(F2137&gt;=200,1,0)))+(IF(G2137="Yes",2,0))+(IF(H2137="High",2,IF(H2137="Moderate",1,0)))</f>
        <v>6</v>
      </c>
      <c r="J2137" s="7" t="str">
        <f aca="false">IF(I2137&gt;=8,"High",IF(I2137&gt;=4,"Medium","Low"))</f>
        <v>Medium</v>
      </c>
    </row>
    <row r="2138" customFormat="false" ht="15" hidden="false" customHeight="true" outlineLevel="0" collapsed="false">
      <c r="A2138" s="7" t="n">
        <f aca="false">'Raw Data'!A2138</f>
        <v>2211</v>
      </c>
      <c r="B2138" s="7" t="n">
        <f aca="false">'Raw Data'!B2138</f>
        <v>44</v>
      </c>
      <c r="C2138" s="7" t="str">
        <f aca="false">'Raw Data'!C2138</f>
        <v>Male</v>
      </c>
      <c r="D2138" s="7" t="str">
        <f aca="false">'Raw Data'!D2138</f>
        <v>Current</v>
      </c>
      <c r="E2138" s="7" t="str">
        <f aca="false">'Raw Data'!J2138</f>
        <v>Normal</v>
      </c>
      <c r="F2138" s="7" t="n">
        <f aca="false">'Raw Data'!K2138</f>
        <v>169.4</v>
      </c>
      <c r="G2138" s="7" t="str">
        <f aca="false">'Raw Data'!L2138</f>
        <v>Yes</v>
      </c>
      <c r="H2138" s="7" t="str">
        <f aca="false">'Raw Data'!M2138</f>
        <v>High</v>
      </c>
      <c r="I2138" s="7" t="n">
        <f aca="false">(IF(D2138="Current",3,IF(D2138="Former",1,0)))+(IF(E2138="High",3,IF(E2138="Normal",1,0)))+(IF(F2138&gt;=240,2,IF(F2138&gt;=200,1,0)))+(IF(G2138="Yes",2,0))+(IF(H2138="High",2,IF(H2138="Moderate",1,0)))</f>
        <v>8</v>
      </c>
      <c r="J2138" s="7" t="str">
        <f aca="false">IF(I2138&gt;=8,"High",IF(I2138&gt;=4,"Medium","Low"))</f>
        <v>High</v>
      </c>
    </row>
    <row r="2139" customFormat="false" ht="15" hidden="false" customHeight="true" outlineLevel="0" collapsed="false">
      <c r="A2139" s="7" t="n">
        <f aca="false">'Raw Data'!A2139</f>
        <v>2228</v>
      </c>
      <c r="B2139" s="7" t="n">
        <f aca="false">'Raw Data'!B2139</f>
        <v>74</v>
      </c>
      <c r="C2139" s="7" t="str">
        <f aca="false">'Raw Data'!C2139</f>
        <v>Male</v>
      </c>
      <c r="D2139" s="7" t="str">
        <f aca="false">'Raw Data'!D2139</f>
        <v>Current</v>
      </c>
      <c r="E2139" s="7" t="str">
        <f aca="false">'Raw Data'!J2139</f>
        <v>Normal</v>
      </c>
      <c r="F2139" s="7" t="n">
        <f aca="false">'Raw Data'!K2139</f>
        <v>236.3</v>
      </c>
      <c r="G2139" s="7" t="str">
        <f aca="false">'Raw Data'!L2139</f>
        <v>Yes</v>
      </c>
      <c r="H2139" s="7" t="str">
        <f aca="false">'Raw Data'!M2139</f>
        <v>High</v>
      </c>
      <c r="I2139" s="7" t="n">
        <f aca="false">(IF(D2139="Current",3,IF(D2139="Former",1,0)))+(IF(E2139="High",3,IF(E2139="Normal",1,0)))+(IF(F2139&gt;=240,2,IF(F2139&gt;=200,1,0)))+(IF(G2139="Yes",2,0))+(IF(H2139="High",2,IF(H2139="Moderate",1,0)))</f>
        <v>9</v>
      </c>
      <c r="J2139" s="7" t="str">
        <f aca="false">IF(I2139&gt;=8,"High",IF(I2139&gt;=4,"Medium","Low"))</f>
        <v>High</v>
      </c>
    </row>
    <row r="2140" customFormat="false" ht="15" hidden="false" customHeight="true" outlineLevel="0" collapsed="false">
      <c r="A2140" s="7" t="n">
        <f aca="false">'Raw Data'!A2140</f>
        <v>2289</v>
      </c>
      <c r="B2140" s="7" t="n">
        <f aca="false">'Raw Data'!B2140</f>
        <v>76</v>
      </c>
      <c r="C2140" s="7" t="str">
        <f aca="false">'Raw Data'!C2140</f>
        <v>Female</v>
      </c>
      <c r="D2140" s="7" t="str">
        <f aca="false">'Raw Data'!D2140</f>
        <v>Current</v>
      </c>
      <c r="E2140" s="7" t="str">
        <f aca="false">'Raw Data'!J2140</f>
        <v>Normal</v>
      </c>
      <c r="F2140" s="7" t="n">
        <f aca="false">'Raw Data'!K2140</f>
        <v>140.4</v>
      </c>
      <c r="G2140" s="7" t="str">
        <f aca="false">'Raw Data'!L2140</f>
        <v>No</v>
      </c>
      <c r="H2140" s="7" t="str">
        <f aca="false">'Raw Data'!M2140</f>
        <v>High</v>
      </c>
      <c r="I2140" s="7" t="n">
        <f aca="false">(IF(D2140="Current",3,IF(D2140="Former",1,0)))+(IF(E2140="High",3,IF(E2140="Normal",1,0)))+(IF(F2140&gt;=240,2,IF(F2140&gt;=200,1,0)))+(IF(G2140="Yes",2,0))+(IF(H2140="High",2,IF(H2140="Moderate",1,0)))</f>
        <v>6</v>
      </c>
      <c r="J2140" s="7" t="str">
        <f aca="false">IF(I2140&gt;=8,"High",IF(I2140&gt;=4,"Medium","Low"))</f>
        <v>Medium</v>
      </c>
    </row>
    <row r="2141" customFormat="false" ht="15" hidden="false" customHeight="true" outlineLevel="0" collapsed="false">
      <c r="A2141" s="7" t="n">
        <f aca="false">'Raw Data'!A2141</f>
        <v>2452</v>
      </c>
      <c r="B2141" s="7" t="n">
        <f aca="false">'Raw Data'!B2141</f>
        <v>70</v>
      </c>
      <c r="C2141" s="7" t="str">
        <f aca="false">'Raw Data'!C2141</f>
        <v>Female</v>
      </c>
      <c r="D2141" s="7" t="str">
        <f aca="false">'Raw Data'!D2141</f>
        <v>Current</v>
      </c>
      <c r="E2141" s="7" t="str">
        <f aca="false">'Raw Data'!J2141</f>
        <v>Normal</v>
      </c>
      <c r="F2141" s="7" t="n">
        <f aca="false">'Raw Data'!K2141</f>
        <v>127.2</v>
      </c>
      <c r="G2141" s="7" t="str">
        <f aca="false">'Raw Data'!L2141</f>
        <v>Yes</v>
      </c>
      <c r="H2141" s="7" t="str">
        <f aca="false">'Raw Data'!M2141</f>
        <v>High</v>
      </c>
      <c r="I2141" s="7" t="n">
        <f aca="false">(IF(D2141="Current",3,IF(D2141="Former",1,0)))+(IF(E2141="High",3,IF(E2141="Normal",1,0)))+(IF(F2141&gt;=240,2,IF(F2141&gt;=200,1,0)))+(IF(G2141="Yes",2,0))+(IF(H2141="High",2,IF(H2141="Moderate",1,0)))</f>
        <v>8</v>
      </c>
      <c r="J2141" s="7" t="str">
        <f aca="false">IF(I2141&gt;=8,"High",IF(I2141&gt;=4,"Medium","Low"))</f>
        <v>High</v>
      </c>
    </row>
    <row r="2142" customFormat="false" ht="15" hidden="false" customHeight="true" outlineLevel="0" collapsed="false">
      <c r="A2142" s="7" t="n">
        <f aca="false">'Raw Data'!A2142</f>
        <v>5</v>
      </c>
      <c r="B2142" s="7" t="n">
        <f aca="false">'Raw Data'!B2142</f>
        <v>53</v>
      </c>
      <c r="C2142" s="7" t="str">
        <f aca="false">'Raw Data'!C2142</f>
        <v>Female</v>
      </c>
      <c r="D2142" s="7" t="str">
        <f aca="false">'Raw Data'!D2142</f>
        <v>Current</v>
      </c>
      <c r="E2142" s="7" t="str">
        <f aca="false">'Raw Data'!J2142</f>
        <v>Normal</v>
      </c>
      <c r="F2142" s="7" t="n">
        <f aca="false">'Raw Data'!K2142</f>
        <v>153.3</v>
      </c>
      <c r="G2142" s="7" t="str">
        <f aca="false">'Raw Data'!L2142</f>
        <v>No</v>
      </c>
      <c r="H2142" s="7" t="str">
        <f aca="false">'Raw Data'!M2142</f>
        <v>Moderate</v>
      </c>
      <c r="I2142" s="7" t="n">
        <f aca="false">(IF(D2142="Current",3,IF(D2142="Former",1,0)))+(IF(E2142="High",3,IF(E2142="Normal",1,0)))+(IF(F2142&gt;=240,2,IF(F2142&gt;=200,1,0)))+(IF(G2142="Yes",2,0))+(IF(H2142="High",2,IF(H2142="Moderate",1,0)))</f>
        <v>5</v>
      </c>
      <c r="J2142" s="7" t="str">
        <f aca="false">IF(I2142&gt;=8,"High",IF(I2142&gt;=4,"Medium","Low"))</f>
        <v>Medium</v>
      </c>
    </row>
    <row r="2143" customFormat="false" ht="15" hidden="false" customHeight="true" outlineLevel="0" collapsed="false">
      <c r="A2143" s="7" t="n">
        <f aca="false">'Raw Data'!A2143</f>
        <v>27</v>
      </c>
      <c r="B2143" s="7" t="n">
        <f aca="false">'Raw Data'!B2143</f>
        <v>49</v>
      </c>
      <c r="C2143" s="7" t="str">
        <f aca="false">'Raw Data'!C2143</f>
        <v>Male</v>
      </c>
      <c r="D2143" s="7" t="str">
        <f aca="false">'Raw Data'!D2143</f>
        <v>Current</v>
      </c>
      <c r="E2143" s="7" t="str">
        <f aca="false">'Raw Data'!J2143</f>
        <v>Normal</v>
      </c>
      <c r="F2143" s="7" t="n">
        <f aca="false">'Raw Data'!K2143</f>
        <v>272.8</v>
      </c>
      <c r="G2143" s="7" t="str">
        <f aca="false">'Raw Data'!L2143</f>
        <v>Yes</v>
      </c>
      <c r="H2143" s="7" t="str">
        <f aca="false">'Raw Data'!M2143</f>
        <v>Moderate</v>
      </c>
      <c r="I2143" s="7" t="n">
        <f aca="false">(IF(D2143="Current",3,IF(D2143="Former",1,0)))+(IF(E2143="High",3,IF(E2143="Normal",1,0)))+(IF(F2143&gt;=240,2,IF(F2143&gt;=200,1,0)))+(IF(G2143="Yes",2,0))+(IF(H2143="High",2,IF(H2143="Moderate",1,0)))</f>
        <v>9</v>
      </c>
      <c r="J2143" s="7" t="str">
        <f aca="false">IF(I2143&gt;=8,"High",IF(I2143&gt;=4,"Medium","Low"))</f>
        <v>High</v>
      </c>
    </row>
    <row r="2144" customFormat="false" ht="15" hidden="false" customHeight="true" outlineLevel="0" collapsed="false">
      <c r="A2144" s="7" t="n">
        <f aca="false">'Raw Data'!A2144</f>
        <v>40</v>
      </c>
      <c r="B2144" s="7" t="n">
        <f aca="false">'Raw Data'!B2144</f>
        <v>41</v>
      </c>
      <c r="C2144" s="7" t="str">
        <f aca="false">'Raw Data'!C2144</f>
        <v>Male</v>
      </c>
      <c r="D2144" s="7" t="str">
        <f aca="false">'Raw Data'!D2144</f>
        <v>Current</v>
      </c>
      <c r="E2144" s="7" t="str">
        <f aca="false">'Raw Data'!J2144</f>
        <v>Normal</v>
      </c>
      <c r="F2144" s="7" t="n">
        <f aca="false">'Raw Data'!K2144</f>
        <v>162.9</v>
      </c>
      <c r="G2144" s="7" t="str">
        <f aca="false">'Raw Data'!L2144</f>
        <v>No</v>
      </c>
      <c r="H2144" s="7" t="str">
        <f aca="false">'Raw Data'!M2144</f>
        <v>Moderate</v>
      </c>
      <c r="I2144" s="7" t="n">
        <f aca="false">(IF(D2144="Current",3,IF(D2144="Former",1,0)))+(IF(E2144="High",3,IF(E2144="Normal",1,0)))+(IF(F2144&gt;=240,2,IF(F2144&gt;=200,1,0)))+(IF(G2144="Yes",2,0))+(IF(H2144="High",2,IF(H2144="Moderate",1,0)))</f>
        <v>5</v>
      </c>
      <c r="J2144" s="7" t="str">
        <f aca="false">IF(I2144&gt;=8,"High",IF(I2144&gt;=4,"Medium","Low"))</f>
        <v>Medium</v>
      </c>
    </row>
    <row r="2145" customFormat="false" ht="15" hidden="false" customHeight="true" outlineLevel="0" collapsed="false">
      <c r="A2145" s="7" t="n">
        <f aca="false">'Raw Data'!A2145</f>
        <v>45</v>
      </c>
      <c r="B2145" s="7" t="n">
        <f aca="false">'Raw Data'!B2145</f>
        <v>34</v>
      </c>
      <c r="C2145" s="7" t="str">
        <f aca="false">'Raw Data'!C2145</f>
        <v>Male</v>
      </c>
      <c r="D2145" s="7" t="str">
        <f aca="false">'Raw Data'!D2145</f>
        <v>Current</v>
      </c>
      <c r="E2145" s="7" t="str">
        <f aca="false">'Raw Data'!J2145</f>
        <v>Normal</v>
      </c>
      <c r="F2145" s="7" t="n">
        <f aca="false">'Raw Data'!K2145</f>
        <v>206.7</v>
      </c>
      <c r="G2145" s="7" t="str">
        <f aca="false">'Raw Data'!L2145</f>
        <v>No</v>
      </c>
      <c r="H2145" s="7" t="str">
        <f aca="false">'Raw Data'!M2145</f>
        <v>Moderate</v>
      </c>
      <c r="I2145" s="7" t="n">
        <f aca="false">(IF(D2145="Current",3,IF(D2145="Former",1,0)))+(IF(E2145="High",3,IF(E2145="Normal",1,0)))+(IF(F2145&gt;=240,2,IF(F2145&gt;=200,1,0)))+(IF(G2145="Yes",2,0))+(IF(H2145="High",2,IF(H2145="Moderate",1,0)))</f>
        <v>6</v>
      </c>
      <c r="J2145" s="7" t="str">
        <f aca="false">IF(I2145&gt;=8,"High",IF(I2145&gt;=4,"Medium","Low"))</f>
        <v>Medium</v>
      </c>
    </row>
    <row r="2146" customFormat="false" ht="15" hidden="false" customHeight="true" outlineLevel="0" collapsed="false">
      <c r="A2146" s="7" t="n">
        <f aca="false">'Raw Data'!A2146</f>
        <v>52</v>
      </c>
      <c r="B2146" s="7" t="n">
        <f aca="false">'Raw Data'!B2146</f>
        <v>50</v>
      </c>
      <c r="C2146" s="7" t="str">
        <f aca="false">'Raw Data'!C2146</f>
        <v>Female</v>
      </c>
      <c r="D2146" s="7" t="str">
        <f aca="false">'Raw Data'!D2146</f>
        <v>Current</v>
      </c>
      <c r="E2146" s="7" t="str">
        <f aca="false">'Raw Data'!J2146</f>
        <v>Normal</v>
      </c>
      <c r="F2146" s="7" t="n">
        <f aca="false">'Raw Data'!K2146</f>
        <v>254.9</v>
      </c>
      <c r="G2146" s="7" t="str">
        <f aca="false">'Raw Data'!L2146</f>
        <v>No</v>
      </c>
      <c r="H2146" s="7" t="str">
        <f aca="false">'Raw Data'!M2146</f>
        <v>Moderate</v>
      </c>
      <c r="I2146" s="7" t="n">
        <f aca="false">(IF(D2146="Current",3,IF(D2146="Former",1,0)))+(IF(E2146="High",3,IF(E2146="Normal",1,0)))+(IF(F2146&gt;=240,2,IF(F2146&gt;=200,1,0)))+(IF(G2146="Yes",2,0))+(IF(H2146="High",2,IF(H2146="Moderate",1,0)))</f>
        <v>7</v>
      </c>
      <c r="J2146" s="7" t="str">
        <f aca="false">IF(I2146&gt;=8,"High",IF(I2146&gt;=4,"Medium","Low"))</f>
        <v>Medium</v>
      </c>
    </row>
    <row r="2147" customFormat="false" ht="15" hidden="false" customHeight="true" outlineLevel="0" collapsed="false">
      <c r="A2147" s="7" t="n">
        <f aca="false">'Raw Data'!A2147</f>
        <v>62</v>
      </c>
      <c r="B2147" s="7" t="n">
        <f aca="false">'Raw Data'!B2147</f>
        <v>18</v>
      </c>
      <c r="C2147" s="7" t="str">
        <f aca="false">'Raw Data'!C2147</f>
        <v>Female</v>
      </c>
      <c r="D2147" s="7" t="str">
        <f aca="false">'Raw Data'!D2147</f>
        <v>Current</v>
      </c>
      <c r="E2147" s="7" t="str">
        <f aca="false">'Raw Data'!J2147</f>
        <v>Normal</v>
      </c>
      <c r="F2147" s="7" t="n">
        <f aca="false">'Raw Data'!K2147</f>
        <v>286.3</v>
      </c>
      <c r="G2147" s="7" t="str">
        <f aca="false">'Raw Data'!L2147</f>
        <v>Yes</v>
      </c>
      <c r="H2147" s="7" t="str">
        <f aca="false">'Raw Data'!M2147</f>
        <v>Moderate</v>
      </c>
      <c r="I2147" s="7" t="n">
        <f aca="false">(IF(D2147="Current",3,IF(D2147="Former",1,0)))+(IF(E2147="High",3,IF(E2147="Normal",1,0)))+(IF(F2147&gt;=240,2,IF(F2147&gt;=200,1,0)))+(IF(G2147="Yes",2,0))+(IF(H2147="High",2,IF(H2147="Moderate",1,0)))</f>
        <v>9</v>
      </c>
      <c r="J2147" s="7" t="str">
        <f aca="false">IF(I2147&gt;=8,"High",IF(I2147&gt;=4,"Medium","Low"))</f>
        <v>High</v>
      </c>
    </row>
    <row r="2148" customFormat="false" ht="15" hidden="false" customHeight="true" outlineLevel="0" collapsed="false">
      <c r="A2148" s="7" t="n">
        <f aca="false">'Raw Data'!A2148</f>
        <v>93</v>
      </c>
      <c r="B2148" s="7" t="n">
        <f aca="false">'Raw Data'!B2148</f>
        <v>47</v>
      </c>
      <c r="C2148" s="7" t="str">
        <f aca="false">'Raw Data'!C2148</f>
        <v>Female</v>
      </c>
      <c r="D2148" s="7" t="str">
        <f aca="false">'Raw Data'!D2148</f>
        <v>Current</v>
      </c>
      <c r="E2148" s="7" t="str">
        <f aca="false">'Raw Data'!J2148</f>
        <v>Normal</v>
      </c>
      <c r="F2148" s="7" t="n">
        <f aca="false">'Raw Data'!K2148</f>
        <v>124</v>
      </c>
      <c r="G2148" s="7" t="str">
        <f aca="false">'Raw Data'!L2148</f>
        <v>Yes</v>
      </c>
      <c r="H2148" s="7" t="str">
        <f aca="false">'Raw Data'!M2148</f>
        <v>Moderate</v>
      </c>
      <c r="I2148" s="7" t="n">
        <f aca="false">(IF(D2148="Current",3,IF(D2148="Former",1,0)))+(IF(E2148="High",3,IF(E2148="Normal",1,0)))+(IF(F2148&gt;=240,2,IF(F2148&gt;=200,1,0)))+(IF(G2148="Yes",2,0))+(IF(H2148="High",2,IF(H2148="Moderate",1,0)))</f>
        <v>7</v>
      </c>
      <c r="J2148" s="7" t="str">
        <f aca="false">IF(I2148&gt;=8,"High",IF(I2148&gt;=4,"Medium","Low"))</f>
        <v>Medium</v>
      </c>
    </row>
    <row r="2149" customFormat="false" ht="15" hidden="false" customHeight="true" outlineLevel="0" collapsed="false">
      <c r="A2149" s="7" t="n">
        <f aca="false">'Raw Data'!A2149</f>
        <v>97</v>
      </c>
      <c r="B2149" s="7" t="n">
        <f aca="false">'Raw Data'!B2149</f>
        <v>28</v>
      </c>
      <c r="C2149" s="7" t="str">
        <f aca="false">'Raw Data'!C2149</f>
        <v>Female</v>
      </c>
      <c r="D2149" s="7" t="str">
        <f aca="false">'Raw Data'!D2149</f>
        <v>Current</v>
      </c>
      <c r="E2149" s="7" t="str">
        <f aca="false">'Raw Data'!J2149</f>
        <v>Normal</v>
      </c>
      <c r="F2149" s="7" t="n">
        <f aca="false">'Raw Data'!K2149</f>
        <v>222</v>
      </c>
      <c r="G2149" s="7" t="str">
        <f aca="false">'Raw Data'!L2149</f>
        <v>No</v>
      </c>
      <c r="H2149" s="7" t="str">
        <f aca="false">'Raw Data'!M2149</f>
        <v>Moderate</v>
      </c>
      <c r="I2149" s="7" t="n">
        <f aca="false">(IF(D2149="Current",3,IF(D2149="Former",1,0)))+(IF(E2149="High",3,IF(E2149="Normal",1,0)))+(IF(F2149&gt;=240,2,IF(F2149&gt;=200,1,0)))+(IF(G2149="Yes",2,0))+(IF(H2149="High",2,IF(H2149="Moderate",1,0)))</f>
        <v>6</v>
      </c>
      <c r="J2149" s="7" t="str">
        <f aca="false">IF(I2149&gt;=8,"High",IF(I2149&gt;=4,"Medium","Low"))</f>
        <v>Medium</v>
      </c>
    </row>
    <row r="2150" customFormat="false" ht="15" hidden="false" customHeight="true" outlineLevel="0" collapsed="false">
      <c r="A2150" s="7" t="n">
        <f aca="false">'Raw Data'!A2150</f>
        <v>111</v>
      </c>
      <c r="B2150" s="7" t="n">
        <f aca="false">'Raw Data'!B2150</f>
        <v>79</v>
      </c>
      <c r="C2150" s="7" t="str">
        <f aca="false">'Raw Data'!C2150</f>
        <v>Male</v>
      </c>
      <c r="D2150" s="7" t="str">
        <f aca="false">'Raw Data'!D2150</f>
        <v>Current</v>
      </c>
      <c r="E2150" s="7" t="str">
        <f aca="false">'Raw Data'!J2150</f>
        <v>Normal</v>
      </c>
      <c r="F2150" s="7" t="n">
        <f aca="false">'Raw Data'!K2150</f>
        <v>216.7</v>
      </c>
      <c r="G2150" s="7" t="str">
        <f aca="false">'Raw Data'!L2150</f>
        <v>No</v>
      </c>
      <c r="H2150" s="7" t="str">
        <f aca="false">'Raw Data'!M2150</f>
        <v>Moderate</v>
      </c>
      <c r="I2150" s="7" t="n">
        <f aca="false">(IF(D2150="Current",3,IF(D2150="Former",1,0)))+(IF(E2150="High",3,IF(E2150="Normal",1,0)))+(IF(F2150&gt;=240,2,IF(F2150&gt;=200,1,0)))+(IF(G2150="Yes",2,0))+(IF(H2150="High",2,IF(H2150="Moderate",1,0)))</f>
        <v>6</v>
      </c>
      <c r="J2150" s="7" t="str">
        <f aca="false">IF(I2150&gt;=8,"High",IF(I2150&gt;=4,"Medium","Low"))</f>
        <v>Medium</v>
      </c>
    </row>
    <row r="2151" customFormat="false" ht="15" hidden="false" customHeight="true" outlineLevel="0" collapsed="false">
      <c r="A2151" s="7" t="n">
        <f aca="false">'Raw Data'!A2151</f>
        <v>131</v>
      </c>
      <c r="B2151" s="7" t="n">
        <f aca="false">'Raw Data'!B2151</f>
        <v>23</v>
      </c>
      <c r="C2151" s="7" t="str">
        <f aca="false">'Raw Data'!C2151</f>
        <v>Male</v>
      </c>
      <c r="D2151" s="7" t="str">
        <f aca="false">'Raw Data'!D2151</f>
        <v>Current</v>
      </c>
      <c r="E2151" s="7" t="str">
        <f aca="false">'Raw Data'!J2151</f>
        <v>Normal</v>
      </c>
      <c r="F2151" s="7" t="n">
        <f aca="false">'Raw Data'!K2151</f>
        <v>264.3</v>
      </c>
      <c r="G2151" s="7" t="str">
        <f aca="false">'Raw Data'!L2151</f>
        <v>No</v>
      </c>
      <c r="H2151" s="7" t="str">
        <f aca="false">'Raw Data'!M2151</f>
        <v>Moderate</v>
      </c>
      <c r="I2151" s="7" t="n">
        <f aca="false">(IF(D2151="Current",3,IF(D2151="Former",1,0)))+(IF(E2151="High",3,IF(E2151="Normal",1,0)))+(IF(F2151&gt;=240,2,IF(F2151&gt;=200,1,0)))+(IF(G2151="Yes",2,0))+(IF(H2151="High",2,IF(H2151="Moderate",1,0)))</f>
        <v>7</v>
      </c>
      <c r="J2151" s="7" t="str">
        <f aca="false">IF(I2151&gt;=8,"High",IF(I2151&gt;=4,"Medium","Low"))</f>
        <v>Medium</v>
      </c>
    </row>
    <row r="2152" customFormat="false" ht="15" hidden="false" customHeight="true" outlineLevel="0" collapsed="false">
      <c r="A2152" s="7" t="n">
        <f aca="false">'Raw Data'!A2152</f>
        <v>174</v>
      </c>
      <c r="B2152" s="7" t="n">
        <f aca="false">'Raw Data'!B2152</f>
        <v>69</v>
      </c>
      <c r="C2152" s="7" t="str">
        <f aca="false">'Raw Data'!C2152</f>
        <v>Male</v>
      </c>
      <c r="D2152" s="7" t="str">
        <f aca="false">'Raw Data'!D2152</f>
        <v>Current</v>
      </c>
      <c r="E2152" s="7" t="str">
        <f aca="false">'Raw Data'!J2152</f>
        <v>Normal</v>
      </c>
      <c r="F2152" s="7" t="n">
        <f aca="false">'Raw Data'!K2152</f>
        <v>262.6</v>
      </c>
      <c r="G2152" s="7" t="str">
        <f aca="false">'Raw Data'!L2152</f>
        <v>No</v>
      </c>
      <c r="H2152" s="7" t="str">
        <f aca="false">'Raw Data'!M2152</f>
        <v>Moderate</v>
      </c>
      <c r="I2152" s="7" t="n">
        <f aca="false">(IF(D2152="Current",3,IF(D2152="Former",1,0)))+(IF(E2152="High",3,IF(E2152="Normal",1,0)))+(IF(F2152&gt;=240,2,IF(F2152&gt;=200,1,0)))+(IF(G2152="Yes",2,0))+(IF(H2152="High",2,IF(H2152="Moderate",1,0)))</f>
        <v>7</v>
      </c>
      <c r="J2152" s="7" t="str">
        <f aca="false">IF(I2152&gt;=8,"High",IF(I2152&gt;=4,"Medium","Low"))</f>
        <v>Medium</v>
      </c>
    </row>
    <row r="2153" customFormat="false" ht="15" hidden="false" customHeight="true" outlineLevel="0" collapsed="false">
      <c r="A2153" s="7" t="n">
        <f aca="false">'Raw Data'!A2153</f>
        <v>196</v>
      </c>
      <c r="B2153" s="7" t="n">
        <f aca="false">'Raw Data'!B2153</f>
        <v>81</v>
      </c>
      <c r="C2153" s="7" t="str">
        <f aca="false">'Raw Data'!C2153</f>
        <v>Male</v>
      </c>
      <c r="D2153" s="7" t="str">
        <f aca="false">'Raw Data'!D2153</f>
        <v>Current</v>
      </c>
      <c r="E2153" s="7" t="str">
        <f aca="false">'Raw Data'!J2153</f>
        <v>Normal</v>
      </c>
      <c r="F2153" s="7" t="n">
        <f aca="false">'Raw Data'!K2153</f>
        <v>135.9</v>
      </c>
      <c r="G2153" s="7" t="str">
        <f aca="false">'Raw Data'!L2153</f>
        <v>Yes</v>
      </c>
      <c r="H2153" s="7" t="str">
        <f aca="false">'Raw Data'!M2153</f>
        <v>Moderate</v>
      </c>
      <c r="I2153" s="7" t="n">
        <f aca="false">(IF(D2153="Current",3,IF(D2153="Former",1,0)))+(IF(E2153="High",3,IF(E2153="Normal",1,0)))+(IF(F2153&gt;=240,2,IF(F2153&gt;=200,1,0)))+(IF(G2153="Yes",2,0))+(IF(H2153="High",2,IF(H2153="Moderate",1,0)))</f>
        <v>7</v>
      </c>
      <c r="J2153" s="7" t="str">
        <f aca="false">IF(I2153&gt;=8,"High",IF(I2153&gt;=4,"Medium","Low"))</f>
        <v>Medium</v>
      </c>
    </row>
    <row r="2154" customFormat="false" ht="15" hidden="false" customHeight="true" outlineLevel="0" collapsed="false">
      <c r="A2154" s="7" t="n">
        <f aca="false">'Raw Data'!A2154</f>
        <v>231</v>
      </c>
      <c r="B2154" s="7" t="n">
        <f aca="false">'Raw Data'!B2154</f>
        <v>82</v>
      </c>
      <c r="C2154" s="7" t="str">
        <f aca="false">'Raw Data'!C2154</f>
        <v>Male</v>
      </c>
      <c r="D2154" s="7" t="str">
        <f aca="false">'Raw Data'!D2154</f>
        <v>Current</v>
      </c>
      <c r="E2154" s="7" t="str">
        <f aca="false">'Raw Data'!J2154</f>
        <v>Normal</v>
      </c>
      <c r="F2154" s="7" t="n">
        <f aca="false">'Raw Data'!K2154</f>
        <v>200.5</v>
      </c>
      <c r="G2154" s="7" t="str">
        <f aca="false">'Raw Data'!L2154</f>
        <v>No</v>
      </c>
      <c r="H2154" s="7" t="str">
        <f aca="false">'Raw Data'!M2154</f>
        <v>Moderate</v>
      </c>
      <c r="I2154" s="7" t="n">
        <f aca="false">(IF(D2154="Current",3,IF(D2154="Former",1,0)))+(IF(E2154="High",3,IF(E2154="Normal",1,0)))+(IF(F2154&gt;=240,2,IF(F2154&gt;=200,1,0)))+(IF(G2154="Yes",2,0))+(IF(H2154="High",2,IF(H2154="Moderate",1,0)))</f>
        <v>6</v>
      </c>
      <c r="J2154" s="7" t="str">
        <f aca="false">IF(I2154&gt;=8,"High",IF(I2154&gt;=4,"Medium","Low"))</f>
        <v>Medium</v>
      </c>
    </row>
    <row r="2155" customFormat="false" ht="15" hidden="false" customHeight="true" outlineLevel="0" collapsed="false">
      <c r="A2155" s="7" t="n">
        <f aca="false">'Raw Data'!A2155</f>
        <v>241</v>
      </c>
      <c r="B2155" s="7" t="n">
        <f aca="false">'Raw Data'!B2155</f>
        <v>45</v>
      </c>
      <c r="C2155" s="7" t="str">
        <f aca="false">'Raw Data'!C2155</f>
        <v>Female</v>
      </c>
      <c r="D2155" s="7" t="str">
        <f aca="false">'Raw Data'!D2155</f>
        <v>Current</v>
      </c>
      <c r="E2155" s="7" t="str">
        <f aca="false">'Raw Data'!J2155</f>
        <v>Normal</v>
      </c>
      <c r="F2155" s="7" t="n">
        <f aca="false">'Raw Data'!K2155</f>
        <v>186.8</v>
      </c>
      <c r="G2155" s="7" t="str">
        <f aca="false">'Raw Data'!L2155</f>
        <v>No</v>
      </c>
      <c r="H2155" s="7" t="str">
        <f aca="false">'Raw Data'!M2155</f>
        <v>Moderate</v>
      </c>
      <c r="I2155" s="7" t="n">
        <f aca="false">(IF(D2155="Current",3,IF(D2155="Former",1,0)))+(IF(E2155="High",3,IF(E2155="Normal",1,0)))+(IF(F2155&gt;=240,2,IF(F2155&gt;=200,1,0)))+(IF(G2155="Yes",2,0))+(IF(H2155="High",2,IF(H2155="Moderate",1,0)))</f>
        <v>5</v>
      </c>
      <c r="J2155" s="7" t="str">
        <f aca="false">IF(I2155&gt;=8,"High",IF(I2155&gt;=4,"Medium","Low"))</f>
        <v>Medium</v>
      </c>
    </row>
    <row r="2156" customFormat="false" ht="15" hidden="false" customHeight="true" outlineLevel="0" collapsed="false">
      <c r="A2156" s="7" t="n">
        <f aca="false">'Raw Data'!A2156</f>
        <v>250</v>
      </c>
      <c r="B2156" s="7" t="n">
        <f aca="false">'Raw Data'!B2156</f>
        <v>28</v>
      </c>
      <c r="C2156" s="7" t="str">
        <f aca="false">'Raw Data'!C2156</f>
        <v>Female</v>
      </c>
      <c r="D2156" s="7" t="str">
        <f aca="false">'Raw Data'!D2156</f>
        <v>Current</v>
      </c>
      <c r="E2156" s="7" t="str">
        <f aca="false">'Raw Data'!J2156</f>
        <v>Normal</v>
      </c>
      <c r="F2156" s="7" t="n">
        <f aca="false">'Raw Data'!K2156</f>
        <v>218.9</v>
      </c>
      <c r="G2156" s="7" t="str">
        <f aca="false">'Raw Data'!L2156</f>
        <v>Yes</v>
      </c>
      <c r="H2156" s="7" t="str">
        <f aca="false">'Raw Data'!M2156</f>
        <v>Moderate</v>
      </c>
      <c r="I2156" s="7" t="n">
        <f aca="false">(IF(D2156="Current",3,IF(D2156="Former",1,0)))+(IF(E2156="High",3,IF(E2156="Normal",1,0)))+(IF(F2156&gt;=240,2,IF(F2156&gt;=200,1,0)))+(IF(G2156="Yes",2,0))+(IF(H2156="High",2,IF(H2156="Moderate",1,0)))</f>
        <v>8</v>
      </c>
      <c r="J2156" s="7" t="str">
        <f aca="false">IF(I2156&gt;=8,"High",IF(I2156&gt;=4,"Medium","Low"))</f>
        <v>High</v>
      </c>
    </row>
    <row r="2157" customFormat="false" ht="15" hidden="false" customHeight="true" outlineLevel="0" collapsed="false">
      <c r="A2157" s="7" t="n">
        <f aca="false">'Raw Data'!A2157</f>
        <v>326</v>
      </c>
      <c r="B2157" s="7" t="n">
        <f aca="false">'Raw Data'!B2157</f>
        <v>57</v>
      </c>
      <c r="C2157" s="7" t="str">
        <f aca="false">'Raw Data'!C2157</f>
        <v>Male</v>
      </c>
      <c r="D2157" s="7" t="str">
        <f aca="false">'Raw Data'!D2157</f>
        <v>Current</v>
      </c>
      <c r="E2157" s="7" t="str">
        <f aca="false">'Raw Data'!J2157</f>
        <v>Normal</v>
      </c>
      <c r="F2157" s="7" t="n">
        <f aca="false">'Raw Data'!K2157</f>
        <v>276.7</v>
      </c>
      <c r="G2157" s="7" t="str">
        <f aca="false">'Raw Data'!L2157</f>
        <v>No</v>
      </c>
      <c r="H2157" s="7" t="str">
        <f aca="false">'Raw Data'!M2157</f>
        <v>Moderate</v>
      </c>
      <c r="I2157" s="7" t="n">
        <f aca="false">(IF(D2157="Current",3,IF(D2157="Former",1,0)))+(IF(E2157="High",3,IF(E2157="Normal",1,0)))+(IF(F2157&gt;=240,2,IF(F2157&gt;=200,1,0)))+(IF(G2157="Yes",2,0))+(IF(H2157="High",2,IF(H2157="Moderate",1,0)))</f>
        <v>7</v>
      </c>
      <c r="J2157" s="7" t="str">
        <f aca="false">IF(I2157&gt;=8,"High",IF(I2157&gt;=4,"Medium","Low"))</f>
        <v>Medium</v>
      </c>
    </row>
    <row r="2158" customFormat="false" ht="15" hidden="false" customHeight="true" outlineLevel="0" collapsed="false">
      <c r="A2158" s="7" t="n">
        <f aca="false">'Raw Data'!A2158</f>
        <v>346</v>
      </c>
      <c r="B2158" s="7" t="n">
        <f aca="false">'Raw Data'!B2158</f>
        <v>49</v>
      </c>
      <c r="C2158" s="7" t="str">
        <f aca="false">'Raw Data'!C2158</f>
        <v>Male</v>
      </c>
      <c r="D2158" s="7" t="str">
        <f aca="false">'Raw Data'!D2158</f>
        <v>Current</v>
      </c>
      <c r="E2158" s="7" t="str">
        <f aca="false">'Raw Data'!J2158</f>
        <v>Normal</v>
      </c>
      <c r="F2158" s="7" t="n">
        <f aca="false">'Raw Data'!K2158</f>
        <v>289.5</v>
      </c>
      <c r="G2158" s="7" t="str">
        <f aca="false">'Raw Data'!L2158</f>
        <v>Yes</v>
      </c>
      <c r="H2158" s="7" t="str">
        <f aca="false">'Raw Data'!M2158</f>
        <v>Moderate</v>
      </c>
      <c r="I2158" s="7" t="n">
        <f aca="false">(IF(D2158="Current",3,IF(D2158="Former",1,0)))+(IF(E2158="High",3,IF(E2158="Normal",1,0)))+(IF(F2158&gt;=240,2,IF(F2158&gt;=200,1,0)))+(IF(G2158="Yes",2,0))+(IF(H2158="High",2,IF(H2158="Moderate",1,0)))</f>
        <v>9</v>
      </c>
      <c r="J2158" s="7" t="str">
        <f aca="false">IF(I2158&gt;=8,"High",IF(I2158&gt;=4,"Medium","Low"))</f>
        <v>High</v>
      </c>
    </row>
    <row r="2159" customFormat="false" ht="15" hidden="false" customHeight="true" outlineLevel="0" collapsed="false">
      <c r="A2159" s="7" t="n">
        <f aca="false">'Raw Data'!A2159</f>
        <v>351</v>
      </c>
      <c r="B2159" s="7" t="n">
        <f aca="false">'Raw Data'!B2159</f>
        <v>52</v>
      </c>
      <c r="C2159" s="7" t="str">
        <f aca="false">'Raw Data'!C2159</f>
        <v>Male</v>
      </c>
      <c r="D2159" s="7" t="str">
        <f aca="false">'Raw Data'!D2159</f>
        <v>Current</v>
      </c>
      <c r="E2159" s="7" t="str">
        <f aca="false">'Raw Data'!J2159</f>
        <v>Normal</v>
      </c>
      <c r="F2159" s="7" t="n">
        <f aca="false">'Raw Data'!K2159</f>
        <v>231.4</v>
      </c>
      <c r="G2159" s="7" t="str">
        <f aca="false">'Raw Data'!L2159</f>
        <v>No</v>
      </c>
      <c r="H2159" s="7" t="str">
        <f aca="false">'Raw Data'!M2159</f>
        <v>Moderate</v>
      </c>
      <c r="I2159" s="7" t="n">
        <f aca="false">(IF(D2159="Current",3,IF(D2159="Former",1,0)))+(IF(E2159="High",3,IF(E2159="Normal",1,0)))+(IF(F2159&gt;=240,2,IF(F2159&gt;=200,1,0)))+(IF(G2159="Yes",2,0))+(IF(H2159="High",2,IF(H2159="Moderate",1,0)))</f>
        <v>6</v>
      </c>
      <c r="J2159" s="7" t="str">
        <f aca="false">IF(I2159&gt;=8,"High",IF(I2159&gt;=4,"Medium","Low"))</f>
        <v>Medium</v>
      </c>
    </row>
    <row r="2160" customFormat="false" ht="15" hidden="false" customHeight="true" outlineLevel="0" collapsed="false">
      <c r="A2160" s="7" t="n">
        <f aca="false">'Raw Data'!A2160</f>
        <v>398</v>
      </c>
      <c r="B2160" s="7" t="n">
        <f aca="false">'Raw Data'!B2160</f>
        <v>21</v>
      </c>
      <c r="C2160" s="7" t="str">
        <f aca="false">'Raw Data'!C2160</f>
        <v>Male</v>
      </c>
      <c r="D2160" s="7" t="str">
        <f aca="false">'Raw Data'!D2160</f>
        <v>Current</v>
      </c>
      <c r="E2160" s="7" t="str">
        <f aca="false">'Raw Data'!J2160</f>
        <v>Normal</v>
      </c>
      <c r="F2160" s="7" t="n">
        <f aca="false">'Raw Data'!K2160</f>
        <v>255.3</v>
      </c>
      <c r="G2160" s="7" t="str">
        <f aca="false">'Raw Data'!L2160</f>
        <v>Yes</v>
      </c>
      <c r="H2160" s="7" t="str">
        <f aca="false">'Raw Data'!M2160</f>
        <v>Moderate</v>
      </c>
      <c r="I2160" s="7" t="n">
        <f aca="false">(IF(D2160="Current",3,IF(D2160="Former",1,0)))+(IF(E2160="High",3,IF(E2160="Normal",1,0)))+(IF(F2160&gt;=240,2,IF(F2160&gt;=200,1,0)))+(IF(G2160="Yes",2,0))+(IF(H2160="High",2,IF(H2160="Moderate",1,0)))</f>
        <v>9</v>
      </c>
      <c r="J2160" s="7" t="str">
        <f aca="false">IF(I2160&gt;=8,"High",IF(I2160&gt;=4,"Medium","Low"))</f>
        <v>High</v>
      </c>
    </row>
    <row r="2161" customFormat="false" ht="15" hidden="false" customHeight="true" outlineLevel="0" collapsed="false">
      <c r="A2161" s="7" t="n">
        <f aca="false">'Raw Data'!A2161</f>
        <v>424</v>
      </c>
      <c r="B2161" s="7" t="n">
        <f aca="false">'Raw Data'!B2161</f>
        <v>29</v>
      </c>
      <c r="C2161" s="7" t="str">
        <f aca="false">'Raw Data'!C2161</f>
        <v>Male</v>
      </c>
      <c r="D2161" s="7" t="str">
        <f aca="false">'Raw Data'!D2161</f>
        <v>Current</v>
      </c>
      <c r="E2161" s="7" t="str">
        <f aca="false">'Raw Data'!J2161</f>
        <v>Normal</v>
      </c>
      <c r="F2161" s="7" t="n">
        <f aca="false">'Raw Data'!K2161</f>
        <v>130.2</v>
      </c>
      <c r="G2161" s="7" t="str">
        <f aca="false">'Raw Data'!L2161</f>
        <v>No</v>
      </c>
      <c r="H2161" s="7" t="str">
        <f aca="false">'Raw Data'!M2161</f>
        <v>Moderate</v>
      </c>
      <c r="I2161" s="7" t="n">
        <f aca="false">(IF(D2161="Current",3,IF(D2161="Former",1,0)))+(IF(E2161="High",3,IF(E2161="Normal",1,0)))+(IF(F2161&gt;=240,2,IF(F2161&gt;=200,1,0)))+(IF(G2161="Yes",2,0))+(IF(H2161="High",2,IF(H2161="Moderate",1,0)))</f>
        <v>5</v>
      </c>
      <c r="J2161" s="7" t="str">
        <f aca="false">IF(I2161&gt;=8,"High",IF(I2161&gt;=4,"Medium","Low"))</f>
        <v>Medium</v>
      </c>
    </row>
    <row r="2162" customFormat="false" ht="15" hidden="false" customHeight="true" outlineLevel="0" collapsed="false">
      <c r="A2162" s="7" t="n">
        <f aca="false">'Raw Data'!A2162</f>
        <v>439</v>
      </c>
      <c r="B2162" s="7" t="n">
        <f aca="false">'Raw Data'!B2162</f>
        <v>88</v>
      </c>
      <c r="C2162" s="7" t="str">
        <f aca="false">'Raw Data'!C2162</f>
        <v>Male</v>
      </c>
      <c r="D2162" s="7" t="str">
        <f aca="false">'Raw Data'!D2162</f>
        <v>Current</v>
      </c>
      <c r="E2162" s="7" t="str">
        <f aca="false">'Raw Data'!J2162</f>
        <v>Normal</v>
      </c>
      <c r="F2162" s="7" t="n">
        <f aca="false">'Raw Data'!K2162</f>
        <v>128.2</v>
      </c>
      <c r="G2162" s="7" t="str">
        <f aca="false">'Raw Data'!L2162</f>
        <v>No</v>
      </c>
      <c r="H2162" s="7" t="str">
        <f aca="false">'Raw Data'!M2162</f>
        <v>Moderate</v>
      </c>
      <c r="I2162" s="7" t="n">
        <f aca="false">(IF(D2162="Current",3,IF(D2162="Former",1,0)))+(IF(E2162="High",3,IF(E2162="Normal",1,0)))+(IF(F2162&gt;=240,2,IF(F2162&gt;=200,1,0)))+(IF(G2162="Yes",2,0))+(IF(H2162="High",2,IF(H2162="Moderate",1,0)))</f>
        <v>5</v>
      </c>
      <c r="J2162" s="7" t="str">
        <f aca="false">IF(I2162&gt;=8,"High",IF(I2162&gt;=4,"Medium","Low"))</f>
        <v>Medium</v>
      </c>
    </row>
    <row r="2163" customFormat="false" ht="15" hidden="false" customHeight="true" outlineLevel="0" collapsed="false">
      <c r="A2163" s="7" t="n">
        <f aca="false">'Raw Data'!A2163</f>
        <v>448</v>
      </c>
      <c r="B2163" s="7" t="n">
        <f aca="false">'Raw Data'!B2163</f>
        <v>35</v>
      </c>
      <c r="C2163" s="7" t="str">
        <f aca="false">'Raw Data'!C2163</f>
        <v>Male</v>
      </c>
      <c r="D2163" s="7" t="str">
        <f aca="false">'Raw Data'!D2163</f>
        <v>Current</v>
      </c>
      <c r="E2163" s="7" t="str">
        <f aca="false">'Raw Data'!J2163</f>
        <v>Normal</v>
      </c>
      <c r="F2163" s="7" t="n">
        <f aca="false">'Raw Data'!K2163</f>
        <v>160.4</v>
      </c>
      <c r="G2163" s="7" t="str">
        <f aca="false">'Raw Data'!L2163</f>
        <v>Yes</v>
      </c>
      <c r="H2163" s="7" t="str">
        <f aca="false">'Raw Data'!M2163</f>
        <v>Moderate</v>
      </c>
      <c r="I2163" s="7" t="n">
        <f aca="false">(IF(D2163="Current",3,IF(D2163="Former",1,0)))+(IF(E2163="High",3,IF(E2163="Normal",1,0)))+(IF(F2163&gt;=240,2,IF(F2163&gt;=200,1,0)))+(IF(G2163="Yes",2,0))+(IF(H2163="High",2,IF(H2163="Moderate",1,0)))</f>
        <v>7</v>
      </c>
      <c r="J2163" s="7" t="str">
        <f aca="false">IF(I2163&gt;=8,"High",IF(I2163&gt;=4,"Medium","Low"))</f>
        <v>Medium</v>
      </c>
    </row>
    <row r="2164" customFormat="false" ht="15" hidden="false" customHeight="true" outlineLevel="0" collapsed="false">
      <c r="A2164" s="7" t="n">
        <f aca="false">'Raw Data'!A2164</f>
        <v>500</v>
      </c>
      <c r="B2164" s="7" t="n">
        <f aca="false">'Raw Data'!B2164</f>
        <v>20</v>
      </c>
      <c r="C2164" s="7" t="str">
        <f aca="false">'Raw Data'!C2164</f>
        <v>Male</v>
      </c>
      <c r="D2164" s="7" t="str">
        <f aca="false">'Raw Data'!D2164</f>
        <v>Current</v>
      </c>
      <c r="E2164" s="7" t="str">
        <f aca="false">'Raw Data'!J2164</f>
        <v>Normal</v>
      </c>
      <c r="F2164" s="7" t="n">
        <f aca="false">'Raw Data'!K2164</f>
        <v>175.7</v>
      </c>
      <c r="G2164" s="7" t="str">
        <f aca="false">'Raw Data'!L2164</f>
        <v>No</v>
      </c>
      <c r="H2164" s="7" t="str">
        <f aca="false">'Raw Data'!M2164</f>
        <v>Moderate</v>
      </c>
      <c r="I2164" s="7" t="n">
        <f aca="false">(IF(D2164="Current",3,IF(D2164="Former",1,0)))+(IF(E2164="High",3,IF(E2164="Normal",1,0)))+(IF(F2164&gt;=240,2,IF(F2164&gt;=200,1,0)))+(IF(G2164="Yes",2,0))+(IF(H2164="High",2,IF(H2164="Moderate",1,0)))</f>
        <v>5</v>
      </c>
      <c r="J2164" s="7" t="str">
        <f aca="false">IF(I2164&gt;=8,"High",IF(I2164&gt;=4,"Medium","Low"))</f>
        <v>Medium</v>
      </c>
    </row>
    <row r="2165" customFormat="false" ht="15" hidden="false" customHeight="true" outlineLevel="0" collapsed="false">
      <c r="A2165" s="7" t="n">
        <f aca="false">'Raw Data'!A2165</f>
        <v>539</v>
      </c>
      <c r="B2165" s="7" t="n">
        <f aca="false">'Raw Data'!B2165</f>
        <v>18</v>
      </c>
      <c r="C2165" s="7" t="str">
        <f aca="false">'Raw Data'!C2165</f>
        <v>Female</v>
      </c>
      <c r="D2165" s="7" t="str">
        <f aca="false">'Raw Data'!D2165</f>
        <v>Current</v>
      </c>
      <c r="E2165" s="7" t="str">
        <f aca="false">'Raw Data'!J2165</f>
        <v>Normal</v>
      </c>
      <c r="F2165" s="7" t="n">
        <f aca="false">'Raw Data'!K2165</f>
        <v>200.2</v>
      </c>
      <c r="G2165" s="7" t="str">
        <f aca="false">'Raw Data'!L2165</f>
        <v>No</v>
      </c>
      <c r="H2165" s="7" t="str">
        <f aca="false">'Raw Data'!M2165</f>
        <v>Moderate</v>
      </c>
      <c r="I2165" s="7" t="n">
        <f aca="false">(IF(D2165="Current",3,IF(D2165="Former",1,0)))+(IF(E2165="High",3,IF(E2165="Normal",1,0)))+(IF(F2165&gt;=240,2,IF(F2165&gt;=200,1,0)))+(IF(G2165="Yes",2,0))+(IF(H2165="High",2,IF(H2165="Moderate",1,0)))</f>
        <v>6</v>
      </c>
      <c r="J2165" s="7" t="str">
        <f aca="false">IF(I2165&gt;=8,"High",IF(I2165&gt;=4,"Medium","Low"))</f>
        <v>Medium</v>
      </c>
    </row>
    <row r="2166" customFormat="false" ht="15" hidden="false" customHeight="true" outlineLevel="0" collapsed="false">
      <c r="A2166" s="7" t="n">
        <f aca="false">'Raw Data'!A2166</f>
        <v>550</v>
      </c>
      <c r="B2166" s="7" t="n">
        <f aca="false">'Raw Data'!B2166</f>
        <v>57</v>
      </c>
      <c r="C2166" s="7" t="str">
        <f aca="false">'Raw Data'!C2166</f>
        <v>Female</v>
      </c>
      <c r="D2166" s="7" t="str">
        <f aca="false">'Raw Data'!D2166</f>
        <v>Current</v>
      </c>
      <c r="E2166" s="7" t="str">
        <f aca="false">'Raw Data'!J2166</f>
        <v>Normal</v>
      </c>
      <c r="F2166" s="7" t="n">
        <f aca="false">'Raw Data'!K2166</f>
        <v>250</v>
      </c>
      <c r="G2166" s="7" t="str">
        <f aca="false">'Raw Data'!L2166</f>
        <v>Yes</v>
      </c>
      <c r="H2166" s="7" t="str">
        <f aca="false">'Raw Data'!M2166</f>
        <v>Moderate</v>
      </c>
      <c r="I2166" s="7" t="n">
        <f aca="false">(IF(D2166="Current",3,IF(D2166="Former",1,0)))+(IF(E2166="High",3,IF(E2166="Normal",1,0)))+(IF(F2166&gt;=240,2,IF(F2166&gt;=200,1,0)))+(IF(G2166="Yes",2,0))+(IF(H2166="High",2,IF(H2166="Moderate",1,0)))</f>
        <v>9</v>
      </c>
      <c r="J2166" s="7" t="str">
        <f aca="false">IF(I2166&gt;=8,"High",IF(I2166&gt;=4,"Medium","Low"))</f>
        <v>High</v>
      </c>
    </row>
    <row r="2167" customFormat="false" ht="15" hidden="false" customHeight="true" outlineLevel="0" collapsed="false">
      <c r="A2167" s="7" t="n">
        <f aca="false">'Raw Data'!A2167</f>
        <v>560</v>
      </c>
      <c r="B2167" s="7" t="n">
        <f aca="false">'Raw Data'!B2167</f>
        <v>53</v>
      </c>
      <c r="C2167" s="7" t="str">
        <f aca="false">'Raw Data'!C2167</f>
        <v>Female</v>
      </c>
      <c r="D2167" s="7" t="str">
        <f aca="false">'Raw Data'!D2167</f>
        <v>Current</v>
      </c>
      <c r="E2167" s="7" t="str">
        <f aca="false">'Raw Data'!J2167</f>
        <v>Normal</v>
      </c>
      <c r="F2167" s="7" t="n">
        <f aca="false">'Raw Data'!K2167</f>
        <v>206</v>
      </c>
      <c r="G2167" s="7" t="str">
        <f aca="false">'Raw Data'!L2167</f>
        <v>No</v>
      </c>
      <c r="H2167" s="7" t="str">
        <f aca="false">'Raw Data'!M2167</f>
        <v>Moderate</v>
      </c>
      <c r="I2167" s="7" t="n">
        <f aca="false">(IF(D2167="Current",3,IF(D2167="Former",1,0)))+(IF(E2167="High",3,IF(E2167="Normal",1,0)))+(IF(F2167&gt;=240,2,IF(F2167&gt;=200,1,0)))+(IF(G2167="Yes",2,0))+(IF(H2167="High",2,IF(H2167="Moderate",1,0)))</f>
        <v>6</v>
      </c>
      <c r="J2167" s="7" t="str">
        <f aca="false">IF(I2167&gt;=8,"High",IF(I2167&gt;=4,"Medium","Low"))</f>
        <v>Medium</v>
      </c>
    </row>
    <row r="2168" customFormat="false" ht="15" hidden="false" customHeight="true" outlineLevel="0" collapsed="false">
      <c r="A2168" s="7" t="n">
        <f aca="false">'Raw Data'!A2168</f>
        <v>578</v>
      </c>
      <c r="B2168" s="7" t="n">
        <f aca="false">'Raw Data'!B2168</f>
        <v>35</v>
      </c>
      <c r="C2168" s="7" t="str">
        <f aca="false">'Raw Data'!C2168</f>
        <v>Male</v>
      </c>
      <c r="D2168" s="7" t="str">
        <f aca="false">'Raw Data'!D2168</f>
        <v>Current</v>
      </c>
      <c r="E2168" s="7" t="str">
        <f aca="false">'Raw Data'!J2168</f>
        <v>Normal</v>
      </c>
      <c r="F2168" s="7" t="n">
        <f aca="false">'Raw Data'!K2168</f>
        <v>176.8</v>
      </c>
      <c r="G2168" s="7" t="str">
        <f aca="false">'Raw Data'!L2168</f>
        <v>No</v>
      </c>
      <c r="H2168" s="7" t="str">
        <f aca="false">'Raw Data'!M2168</f>
        <v>Moderate</v>
      </c>
      <c r="I2168" s="7" t="n">
        <f aca="false">(IF(D2168="Current",3,IF(D2168="Former",1,0)))+(IF(E2168="High",3,IF(E2168="Normal",1,0)))+(IF(F2168&gt;=240,2,IF(F2168&gt;=200,1,0)))+(IF(G2168="Yes",2,0))+(IF(H2168="High",2,IF(H2168="Moderate",1,0)))</f>
        <v>5</v>
      </c>
      <c r="J2168" s="7" t="str">
        <f aca="false">IF(I2168&gt;=8,"High",IF(I2168&gt;=4,"Medium","Low"))</f>
        <v>Medium</v>
      </c>
    </row>
    <row r="2169" customFormat="false" ht="15" hidden="false" customHeight="true" outlineLevel="0" collapsed="false">
      <c r="A2169" s="7" t="n">
        <f aca="false">'Raw Data'!A2169</f>
        <v>605</v>
      </c>
      <c r="B2169" s="7" t="n">
        <f aca="false">'Raw Data'!B2169</f>
        <v>67</v>
      </c>
      <c r="C2169" s="7" t="str">
        <f aca="false">'Raw Data'!C2169</f>
        <v>Male</v>
      </c>
      <c r="D2169" s="7" t="str">
        <f aca="false">'Raw Data'!D2169</f>
        <v>Current</v>
      </c>
      <c r="E2169" s="7" t="str">
        <f aca="false">'Raw Data'!J2169</f>
        <v>Normal</v>
      </c>
      <c r="F2169" s="7" t="n">
        <f aca="false">'Raw Data'!K2169</f>
        <v>235.1</v>
      </c>
      <c r="G2169" s="7" t="str">
        <f aca="false">'Raw Data'!L2169</f>
        <v>Yes</v>
      </c>
      <c r="H2169" s="7" t="str">
        <f aca="false">'Raw Data'!M2169</f>
        <v>Moderate</v>
      </c>
      <c r="I2169" s="7" t="n">
        <f aca="false">(IF(D2169="Current",3,IF(D2169="Former",1,0)))+(IF(E2169="High",3,IF(E2169="Normal",1,0)))+(IF(F2169&gt;=240,2,IF(F2169&gt;=200,1,0)))+(IF(G2169="Yes",2,0))+(IF(H2169="High",2,IF(H2169="Moderate",1,0)))</f>
        <v>8</v>
      </c>
      <c r="J2169" s="7" t="str">
        <f aca="false">IF(I2169&gt;=8,"High",IF(I2169&gt;=4,"Medium","Low"))</f>
        <v>High</v>
      </c>
    </row>
    <row r="2170" customFormat="false" ht="15" hidden="false" customHeight="true" outlineLevel="0" collapsed="false">
      <c r="A2170" s="7" t="n">
        <f aca="false">'Raw Data'!A2170</f>
        <v>649</v>
      </c>
      <c r="B2170" s="7" t="n">
        <f aca="false">'Raw Data'!B2170</f>
        <v>76</v>
      </c>
      <c r="C2170" s="7" t="str">
        <f aca="false">'Raw Data'!C2170</f>
        <v>Female</v>
      </c>
      <c r="D2170" s="7" t="str">
        <f aca="false">'Raw Data'!D2170</f>
        <v>Current</v>
      </c>
      <c r="E2170" s="7" t="str">
        <f aca="false">'Raw Data'!J2170</f>
        <v>Normal</v>
      </c>
      <c r="F2170" s="7" t="n">
        <f aca="false">'Raw Data'!K2170</f>
        <v>200.8</v>
      </c>
      <c r="G2170" s="7" t="str">
        <f aca="false">'Raw Data'!L2170</f>
        <v>No</v>
      </c>
      <c r="H2170" s="7" t="str">
        <f aca="false">'Raw Data'!M2170</f>
        <v>Moderate</v>
      </c>
      <c r="I2170" s="7" t="n">
        <f aca="false">(IF(D2170="Current",3,IF(D2170="Former",1,0)))+(IF(E2170="High",3,IF(E2170="Normal",1,0)))+(IF(F2170&gt;=240,2,IF(F2170&gt;=200,1,0)))+(IF(G2170="Yes",2,0))+(IF(H2170="High",2,IF(H2170="Moderate",1,0)))</f>
        <v>6</v>
      </c>
      <c r="J2170" s="7" t="str">
        <f aca="false">IF(I2170&gt;=8,"High",IF(I2170&gt;=4,"Medium","Low"))</f>
        <v>Medium</v>
      </c>
    </row>
    <row r="2171" customFormat="false" ht="15" hidden="false" customHeight="true" outlineLevel="0" collapsed="false">
      <c r="A2171" s="7" t="n">
        <f aca="false">'Raw Data'!A2171</f>
        <v>662</v>
      </c>
      <c r="B2171" s="7" t="n">
        <f aca="false">'Raw Data'!B2171</f>
        <v>45</v>
      </c>
      <c r="C2171" s="7" t="str">
        <f aca="false">'Raw Data'!C2171</f>
        <v>Female</v>
      </c>
      <c r="D2171" s="7" t="str">
        <f aca="false">'Raw Data'!D2171</f>
        <v>Current</v>
      </c>
      <c r="E2171" s="7" t="str">
        <f aca="false">'Raw Data'!J2171</f>
        <v>Normal</v>
      </c>
      <c r="F2171" s="7" t="n">
        <f aca="false">'Raw Data'!K2171</f>
        <v>290</v>
      </c>
      <c r="G2171" s="7" t="str">
        <f aca="false">'Raw Data'!L2171</f>
        <v>Yes</v>
      </c>
      <c r="H2171" s="7" t="str">
        <f aca="false">'Raw Data'!M2171</f>
        <v>Moderate</v>
      </c>
      <c r="I2171" s="7" t="n">
        <f aca="false">(IF(D2171="Current",3,IF(D2171="Former",1,0)))+(IF(E2171="High",3,IF(E2171="Normal",1,0)))+(IF(F2171&gt;=240,2,IF(F2171&gt;=200,1,0)))+(IF(G2171="Yes",2,0))+(IF(H2171="High",2,IF(H2171="Moderate",1,0)))</f>
        <v>9</v>
      </c>
      <c r="J2171" s="7" t="str">
        <f aca="false">IF(I2171&gt;=8,"High",IF(I2171&gt;=4,"Medium","Low"))</f>
        <v>High</v>
      </c>
    </row>
    <row r="2172" customFormat="false" ht="15" hidden="false" customHeight="true" outlineLevel="0" collapsed="false">
      <c r="A2172" s="7" t="n">
        <f aca="false">'Raw Data'!A2172</f>
        <v>694</v>
      </c>
      <c r="B2172" s="7" t="n">
        <f aca="false">'Raw Data'!B2172</f>
        <v>54</v>
      </c>
      <c r="C2172" s="7" t="str">
        <f aca="false">'Raw Data'!C2172</f>
        <v>Female</v>
      </c>
      <c r="D2172" s="7" t="str">
        <f aca="false">'Raw Data'!D2172</f>
        <v>Current</v>
      </c>
      <c r="E2172" s="7" t="str">
        <f aca="false">'Raw Data'!J2172</f>
        <v>Normal</v>
      </c>
      <c r="F2172" s="7" t="n">
        <f aca="false">'Raw Data'!K2172</f>
        <v>255.9</v>
      </c>
      <c r="G2172" s="7" t="str">
        <f aca="false">'Raw Data'!L2172</f>
        <v>No</v>
      </c>
      <c r="H2172" s="7" t="str">
        <f aca="false">'Raw Data'!M2172</f>
        <v>Moderate</v>
      </c>
      <c r="I2172" s="7" t="n">
        <f aca="false">(IF(D2172="Current",3,IF(D2172="Former",1,0)))+(IF(E2172="High",3,IF(E2172="Normal",1,0)))+(IF(F2172&gt;=240,2,IF(F2172&gt;=200,1,0)))+(IF(G2172="Yes",2,0))+(IF(H2172="High",2,IF(H2172="Moderate",1,0)))</f>
        <v>7</v>
      </c>
      <c r="J2172" s="7" t="str">
        <f aca="false">IF(I2172&gt;=8,"High",IF(I2172&gt;=4,"Medium","Low"))</f>
        <v>Medium</v>
      </c>
    </row>
    <row r="2173" customFormat="false" ht="15" hidden="false" customHeight="true" outlineLevel="0" collapsed="false">
      <c r="A2173" s="7" t="n">
        <f aca="false">'Raw Data'!A2173</f>
        <v>698</v>
      </c>
      <c r="B2173" s="7" t="n">
        <f aca="false">'Raw Data'!B2173</f>
        <v>60</v>
      </c>
      <c r="C2173" s="7" t="str">
        <f aca="false">'Raw Data'!C2173</f>
        <v>Female</v>
      </c>
      <c r="D2173" s="7" t="str">
        <f aca="false">'Raw Data'!D2173</f>
        <v>Current</v>
      </c>
      <c r="E2173" s="7" t="str">
        <f aca="false">'Raw Data'!J2173</f>
        <v>Normal</v>
      </c>
      <c r="F2173" s="7" t="n">
        <f aca="false">'Raw Data'!K2173</f>
        <v>217.3</v>
      </c>
      <c r="G2173" s="7" t="str">
        <f aca="false">'Raw Data'!L2173</f>
        <v>No</v>
      </c>
      <c r="H2173" s="7" t="str">
        <f aca="false">'Raw Data'!M2173</f>
        <v>Moderate</v>
      </c>
      <c r="I2173" s="7" t="n">
        <f aca="false">(IF(D2173="Current",3,IF(D2173="Former",1,0)))+(IF(E2173="High",3,IF(E2173="Normal",1,0)))+(IF(F2173&gt;=240,2,IF(F2173&gt;=200,1,0)))+(IF(G2173="Yes",2,0))+(IF(H2173="High",2,IF(H2173="Moderate",1,0)))</f>
        <v>6</v>
      </c>
      <c r="J2173" s="7" t="str">
        <f aca="false">IF(I2173&gt;=8,"High",IF(I2173&gt;=4,"Medium","Low"))</f>
        <v>Medium</v>
      </c>
    </row>
    <row r="2174" customFormat="false" ht="15" hidden="false" customHeight="true" outlineLevel="0" collapsed="false">
      <c r="A2174" s="7" t="n">
        <f aca="false">'Raw Data'!A2174</f>
        <v>728</v>
      </c>
      <c r="B2174" s="7" t="n">
        <f aca="false">'Raw Data'!B2174</f>
        <v>80</v>
      </c>
      <c r="C2174" s="7" t="str">
        <f aca="false">'Raw Data'!C2174</f>
        <v>Male</v>
      </c>
      <c r="D2174" s="7" t="str">
        <f aca="false">'Raw Data'!D2174</f>
        <v>Current</v>
      </c>
      <c r="E2174" s="7" t="str">
        <f aca="false">'Raw Data'!J2174</f>
        <v>Normal</v>
      </c>
      <c r="F2174" s="7" t="n">
        <f aca="false">'Raw Data'!K2174</f>
        <v>270</v>
      </c>
      <c r="G2174" s="7" t="str">
        <f aca="false">'Raw Data'!L2174</f>
        <v>No</v>
      </c>
      <c r="H2174" s="7" t="str">
        <f aca="false">'Raw Data'!M2174</f>
        <v>Moderate</v>
      </c>
      <c r="I2174" s="7" t="n">
        <f aca="false">(IF(D2174="Current",3,IF(D2174="Former",1,0)))+(IF(E2174="High",3,IF(E2174="Normal",1,0)))+(IF(F2174&gt;=240,2,IF(F2174&gt;=200,1,0)))+(IF(G2174="Yes",2,0))+(IF(H2174="High",2,IF(H2174="Moderate",1,0)))</f>
        <v>7</v>
      </c>
      <c r="J2174" s="7" t="str">
        <f aca="false">IF(I2174&gt;=8,"High",IF(I2174&gt;=4,"Medium","Low"))</f>
        <v>Medium</v>
      </c>
    </row>
    <row r="2175" customFormat="false" ht="15" hidden="false" customHeight="true" outlineLevel="0" collapsed="false">
      <c r="A2175" s="7" t="n">
        <f aca="false">'Raw Data'!A2175</f>
        <v>746</v>
      </c>
      <c r="B2175" s="7" t="n">
        <f aca="false">'Raw Data'!B2175</f>
        <v>85</v>
      </c>
      <c r="C2175" s="7" t="str">
        <f aca="false">'Raw Data'!C2175</f>
        <v>Female</v>
      </c>
      <c r="D2175" s="7" t="str">
        <f aca="false">'Raw Data'!D2175</f>
        <v>Current</v>
      </c>
      <c r="E2175" s="7" t="str">
        <f aca="false">'Raw Data'!J2175</f>
        <v>Normal</v>
      </c>
      <c r="F2175" s="7" t="n">
        <f aca="false">'Raw Data'!K2175</f>
        <v>138.1</v>
      </c>
      <c r="G2175" s="7" t="str">
        <f aca="false">'Raw Data'!L2175</f>
        <v>No</v>
      </c>
      <c r="H2175" s="7" t="str">
        <f aca="false">'Raw Data'!M2175</f>
        <v>Moderate</v>
      </c>
      <c r="I2175" s="7" t="n">
        <f aca="false">(IF(D2175="Current",3,IF(D2175="Former",1,0)))+(IF(E2175="High",3,IF(E2175="Normal",1,0)))+(IF(F2175&gt;=240,2,IF(F2175&gt;=200,1,0)))+(IF(G2175="Yes",2,0))+(IF(H2175="High",2,IF(H2175="Moderate",1,0)))</f>
        <v>5</v>
      </c>
      <c r="J2175" s="7" t="str">
        <f aca="false">IF(I2175&gt;=8,"High",IF(I2175&gt;=4,"Medium","Low"))</f>
        <v>Medium</v>
      </c>
    </row>
    <row r="2176" customFormat="false" ht="15" hidden="false" customHeight="true" outlineLevel="0" collapsed="false">
      <c r="A2176" s="7" t="n">
        <f aca="false">'Raw Data'!A2176</f>
        <v>762</v>
      </c>
      <c r="B2176" s="7" t="n">
        <f aca="false">'Raw Data'!B2176</f>
        <v>39</v>
      </c>
      <c r="C2176" s="7" t="str">
        <f aca="false">'Raw Data'!C2176</f>
        <v>Male</v>
      </c>
      <c r="D2176" s="7" t="str">
        <f aca="false">'Raw Data'!D2176</f>
        <v>Current</v>
      </c>
      <c r="E2176" s="7" t="str">
        <f aca="false">'Raw Data'!J2176</f>
        <v>Normal</v>
      </c>
      <c r="F2176" s="7" t="n">
        <f aca="false">'Raw Data'!K2176</f>
        <v>195.1</v>
      </c>
      <c r="G2176" s="7" t="str">
        <f aca="false">'Raw Data'!L2176</f>
        <v>No</v>
      </c>
      <c r="H2176" s="7" t="str">
        <f aca="false">'Raw Data'!M2176</f>
        <v>Moderate</v>
      </c>
      <c r="I2176" s="7" t="n">
        <f aca="false">(IF(D2176="Current",3,IF(D2176="Former",1,0)))+(IF(E2176="High",3,IF(E2176="Normal",1,0)))+(IF(F2176&gt;=240,2,IF(F2176&gt;=200,1,0)))+(IF(G2176="Yes",2,0))+(IF(H2176="High",2,IF(H2176="Moderate",1,0)))</f>
        <v>5</v>
      </c>
      <c r="J2176" s="7" t="str">
        <f aca="false">IF(I2176&gt;=8,"High",IF(I2176&gt;=4,"Medium","Low"))</f>
        <v>Medium</v>
      </c>
    </row>
    <row r="2177" customFormat="false" ht="15" hidden="false" customHeight="true" outlineLevel="0" collapsed="false">
      <c r="A2177" s="7" t="n">
        <f aca="false">'Raw Data'!A2177</f>
        <v>772</v>
      </c>
      <c r="B2177" s="7" t="n">
        <f aca="false">'Raw Data'!B2177</f>
        <v>52</v>
      </c>
      <c r="C2177" s="7" t="str">
        <f aca="false">'Raw Data'!C2177</f>
        <v>Male</v>
      </c>
      <c r="D2177" s="7" t="str">
        <f aca="false">'Raw Data'!D2177</f>
        <v>Current</v>
      </c>
      <c r="E2177" s="7" t="str">
        <f aca="false">'Raw Data'!J2177</f>
        <v>Normal</v>
      </c>
      <c r="F2177" s="7" t="n">
        <f aca="false">'Raw Data'!K2177</f>
        <v>176.1</v>
      </c>
      <c r="G2177" s="7" t="str">
        <f aca="false">'Raw Data'!L2177</f>
        <v>No</v>
      </c>
      <c r="H2177" s="7" t="str">
        <f aca="false">'Raw Data'!M2177</f>
        <v>Moderate</v>
      </c>
      <c r="I2177" s="7" t="n">
        <f aca="false">(IF(D2177="Current",3,IF(D2177="Former",1,0)))+(IF(E2177="High",3,IF(E2177="Normal",1,0)))+(IF(F2177&gt;=240,2,IF(F2177&gt;=200,1,0)))+(IF(G2177="Yes",2,0))+(IF(H2177="High",2,IF(H2177="Moderate",1,0)))</f>
        <v>5</v>
      </c>
      <c r="J2177" s="7" t="str">
        <f aca="false">IF(I2177&gt;=8,"High",IF(I2177&gt;=4,"Medium","Low"))</f>
        <v>Medium</v>
      </c>
    </row>
    <row r="2178" customFormat="false" ht="15" hidden="false" customHeight="true" outlineLevel="0" collapsed="false">
      <c r="A2178" s="7" t="n">
        <f aca="false">'Raw Data'!A2178</f>
        <v>779</v>
      </c>
      <c r="B2178" s="7" t="n">
        <f aca="false">'Raw Data'!B2178</f>
        <v>53</v>
      </c>
      <c r="C2178" s="7" t="str">
        <f aca="false">'Raw Data'!C2178</f>
        <v>Male</v>
      </c>
      <c r="D2178" s="7" t="str">
        <f aca="false">'Raw Data'!D2178</f>
        <v>Current</v>
      </c>
      <c r="E2178" s="7" t="str">
        <f aca="false">'Raw Data'!J2178</f>
        <v>Normal</v>
      </c>
      <c r="F2178" s="7" t="n">
        <f aca="false">'Raw Data'!K2178</f>
        <v>293</v>
      </c>
      <c r="G2178" s="7" t="str">
        <f aca="false">'Raw Data'!L2178</f>
        <v>No</v>
      </c>
      <c r="H2178" s="7" t="str">
        <f aca="false">'Raw Data'!M2178</f>
        <v>Moderate</v>
      </c>
      <c r="I2178" s="7" t="n">
        <f aca="false">(IF(D2178="Current",3,IF(D2178="Former",1,0)))+(IF(E2178="High",3,IF(E2178="Normal",1,0)))+(IF(F2178&gt;=240,2,IF(F2178&gt;=200,1,0)))+(IF(G2178="Yes",2,0))+(IF(H2178="High",2,IF(H2178="Moderate",1,0)))</f>
        <v>7</v>
      </c>
      <c r="J2178" s="7" t="str">
        <f aca="false">IF(I2178&gt;=8,"High",IF(I2178&gt;=4,"Medium","Low"))</f>
        <v>Medium</v>
      </c>
    </row>
    <row r="2179" customFormat="false" ht="15" hidden="false" customHeight="true" outlineLevel="0" collapsed="false">
      <c r="A2179" s="7" t="n">
        <f aca="false">'Raw Data'!A2179</f>
        <v>827</v>
      </c>
      <c r="B2179" s="7" t="n">
        <f aca="false">'Raw Data'!B2179</f>
        <v>42</v>
      </c>
      <c r="C2179" s="7" t="str">
        <f aca="false">'Raw Data'!C2179</f>
        <v>Female</v>
      </c>
      <c r="D2179" s="7" t="str">
        <f aca="false">'Raw Data'!D2179</f>
        <v>Current</v>
      </c>
      <c r="E2179" s="7" t="str">
        <f aca="false">'Raw Data'!J2179</f>
        <v>Normal</v>
      </c>
      <c r="F2179" s="7" t="n">
        <f aca="false">'Raw Data'!K2179</f>
        <v>156.5</v>
      </c>
      <c r="G2179" s="7" t="str">
        <f aca="false">'Raw Data'!L2179</f>
        <v>No</v>
      </c>
      <c r="H2179" s="7" t="str">
        <f aca="false">'Raw Data'!M2179</f>
        <v>Moderate</v>
      </c>
      <c r="I2179" s="7" t="n">
        <f aca="false">(IF(D2179="Current",3,IF(D2179="Former",1,0)))+(IF(E2179="High",3,IF(E2179="Normal",1,0)))+(IF(F2179&gt;=240,2,IF(F2179&gt;=200,1,0)))+(IF(G2179="Yes",2,0))+(IF(H2179="High",2,IF(H2179="Moderate",1,0)))</f>
        <v>5</v>
      </c>
      <c r="J2179" s="7" t="str">
        <f aca="false">IF(I2179&gt;=8,"High",IF(I2179&gt;=4,"Medium","Low"))</f>
        <v>Medium</v>
      </c>
    </row>
    <row r="2180" customFormat="false" ht="15" hidden="false" customHeight="true" outlineLevel="0" collapsed="false">
      <c r="A2180" s="7" t="n">
        <f aca="false">'Raw Data'!A2180</f>
        <v>851</v>
      </c>
      <c r="B2180" s="7" t="n">
        <f aca="false">'Raw Data'!B2180</f>
        <v>35</v>
      </c>
      <c r="C2180" s="7" t="str">
        <f aca="false">'Raw Data'!C2180</f>
        <v>Female</v>
      </c>
      <c r="D2180" s="7" t="str">
        <f aca="false">'Raw Data'!D2180</f>
        <v>Current</v>
      </c>
      <c r="E2180" s="7" t="str">
        <f aca="false">'Raw Data'!J2180</f>
        <v>Normal</v>
      </c>
      <c r="F2180" s="7" t="n">
        <f aca="false">'Raw Data'!K2180</f>
        <v>241.9</v>
      </c>
      <c r="G2180" s="7" t="str">
        <f aca="false">'Raw Data'!L2180</f>
        <v>No</v>
      </c>
      <c r="H2180" s="7" t="str">
        <f aca="false">'Raw Data'!M2180</f>
        <v>Moderate</v>
      </c>
      <c r="I2180" s="7" t="n">
        <f aca="false">(IF(D2180="Current",3,IF(D2180="Former",1,0)))+(IF(E2180="High",3,IF(E2180="Normal",1,0)))+(IF(F2180&gt;=240,2,IF(F2180&gt;=200,1,0)))+(IF(G2180="Yes",2,0))+(IF(H2180="High",2,IF(H2180="Moderate",1,0)))</f>
        <v>7</v>
      </c>
      <c r="J2180" s="7" t="str">
        <f aca="false">IF(I2180&gt;=8,"High",IF(I2180&gt;=4,"Medium","Low"))</f>
        <v>Medium</v>
      </c>
    </row>
    <row r="2181" customFormat="false" ht="15" hidden="false" customHeight="true" outlineLevel="0" collapsed="false">
      <c r="A2181" s="7" t="n">
        <f aca="false">'Raw Data'!A2181</f>
        <v>865</v>
      </c>
      <c r="B2181" s="7" t="n">
        <f aca="false">'Raw Data'!B2181</f>
        <v>63</v>
      </c>
      <c r="C2181" s="7" t="str">
        <f aca="false">'Raw Data'!C2181</f>
        <v>Male</v>
      </c>
      <c r="D2181" s="7" t="str">
        <f aca="false">'Raw Data'!D2181</f>
        <v>Current</v>
      </c>
      <c r="E2181" s="7" t="str">
        <f aca="false">'Raw Data'!J2181</f>
        <v>Normal</v>
      </c>
      <c r="F2181" s="7" t="n">
        <f aca="false">'Raw Data'!K2181</f>
        <v>272.7</v>
      </c>
      <c r="G2181" s="7" t="str">
        <f aca="false">'Raw Data'!L2181</f>
        <v>Yes</v>
      </c>
      <c r="H2181" s="7" t="str">
        <f aca="false">'Raw Data'!M2181</f>
        <v>Moderate</v>
      </c>
      <c r="I2181" s="7" t="n">
        <f aca="false">(IF(D2181="Current",3,IF(D2181="Former",1,0)))+(IF(E2181="High",3,IF(E2181="Normal",1,0)))+(IF(F2181&gt;=240,2,IF(F2181&gt;=200,1,0)))+(IF(G2181="Yes",2,0))+(IF(H2181="High",2,IF(H2181="Moderate",1,0)))</f>
        <v>9</v>
      </c>
      <c r="J2181" s="7" t="str">
        <f aca="false">IF(I2181&gt;=8,"High",IF(I2181&gt;=4,"Medium","Low"))</f>
        <v>High</v>
      </c>
    </row>
    <row r="2182" customFormat="false" ht="15" hidden="false" customHeight="true" outlineLevel="0" collapsed="false">
      <c r="A2182" s="7" t="n">
        <f aca="false">'Raw Data'!A2182</f>
        <v>872</v>
      </c>
      <c r="B2182" s="7" t="n">
        <f aca="false">'Raw Data'!B2182</f>
        <v>67</v>
      </c>
      <c r="C2182" s="7" t="str">
        <f aca="false">'Raw Data'!C2182</f>
        <v>Female</v>
      </c>
      <c r="D2182" s="7" t="str">
        <f aca="false">'Raw Data'!D2182</f>
        <v>Current</v>
      </c>
      <c r="E2182" s="7" t="str">
        <f aca="false">'Raw Data'!J2182</f>
        <v>Normal</v>
      </c>
      <c r="F2182" s="7" t="n">
        <f aca="false">'Raw Data'!K2182</f>
        <v>153.9</v>
      </c>
      <c r="G2182" s="7" t="str">
        <f aca="false">'Raw Data'!L2182</f>
        <v>No</v>
      </c>
      <c r="H2182" s="7" t="str">
        <f aca="false">'Raw Data'!M2182</f>
        <v>Moderate</v>
      </c>
      <c r="I2182" s="7" t="n">
        <f aca="false">(IF(D2182="Current",3,IF(D2182="Former",1,0)))+(IF(E2182="High",3,IF(E2182="Normal",1,0)))+(IF(F2182&gt;=240,2,IF(F2182&gt;=200,1,0)))+(IF(G2182="Yes",2,0))+(IF(H2182="High",2,IF(H2182="Moderate",1,0)))</f>
        <v>5</v>
      </c>
      <c r="J2182" s="7" t="str">
        <f aca="false">IF(I2182&gt;=8,"High",IF(I2182&gt;=4,"Medium","Low"))</f>
        <v>Medium</v>
      </c>
    </row>
    <row r="2183" customFormat="false" ht="15" hidden="false" customHeight="true" outlineLevel="0" collapsed="false">
      <c r="A2183" s="7" t="n">
        <f aca="false">'Raw Data'!A2183</f>
        <v>876</v>
      </c>
      <c r="B2183" s="7" t="n">
        <f aca="false">'Raw Data'!B2183</f>
        <v>61</v>
      </c>
      <c r="C2183" s="7" t="str">
        <f aca="false">'Raw Data'!C2183</f>
        <v>Female</v>
      </c>
      <c r="D2183" s="7" t="str">
        <f aca="false">'Raw Data'!D2183</f>
        <v>Current</v>
      </c>
      <c r="E2183" s="7" t="str">
        <f aca="false">'Raw Data'!J2183</f>
        <v>Normal</v>
      </c>
      <c r="F2183" s="7" t="n">
        <f aca="false">'Raw Data'!K2183</f>
        <v>171.1</v>
      </c>
      <c r="G2183" s="7" t="str">
        <f aca="false">'Raw Data'!L2183</f>
        <v>Yes</v>
      </c>
      <c r="H2183" s="7" t="str">
        <f aca="false">'Raw Data'!M2183</f>
        <v>Moderate</v>
      </c>
      <c r="I2183" s="7" t="n">
        <f aca="false">(IF(D2183="Current",3,IF(D2183="Former",1,0)))+(IF(E2183="High",3,IF(E2183="Normal",1,0)))+(IF(F2183&gt;=240,2,IF(F2183&gt;=200,1,0)))+(IF(G2183="Yes",2,0))+(IF(H2183="High",2,IF(H2183="Moderate",1,0)))</f>
        <v>7</v>
      </c>
      <c r="J2183" s="7" t="str">
        <f aca="false">IF(I2183&gt;=8,"High",IF(I2183&gt;=4,"Medium","Low"))</f>
        <v>Medium</v>
      </c>
    </row>
    <row r="2184" customFormat="false" ht="15" hidden="false" customHeight="true" outlineLevel="0" collapsed="false">
      <c r="A2184" s="7" t="n">
        <f aca="false">'Raw Data'!A2184</f>
        <v>898</v>
      </c>
      <c r="B2184" s="7" t="n">
        <f aca="false">'Raw Data'!B2184</f>
        <v>57</v>
      </c>
      <c r="C2184" s="7" t="str">
        <f aca="false">'Raw Data'!C2184</f>
        <v>Male</v>
      </c>
      <c r="D2184" s="7" t="str">
        <f aca="false">'Raw Data'!D2184</f>
        <v>Current</v>
      </c>
      <c r="E2184" s="7" t="str">
        <f aca="false">'Raw Data'!J2184</f>
        <v>Normal</v>
      </c>
      <c r="F2184" s="7" t="n">
        <f aca="false">'Raw Data'!K2184</f>
        <v>223.9</v>
      </c>
      <c r="G2184" s="7" t="str">
        <f aca="false">'Raw Data'!L2184</f>
        <v>Yes</v>
      </c>
      <c r="H2184" s="7" t="str">
        <f aca="false">'Raw Data'!M2184</f>
        <v>Moderate</v>
      </c>
      <c r="I2184" s="7" t="n">
        <f aca="false">(IF(D2184="Current",3,IF(D2184="Former",1,0)))+(IF(E2184="High",3,IF(E2184="Normal",1,0)))+(IF(F2184&gt;=240,2,IF(F2184&gt;=200,1,0)))+(IF(G2184="Yes",2,0))+(IF(H2184="High",2,IF(H2184="Moderate",1,0)))</f>
        <v>8</v>
      </c>
      <c r="J2184" s="7" t="str">
        <f aca="false">IF(I2184&gt;=8,"High",IF(I2184&gt;=4,"Medium","Low"))</f>
        <v>High</v>
      </c>
    </row>
    <row r="2185" customFormat="false" ht="15" hidden="false" customHeight="true" outlineLevel="0" collapsed="false">
      <c r="A2185" s="7" t="n">
        <f aca="false">'Raw Data'!A2185</f>
        <v>911</v>
      </c>
      <c r="B2185" s="7" t="n">
        <f aca="false">'Raw Data'!B2185</f>
        <v>46</v>
      </c>
      <c r="C2185" s="7" t="str">
        <f aca="false">'Raw Data'!C2185</f>
        <v>Male</v>
      </c>
      <c r="D2185" s="7" t="str">
        <f aca="false">'Raw Data'!D2185</f>
        <v>Current</v>
      </c>
      <c r="E2185" s="7" t="str">
        <f aca="false">'Raw Data'!J2185</f>
        <v>Normal</v>
      </c>
      <c r="F2185" s="7" t="n">
        <f aca="false">'Raw Data'!K2185</f>
        <v>261.2</v>
      </c>
      <c r="G2185" s="7" t="str">
        <f aca="false">'Raw Data'!L2185</f>
        <v>No</v>
      </c>
      <c r="H2185" s="7" t="str">
        <f aca="false">'Raw Data'!M2185</f>
        <v>Moderate</v>
      </c>
      <c r="I2185" s="7" t="n">
        <f aca="false">(IF(D2185="Current",3,IF(D2185="Former",1,0)))+(IF(E2185="High",3,IF(E2185="Normal",1,0)))+(IF(F2185&gt;=240,2,IF(F2185&gt;=200,1,0)))+(IF(G2185="Yes",2,0))+(IF(H2185="High",2,IF(H2185="Moderate",1,0)))</f>
        <v>7</v>
      </c>
      <c r="J2185" s="7" t="str">
        <f aca="false">IF(I2185&gt;=8,"High",IF(I2185&gt;=4,"Medium","Low"))</f>
        <v>Medium</v>
      </c>
    </row>
    <row r="2186" customFormat="false" ht="15" hidden="false" customHeight="true" outlineLevel="0" collapsed="false">
      <c r="A2186" s="7" t="n">
        <f aca="false">'Raw Data'!A2186</f>
        <v>914</v>
      </c>
      <c r="B2186" s="7" t="n">
        <f aca="false">'Raw Data'!B2186</f>
        <v>59</v>
      </c>
      <c r="C2186" s="7" t="str">
        <f aca="false">'Raw Data'!C2186</f>
        <v>Male</v>
      </c>
      <c r="D2186" s="7" t="str">
        <f aca="false">'Raw Data'!D2186</f>
        <v>Current</v>
      </c>
      <c r="E2186" s="7" t="str">
        <f aca="false">'Raw Data'!J2186</f>
        <v>Normal</v>
      </c>
      <c r="F2186" s="7" t="n">
        <f aca="false">'Raw Data'!K2186</f>
        <v>208.8</v>
      </c>
      <c r="G2186" s="7" t="str">
        <f aca="false">'Raw Data'!L2186</f>
        <v>Yes</v>
      </c>
      <c r="H2186" s="7" t="str">
        <f aca="false">'Raw Data'!M2186</f>
        <v>Moderate</v>
      </c>
      <c r="I2186" s="7" t="n">
        <f aca="false">(IF(D2186="Current",3,IF(D2186="Former",1,0)))+(IF(E2186="High",3,IF(E2186="Normal",1,0)))+(IF(F2186&gt;=240,2,IF(F2186&gt;=200,1,0)))+(IF(G2186="Yes",2,0))+(IF(H2186="High",2,IF(H2186="Moderate",1,0)))</f>
        <v>8</v>
      </c>
      <c r="J2186" s="7" t="str">
        <f aca="false">IF(I2186&gt;=8,"High",IF(I2186&gt;=4,"Medium","Low"))</f>
        <v>High</v>
      </c>
    </row>
    <row r="2187" customFormat="false" ht="15" hidden="false" customHeight="true" outlineLevel="0" collapsed="false">
      <c r="A2187" s="7" t="n">
        <f aca="false">'Raw Data'!A2187</f>
        <v>916</v>
      </c>
      <c r="B2187" s="7" t="n">
        <f aca="false">'Raw Data'!B2187</f>
        <v>28</v>
      </c>
      <c r="C2187" s="7" t="str">
        <f aca="false">'Raw Data'!C2187</f>
        <v>Female</v>
      </c>
      <c r="D2187" s="7" t="str">
        <f aca="false">'Raw Data'!D2187</f>
        <v>Current</v>
      </c>
      <c r="E2187" s="7" t="str">
        <f aca="false">'Raw Data'!J2187</f>
        <v>Normal</v>
      </c>
      <c r="F2187" s="7" t="n">
        <f aca="false">'Raw Data'!K2187</f>
        <v>216.3</v>
      </c>
      <c r="G2187" s="7" t="str">
        <f aca="false">'Raw Data'!L2187</f>
        <v>No</v>
      </c>
      <c r="H2187" s="7" t="str">
        <f aca="false">'Raw Data'!M2187</f>
        <v>Moderate</v>
      </c>
      <c r="I2187" s="7" t="n">
        <f aca="false">(IF(D2187="Current",3,IF(D2187="Former",1,0)))+(IF(E2187="High",3,IF(E2187="Normal",1,0)))+(IF(F2187&gt;=240,2,IF(F2187&gt;=200,1,0)))+(IF(G2187="Yes",2,0))+(IF(H2187="High",2,IF(H2187="Moderate",1,0)))</f>
        <v>6</v>
      </c>
      <c r="J2187" s="7" t="str">
        <f aca="false">IF(I2187&gt;=8,"High",IF(I2187&gt;=4,"Medium","Low"))</f>
        <v>Medium</v>
      </c>
    </row>
    <row r="2188" customFormat="false" ht="15" hidden="false" customHeight="true" outlineLevel="0" collapsed="false">
      <c r="A2188" s="7" t="n">
        <f aca="false">'Raw Data'!A2188</f>
        <v>933</v>
      </c>
      <c r="B2188" s="7" t="n">
        <f aca="false">'Raw Data'!B2188</f>
        <v>53</v>
      </c>
      <c r="C2188" s="7" t="str">
        <f aca="false">'Raw Data'!C2188</f>
        <v>Male</v>
      </c>
      <c r="D2188" s="7" t="str">
        <f aca="false">'Raw Data'!D2188</f>
        <v>Current</v>
      </c>
      <c r="E2188" s="7" t="str">
        <f aca="false">'Raw Data'!J2188</f>
        <v>Normal</v>
      </c>
      <c r="F2188" s="7" t="n">
        <f aca="false">'Raw Data'!K2188</f>
        <v>212.2</v>
      </c>
      <c r="G2188" s="7" t="str">
        <f aca="false">'Raw Data'!L2188</f>
        <v>No</v>
      </c>
      <c r="H2188" s="7" t="str">
        <f aca="false">'Raw Data'!M2188</f>
        <v>Moderate</v>
      </c>
      <c r="I2188" s="7" t="n">
        <f aca="false">(IF(D2188="Current",3,IF(D2188="Former",1,0)))+(IF(E2188="High",3,IF(E2188="Normal",1,0)))+(IF(F2188&gt;=240,2,IF(F2188&gt;=200,1,0)))+(IF(G2188="Yes",2,0))+(IF(H2188="High",2,IF(H2188="Moderate",1,0)))</f>
        <v>6</v>
      </c>
      <c r="J2188" s="7" t="str">
        <f aca="false">IF(I2188&gt;=8,"High",IF(I2188&gt;=4,"Medium","Low"))</f>
        <v>Medium</v>
      </c>
    </row>
    <row r="2189" customFormat="false" ht="15" hidden="false" customHeight="true" outlineLevel="0" collapsed="false">
      <c r="A2189" s="7" t="n">
        <f aca="false">'Raw Data'!A2189</f>
        <v>940</v>
      </c>
      <c r="B2189" s="7" t="n">
        <f aca="false">'Raw Data'!B2189</f>
        <v>75</v>
      </c>
      <c r="C2189" s="7" t="str">
        <f aca="false">'Raw Data'!C2189</f>
        <v>Male</v>
      </c>
      <c r="D2189" s="7" t="str">
        <f aca="false">'Raw Data'!D2189</f>
        <v>Current</v>
      </c>
      <c r="E2189" s="7" t="str">
        <f aca="false">'Raw Data'!J2189</f>
        <v>Normal</v>
      </c>
      <c r="F2189" s="7" t="n">
        <f aca="false">'Raw Data'!K2189</f>
        <v>154</v>
      </c>
      <c r="G2189" s="7" t="str">
        <f aca="false">'Raw Data'!L2189</f>
        <v>Yes</v>
      </c>
      <c r="H2189" s="7" t="str">
        <f aca="false">'Raw Data'!M2189</f>
        <v>Moderate</v>
      </c>
      <c r="I2189" s="7" t="n">
        <f aca="false">(IF(D2189="Current",3,IF(D2189="Former",1,0)))+(IF(E2189="High",3,IF(E2189="Normal",1,0)))+(IF(F2189&gt;=240,2,IF(F2189&gt;=200,1,0)))+(IF(G2189="Yes",2,0))+(IF(H2189="High",2,IF(H2189="Moderate",1,0)))</f>
        <v>7</v>
      </c>
      <c r="J2189" s="7" t="str">
        <f aca="false">IF(I2189&gt;=8,"High",IF(I2189&gt;=4,"Medium","Low"))</f>
        <v>Medium</v>
      </c>
    </row>
    <row r="2190" customFormat="false" ht="15" hidden="false" customHeight="true" outlineLevel="0" collapsed="false">
      <c r="A2190" s="7" t="n">
        <f aca="false">'Raw Data'!A2190</f>
        <v>956</v>
      </c>
      <c r="B2190" s="7" t="n">
        <f aca="false">'Raw Data'!B2190</f>
        <v>78</v>
      </c>
      <c r="C2190" s="7" t="str">
        <f aca="false">'Raw Data'!C2190</f>
        <v>Male</v>
      </c>
      <c r="D2190" s="7" t="str">
        <f aca="false">'Raw Data'!D2190</f>
        <v>Current</v>
      </c>
      <c r="E2190" s="7" t="str">
        <f aca="false">'Raw Data'!J2190</f>
        <v>Normal</v>
      </c>
      <c r="F2190" s="7" t="n">
        <f aca="false">'Raw Data'!K2190</f>
        <v>191.2</v>
      </c>
      <c r="G2190" s="7" t="str">
        <f aca="false">'Raw Data'!L2190</f>
        <v>No</v>
      </c>
      <c r="H2190" s="7" t="str">
        <f aca="false">'Raw Data'!M2190</f>
        <v>Moderate</v>
      </c>
      <c r="I2190" s="7" t="n">
        <f aca="false">(IF(D2190="Current",3,IF(D2190="Former",1,0)))+(IF(E2190="High",3,IF(E2190="Normal",1,0)))+(IF(F2190&gt;=240,2,IF(F2190&gt;=200,1,0)))+(IF(G2190="Yes",2,0))+(IF(H2190="High",2,IF(H2190="Moderate",1,0)))</f>
        <v>5</v>
      </c>
      <c r="J2190" s="7" t="str">
        <f aca="false">IF(I2190&gt;=8,"High",IF(I2190&gt;=4,"Medium","Low"))</f>
        <v>Medium</v>
      </c>
    </row>
    <row r="2191" customFormat="false" ht="15" hidden="false" customHeight="true" outlineLevel="0" collapsed="false">
      <c r="A2191" s="7" t="n">
        <f aca="false">'Raw Data'!A2191</f>
        <v>969</v>
      </c>
      <c r="B2191" s="7" t="n">
        <f aca="false">'Raw Data'!B2191</f>
        <v>67</v>
      </c>
      <c r="C2191" s="7" t="str">
        <f aca="false">'Raw Data'!C2191</f>
        <v>Male</v>
      </c>
      <c r="D2191" s="7" t="str">
        <f aca="false">'Raw Data'!D2191</f>
        <v>Current</v>
      </c>
      <c r="E2191" s="7" t="str">
        <f aca="false">'Raw Data'!J2191</f>
        <v>Normal</v>
      </c>
      <c r="F2191" s="7" t="n">
        <f aca="false">'Raw Data'!K2191</f>
        <v>149.2</v>
      </c>
      <c r="G2191" s="7" t="str">
        <f aca="false">'Raw Data'!L2191</f>
        <v>No</v>
      </c>
      <c r="H2191" s="7" t="str">
        <f aca="false">'Raw Data'!M2191</f>
        <v>Moderate</v>
      </c>
      <c r="I2191" s="7" t="n">
        <f aca="false">(IF(D2191="Current",3,IF(D2191="Former",1,0)))+(IF(E2191="High",3,IF(E2191="Normal",1,0)))+(IF(F2191&gt;=240,2,IF(F2191&gt;=200,1,0)))+(IF(G2191="Yes",2,0))+(IF(H2191="High",2,IF(H2191="Moderate",1,0)))</f>
        <v>5</v>
      </c>
      <c r="J2191" s="7" t="str">
        <f aca="false">IF(I2191&gt;=8,"High",IF(I2191&gt;=4,"Medium","Low"))</f>
        <v>Medium</v>
      </c>
    </row>
    <row r="2192" customFormat="false" ht="15" hidden="false" customHeight="true" outlineLevel="0" collapsed="false">
      <c r="A2192" s="7" t="n">
        <f aca="false">'Raw Data'!A2192</f>
        <v>1011</v>
      </c>
      <c r="B2192" s="7" t="n">
        <f aca="false">'Raw Data'!B2192</f>
        <v>21</v>
      </c>
      <c r="C2192" s="7" t="str">
        <f aca="false">'Raw Data'!C2192</f>
        <v>Female</v>
      </c>
      <c r="D2192" s="7" t="str">
        <f aca="false">'Raw Data'!D2192</f>
        <v>Current</v>
      </c>
      <c r="E2192" s="7" t="str">
        <f aca="false">'Raw Data'!J2192</f>
        <v>Normal</v>
      </c>
      <c r="F2192" s="7" t="n">
        <f aca="false">'Raw Data'!K2192</f>
        <v>130.2</v>
      </c>
      <c r="G2192" s="7" t="str">
        <f aca="false">'Raw Data'!L2192</f>
        <v>No</v>
      </c>
      <c r="H2192" s="7" t="str">
        <f aca="false">'Raw Data'!M2192</f>
        <v>Moderate</v>
      </c>
      <c r="I2192" s="7" t="n">
        <f aca="false">(IF(D2192="Current",3,IF(D2192="Former",1,0)))+(IF(E2192="High",3,IF(E2192="Normal",1,0)))+(IF(F2192&gt;=240,2,IF(F2192&gt;=200,1,0)))+(IF(G2192="Yes",2,0))+(IF(H2192="High",2,IF(H2192="Moderate",1,0)))</f>
        <v>5</v>
      </c>
      <c r="J2192" s="7" t="str">
        <f aca="false">IF(I2192&gt;=8,"High",IF(I2192&gt;=4,"Medium","Low"))</f>
        <v>Medium</v>
      </c>
    </row>
    <row r="2193" customFormat="false" ht="15" hidden="false" customHeight="true" outlineLevel="0" collapsed="false">
      <c r="A2193" s="7" t="n">
        <f aca="false">'Raw Data'!A2193</f>
        <v>1023</v>
      </c>
      <c r="B2193" s="7" t="n">
        <f aca="false">'Raw Data'!B2193</f>
        <v>67</v>
      </c>
      <c r="C2193" s="7" t="str">
        <f aca="false">'Raw Data'!C2193</f>
        <v>Male</v>
      </c>
      <c r="D2193" s="7" t="str">
        <f aca="false">'Raw Data'!D2193</f>
        <v>Current</v>
      </c>
      <c r="E2193" s="7" t="str">
        <f aca="false">'Raw Data'!J2193</f>
        <v>Normal</v>
      </c>
      <c r="F2193" s="7" t="n">
        <f aca="false">'Raw Data'!K2193</f>
        <v>148.7</v>
      </c>
      <c r="G2193" s="7" t="str">
        <f aca="false">'Raw Data'!L2193</f>
        <v>Yes</v>
      </c>
      <c r="H2193" s="7" t="str">
        <f aca="false">'Raw Data'!M2193</f>
        <v>Moderate</v>
      </c>
      <c r="I2193" s="7" t="n">
        <f aca="false">(IF(D2193="Current",3,IF(D2193="Former",1,0)))+(IF(E2193="High",3,IF(E2193="Normal",1,0)))+(IF(F2193&gt;=240,2,IF(F2193&gt;=200,1,0)))+(IF(G2193="Yes",2,0))+(IF(H2193="High",2,IF(H2193="Moderate",1,0)))</f>
        <v>7</v>
      </c>
      <c r="J2193" s="7" t="str">
        <f aca="false">IF(I2193&gt;=8,"High",IF(I2193&gt;=4,"Medium","Low"))</f>
        <v>Medium</v>
      </c>
    </row>
    <row r="2194" customFormat="false" ht="15" hidden="false" customHeight="true" outlineLevel="0" collapsed="false">
      <c r="A2194" s="7" t="n">
        <f aca="false">'Raw Data'!A2194</f>
        <v>1054</v>
      </c>
      <c r="B2194" s="7" t="n">
        <f aca="false">'Raw Data'!B2194</f>
        <v>77</v>
      </c>
      <c r="C2194" s="7" t="str">
        <f aca="false">'Raw Data'!C2194</f>
        <v>Female</v>
      </c>
      <c r="D2194" s="7" t="str">
        <f aca="false">'Raw Data'!D2194</f>
        <v>Current</v>
      </c>
      <c r="E2194" s="7" t="str">
        <f aca="false">'Raw Data'!J2194</f>
        <v>Normal</v>
      </c>
      <c r="F2194" s="7" t="n">
        <f aca="false">'Raw Data'!K2194</f>
        <v>179.5</v>
      </c>
      <c r="G2194" s="7" t="str">
        <f aca="false">'Raw Data'!L2194</f>
        <v>Yes</v>
      </c>
      <c r="H2194" s="7" t="str">
        <f aca="false">'Raw Data'!M2194</f>
        <v>Moderate</v>
      </c>
      <c r="I2194" s="7" t="n">
        <f aca="false">(IF(D2194="Current",3,IF(D2194="Former",1,0)))+(IF(E2194="High",3,IF(E2194="Normal",1,0)))+(IF(F2194&gt;=240,2,IF(F2194&gt;=200,1,0)))+(IF(G2194="Yes",2,0))+(IF(H2194="High",2,IF(H2194="Moderate",1,0)))</f>
        <v>7</v>
      </c>
      <c r="J2194" s="7" t="str">
        <f aca="false">IF(I2194&gt;=8,"High",IF(I2194&gt;=4,"Medium","Low"))</f>
        <v>Medium</v>
      </c>
    </row>
    <row r="2195" customFormat="false" ht="15" hidden="false" customHeight="true" outlineLevel="0" collapsed="false">
      <c r="A2195" s="7" t="n">
        <f aca="false">'Raw Data'!A2195</f>
        <v>1076</v>
      </c>
      <c r="B2195" s="7" t="n">
        <f aca="false">'Raw Data'!B2195</f>
        <v>36</v>
      </c>
      <c r="C2195" s="7" t="str">
        <f aca="false">'Raw Data'!C2195</f>
        <v>Male</v>
      </c>
      <c r="D2195" s="7" t="str">
        <f aca="false">'Raw Data'!D2195</f>
        <v>Current</v>
      </c>
      <c r="E2195" s="7" t="str">
        <f aca="false">'Raw Data'!J2195</f>
        <v>Normal</v>
      </c>
      <c r="F2195" s="7" t="n">
        <f aca="false">'Raw Data'!K2195</f>
        <v>246.9</v>
      </c>
      <c r="G2195" s="7" t="str">
        <f aca="false">'Raw Data'!L2195</f>
        <v>Yes</v>
      </c>
      <c r="H2195" s="7" t="str">
        <f aca="false">'Raw Data'!M2195</f>
        <v>Moderate</v>
      </c>
      <c r="I2195" s="7" t="n">
        <f aca="false">(IF(D2195="Current",3,IF(D2195="Former",1,0)))+(IF(E2195="High",3,IF(E2195="Normal",1,0)))+(IF(F2195&gt;=240,2,IF(F2195&gt;=200,1,0)))+(IF(G2195="Yes",2,0))+(IF(H2195="High",2,IF(H2195="Moderate",1,0)))</f>
        <v>9</v>
      </c>
      <c r="J2195" s="7" t="str">
        <f aca="false">IF(I2195&gt;=8,"High",IF(I2195&gt;=4,"Medium","Low"))</f>
        <v>High</v>
      </c>
    </row>
    <row r="2196" customFormat="false" ht="15" hidden="false" customHeight="true" outlineLevel="0" collapsed="false">
      <c r="A2196" s="7" t="n">
        <f aca="false">'Raw Data'!A2196</f>
        <v>1145</v>
      </c>
      <c r="B2196" s="7" t="n">
        <f aca="false">'Raw Data'!B2196</f>
        <v>84</v>
      </c>
      <c r="C2196" s="7" t="str">
        <f aca="false">'Raw Data'!C2196</f>
        <v>Male</v>
      </c>
      <c r="D2196" s="7" t="str">
        <f aca="false">'Raw Data'!D2196</f>
        <v>Current</v>
      </c>
      <c r="E2196" s="7" t="str">
        <f aca="false">'Raw Data'!J2196</f>
        <v>Normal</v>
      </c>
      <c r="F2196" s="7" t="n">
        <f aca="false">'Raw Data'!K2196</f>
        <v>214</v>
      </c>
      <c r="G2196" s="7" t="str">
        <f aca="false">'Raw Data'!L2196</f>
        <v>No</v>
      </c>
      <c r="H2196" s="7" t="str">
        <f aca="false">'Raw Data'!M2196</f>
        <v>Moderate</v>
      </c>
      <c r="I2196" s="7" t="n">
        <f aca="false">(IF(D2196="Current",3,IF(D2196="Former",1,0)))+(IF(E2196="High",3,IF(E2196="Normal",1,0)))+(IF(F2196&gt;=240,2,IF(F2196&gt;=200,1,0)))+(IF(G2196="Yes",2,0))+(IF(H2196="High",2,IF(H2196="Moderate",1,0)))</f>
        <v>6</v>
      </c>
      <c r="J2196" s="7" t="str">
        <f aca="false">IF(I2196&gt;=8,"High",IF(I2196&gt;=4,"Medium","Low"))</f>
        <v>Medium</v>
      </c>
    </row>
    <row r="2197" customFormat="false" ht="15" hidden="false" customHeight="true" outlineLevel="0" collapsed="false">
      <c r="A2197" s="7" t="n">
        <f aca="false">'Raw Data'!A2197</f>
        <v>1152</v>
      </c>
      <c r="B2197" s="7" t="n">
        <f aca="false">'Raw Data'!B2197</f>
        <v>84</v>
      </c>
      <c r="C2197" s="7" t="str">
        <f aca="false">'Raw Data'!C2197</f>
        <v>Male</v>
      </c>
      <c r="D2197" s="7" t="str">
        <f aca="false">'Raw Data'!D2197</f>
        <v>Current</v>
      </c>
      <c r="E2197" s="7" t="str">
        <f aca="false">'Raw Data'!J2197</f>
        <v>Normal</v>
      </c>
      <c r="F2197" s="7" t="n">
        <f aca="false">'Raw Data'!K2197</f>
        <v>247.6</v>
      </c>
      <c r="G2197" s="7" t="str">
        <f aca="false">'Raw Data'!L2197</f>
        <v>No</v>
      </c>
      <c r="H2197" s="7" t="str">
        <f aca="false">'Raw Data'!M2197</f>
        <v>Moderate</v>
      </c>
      <c r="I2197" s="7" t="n">
        <f aca="false">(IF(D2197="Current",3,IF(D2197="Former",1,0)))+(IF(E2197="High",3,IF(E2197="Normal",1,0)))+(IF(F2197&gt;=240,2,IF(F2197&gt;=200,1,0)))+(IF(G2197="Yes",2,0))+(IF(H2197="High",2,IF(H2197="Moderate",1,0)))</f>
        <v>7</v>
      </c>
      <c r="J2197" s="7" t="str">
        <f aca="false">IF(I2197&gt;=8,"High",IF(I2197&gt;=4,"Medium","Low"))</f>
        <v>Medium</v>
      </c>
    </row>
    <row r="2198" customFormat="false" ht="15" hidden="false" customHeight="true" outlineLevel="0" collapsed="false">
      <c r="A2198" s="7" t="n">
        <f aca="false">'Raw Data'!A2198</f>
        <v>1170</v>
      </c>
      <c r="B2198" s="7" t="n">
        <f aca="false">'Raw Data'!B2198</f>
        <v>61</v>
      </c>
      <c r="C2198" s="7" t="str">
        <f aca="false">'Raw Data'!C2198</f>
        <v>Male</v>
      </c>
      <c r="D2198" s="7" t="str">
        <f aca="false">'Raw Data'!D2198</f>
        <v>Current</v>
      </c>
      <c r="E2198" s="7" t="str">
        <f aca="false">'Raw Data'!J2198</f>
        <v>Normal</v>
      </c>
      <c r="F2198" s="7" t="n">
        <f aca="false">'Raw Data'!K2198</f>
        <v>179.9</v>
      </c>
      <c r="G2198" s="7" t="str">
        <f aca="false">'Raw Data'!L2198</f>
        <v>No</v>
      </c>
      <c r="H2198" s="7" t="str">
        <f aca="false">'Raw Data'!M2198</f>
        <v>Moderate</v>
      </c>
      <c r="I2198" s="7" t="n">
        <f aca="false">(IF(D2198="Current",3,IF(D2198="Former",1,0)))+(IF(E2198="High",3,IF(E2198="Normal",1,0)))+(IF(F2198&gt;=240,2,IF(F2198&gt;=200,1,0)))+(IF(G2198="Yes",2,0))+(IF(H2198="High",2,IF(H2198="Moderate",1,0)))</f>
        <v>5</v>
      </c>
      <c r="J2198" s="7" t="str">
        <f aca="false">IF(I2198&gt;=8,"High",IF(I2198&gt;=4,"Medium","Low"))</f>
        <v>Medium</v>
      </c>
    </row>
    <row r="2199" customFormat="false" ht="15" hidden="false" customHeight="true" outlineLevel="0" collapsed="false">
      <c r="A2199" s="7" t="n">
        <f aca="false">'Raw Data'!A2199</f>
        <v>1215</v>
      </c>
      <c r="B2199" s="7" t="n">
        <f aca="false">'Raw Data'!B2199</f>
        <v>38</v>
      </c>
      <c r="C2199" s="7" t="str">
        <f aca="false">'Raw Data'!C2199</f>
        <v>Male</v>
      </c>
      <c r="D2199" s="7" t="str">
        <f aca="false">'Raw Data'!D2199</f>
        <v>Current</v>
      </c>
      <c r="E2199" s="7" t="str">
        <f aca="false">'Raw Data'!J2199</f>
        <v>Normal</v>
      </c>
      <c r="F2199" s="7" t="n">
        <f aca="false">'Raw Data'!K2199</f>
        <v>260.9</v>
      </c>
      <c r="G2199" s="7" t="str">
        <f aca="false">'Raw Data'!L2199</f>
        <v>No</v>
      </c>
      <c r="H2199" s="7" t="str">
        <f aca="false">'Raw Data'!M2199</f>
        <v>Moderate</v>
      </c>
      <c r="I2199" s="7" t="n">
        <f aca="false">(IF(D2199="Current",3,IF(D2199="Former",1,0)))+(IF(E2199="High",3,IF(E2199="Normal",1,0)))+(IF(F2199&gt;=240,2,IF(F2199&gt;=200,1,0)))+(IF(G2199="Yes",2,0))+(IF(H2199="High",2,IF(H2199="Moderate",1,0)))</f>
        <v>7</v>
      </c>
      <c r="J2199" s="7" t="str">
        <f aca="false">IF(I2199&gt;=8,"High",IF(I2199&gt;=4,"Medium","Low"))</f>
        <v>Medium</v>
      </c>
    </row>
    <row r="2200" customFormat="false" ht="15" hidden="false" customHeight="true" outlineLevel="0" collapsed="false">
      <c r="A2200" s="7" t="n">
        <f aca="false">'Raw Data'!A2200</f>
        <v>1242</v>
      </c>
      <c r="B2200" s="7" t="n">
        <f aca="false">'Raw Data'!B2200</f>
        <v>41</v>
      </c>
      <c r="C2200" s="7" t="str">
        <f aca="false">'Raw Data'!C2200</f>
        <v>Male</v>
      </c>
      <c r="D2200" s="7" t="str">
        <f aca="false">'Raw Data'!D2200</f>
        <v>Current</v>
      </c>
      <c r="E2200" s="7" t="str">
        <f aca="false">'Raw Data'!J2200</f>
        <v>Normal</v>
      </c>
      <c r="F2200" s="7" t="n">
        <f aca="false">'Raw Data'!K2200</f>
        <v>213.2</v>
      </c>
      <c r="G2200" s="7" t="str">
        <f aca="false">'Raw Data'!L2200</f>
        <v>No</v>
      </c>
      <c r="H2200" s="7" t="str">
        <f aca="false">'Raw Data'!M2200</f>
        <v>Moderate</v>
      </c>
      <c r="I2200" s="7" t="n">
        <f aca="false">(IF(D2200="Current",3,IF(D2200="Former",1,0)))+(IF(E2200="High",3,IF(E2200="Normal",1,0)))+(IF(F2200&gt;=240,2,IF(F2200&gt;=200,1,0)))+(IF(G2200="Yes",2,0))+(IF(H2200="High",2,IF(H2200="Moderate",1,0)))</f>
        <v>6</v>
      </c>
      <c r="J2200" s="7" t="str">
        <f aca="false">IF(I2200&gt;=8,"High",IF(I2200&gt;=4,"Medium","Low"))</f>
        <v>Medium</v>
      </c>
    </row>
    <row r="2201" customFormat="false" ht="15" hidden="false" customHeight="true" outlineLevel="0" collapsed="false">
      <c r="A2201" s="7" t="n">
        <f aca="false">'Raw Data'!A2201</f>
        <v>1250</v>
      </c>
      <c r="B2201" s="7" t="n">
        <f aca="false">'Raw Data'!B2201</f>
        <v>73</v>
      </c>
      <c r="C2201" s="7" t="str">
        <f aca="false">'Raw Data'!C2201</f>
        <v>Male</v>
      </c>
      <c r="D2201" s="7" t="str">
        <f aca="false">'Raw Data'!D2201</f>
        <v>Current</v>
      </c>
      <c r="E2201" s="7" t="str">
        <f aca="false">'Raw Data'!J2201</f>
        <v>Normal</v>
      </c>
      <c r="F2201" s="7" t="n">
        <f aca="false">'Raw Data'!K2201</f>
        <v>257.8</v>
      </c>
      <c r="G2201" s="7" t="str">
        <f aca="false">'Raw Data'!L2201</f>
        <v>No</v>
      </c>
      <c r="H2201" s="7" t="str">
        <f aca="false">'Raw Data'!M2201</f>
        <v>Moderate</v>
      </c>
      <c r="I2201" s="7" t="n">
        <f aca="false">(IF(D2201="Current",3,IF(D2201="Former",1,0)))+(IF(E2201="High",3,IF(E2201="Normal",1,0)))+(IF(F2201&gt;=240,2,IF(F2201&gt;=200,1,0)))+(IF(G2201="Yes",2,0))+(IF(H2201="High",2,IF(H2201="Moderate",1,0)))</f>
        <v>7</v>
      </c>
      <c r="J2201" s="7" t="str">
        <f aca="false">IF(I2201&gt;=8,"High",IF(I2201&gt;=4,"Medium","Low"))</f>
        <v>Medium</v>
      </c>
    </row>
    <row r="2202" customFormat="false" ht="15" hidden="false" customHeight="true" outlineLevel="0" collapsed="false">
      <c r="A2202" s="7" t="n">
        <f aca="false">'Raw Data'!A2202</f>
        <v>1255</v>
      </c>
      <c r="B2202" s="7" t="n">
        <f aca="false">'Raw Data'!B2202</f>
        <v>62</v>
      </c>
      <c r="C2202" s="7" t="str">
        <f aca="false">'Raw Data'!C2202</f>
        <v>Male</v>
      </c>
      <c r="D2202" s="7" t="str">
        <f aca="false">'Raw Data'!D2202</f>
        <v>Current</v>
      </c>
      <c r="E2202" s="7" t="str">
        <f aca="false">'Raw Data'!J2202</f>
        <v>Normal</v>
      </c>
      <c r="F2202" s="7" t="n">
        <f aca="false">'Raw Data'!K2202</f>
        <v>166.2</v>
      </c>
      <c r="G2202" s="7" t="str">
        <f aca="false">'Raw Data'!L2202</f>
        <v>Yes</v>
      </c>
      <c r="H2202" s="7" t="str">
        <f aca="false">'Raw Data'!M2202</f>
        <v>Moderate</v>
      </c>
      <c r="I2202" s="7" t="n">
        <f aca="false">(IF(D2202="Current",3,IF(D2202="Former",1,0)))+(IF(E2202="High",3,IF(E2202="Normal",1,0)))+(IF(F2202&gt;=240,2,IF(F2202&gt;=200,1,0)))+(IF(G2202="Yes",2,0))+(IF(H2202="High",2,IF(H2202="Moderate",1,0)))</f>
        <v>7</v>
      </c>
      <c r="J2202" s="7" t="str">
        <f aca="false">IF(I2202&gt;=8,"High",IF(I2202&gt;=4,"Medium","Low"))</f>
        <v>Medium</v>
      </c>
    </row>
    <row r="2203" customFormat="false" ht="15" hidden="false" customHeight="true" outlineLevel="0" collapsed="false">
      <c r="A2203" s="7" t="n">
        <f aca="false">'Raw Data'!A2203</f>
        <v>1258</v>
      </c>
      <c r="B2203" s="7" t="n">
        <f aca="false">'Raw Data'!B2203</f>
        <v>36</v>
      </c>
      <c r="C2203" s="7" t="str">
        <f aca="false">'Raw Data'!C2203</f>
        <v>Female</v>
      </c>
      <c r="D2203" s="7" t="str">
        <f aca="false">'Raw Data'!D2203</f>
        <v>Current</v>
      </c>
      <c r="E2203" s="7" t="str">
        <f aca="false">'Raw Data'!J2203</f>
        <v>Normal</v>
      </c>
      <c r="F2203" s="7" t="n">
        <f aca="false">'Raw Data'!K2203</f>
        <v>189.8</v>
      </c>
      <c r="G2203" s="7" t="str">
        <f aca="false">'Raw Data'!L2203</f>
        <v>Yes</v>
      </c>
      <c r="H2203" s="7" t="str">
        <f aca="false">'Raw Data'!M2203</f>
        <v>Moderate</v>
      </c>
      <c r="I2203" s="7" t="n">
        <f aca="false">(IF(D2203="Current",3,IF(D2203="Former",1,0)))+(IF(E2203="High",3,IF(E2203="Normal",1,0)))+(IF(F2203&gt;=240,2,IF(F2203&gt;=200,1,0)))+(IF(G2203="Yes",2,0))+(IF(H2203="High",2,IF(H2203="Moderate",1,0)))</f>
        <v>7</v>
      </c>
      <c r="J2203" s="7" t="str">
        <f aca="false">IF(I2203&gt;=8,"High",IF(I2203&gt;=4,"Medium","Low"))</f>
        <v>Medium</v>
      </c>
    </row>
    <row r="2204" customFormat="false" ht="15" hidden="false" customHeight="true" outlineLevel="0" collapsed="false">
      <c r="A2204" s="7" t="n">
        <f aca="false">'Raw Data'!A2204</f>
        <v>1271</v>
      </c>
      <c r="B2204" s="7" t="n">
        <f aca="false">'Raw Data'!B2204</f>
        <v>60</v>
      </c>
      <c r="C2204" s="7" t="str">
        <f aca="false">'Raw Data'!C2204</f>
        <v>Female</v>
      </c>
      <c r="D2204" s="7" t="str">
        <f aca="false">'Raw Data'!D2204</f>
        <v>Current</v>
      </c>
      <c r="E2204" s="7" t="str">
        <f aca="false">'Raw Data'!J2204</f>
        <v>Normal</v>
      </c>
      <c r="F2204" s="7" t="n">
        <f aca="false">'Raw Data'!K2204</f>
        <v>148.5</v>
      </c>
      <c r="G2204" s="7" t="str">
        <f aca="false">'Raw Data'!L2204</f>
        <v>Yes</v>
      </c>
      <c r="H2204" s="7" t="str">
        <f aca="false">'Raw Data'!M2204</f>
        <v>Moderate</v>
      </c>
      <c r="I2204" s="7" t="n">
        <f aca="false">(IF(D2204="Current",3,IF(D2204="Former",1,0)))+(IF(E2204="High",3,IF(E2204="Normal",1,0)))+(IF(F2204&gt;=240,2,IF(F2204&gt;=200,1,0)))+(IF(G2204="Yes",2,0))+(IF(H2204="High",2,IF(H2204="Moderate",1,0)))</f>
        <v>7</v>
      </c>
      <c r="J2204" s="7" t="str">
        <f aca="false">IF(I2204&gt;=8,"High",IF(I2204&gt;=4,"Medium","Low"))</f>
        <v>Medium</v>
      </c>
    </row>
    <row r="2205" customFormat="false" ht="15" hidden="false" customHeight="true" outlineLevel="0" collapsed="false">
      <c r="A2205" s="7" t="n">
        <f aca="false">'Raw Data'!A2205</f>
        <v>1285</v>
      </c>
      <c r="B2205" s="7" t="n">
        <f aca="false">'Raw Data'!B2205</f>
        <v>68</v>
      </c>
      <c r="C2205" s="7" t="str">
        <f aca="false">'Raw Data'!C2205</f>
        <v>Female</v>
      </c>
      <c r="D2205" s="7" t="str">
        <f aca="false">'Raw Data'!D2205</f>
        <v>Current</v>
      </c>
      <c r="E2205" s="7" t="str">
        <f aca="false">'Raw Data'!J2205</f>
        <v>Normal</v>
      </c>
      <c r="F2205" s="7" t="n">
        <f aca="false">'Raw Data'!K2205</f>
        <v>216.8</v>
      </c>
      <c r="G2205" s="7" t="str">
        <f aca="false">'Raw Data'!L2205</f>
        <v>No</v>
      </c>
      <c r="H2205" s="7" t="str">
        <f aca="false">'Raw Data'!M2205</f>
        <v>Moderate</v>
      </c>
      <c r="I2205" s="7" t="n">
        <f aca="false">(IF(D2205="Current",3,IF(D2205="Former",1,0)))+(IF(E2205="High",3,IF(E2205="Normal",1,0)))+(IF(F2205&gt;=240,2,IF(F2205&gt;=200,1,0)))+(IF(G2205="Yes",2,0))+(IF(H2205="High",2,IF(H2205="Moderate",1,0)))</f>
        <v>6</v>
      </c>
      <c r="J2205" s="7" t="str">
        <f aca="false">IF(I2205&gt;=8,"High",IF(I2205&gt;=4,"Medium","Low"))</f>
        <v>Medium</v>
      </c>
    </row>
    <row r="2206" customFormat="false" ht="15" hidden="false" customHeight="true" outlineLevel="0" collapsed="false">
      <c r="A2206" s="7" t="n">
        <f aca="false">'Raw Data'!A2206</f>
        <v>1295</v>
      </c>
      <c r="B2206" s="7" t="n">
        <f aca="false">'Raw Data'!B2206</f>
        <v>25</v>
      </c>
      <c r="C2206" s="7" t="str">
        <f aca="false">'Raw Data'!C2206</f>
        <v>Male</v>
      </c>
      <c r="D2206" s="7" t="str">
        <f aca="false">'Raw Data'!D2206</f>
        <v>Current</v>
      </c>
      <c r="E2206" s="7" t="str">
        <f aca="false">'Raw Data'!J2206</f>
        <v>Normal</v>
      </c>
      <c r="F2206" s="7" t="n">
        <f aca="false">'Raw Data'!K2206</f>
        <v>172.6</v>
      </c>
      <c r="G2206" s="7" t="str">
        <f aca="false">'Raw Data'!L2206</f>
        <v>No</v>
      </c>
      <c r="H2206" s="7" t="str">
        <f aca="false">'Raw Data'!M2206</f>
        <v>Moderate</v>
      </c>
      <c r="I2206" s="7" t="n">
        <f aca="false">(IF(D2206="Current",3,IF(D2206="Former",1,0)))+(IF(E2206="High",3,IF(E2206="Normal",1,0)))+(IF(F2206&gt;=240,2,IF(F2206&gt;=200,1,0)))+(IF(G2206="Yes",2,0))+(IF(H2206="High",2,IF(H2206="Moderate",1,0)))</f>
        <v>5</v>
      </c>
      <c r="J2206" s="7" t="str">
        <f aca="false">IF(I2206&gt;=8,"High",IF(I2206&gt;=4,"Medium","Low"))</f>
        <v>Medium</v>
      </c>
    </row>
    <row r="2207" customFormat="false" ht="15" hidden="false" customHeight="true" outlineLevel="0" collapsed="false">
      <c r="A2207" s="7" t="n">
        <f aca="false">'Raw Data'!A2207</f>
        <v>1296</v>
      </c>
      <c r="B2207" s="7" t="n">
        <f aca="false">'Raw Data'!B2207</f>
        <v>70</v>
      </c>
      <c r="C2207" s="7" t="str">
        <f aca="false">'Raw Data'!C2207</f>
        <v>Female</v>
      </c>
      <c r="D2207" s="7" t="str">
        <f aca="false">'Raw Data'!D2207</f>
        <v>Current</v>
      </c>
      <c r="E2207" s="7" t="str">
        <f aca="false">'Raw Data'!J2207</f>
        <v>Normal</v>
      </c>
      <c r="F2207" s="7" t="n">
        <f aca="false">'Raw Data'!K2207</f>
        <v>196.7</v>
      </c>
      <c r="G2207" s="7" t="str">
        <f aca="false">'Raw Data'!L2207</f>
        <v>No</v>
      </c>
      <c r="H2207" s="7" t="str">
        <f aca="false">'Raw Data'!M2207</f>
        <v>Moderate</v>
      </c>
      <c r="I2207" s="7" t="n">
        <f aca="false">(IF(D2207="Current",3,IF(D2207="Former",1,0)))+(IF(E2207="High",3,IF(E2207="Normal",1,0)))+(IF(F2207&gt;=240,2,IF(F2207&gt;=200,1,0)))+(IF(G2207="Yes",2,0))+(IF(H2207="High",2,IF(H2207="Moderate",1,0)))</f>
        <v>5</v>
      </c>
      <c r="J2207" s="7" t="str">
        <f aca="false">IF(I2207&gt;=8,"High",IF(I2207&gt;=4,"Medium","Low"))</f>
        <v>Medium</v>
      </c>
    </row>
    <row r="2208" customFormat="false" ht="15" hidden="false" customHeight="true" outlineLevel="0" collapsed="false">
      <c r="A2208" s="7" t="n">
        <f aca="false">'Raw Data'!A2208</f>
        <v>1320</v>
      </c>
      <c r="B2208" s="7" t="n">
        <f aca="false">'Raw Data'!B2208</f>
        <v>81</v>
      </c>
      <c r="C2208" s="7" t="str">
        <f aca="false">'Raw Data'!C2208</f>
        <v>Male</v>
      </c>
      <c r="D2208" s="7" t="str">
        <f aca="false">'Raw Data'!D2208</f>
        <v>Current</v>
      </c>
      <c r="E2208" s="7" t="str">
        <f aca="false">'Raw Data'!J2208</f>
        <v>Normal</v>
      </c>
      <c r="F2208" s="7" t="n">
        <f aca="false">'Raw Data'!K2208</f>
        <v>293.9</v>
      </c>
      <c r="G2208" s="7" t="str">
        <f aca="false">'Raw Data'!L2208</f>
        <v>Yes</v>
      </c>
      <c r="H2208" s="7" t="str">
        <f aca="false">'Raw Data'!M2208</f>
        <v>Moderate</v>
      </c>
      <c r="I2208" s="7" t="n">
        <f aca="false">(IF(D2208="Current",3,IF(D2208="Former",1,0)))+(IF(E2208="High",3,IF(E2208="Normal",1,0)))+(IF(F2208&gt;=240,2,IF(F2208&gt;=200,1,0)))+(IF(G2208="Yes",2,0))+(IF(H2208="High",2,IF(H2208="Moderate",1,0)))</f>
        <v>9</v>
      </c>
      <c r="J2208" s="7" t="str">
        <f aca="false">IF(I2208&gt;=8,"High",IF(I2208&gt;=4,"Medium","Low"))</f>
        <v>High</v>
      </c>
    </row>
    <row r="2209" customFormat="false" ht="15" hidden="false" customHeight="true" outlineLevel="0" collapsed="false">
      <c r="A2209" s="7" t="n">
        <f aca="false">'Raw Data'!A2209</f>
        <v>1323</v>
      </c>
      <c r="B2209" s="7" t="n">
        <f aca="false">'Raw Data'!B2209</f>
        <v>45</v>
      </c>
      <c r="C2209" s="7" t="str">
        <f aca="false">'Raw Data'!C2209</f>
        <v>Male</v>
      </c>
      <c r="D2209" s="7" t="str">
        <f aca="false">'Raw Data'!D2209</f>
        <v>Current</v>
      </c>
      <c r="E2209" s="7" t="str">
        <f aca="false">'Raw Data'!J2209</f>
        <v>Normal</v>
      </c>
      <c r="F2209" s="7" t="n">
        <f aca="false">'Raw Data'!K2209</f>
        <v>162.1</v>
      </c>
      <c r="G2209" s="7" t="str">
        <f aca="false">'Raw Data'!L2209</f>
        <v>No</v>
      </c>
      <c r="H2209" s="7" t="str">
        <f aca="false">'Raw Data'!M2209</f>
        <v>Moderate</v>
      </c>
      <c r="I2209" s="7" t="n">
        <f aca="false">(IF(D2209="Current",3,IF(D2209="Former",1,0)))+(IF(E2209="High",3,IF(E2209="Normal",1,0)))+(IF(F2209&gt;=240,2,IF(F2209&gt;=200,1,0)))+(IF(G2209="Yes",2,0))+(IF(H2209="High",2,IF(H2209="Moderate",1,0)))</f>
        <v>5</v>
      </c>
      <c r="J2209" s="7" t="str">
        <f aca="false">IF(I2209&gt;=8,"High",IF(I2209&gt;=4,"Medium","Low"))</f>
        <v>Medium</v>
      </c>
    </row>
    <row r="2210" customFormat="false" ht="15" hidden="false" customHeight="true" outlineLevel="0" collapsed="false">
      <c r="A2210" s="7" t="n">
        <f aca="false">'Raw Data'!A2210</f>
        <v>1341</v>
      </c>
      <c r="B2210" s="7" t="n">
        <f aca="false">'Raw Data'!B2210</f>
        <v>53</v>
      </c>
      <c r="C2210" s="7" t="str">
        <f aca="false">'Raw Data'!C2210</f>
        <v>Male</v>
      </c>
      <c r="D2210" s="7" t="str">
        <f aca="false">'Raw Data'!D2210</f>
        <v>Current</v>
      </c>
      <c r="E2210" s="7" t="str">
        <f aca="false">'Raw Data'!J2210</f>
        <v>Normal</v>
      </c>
      <c r="F2210" s="7" t="n">
        <f aca="false">'Raw Data'!K2210</f>
        <v>278.9</v>
      </c>
      <c r="G2210" s="7" t="str">
        <f aca="false">'Raw Data'!L2210</f>
        <v>Yes</v>
      </c>
      <c r="H2210" s="7" t="str">
        <f aca="false">'Raw Data'!M2210</f>
        <v>Moderate</v>
      </c>
      <c r="I2210" s="7" t="n">
        <f aca="false">(IF(D2210="Current",3,IF(D2210="Former",1,0)))+(IF(E2210="High",3,IF(E2210="Normal",1,0)))+(IF(F2210&gt;=240,2,IF(F2210&gt;=200,1,0)))+(IF(G2210="Yes",2,0))+(IF(H2210="High",2,IF(H2210="Moderate",1,0)))</f>
        <v>9</v>
      </c>
      <c r="J2210" s="7" t="str">
        <f aca="false">IF(I2210&gt;=8,"High",IF(I2210&gt;=4,"Medium","Low"))</f>
        <v>High</v>
      </c>
    </row>
    <row r="2211" customFormat="false" ht="15" hidden="false" customHeight="true" outlineLevel="0" collapsed="false">
      <c r="A2211" s="7" t="n">
        <f aca="false">'Raw Data'!A2211</f>
        <v>1351</v>
      </c>
      <c r="B2211" s="7" t="n">
        <f aca="false">'Raw Data'!B2211</f>
        <v>23</v>
      </c>
      <c r="C2211" s="7" t="str">
        <f aca="false">'Raw Data'!C2211</f>
        <v>Female</v>
      </c>
      <c r="D2211" s="7" t="str">
        <f aca="false">'Raw Data'!D2211</f>
        <v>Current</v>
      </c>
      <c r="E2211" s="7" t="str">
        <f aca="false">'Raw Data'!J2211</f>
        <v>Normal</v>
      </c>
      <c r="F2211" s="7" t="n">
        <f aca="false">'Raw Data'!K2211</f>
        <v>211</v>
      </c>
      <c r="G2211" s="7" t="str">
        <f aca="false">'Raw Data'!L2211</f>
        <v>Yes</v>
      </c>
      <c r="H2211" s="7" t="str">
        <f aca="false">'Raw Data'!M2211</f>
        <v>Moderate</v>
      </c>
      <c r="I2211" s="7" t="n">
        <f aca="false">(IF(D2211="Current",3,IF(D2211="Former",1,0)))+(IF(E2211="High",3,IF(E2211="Normal",1,0)))+(IF(F2211&gt;=240,2,IF(F2211&gt;=200,1,0)))+(IF(G2211="Yes",2,0))+(IF(H2211="High",2,IF(H2211="Moderate",1,0)))</f>
        <v>8</v>
      </c>
      <c r="J2211" s="7" t="str">
        <f aca="false">IF(I2211&gt;=8,"High",IF(I2211&gt;=4,"Medium","Low"))</f>
        <v>High</v>
      </c>
    </row>
    <row r="2212" customFormat="false" ht="15" hidden="false" customHeight="true" outlineLevel="0" collapsed="false">
      <c r="A2212" s="7" t="n">
        <f aca="false">'Raw Data'!A2212</f>
        <v>1375</v>
      </c>
      <c r="B2212" s="7" t="n">
        <f aca="false">'Raw Data'!B2212</f>
        <v>64</v>
      </c>
      <c r="C2212" s="7" t="str">
        <f aca="false">'Raw Data'!C2212</f>
        <v>Male</v>
      </c>
      <c r="D2212" s="7" t="str">
        <f aca="false">'Raw Data'!D2212</f>
        <v>Current</v>
      </c>
      <c r="E2212" s="7" t="str">
        <f aca="false">'Raw Data'!J2212</f>
        <v>Normal</v>
      </c>
      <c r="F2212" s="7" t="n">
        <f aca="false">'Raw Data'!K2212</f>
        <v>242.4</v>
      </c>
      <c r="G2212" s="7" t="str">
        <f aca="false">'Raw Data'!L2212</f>
        <v>No</v>
      </c>
      <c r="H2212" s="7" t="str">
        <f aca="false">'Raw Data'!M2212</f>
        <v>Moderate</v>
      </c>
      <c r="I2212" s="7" t="n">
        <f aca="false">(IF(D2212="Current",3,IF(D2212="Former",1,0)))+(IF(E2212="High",3,IF(E2212="Normal",1,0)))+(IF(F2212&gt;=240,2,IF(F2212&gt;=200,1,0)))+(IF(G2212="Yes",2,0))+(IF(H2212="High",2,IF(H2212="Moderate",1,0)))</f>
        <v>7</v>
      </c>
      <c r="J2212" s="7" t="str">
        <f aca="false">IF(I2212&gt;=8,"High",IF(I2212&gt;=4,"Medium","Low"))</f>
        <v>Medium</v>
      </c>
    </row>
    <row r="2213" customFormat="false" ht="15" hidden="false" customHeight="true" outlineLevel="0" collapsed="false">
      <c r="A2213" s="7" t="n">
        <f aca="false">'Raw Data'!A2213</f>
        <v>1383</v>
      </c>
      <c r="B2213" s="7" t="n">
        <f aca="false">'Raw Data'!B2213</f>
        <v>68</v>
      </c>
      <c r="C2213" s="7" t="str">
        <f aca="false">'Raw Data'!C2213</f>
        <v>Male</v>
      </c>
      <c r="D2213" s="7" t="str">
        <f aca="false">'Raw Data'!D2213</f>
        <v>Current</v>
      </c>
      <c r="E2213" s="7" t="str">
        <f aca="false">'Raw Data'!J2213</f>
        <v>Normal</v>
      </c>
      <c r="F2213" s="7" t="n">
        <f aca="false">'Raw Data'!K2213</f>
        <v>295.3</v>
      </c>
      <c r="G2213" s="7" t="str">
        <f aca="false">'Raw Data'!L2213</f>
        <v>No</v>
      </c>
      <c r="H2213" s="7" t="str">
        <f aca="false">'Raw Data'!M2213</f>
        <v>Moderate</v>
      </c>
      <c r="I2213" s="7" t="n">
        <f aca="false">(IF(D2213="Current",3,IF(D2213="Former",1,0)))+(IF(E2213="High",3,IF(E2213="Normal",1,0)))+(IF(F2213&gt;=240,2,IF(F2213&gt;=200,1,0)))+(IF(G2213="Yes",2,0))+(IF(H2213="High",2,IF(H2213="Moderate",1,0)))</f>
        <v>7</v>
      </c>
      <c r="J2213" s="7" t="str">
        <f aca="false">IF(I2213&gt;=8,"High",IF(I2213&gt;=4,"Medium","Low"))</f>
        <v>Medium</v>
      </c>
    </row>
    <row r="2214" customFormat="false" ht="15" hidden="false" customHeight="true" outlineLevel="0" collapsed="false">
      <c r="A2214" s="7" t="n">
        <f aca="false">'Raw Data'!A2214</f>
        <v>1392</v>
      </c>
      <c r="B2214" s="7" t="n">
        <f aca="false">'Raw Data'!B2214</f>
        <v>84</v>
      </c>
      <c r="C2214" s="7" t="str">
        <f aca="false">'Raw Data'!C2214</f>
        <v>Female</v>
      </c>
      <c r="D2214" s="7" t="str">
        <f aca="false">'Raw Data'!D2214</f>
        <v>Current</v>
      </c>
      <c r="E2214" s="7" t="str">
        <f aca="false">'Raw Data'!J2214</f>
        <v>Normal</v>
      </c>
      <c r="F2214" s="7" t="n">
        <f aca="false">'Raw Data'!K2214</f>
        <v>272.8</v>
      </c>
      <c r="G2214" s="7" t="str">
        <f aca="false">'Raw Data'!L2214</f>
        <v>Yes</v>
      </c>
      <c r="H2214" s="7" t="str">
        <f aca="false">'Raw Data'!M2214</f>
        <v>Moderate</v>
      </c>
      <c r="I2214" s="7" t="n">
        <f aca="false">(IF(D2214="Current",3,IF(D2214="Former",1,0)))+(IF(E2214="High",3,IF(E2214="Normal",1,0)))+(IF(F2214&gt;=240,2,IF(F2214&gt;=200,1,0)))+(IF(G2214="Yes",2,0))+(IF(H2214="High",2,IF(H2214="Moderate",1,0)))</f>
        <v>9</v>
      </c>
      <c r="J2214" s="7" t="str">
        <f aca="false">IF(I2214&gt;=8,"High",IF(I2214&gt;=4,"Medium","Low"))</f>
        <v>High</v>
      </c>
    </row>
    <row r="2215" customFormat="false" ht="15" hidden="false" customHeight="true" outlineLevel="0" collapsed="false">
      <c r="A2215" s="7" t="n">
        <f aca="false">'Raw Data'!A2215</f>
        <v>1426</v>
      </c>
      <c r="B2215" s="7" t="n">
        <f aca="false">'Raw Data'!B2215</f>
        <v>75</v>
      </c>
      <c r="C2215" s="7" t="str">
        <f aca="false">'Raw Data'!C2215</f>
        <v>Male</v>
      </c>
      <c r="D2215" s="7" t="str">
        <f aca="false">'Raw Data'!D2215</f>
        <v>Current</v>
      </c>
      <c r="E2215" s="7" t="str">
        <f aca="false">'Raw Data'!J2215</f>
        <v>Normal</v>
      </c>
      <c r="F2215" s="7" t="n">
        <f aca="false">'Raw Data'!K2215</f>
        <v>280.3</v>
      </c>
      <c r="G2215" s="7" t="str">
        <f aca="false">'Raw Data'!L2215</f>
        <v>No</v>
      </c>
      <c r="H2215" s="7" t="str">
        <f aca="false">'Raw Data'!M2215</f>
        <v>Moderate</v>
      </c>
      <c r="I2215" s="7" t="n">
        <f aca="false">(IF(D2215="Current",3,IF(D2215="Former",1,0)))+(IF(E2215="High",3,IF(E2215="Normal",1,0)))+(IF(F2215&gt;=240,2,IF(F2215&gt;=200,1,0)))+(IF(G2215="Yes",2,0))+(IF(H2215="High",2,IF(H2215="Moderate",1,0)))</f>
        <v>7</v>
      </c>
      <c r="J2215" s="7" t="str">
        <f aca="false">IF(I2215&gt;=8,"High",IF(I2215&gt;=4,"Medium","Low"))</f>
        <v>Medium</v>
      </c>
    </row>
    <row r="2216" customFormat="false" ht="15" hidden="false" customHeight="true" outlineLevel="0" collapsed="false">
      <c r="A2216" s="7" t="n">
        <f aca="false">'Raw Data'!A2216</f>
        <v>1427</v>
      </c>
      <c r="B2216" s="7" t="n">
        <f aca="false">'Raw Data'!B2216</f>
        <v>87</v>
      </c>
      <c r="C2216" s="7" t="str">
        <f aca="false">'Raw Data'!C2216</f>
        <v>Female</v>
      </c>
      <c r="D2216" s="7" t="str">
        <f aca="false">'Raw Data'!D2216</f>
        <v>Current</v>
      </c>
      <c r="E2216" s="7" t="str">
        <f aca="false">'Raw Data'!J2216</f>
        <v>Normal</v>
      </c>
      <c r="F2216" s="7" t="n">
        <f aca="false">'Raw Data'!K2216</f>
        <v>269.1</v>
      </c>
      <c r="G2216" s="7" t="str">
        <f aca="false">'Raw Data'!L2216</f>
        <v>No</v>
      </c>
      <c r="H2216" s="7" t="str">
        <f aca="false">'Raw Data'!M2216</f>
        <v>Moderate</v>
      </c>
      <c r="I2216" s="7" t="n">
        <f aca="false">(IF(D2216="Current",3,IF(D2216="Former",1,0)))+(IF(E2216="High",3,IF(E2216="Normal",1,0)))+(IF(F2216&gt;=240,2,IF(F2216&gt;=200,1,0)))+(IF(G2216="Yes",2,0))+(IF(H2216="High",2,IF(H2216="Moderate",1,0)))</f>
        <v>7</v>
      </c>
      <c r="J2216" s="7" t="str">
        <f aca="false">IF(I2216&gt;=8,"High",IF(I2216&gt;=4,"Medium","Low"))</f>
        <v>Medium</v>
      </c>
    </row>
    <row r="2217" customFormat="false" ht="15" hidden="false" customHeight="true" outlineLevel="0" collapsed="false">
      <c r="A2217" s="7" t="n">
        <f aca="false">'Raw Data'!A2217</f>
        <v>1460</v>
      </c>
      <c r="B2217" s="7" t="n">
        <f aca="false">'Raw Data'!B2217</f>
        <v>31</v>
      </c>
      <c r="C2217" s="7" t="str">
        <f aca="false">'Raw Data'!C2217</f>
        <v>Female</v>
      </c>
      <c r="D2217" s="7" t="str">
        <f aca="false">'Raw Data'!D2217</f>
        <v>Current</v>
      </c>
      <c r="E2217" s="7" t="str">
        <f aca="false">'Raw Data'!J2217</f>
        <v>Normal</v>
      </c>
      <c r="F2217" s="7" t="n">
        <f aca="false">'Raw Data'!K2217</f>
        <v>299.1</v>
      </c>
      <c r="G2217" s="7" t="str">
        <f aca="false">'Raw Data'!L2217</f>
        <v>No</v>
      </c>
      <c r="H2217" s="7" t="str">
        <f aca="false">'Raw Data'!M2217</f>
        <v>Moderate</v>
      </c>
      <c r="I2217" s="7" t="n">
        <f aca="false">(IF(D2217="Current",3,IF(D2217="Former",1,0)))+(IF(E2217="High",3,IF(E2217="Normal",1,0)))+(IF(F2217&gt;=240,2,IF(F2217&gt;=200,1,0)))+(IF(G2217="Yes",2,0))+(IF(H2217="High",2,IF(H2217="Moderate",1,0)))</f>
        <v>7</v>
      </c>
      <c r="J2217" s="7" t="str">
        <f aca="false">IF(I2217&gt;=8,"High",IF(I2217&gt;=4,"Medium","Low"))</f>
        <v>Medium</v>
      </c>
    </row>
    <row r="2218" customFormat="false" ht="15" hidden="false" customHeight="true" outlineLevel="0" collapsed="false">
      <c r="A2218" s="7" t="n">
        <f aca="false">'Raw Data'!A2218</f>
        <v>1480</v>
      </c>
      <c r="B2218" s="7" t="n">
        <f aca="false">'Raw Data'!B2218</f>
        <v>79</v>
      </c>
      <c r="C2218" s="7" t="str">
        <f aca="false">'Raw Data'!C2218</f>
        <v>Male</v>
      </c>
      <c r="D2218" s="7" t="str">
        <f aca="false">'Raw Data'!D2218</f>
        <v>Current</v>
      </c>
      <c r="E2218" s="7" t="str">
        <f aca="false">'Raw Data'!J2218</f>
        <v>Normal</v>
      </c>
      <c r="F2218" s="7" t="n">
        <f aca="false">'Raw Data'!K2218</f>
        <v>192.4</v>
      </c>
      <c r="G2218" s="7" t="str">
        <f aca="false">'Raw Data'!L2218</f>
        <v>Yes</v>
      </c>
      <c r="H2218" s="7" t="str">
        <f aca="false">'Raw Data'!M2218</f>
        <v>Moderate</v>
      </c>
      <c r="I2218" s="7" t="n">
        <f aca="false">(IF(D2218="Current",3,IF(D2218="Former",1,0)))+(IF(E2218="High",3,IF(E2218="Normal",1,0)))+(IF(F2218&gt;=240,2,IF(F2218&gt;=200,1,0)))+(IF(G2218="Yes",2,0))+(IF(H2218="High",2,IF(H2218="Moderate",1,0)))</f>
        <v>7</v>
      </c>
      <c r="J2218" s="7" t="str">
        <f aca="false">IF(I2218&gt;=8,"High",IF(I2218&gt;=4,"Medium","Low"))</f>
        <v>Medium</v>
      </c>
    </row>
    <row r="2219" customFormat="false" ht="15" hidden="false" customHeight="true" outlineLevel="0" collapsed="false">
      <c r="A2219" s="7" t="n">
        <f aca="false">'Raw Data'!A2219</f>
        <v>1516</v>
      </c>
      <c r="B2219" s="7" t="n">
        <f aca="false">'Raw Data'!B2219</f>
        <v>87</v>
      </c>
      <c r="C2219" s="7" t="str">
        <f aca="false">'Raw Data'!C2219</f>
        <v>Male</v>
      </c>
      <c r="D2219" s="7" t="str">
        <f aca="false">'Raw Data'!D2219</f>
        <v>Current</v>
      </c>
      <c r="E2219" s="7" t="str">
        <f aca="false">'Raw Data'!J2219</f>
        <v>Normal</v>
      </c>
      <c r="F2219" s="7" t="n">
        <f aca="false">'Raw Data'!K2219</f>
        <v>242.5</v>
      </c>
      <c r="G2219" s="7" t="str">
        <f aca="false">'Raw Data'!L2219</f>
        <v>Yes</v>
      </c>
      <c r="H2219" s="7" t="str">
        <f aca="false">'Raw Data'!M2219</f>
        <v>Moderate</v>
      </c>
      <c r="I2219" s="7" t="n">
        <f aca="false">(IF(D2219="Current",3,IF(D2219="Former",1,0)))+(IF(E2219="High",3,IF(E2219="Normal",1,0)))+(IF(F2219&gt;=240,2,IF(F2219&gt;=200,1,0)))+(IF(G2219="Yes",2,0))+(IF(H2219="High",2,IF(H2219="Moderate",1,0)))</f>
        <v>9</v>
      </c>
      <c r="J2219" s="7" t="str">
        <f aca="false">IF(I2219&gt;=8,"High",IF(I2219&gt;=4,"Medium","Low"))</f>
        <v>High</v>
      </c>
    </row>
    <row r="2220" customFormat="false" ht="15" hidden="false" customHeight="true" outlineLevel="0" collapsed="false">
      <c r="A2220" s="7" t="n">
        <f aca="false">'Raw Data'!A2220</f>
        <v>1528</v>
      </c>
      <c r="B2220" s="7" t="n">
        <f aca="false">'Raw Data'!B2220</f>
        <v>41</v>
      </c>
      <c r="C2220" s="7" t="str">
        <f aca="false">'Raw Data'!C2220</f>
        <v>Female</v>
      </c>
      <c r="D2220" s="7" t="str">
        <f aca="false">'Raw Data'!D2220</f>
        <v>Current</v>
      </c>
      <c r="E2220" s="7" t="str">
        <f aca="false">'Raw Data'!J2220</f>
        <v>Normal</v>
      </c>
      <c r="F2220" s="7" t="n">
        <f aca="false">'Raw Data'!K2220</f>
        <v>293.5</v>
      </c>
      <c r="G2220" s="7" t="str">
        <f aca="false">'Raw Data'!L2220</f>
        <v>No</v>
      </c>
      <c r="H2220" s="7" t="str">
        <f aca="false">'Raw Data'!M2220</f>
        <v>Moderate</v>
      </c>
      <c r="I2220" s="7" t="n">
        <f aca="false">(IF(D2220="Current",3,IF(D2220="Former",1,0)))+(IF(E2220="High",3,IF(E2220="Normal",1,0)))+(IF(F2220&gt;=240,2,IF(F2220&gt;=200,1,0)))+(IF(G2220="Yes",2,0))+(IF(H2220="High",2,IF(H2220="Moderate",1,0)))</f>
        <v>7</v>
      </c>
      <c r="J2220" s="7" t="str">
        <f aca="false">IF(I2220&gt;=8,"High",IF(I2220&gt;=4,"Medium","Low"))</f>
        <v>Medium</v>
      </c>
    </row>
    <row r="2221" customFormat="false" ht="15" hidden="false" customHeight="true" outlineLevel="0" collapsed="false">
      <c r="A2221" s="7" t="n">
        <f aca="false">'Raw Data'!A2221</f>
        <v>1529</v>
      </c>
      <c r="B2221" s="7" t="n">
        <f aca="false">'Raw Data'!B2221</f>
        <v>75</v>
      </c>
      <c r="C2221" s="7" t="str">
        <f aca="false">'Raw Data'!C2221</f>
        <v>Female</v>
      </c>
      <c r="D2221" s="7" t="str">
        <f aca="false">'Raw Data'!D2221</f>
        <v>Current</v>
      </c>
      <c r="E2221" s="7" t="str">
        <f aca="false">'Raw Data'!J2221</f>
        <v>Normal</v>
      </c>
      <c r="F2221" s="7" t="n">
        <f aca="false">'Raw Data'!K2221</f>
        <v>295.4</v>
      </c>
      <c r="G2221" s="7" t="str">
        <f aca="false">'Raw Data'!L2221</f>
        <v>No</v>
      </c>
      <c r="H2221" s="7" t="str">
        <f aca="false">'Raw Data'!M2221</f>
        <v>Moderate</v>
      </c>
      <c r="I2221" s="7" t="n">
        <f aca="false">(IF(D2221="Current",3,IF(D2221="Former",1,0)))+(IF(E2221="High",3,IF(E2221="Normal",1,0)))+(IF(F2221&gt;=240,2,IF(F2221&gt;=200,1,0)))+(IF(G2221="Yes",2,0))+(IF(H2221="High",2,IF(H2221="Moderate",1,0)))</f>
        <v>7</v>
      </c>
      <c r="J2221" s="7" t="str">
        <f aca="false">IF(I2221&gt;=8,"High",IF(I2221&gt;=4,"Medium","Low"))</f>
        <v>Medium</v>
      </c>
    </row>
    <row r="2222" customFormat="false" ht="15" hidden="false" customHeight="true" outlineLevel="0" collapsed="false">
      <c r="A2222" s="7" t="n">
        <f aca="false">'Raw Data'!A2222</f>
        <v>1540</v>
      </c>
      <c r="B2222" s="7" t="n">
        <f aca="false">'Raw Data'!B2222</f>
        <v>23</v>
      </c>
      <c r="C2222" s="7" t="str">
        <f aca="false">'Raw Data'!C2222</f>
        <v>Male</v>
      </c>
      <c r="D2222" s="7" t="str">
        <f aca="false">'Raw Data'!D2222</f>
        <v>Current</v>
      </c>
      <c r="E2222" s="7" t="str">
        <f aca="false">'Raw Data'!J2222</f>
        <v>Normal</v>
      </c>
      <c r="F2222" s="7" t="n">
        <f aca="false">'Raw Data'!K2222</f>
        <v>281.6</v>
      </c>
      <c r="G2222" s="7" t="str">
        <f aca="false">'Raw Data'!L2222</f>
        <v>Yes</v>
      </c>
      <c r="H2222" s="7" t="str">
        <f aca="false">'Raw Data'!M2222</f>
        <v>Moderate</v>
      </c>
      <c r="I2222" s="7" t="n">
        <f aca="false">(IF(D2222="Current",3,IF(D2222="Former",1,0)))+(IF(E2222="High",3,IF(E2222="Normal",1,0)))+(IF(F2222&gt;=240,2,IF(F2222&gt;=200,1,0)))+(IF(G2222="Yes",2,0))+(IF(H2222="High",2,IF(H2222="Moderate",1,0)))</f>
        <v>9</v>
      </c>
      <c r="J2222" s="7" t="str">
        <f aca="false">IF(I2222&gt;=8,"High",IF(I2222&gt;=4,"Medium","Low"))</f>
        <v>High</v>
      </c>
    </row>
    <row r="2223" customFormat="false" ht="15" hidden="false" customHeight="true" outlineLevel="0" collapsed="false">
      <c r="A2223" s="7" t="n">
        <f aca="false">'Raw Data'!A2223</f>
        <v>1551</v>
      </c>
      <c r="B2223" s="7" t="n">
        <f aca="false">'Raw Data'!B2223</f>
        <v>62</v>
      </c>
      <c r="C2223" s="7" t="str">
        <f aca="false">'Raw Data'!C2223</f>
        <v>Male</v>
      </c>
      <c r="D2223" s="7" t="str">
        <f aca="false">'Raw Data'!D2223</f>
        <v>Current</v>
      </c>
      <c r="E2223" s="7" t="str">
        <f aca="false">'Raw Data'!J2223</f>
        <v>Normal</v>
      </c>
      <c r="F2223" s="7" t="n">
        <f aca="false">'Raw Data'!K2223</f>
        <v>185.6</v>
      </c>
      <c r="G2223" s="7" t="str">
        <f aca="false">'Raw Data'!L2223</f>
        <v>No</v>
      </c>
      <c r="H2223" s="7" t="str">
        <f aca="false">'Raw Data'!M2223</f>
        <v>Moderate</v>
      </c>
      <c r="I2223" s="7" t="n">
        <f aca="false">(IF(D2223="Current",3,IF(D2223="Former",1,0)))+(IF(E2223="High",3,IF(E2223="Normal",1,0)))+(IF(F2223&gt;=240,2,IF(F2223&gt;=200,1,0)))+(IF(G2223="Yes",2,0))+(IF(H2223="High",2,IF(H2223="Moderate",1,0)))</f>
        <v>5</v>
      </c>
      <c r="J2223" s="7" t="str">
        <f aca="false">IF(I2223&gt;=8,"High",IF(I2223&gt;=4,"Medium","Low"))</f>
        <v>Medium</v>
      </c>
    </row>
    <row r="2224" customFormat="false" ht="15" hidden="false" customHeight="true" outlineLevel="0" collapsed="false">
      <c r="A2224" s="7" t="n">
        <f aca="false">'Raw Data'!A2224</f>
        <v>1562</v>
      </c>
      <c r="B2224" s="7" t="n">
        <f aca="false">'Raw Data'!B2224</f>
        <v>65</v>
      </c>
      <c r="C2224" s="7" t="str">
        <f aca="false">'Raw Data'!C2224</f>
        <v>Female</v>
      </c>
      <c r="D2224" s="7" t="str">
        <f aca="false">'Raw Data'!D2224</f>
        <v>Current</v>
      </c>
      <c r="E2224" s="7" t="str">
        <f aca="false">'Raw Data'!J2224</f>
        <v>Normal</v>
      </c>
      <c r="F2224" s="7" t="n">
        <f aca="false">'Raw Data'!K2224</f>
        <v>242.6</v>
      </c>
      <c r="G2224" s="7" t="str">
        <f aca="false">'Raw Data'!L2224</f>
        <v>No</v>
      </c>
      <c r="H2224" s="7" t="str">
        <f aca="false">'Raw Data'!M2224</f>
        <v>Moderate</v>
      </c>
      <c r="I2224" s="7" t="n">
        <f aca="false">(IF(D2224="Current",3,IF(D2224="Former",1,0)))+(IF(E2224="High",3,IF(E2224="Normal",1,0)))+(IF(F2224&gt;=240,2,IF(F2224&gt;=200,1,0)))+(IF(G2224="Yes",2,0))+(IF(H2224="High",2,IF(H2224="Moderate",1,0)))</f>
        <v>7</v>
      </c>
      <c r="J2224" s="7" t="str">
        <f aca="false">IF(I2224&gt;=8,"High",IF(I2224&gt;=4,"Medium","Low"))</f>
        <v>Medium</v>
      </c>
    </row>
    <row r="2225" customFormat="false" ht="15" hidden="false" customHeight="true" outlineLevel="0" collapsed="false">
      <c r="A2225" s="7" t="n">
        <f aca="false">'Raw Data'!A2225</f>
        <v>1583</v>
      </c>
      <c r="B2225" s="7" t="n">
        <f aca="false">'Raw Data'!B2225</f>
        <v>44</v>
      </c>
      <c r="C2225" s="7" t="str">
        <f aca="false">'Raw Data'!C2225</f>
        <v>Female</v>
      </c>
      <c r="D2225" s="7" t="str">
        <f aca="false">'Raw Data'!D2225</f>
        <v>Current</v>
      </c>
      <c r="E2225" s="7" t="str">
        <f aca="false">'Raw Data'!J2225</f>
        <v>Normal</v>
      </c>
      <c r="F2225" s="7" t="n">
        <f aca="false">'Raw Data'!K2225</f>
        <v>275.1</v>
      </c>
      <c r="G2225" s="7" t="str">
        <f aca="false">'Raw Data'!L2225</f>
        <v>Yes</v>
      </c>
      <c r="H2225" s="7" t="str">
        <f aca="false">'Raw Data'!M2225</f>
        <v>Moderate</v>
      </c>
      <c r="I2225" s="7" t="n">
        <f aca="false">(IF(D2225="Current",3,IF(D2225="Former",1,0)))+(IF(E2225="High",3,IF(E2225="Normal",1,0)))+(IF(F2225&gt;=240,2,IF(F2225&gt;=200,1,0)))+(IF(G2225="Yes",2,0))+(IF(H2225="High",2,IF(H2225="Moderate",1,0)))</f>
        <v>9</v>
      </c>
      <c r="J2225" s="7" t="str">
        <f aca="false">IF(I2225&gt;=8,"High",IF(I2225&gt;=4,"Medium","Low"))</f>
        <v>High</v>
      </c>
    </row>
    <row r="2226" customFormat="false" ht="15" hidden="false" customHeight="true" outlineLevel="0" collapsed="false">
      <c r="A2226" s="7" t="n">
        <f aca="false">'Raw Data'!A2226</f>
        <v>1598</v>
      </c>
      <c r="B2226" s="7" t="n">
        <f aca="false">'Raw Data'!B2226</f>
        <v>51</v>
      </c>
      <c r="C2226" s="7" t="str">
        <f aca="false">'Raw Data'!C2226</f>
        <v>Female</v>
      </c>
      <c r="D2226" s="7" t="str">
        <f aca="false">'Raw Data'!D2226</f>
        <v>Current</v>
      </c>
      <c r="E2226" s="7" t="str">
        <f aca="false">'Raw Data'!J2226</f>
        <v>Normal</v>
      </c>
      <c r="F2226" s="7" t="n">
        <f aca="false">'Raw Data'!K2226</f>
        <v>207.8</v>
      </c>
      <c r="G2226" s="7" t="str">
        <f aca="false">'Raw Data'!L2226</f>
        <v>No</v>
      </c>
      <c r="H2226" s="7" t="str">
        <f aca="false">'Raw Data'!M2226</f>
        <v>Moderate</v>
      </c>
      <c r="I2226" s="7" t="n">
        <f aca="false">(IF(D2226="Current",3,IF(D2226="Former",1,0)))+(IF(E2226="High",3,IF(E2226="Normal",1,0)))+(IF(F2226&gt;=240,2,IF(F2226&gt;=200,1,0)))+(IF(G2226="Yes",2,0))+(IF(H2226="High",2,IF(H2226="Moderate",1,0)))</f>
        <v>6</v>
      </c>
      <c r="J2226" s="7" t="str">
        <f aca="false">IF(I2226&gt;=8,"High",IF(I2226&gt;=4,"Medium","Low"))</f>
        <v>Medium</v>
      </c>
    </row>
    <row r="2227" customFormat="false" ht="15" hidden="false" customHeight="true" outlineLevel="0" collapsed="false">
      <c r="A2227" s="7" t="n">
        <f aca="false">'Raw Data'!A2227</f>
        <v>1627</v>
      </c>
      <c r="B2227" s="7" t="n">
        <f aca="false">'Raw Data'!B2227</f>
        <v>85</v>
      </c>
      <c r="C2227" s="7" t="str">
        <f aca="false">'Raw Data'!C2227</f>
        <v>Female</v>
      </c>
      <c r="D2227" s="7" t="str">
        <f aca="false">'Raw Data'!D2227</f>
        <v>Current</v>
      </c>
      <c r="E2227" s="7" t="str">
        <f aca="false">'Raw Data'!J2227</f>
        <v>Normal</v>
      </c>
      <c r="F2227" s="7" t="n">
        <f aca="false">'Raw Data'!K2227</f>
        <v>176.6</v>
      </c>
      <c r="G2227" s="7" t="str">
        <f aca="false">'Raw Data'!L2227</f>
        <v>No</v>
      </c>
      <c r="H2227" s="7" t="str">
        <f aca="false">'Raw Data'!M2227</f>
        <v>Moderate</v>
      </c>
      <c r="I2227" s="7" t="n">
        <f aca="false">(IF(D2227="Current",3,IF(D2227="Former",1,0)))+(IF(E2227="High",3,IF(E2227="Normal",1,0)))+(IF(F2227&gt;=240,2,IF(F2227&gt;=200,1,0)))+(IF(G2227="Yes",2,0))+(IF(H2227="High",2,IF(H2227="Moderate",1,0)))</f>
        <v>5</v>
      </c>
      <c r="J2227" s="7" t="str">
        <f aca="false">IF(I2227&gt;=8,"High",IF(I2227&gt;=4,"Medium","Low"))</f>
        <v>Medium</v>
      </c>
    </row>
    <row r="2228" customFormat="false" ht="15" hidden="false" customHeight="true" outlineLevel="0" collapsed="false">
      <c r="A2228" s="7" t="n">
        <f aca="false">'Raw Data'!A2228</f>
        <v>1629</v>
      </c>
      <c r="B2228" s="7" t="n">
        <f aca="false">'Raw Data'!B2228</f>
        <v>83</v>
      </c>
      <c r="C2228" s="7" t="str">
        <f aca="false">'Raw Data'!C2228</f>
        <v>Female</v>
      </c>
      <c r="D2228" s="7" t="str">
        <f aca="false">'Raw Data'!D2228</f>
        <v>Current</v>
      </c>
      <c r="E2228" s="7" t="str">
        <f aca="false">'Raw Data'!J2228</f>
        <v>Normal</v>
      </c>
      <c r="F2228" s="7" t="n">
        <f aca="false">'Raw Data'!K2228</f>
        <v>172.5</v>
      </c>
      <c r="G2228" s="7" t="str">
        <f aca="false">'Raw Data'!L2228</f>
        <v>No</v>
      </c>
      <c r="H2228" s="7" t="str">
        <f aca="false">'Raw Data'!M2228</f>
        <v>Moderate</v>
      </c>
      <c r="I2228" s="7" t="n">
        <f aca="false">(IF(D2228="Current",3,IF(D2228="Former",1,0)))+(IF(E2228="High",3,IF(E2228="Normal",1,0)))+(IF(F2228&gt;=240,2,IF(F2228&gt;=200,1,0)))+(IF(G2228="Yes",2,0))+(IF(H2228="High",2,IF(H2228="Moderate",1,0)))</f>
        <v>5</v>
      </c>
      <c r="J2228" s="7" t="str">
        <f aca="false">IF(I2228&gt;=8,"High",IF(I2228&gt;=4,"Medium","Low"))</f>
        <v>Medium</v>
      </c>
    </row>
    <row r="2229" customFormat="false" ht="15" hidden="false" customHeight="true" outlineLevel="0" collapsed="false">
      <c r="A2229" s="7" t="n">
        <f aca="false">'Raw Data'!A2229</f>
        <v>1631</v>
      </c>
      <c r="B2229" s="7" t="n">
        <f aca="false">'Raw Data'!B2229</f>
        <v>49</v>
      </c>
      <c r="C2229" s="7" t="str">
        <f aca="false">'Raw Data'!C2229</f>
        <v>Male</v>
      </c>
      <c r="D2229" s="7" t="str">
        <f aca="false">'Raw Data'!D2229</f>
        <v>Current</v>
      </c>
      <c r="E2229" s="7" t="str">
        <f aca="false">'Raw Data'!J2229</f>
        <v>Normal</v>
      </c>
      <c r="F2229" s="7" t="n">
        <f aca="false">'Raw Data'!K2229</f>
        <v>238.1</v>
      </c>
      <c r="G2229" s="7" t="str">
        <f aca="false">'Raw Data'!L2229</f>
        <v>No</v>
      </c>
      <c r="H2229" s="7" t="str">
        <f aca="false">'Raw Data'!M2229</f>
        <v>Moderate</v>
      </c>
      <c r="I2229" s="7" t="n">
        <f aca="false">(IF(D2229="Current",3,IF(D2229="Former",1,0)))+(IF(E2229="High",3,IF(E2229="Normal",1,0)))+(IF(F2229&gt;=240,2,IF(F2229&gt;=200,1,0)))+(IF(G2229="Yes",2,0))+(IF(H2229="High",2,IF(H2229="Moderate",1,0)))</f>
        <v>6</v>
      </c>
      <c r="J2229" s="7" t="str">
        <f aca="false">IF(I2229&gt;=8,"High",IF(I2229&gt;=4,"Medium","Low"))</f>
        <v>Medium</v>
      </c>
    </row>
    <row r="2230" customFormat="false" ht="15" hidden="false" customHeight="true" outlineLevel="0" collapsed="false">
      <c r="A2230" s="7" t="n">
        <f aca="false">'Raw Data'!A2230</f>
        <v>1633</v>
      </c>
      <c r="B2230" s="7" t="n">
        <f aca="false">'Raw Data'!B2230</f>
        <v>79</v>
      </c>
      <c r="C2230" s="7" t="str">
        <f aca="false">'Raw Data'!C2230</f>
        <v>Female</v>
      </c>
      <c r="D2230" s="7" t="str">
        <f aca="false">'Raw Data'!D2230</f>
        <v>Current</v>
      </c>
      <c r="E2230" s="7" t="str">
        <f aca="false">'Raw Data'!J2230</f>
        <v>Normal</v>
      </c>
      <c r="F2230" s="7" t="n">
        <f aca="false">'Raw Data'!K2230</f>
        <v>122.3</v>
      </c>
      <c r="G2230" s="7" t="str">
        <f aca="false">'Raw Data'!L2230</f>
        <v>No</v>
      </c>
      <c r="H2230" s="7" t="str">
        <f aca="false">'Raw Data'!M2230</f>
        <v>Moderate</v>
      </c>
      <c r="I2230" s="7" t="n">
        <f aca="false">(IF(D2230="Current",3,IF(D2230="Former",1,0)))+(IF(E2230="High",3,IF(E2230="Normal",1,0)))+(IF(F2230&gt;=240,2,IF(F2230&gt;=200,1,0)))+(IF(G2230="Yes",2,0))+(IF(H2230="High",2,IF(H2230="Moderate",1,0)))</f>
        <v>5</v>
      </c>
      <c r="J2230" s="7" t="str">
        <f aca="false">IF(I2230&gt;=8,"High",IF(I2230&gt;=4,"Medium","Low"))</f>
        <v>Medium</v>
      </c>
    </row>
    <row r="2231" customFormat="false" ht="15" hidden="false" customHeight="true" outlineLevel="0" collapsed="false">
      <c r="A2231" s="7" t="n">
        <f aca="false">'Raw Data'!A2231</f>
        <v>1650</v>
      </c>
      <c r="B2231" s="7" t="n">
        <f aca="false">'Raw Data'!B2231</f>
        <v>85</v>
      </c>
      <c r="C2231" s="7" t="str">
        <f aca="false">'Raw Data'!C2231</f>
        <v>Male</v>
      </c>
      <c r="D2231" s="7" t="str">
        <f aca="false">'Raw Data'!D2231</f>
        <v>Current</v>
      </c>
      <c r="E2231" s="7" t="str">
        <f aca="false">'Raw Data'!J2231</f>
        <v>Normal</v>
      </c>
      <c r="F2231" s="7" t="n">
        <f aca="false">'Raw Data'!K2231</f>
        <v>286.8</v>
      </c>
      <c r="G2231" s="7" t="str">
        <f aca="false">'Raw Data'!L2231</f>
        <v>No</v>
      </c>
      <c r="H2231" s="7" t="str">
        <f aca="false">'Raw Data'!M2231</f>
        <v>Moderate</v>
      </c>
      <c r="I2231" s="7" t="n">
        <f aca="false">(IF(D2231="Current",3,IF(D2231="Former",1,0)))+(IF(E2231="High",3,IF(E2231="Normal",1,0)))+(IF(F2231&gt;=240,2,IF(F2231&gt;=200,1,0)))+(IF(G2231="Yes",2,0))+(IF(H2231="High",2,IF(H2231="Moderate",1,0)))</f>
        <v>7</v>
      </c>
      <c r="J2231" s="7" t="str">
        <f aca="false">IF(I2231&gt;=8,"High",IF(I2231&gt;=4,"Medium","Low"))</f>
        <v>Medium</v>
      </c>
    </row>
    <row r="2232" customFormat="false" ht="15" hidden="false" customHeight="true" outlineLevel="0" collapsed="false">
      <c r="A2232" s="7" t="n">
        <f aca="false">'Raw Data'!A2232</f>
        <v>1689</v>
      </c>
      <c r="B2232" s="7" t="n">
        <f aca="false">'Raw Data'!B2232</f>
        <v>80</v>
      </c>
      <c r="C2232" s="7" t="str">
        <f aca="false">'Raw Data'!C2232</f>
        <v>Male</v>
      </c>
      <c r="D2232" s="7" t="str">
        <f aca="false">'Raw Data'!D2232</f>
        <v>Current</v>
      </c>
      <c r="E2232" s="7" t="str">
        <f aca="false">'Raw Data'!J2232</f>
        <v>Normal</v>
      </c>
      <c r="F2232" s="7" t="n">
        <f aca="false">'Raw Data'!K2232</f>
        <v>132.6</v>
      </c>
      <c r="G2232" s="7" t="str">
        <f aca="false">'Raw Data'!L2232</f>
        <v>Yes</v>
      </c>
      <c r="H2232" s="7" t="str">
        <f aca="false">'Raw Data'!M2232</f>
        <v>Moderate</v>
      </c>
      <c r="I2232" s="7" t="n">
        <f aca="false">(IF(D2232="Current",3,IF(D2232="Former",1,0)))+(IF(E2232="High",3,IF(E2232="Normal",1,0)))+(IF(F2232&gt;=240,2,IF(F2232&gt;=200,1,0)))+(IF(G2232="Yes",2,0))+(IF(H2232="High",2,IF(H2232="Moderate",1,0)))</f>
        <v>7</v>
      </c>
      <c r="J2232" s="7" t="str">
        <f aca="false">IF(I2232&gt;=8,"High",IF(I2232&gt;=4,"Medium","Low"))</f>
        <v>Medium</v>
      </c>
    </row>
    <row r="2233" customFormat="false" ht="15" hidden="false" customHeight="true" outlineLevel="0" collapsed="false">
      <c r="A2233" s="7" t="n">
        <f aca="false">'Raw Data'!A2233</f>
        <v>1690</v>
      </c>
      <c r="B2233" s="7" t="n">
        <f aca="false">'Raw Data'!B2233</f>
        <v>68</v>
      </c>
      <c r="C2233" s="7" t="str">
        <f aca="false">'Raw Data'!C2233</f>
        <v>Female</v>
      </c>
      <c r="D2233" s="7" t="str">
        <f aca="false">'Raw Data'!D2233</f>
        <v>Current</v>
      </c>
      <c r="E2233" s="7" t="str">
        <f aca="false">'Raw Data'!J2233</f>
        <v>Normal</v>
      </c>
      <c r="F2233" s="7" t="n">
        <f aca="false">'Raw Data'!K2233</f>
        <v>165.8</v>
      </c>
      <c r="G2233" s="7" t="str">
        <f aca="false">'Raw Data'!L2233</f>
        <v>No</v>
      </c>
      <c r="H2233" s="7" t="str">
        <f aca="false">'Raw Data'!M2233</f>
        <v>Moderate</v>
      </c>
      <c r="I2233" s="7" t="n">
        <f aca="false">(IF(D2233="Current",3,IF(D2233="Former",1,0)))+(IF(E2233="High",3,IF(E2233="Normal",1,0)))+(IF(F2233&gt;=240,2,IF(F2233&gt;=200,1,0)))+(IF(G2233="Yes",2,0))+(IF(H2233="High",2,IF(H2233="Moderate",1,0)))</f>
        <v>5</v>
      </c>
      <c r="J2233" s="7" t="str">
        <f aca="false">IF(I2233&gt;=8,"High",IF(I2233&gt;=4,"Medium","Low"))</f>
        <v>Medium</v>
      </c>
    </row>
    <row r="2234" customFormat="false" ht="15" hidden="false" customHeight="true" outlineLevel="0" collapsed="false">
      <c r="A2234" s="7" t="n">
        <f aca="false">'Raw Data'!A2234</f>
        <v>1740</v>
      </c>
      <c r="B2234" s="7" t="n">
        <f aca="false">'Raw Data'!B2234</f>
        <v>31</v>
      </c>
      <c r="C2234" s="7" t="str">
        <f aca="false">'Raw Data'!C2234</f>
        <v>Female</v>
      </c>
      <c r="D2234" s="7" t="str">
        <f aca="false">'Raw Data'!D2234</f>
        <v>Current</v>
      </c>
      <c r="E2234" s="7" t="str">
        <f aca="false">'Raw Data'!J2234</f>
        <v>Normal</v>
      </c>
      <c r="F2234" s="7" t="n">
        <f aca="false">'Raw Data'!K2234</f>
        <v>293.8</v>
      </c>
      <c r="G2234" s="7" t="str">
        <f aca="false">'Raw Data'!L2234</f>
        <v>Yes</v>
      </c>
      <c r="H2234" s="7" t="str">
        <f aca="false">'Raw Data'!M2234</f>
        <v>Moderate</v>
      </c>
      <c r="I2234" s="7" t="n">
        <f aca="false">(IF(D2234="Current",3,IF(D2234="Former",1,0)))+(IF(E2234="High",3,IF(E2234="Normal",1,0)))+(IF(F2234&gt;=240,2,IF(F2234&gt;=200,1,0)))+(IF(G2234="Yes",2,0))+(IF(H2234="High",2,IF(H2234="Moderate",1,0)))</f>
        <v>9</v>
      </c>
      <c r="J2234" s="7" t="str">
        <f aca="false">IF(I2234&gt;=8,"High",IF(I2234&gt;=4,"Medium","Low"))</f>
        <v>High</v>
      </c>
    </row>
    <row r="2235" customFormat="false" ht="15" hidden="false" customHeight="true" outlineLevel="0" collapsed="false">
      <c r="A2235" s="7" t="n">
        <f aca="false">'Raw Data'!A2235</f>
        <v>1741</v>
      </c>
      <c r="B2235" s="7" t="n">
        <f aca="false">'Raw Data'!B2235</f>
        <v>59</v>
      </c>
      <c r="C2235" s="7" t="str">
        <f aca="false">'Raw Data'!C2235</f>
        <v>Female</v>
      </c>
      <c r="D2235" s="7" t="str">
        <f aca="false">'Raw Data'!D2235</f>
        <v>Current</v>
      </c>
      <c r="E2235" s="7" t="str">
        <f aca="false">'Raw Data'!J2235</f>
        <v>Normal</v>
      </c>
      <c r="F2235" s="7" t="n">
        <f aca="false">'Raw Data'!K2235</f>
        <v>260.3</v>
      </c>
      <c r="G2235" s="7" t="str">
        <f aca="false">'Raw Data'!L2235</f>
        <v>Yes</v>
      </c>
      <c r="H2235" s="7" t="str">
        <f aca="false">'Raw Data'!M2235</f>
        <v>Moderate</v>
      </c>
      <c r="I2235" s="7" t="n">
        <f aca="false">(IF(D2235="Current",3,IF(D2235="Former",1,0)))+(IF(E2235="High",3,IF(E2235="Normal",1,0)))+(IF(F2235&gt;=240,2,IF(F2235&gt;=200,1,0)))+(IF(G2235="Yes",2,0))+(IF(H2235="High",2,IF(H2235="Moderate",1,0)))</f>
        <v>9</v>
      </c>
      <c r="J2235" s="7" t="str">
        <f aca="false">IF(I2235&gt;=8,"High",IF(I2235&gt;=4,"Medium","Low"))</f>
        <v>High</v>
      </c>
    </row>
    <row r="2236" customFormat="false" ht="15" hidden="false" customHeight="true" outlineLevel="0" collapsed="false">
      <c r="A2236" s="7" t="n">
        <f aca="false">'Raw Data'!A2236</f>
        <v>1742</v>
      </c>
      <c r="B2236" s="7" t="n">
        <f aca="false">'Raw Data'!B2236</f>
        <v>77</v>
      </c>
      <c r="C2236" s="7" t="str">
        <f aca="false">'Raw Data'!C2236</f>
        <v>Male</v>
      </c>
      <c r="D2236" s="7" t="str">
        <f aca="false">'Raw Data'!D2236</f>
        <v>Current</v>
      </c>
      <c r="E2236" s="7" t="str">
        <f aca="false">'Raw Data'!J2236</f>
        <v>Normal</v>
      </c>
      <c r="F2236" s="7" t="n">
        <f aca="false">'Raw Data'!K2236</f>
        <v>139.9</v>
      </c>
      <c r="G2236" s="7" t="str">
        <f aca="false">'Raw Data'!L2236</f>
        <v>Yes</v>
      </c>
      <c r="H2236" s="7" t="str">
        <f aca="false">'Raw Data'!M2236</f>
        <v>Moderate</v>
      </c>
      <c r="I2236" s="7" t="n">
        <f aca="false">(IF(D2236="Current",3,IF(D2236="Former",1,0)))+(IF(E2236="High",3,IF(E2236="Normal",1,0)))+(IF(F2236&gt;=240,2,IF(F2236&gt;=200,1,0)))+(IF(G2236="Yes",2,0))+(IF(H2236="High",2,IF(H2236="Moderate",1,0)))</f>
        <v>7</v>
      </c>
      <c r="J2236" s="7" t="str">
        <f aca="false">IF(I2236&gt;=8,"High",IF(I2236&gt;=4,"Medium","Low"))</f>
        <v>Medium</v>
      </c>
    </row>
    <row r="2237" customFormat="false" ht="15" hidden="false" customHeight="true" outlineLevel="0" collapsed="false">
      <c r="A2237" s="7" t="n">
        <f aca="false">'Raw Data'!A2237</f>
        <v>1748</v>
      </c>
      <c r="B2237" s="7" t="n">
        <f aca="false">'Raw Data'!B2237</f>
        <v>18</v>
      </c>
      <c r="C2237" s="7" t="str">
        <f aca="false">'Raw Data'!C2237</f>
        <v>Male</v>
      </c>
      <c r="D2237" s="7" t="str">
        <f aca="false">'Raw Data'!D2237</f>
        <v>Current</v>
      </c>
      <c r="E2237" s="7" t="str">
        <f aca="false">'Raw Data'!J2237</f>
        <v>Normal</v>
      </c>
      <c r="F2237" s="7" t="n">
        <f aca="false">'Raw Data'!K2237</f>
        <v>146.2</v>
      </c>
      <c r="G2237" s="7" t="str">
        <f aca="false">'Raw Data'!L2237</f>
        <v>Yes</v>
      </c>
      <c r="H2237" s="7" t="str">
        <f aca="false">'Raw Data'!M2237</f>
        <v>Moderate</v>
      </c>
      <c r="I2237" s="7" t="n">
        <f aca="false">(IF(D2237="Current",3,IF(D2237="Former",1,0)))+(IF(E2237="High",3,IF(E2237="Normal",1,0)))+(IF(F2237&gt;=240,2,IF(F2237&gt;=200,1,0)))+(IF(G2237="Yes",2,0))+(IF(H2237="High",2,IF(H2237="Moderate",1,0)))</f>
        <v>7</v>
      </c>
      <c r="J2237" s="7" t="str">
        <f aca="false">IF(I2237&gt;=8,"High",IF(I2237&gt;=4,"Medium","Low"))</f>
        <v>Medium</v>
      </c>
    </row>
    <row r="2238" customFormat="false" ht="15" hidden="false" customHeight="true" outlineLevel="0" collapsed="false">
      <c r="A2238" s="7" t="n">
        <f aca="false">'Raw Data'!A2238</f>
        <v>1802</v>
      </c>
      <c r="B2238" s="7" t="n">
        <f aca="false">'Raw Data'!B2238</f>
        <v>41</v>
      </c>
      <c r="C2238" s="7" t="str">
        <f aca="false">'Raw Data'!C2238</f>
        <v>Male</v>
      </c>
      <c r="D2238" s="7" t="str">
        <f aca="false">'Raw Data'!D2238</f>
        <v>Current</v>
      </c>
      <c r="E2238" s="7" t="str">
        <f aca="false">'Raw Data'!J2238</f>
        <v>Normal</v>
      </c>
      <c r="F2238" s="7" t="n">
        <f aca="false">'Raw Data'!K2238</f>
        <v>201.7</v>
      </c>
      <c r="G2238" s="7" t="str">
        <f aca="false">'Raw Data'!L2238</f>
        <v>No</v>
      </c>
      <c r="H2238" s="7" t="str">
        <f aca="false">'Raw Data'!M2238</f>
        <v>Moderate</v>
      </c>
      <c r="I2238" s="7" t="n">
        <f aca="false">(IF(D2238="Current",3,IF(D2238="Former",1,0)))+(IF(E2238="High",3,IF(E2238="Normal",1,0)))+(IF(F2238&gt;=240,2,IF(F2238&gt;=200,1,0)))+(IF(G2238="Yes",2,0))+(IF(H2238="High",2,IF(H2238="Moderate",1,0)))</f>
        <v>6</v>
      </c>
      <c r="J2238" s="7" t="str">
        <f aca="false">IF(I2238&gt;=8,"High",IF(I2238&gt;=4,"Medium","Low"))</f>
        <v>Medium</v>
      </c>
    </row>
    <row r="2239" customFormat="false" ht="15" hidden="false" customHeight="true" outlineLevel="0" collapsed="false">
      <c r="A2239" s="7" t="n">
        <f aca="false">'Raw Data'!A2239</f>
        <v>1806</v>
      </c>
      <c r="B2239" s="7" t="n">
        <f aca="false">'Raw Data'!B2239</f>
        <v>83</v>
      </c>
      <c r="C2239" s="7" t="str">
        <f aca="false">'Raw Data'!C2239</f>
        <v>Male</v>
      </c>
      <c r="D2239" s="7" t="str">
        <f aca="false">'Raw Data'!D2239</f>
        <v>Current</v>
      </c>
      <c r="E2239" s="7" t="str">
        <f aca="false">'Raw Data'!J2239</f>
        <v>Normal</v>
      </c>
      <c r="F2239" s="7" t="n">
        <f aca="false">'Raw Data'!K2239</f>
        <v>287.7</v>
      </c>
      <c r="G2239" s="7" t="str">
        <f aca="false">'Raw Data'!L2239</f>
        <v>No</v>
      </c>
      <c r="H2239" s="7" t="str">
        <f aca="false">'Raw Data'!M2239</f>
        <v>Moderate</v>
      </c>
      <c r="I2239" s="7" t="n">
        <f aca="false">(IF(D2239="Current",3,IF(D2239="Former",1,0)))+(IF(E2239="High",3,IF(E2239="Normal",1,0)))+(IF(F2239&gt;=240,2,IF(F2239&gt;=200,1,0)))+(IF(G2239="Yes",2,0))+(IF(H2239="High",2,IF(H2239="Moderate",1,0)))</f>
        <v>7</v>
      </c>
      <c r="J2239" s="7" t="str">
        <f aca="false">IF(I2239&gt;=8,"High",IF(I2239&gt;=4,"Medium","Low"))</f>
        <v>Medium</v>
      </c>
    </row>
    <row r="2240" customFormat="false" ht="15" hidden="false" customHeight="true" outlineLevel="0" collapsed="false">
      <c r="A2240" s="7" t="n">
        <f aca="false">'Raw Data'!A2240</f>
        <v>1810</v>
      </c>
      <c r="B2240" s="7" t="n">
        <f aca="false">'Raw Data'!B2240</f>
        <v>57</v>
      </c>
      <c r="C2240" s="7" t="str">
        <f aca="false">'Raw Data'!C2240</f>
        <v>Female</v>
      </c>
      <c r="D2240" s="7" t="str">
        <f aca="false">'Raw Data'!D2240</f>
        <v>Current</v>
      </c>
      <c r="E2240" s="7" t="str">
        <f aca="false">'Raw Data'!J2240</f>
        <v>Normal</v>
      </c>
      <c r="F2240" s="7" t="n">
        <f aca="false">'Raw Data'!K2240</f>
        <v>237</v>
      </c>
      <c r="G2240" s="7" t="str">
        <f aca="false">'Raw Data'!L2240</f>
        <v>No</v>
      </c>
      <c r="H2240" s="7" t="str">
        <f aca="false">'Raw Data'!M2240</f>
        <v>Moderate</v>
      </c>
      <c r="I2240" s="7" t="n">
        <f aca="false">(IF(D2240="Current",3,IF(D2240="Former",1,0)))+(IF(E2240="High",3,IF(E2240="Normal",1,0)))+(IF(F2240&gt;=240,2,IF(F2240&gt;=200,1,0)))+(IF(G2240="Yes",2,0))+(IF(H2240="High",2,IF(H2240="Moderate",1,0)))</f>
        <v>6</v>
      </c>
      <c r="J2240" s="7" t="str">
        <f aca="false">IF(I2240&gt;=8,"High",IF(I2240&gt;=4,"Medium","Low"))</f>
        <v>Medium</v>
      </c>
    </row>
    <row r="2241" customFormat="false" ht="15" hidden="false" customHeight="true" outlineLevel="0" collapsed="false">
      <c r="A2241" s="7" t="n">
        <f aca="false">'Raw Data'!A2241</f>
        <v>1835</v>
      </c>
      <c r="B2241" s="7" t="n">
        <f aca="false">'Raw Data'!B2241</f>
        <v>88</v>
      </c>
      <c r="C2241" s="7" t="str">
        <f aca="false">'Raw Data'!C2241</f>
        <v>Female</v>
      </c>
      <c r="D2241" s="7" t="str">
        <f aca="false">'Raw Data'!D2241</f>
        <v>Current</v>
      </c>
      <c r="E2241" s="7" t="str">
        <f aca="false">'Raw Data'!J2241</f>
        <v>Normal</v>
      </c>
      <c r="F2241" s="7" t="n">
        <f aca="false">'Raw Data'!K2241</f>
        <v>257.6</v>
      </c>
      <c r="G2241" s="7" t="str">
        <f aca="false">'Raw Data'!L2241</f>
        <v>No</v>
      </c>
      <c r="H2241" s="7" t="str">
        <f aca="false">'Raw Data'!M2241</f>
        <v>Moderate</v>
      </c>
      <c r="I2241" s="7" t="n">
        <f aca="false">(IF(D2241="Current",3,IF(D2241="Former",1,0)))+(IF(E2241="High",3,IF(E2241="Normal",1,0)))+(IF(F2241&gt;=240,2,IF(F2241&gt;=200,1,0)))+(IF(G2241="Yes",2,0))+(IF(H2241="High",2,IF(H2241="Moderate",1,0)))</f>
        <v>7</v>
      </c>
      <c r="J2241" s="7" t="str">
        <f aca="false">IF(I2241&gt;=8,"High",IF(I2241&gt;=4,"Medium","Low"))</f>
        <v>Medium</v>
      </c>
    </row>
    <row r="2242" customFormat="false" ht="15" hidden="false" customHeight="true" outlineLevel="0" collapsed="false">
      <c r="A2242" s="7" t="n">
        <f aca="false">'Raw Data'!A2242</f>
        <v>1851</v>
      </c>
      <c r="B2242" s="7" t="n">
        <f aca="false">'Raw Data'!B2242</f>
        <v>55</v>
      </c>
      <c r="C2242" s="7" t="str">
        <f aca="false">'Raw Data'!C2242</f>
        <v>Male</v>
      </c>
      <c r="D2242" s="7" t="str">
        <f aca="false">'Raw Data'!D2242</f>
        <v>Current</v>
      </c>
      <c r="E2242" s="7" t="str">
        <f aca="false">'Raw Data'!J2242</f>
        <v>Normal</v>
      </c>
      <c r="F2242" s="7" t="n">
        <f aca="false">'Raw Data'!K2242</f>
        <v>298.3</v>
      </c>
      <c r="G2242" s="7" t="str">
        <f aca="false">'Raw Data'!L2242</f>
        <v>No</v>
      </c>
      <c r="H2242" s="7" t="str">
        <f aca="false">'Raw Data'!M2242</f>
        <v>Moderate</v>
      </c>
      <c r="I2242" s="7" t="n">
        <f aca="false">(IF(D2242="Current",3,IF(D2242="Former",1,0)))+(IF(E2242="High",3,IF(E2242="Normal",1,0)))+(IF(F2242&gt;=240,2,IF(F2242&gt;=200,1,0)))+(IF(G2242="Yes",2,0))+(IF(H2242="High",2,IF(H2242="Moderate",1,0)))</f>
        <v>7</v>
      </c>
      <c r="J2242" s="7" t="str">
        <f aca="false">IF(I2242&gt;=8,"High",IF(I2242&gt;=4,"Medium","Low"))</f>
        <v>Medium</v>
      </c>
    </row>
    <row r="2243" customFormat="false" ht="15" hidden="false" customHeight="true" outlineLevel="0" collapsed="false">
      <c r="A2243" s="7" t="n">
        <f aca="false">'Raw Data'!A2243</f>
        <v>1856</v>
      </c>
      <c r="B2243" s="7" t="n">
        <f aca="false">'Raw Data'!B2243</f>
        <v>50</v>
      </c>
      <c r="C2243" s="7" t="str">
        <f aca="false">'Raw Data'!C2243</f>
        <v>Female</v>
      </c>
      <c r="D2243" s="7" t="str">
        <f aca="false">'Raw Data'!D2243</f>
        <v>Current</v>
      </c>
      <c r="E2243" s="7" t="str">
        <f aca="false">'Raw Data'!J2243</f>
        <v>Normal</v>
      </c>
      <c r="F2243" s="7" t="n">
        <f aca="false">'Raw Data'!K2243</f>
        <v>202</v>
      </c>
      <c r="G2243" s="7" t="str">
        <f aca="false">'Raw Data'!L2243</f>
        <v>No</v>
      </c>
      <c r="H2243" s="7" t="str">
        <f aca="false">'Raw Data'!M2243</f>
        <v>Moderate</v>
      </c>
      <c r="I2243" s="7" t="n">
        <f aca="false">(IF(D2243="Current",3,IF(D2243="Former",1,0)))+(IF(E2243="High",3,IF(E2243="Normal",1,0)))+(IF(F2243&gt;=240,2,IF(F2243&gt;=200,1,0)))+(IF(G2243="Yes",2,0))+(IF(H2243="High",2,IF(H2243="Moderate",1,0)))</f>
        <v>6</v>
      </c>
      <c r="J2243" s="7" t="str">
        <f aca="false">IF(I2243&gt;=8,"High",IF(I2243&gt;=4,"Medium","Low"))</f>
        <v>Medium</v>
      </c>
    </row>
    <row r="2244" customFormat="false" ht="15" hidden="false" customHeight="true" outlineLevel="0" collapsed="false">
      <c r="A2244" s="7" t="n">
        <f aca="false">'Raw Data'!A2244</f>
        <v>1872</v>
      </c>
      <c r="B2244" s="7" t="n">
        <f aca="false">'Raw Data'!B2244</f>
        <v>88</v>
      </c>
      <c r="C2244" s="7" t="str">
        <f aca="false">'Raw Data'!C2244</f>
        <v>Male</v>
      </c>
      <c r="D2244" s="7" t="str">
        <f aca="false">'Raw Data'!D2244</f>
        <v>Current</v>
      </c>
      <c r="E2244" s="7" t="str">
        <f aca="false">'Raw Data'!J2244</f>
        <v>Normal</v>
      </c>
      <c r="F2244" s="7" t="n">
        <f aca="false">'Raw Data'!K2244</f>
        <v>254.2</v>
      </c>
      <c r="G2244" s="7" t="str">
        <f aca="false">'Raw Data'!L2244</f>
        <v>No</v>
      </c>
      <c r="H2244" s="7" t="str">
        <f aca="false">'Raw Data'!M2244</f>
        <v>Moderate</v>
      </c>
      <c r="I2244" s="7" t="n">
        <f aca="false">(IF(D2244="Current",3,IF(D2244="Former",1,0)))+(IF(E2244="High",3,IF(E2244="Normal",1,0)))+(IF(F2244&gt;=240,2,IF(F2244&gt;=200,1,0)))+(IF(G2244="Yes",2,0))+(IF(H2244="High",2,IF(H2244="Moderate",1,0)))</f>
        <v>7</v>
      </c>
      <c r="J2244" s="7" t="str">
        <f aca="false">IF(I2244&gt;=8,"High",IF(I2244&gt;=4,"Medium","Low"))</f>
        <v>Medium</v>
      </c>
    </row>
    <row r="2245" customFormat="false" ht="15" hidden="false" customHeight="true" outlineLevel="0" collapsed="false">
      <c r="A2245" s="7" t="n">
        <f aca="false">'Raw Data'!A2245</f>
        <v>1885</v>
      </c>
      <c r="B2245" s="7" t="n">
        <f aca="false">'Raw Data'!B2245</f>
        <v>85</v>
      </c>
      <c r="C2245" s="7" t="str">
        <f aca="false">'Raw Data'!C2245</f>
        <v>Female</v>
      </c>
      <c r="D2245" s="7" t="str">
        <f aca="false">'Raw Data'!D2245</f>
        <v>Current</v>
      </c>
      <c r="E2245" s="7" t="str">
        <f aca="false">'Raw Data'!J2245</f>
        <v>Normal</v>
      </c>
      <c r="F2245" s="7" t="n">
        <f aca="false">'Raw Data'!K2245</f>
        <v>240.4</v>
      </c>
      <c r="G2245" s="7" t="str">
        <f aca="false">'Raw Data'!L2245</f>
        <v>Yes</v>
      </c>
      <c r="H2245" s="7" t="str">
        <f aca="false">'Raw Data'!M2245</f>
        <v>Moderate</v>
      </c>
      <c r="I2245" s="7" t="n">
        <f aca="false">(IF(D2245="Current",3,IF(D2245="Former",1,0)))+(IF(E2245="High",3,IF(E2245="Normal",1,0)))+(IF(F2245&gt;=240,2,IF(F2245&gt;=200,1,0)))+(IF(G2245="Yes",2,0))+(IF(H2245="High",2,IF(H2245="Moderate",1,0)))</f>
        <v>9</v>
      </c>
      <c r="J2245" s="7" t="str">
        <f aca="false">IF(I2245&gt;=8,"High",IF(I2245&gt;=4,"Medium","Low"))</f>
        <v>High</v>
      </c>
    </row>
    <row r="2246" customFormat="false" ht="15" hidden="false" customHeight="true" outlineLevel="0" collapsed="false">
      <c r="A2246" s="7" t="n">
        <f aca="false">'Raw Data'!A2246</f>
        <v>1925</v>
      </c>
      <c r="B2246" s="7" t="n">
        <f aca="false">'Raw Data'!B2246</f>
        <v>75</v>
      </c>
      <c r="C2246" s="7" t="str">
        <f aca="false">'Raw Data'!C2246</f>
        <v>Male</v>
      </c>
      <c r="D2246" s="7" t="str">
        <f aca="false">'Raw Data'!D2246</f>
        <v>Current</v>
      </c>
      <c r="E2246" s="7" t="str">
        <f aca="false">'Raw Data'!J2246</f>
        <v>Normal</v>
      </c>
      <c r="F2246" s="7" t="n">
        <f aca="false">'Raw Data'!K2246</f>
        <v>250.6</v>
      </c>
      <c r="G2246" s="7" t="str">
        <f aca="false">'Raw Data'!L2246</f>
        <v>No</v>
      </c>
      <c r="H2246" s="7" t="str">
        <f aca="false">'Raw Data'!M2246</f>
        <v>Moderate</v>
      </c>
      <c r="I2246" s="7" t="n">
        <f aca="false">(IF(D2246="Current",3,IF(D2246="Former",1,0)))+(IF(E2246="High",3,IF(E2246="Normal",1,0)))+(IF(F2246&gt;=240,2,IF(F2246&gt;=200,1,0)))+(IF(G2246="Yes",2,0))+(IF(H2246="High",2,IF(H2246="Moderate",1,0)))</f>
        <v>7</v>
      </c>
      <c r="J2246" s="7" t="str">
        <f aca="false">IF(I2246&gt;=8,"High",IF(I2246&gt;=4,"Medium","Low"))</f>
        <v>Medium</v>
      </c>
    </row>
    <row r="2247" customFormat="false" ht="15" hidden="false" customHeight="true" outlineLevel="0" collapsed="false">
      <c r="A2247" s="7" t="n">
        <f aca="false">'Raw Data'!A2247</f>
        <v>1930</v>
      </c>
      <c r="B2247" s="7" t="n">
        <f aca="false">'Raw Data'!B2247</f>
        <v>64</v>
      </c>
      <c r="C2247" s="7" t="str">
        <f aca="false">'Raw Data'!C2247</f>
        <v>Male</v>
      </c>
      <c r="D2247" s="7" t="str">
        <f aca="false">'Raw Data'!D2247</f>
        <v>Current</v>
      </c>
      <c r="E2247" s="7" t="str">
        <f aca="false">'Raw Data'!J2247</f>
        <v>Normal</v>
      </c>
      <c r="F2247" s="7" t="n">
        <f aca="false">'Raw Data'!K2247</f>
        <v>179.3</v>
      </c>
      <c r="G2247" s="7" t="str">
        <f aca="false">'Raw Data'!L2247</f>
        <v>No</v>
      </c>
      <c r="H2247" s="7" t="str">
        <f aca="false">'Raw Data'!M2247</f>
        <v>Moderate</v>
      </c>
      <c r="I2247" s="7" t="n">
        <f aca="false">(IF(D2247="Current",3,IF(D2247="Former",1,0)))+(IF(E2247="High",3,IF(E2247="Normal",1,0)))+(IF(F2247&gt;=240,2,IF(F2247&gt;=200,1,0)))+(IF(G2247="Yes",2,0))+(IF(H2247="High",2,IF(H2247="Moderate",1,0)))</f>
        <v>5</v>
      </c>
      <c r="J2247" s="7" t="str">
        <f aca="false">IF(I2247&gt;=8,"High",IF(I2247&gt;=4,"Medium","Low"))</f>
        <v>Medium</v>
      </c>
    </row>
    <row r="2248" customFormat="false" ht="15" hidden="false" customHeight="true" outlineLevel="0" collapsed="false">
      <c r="A2248" s="7" t="n">
        <f aca="false">'Raw Data'!A2248</f>
        <v>1938</v>
      </c>
      <c r="B2248" s="7" t="n">
        <f aca="false">'Raw Data'!B2248</f>
        <v>77</v>
      </c>
      <c r="C2248" s="7" t="str">
        <f aca="false">'Raw Data'!C2248</f>
        <v>Male</v>
      </c>
      <c r="D2248" s="7" t="str">
        <f aca="false">'Raw Data'!D2248</f>
        <v>Current</v>
      </c>
      <c r="E2248" s="7" t="str">
        <f aca="false">'Raw Data'!J2248</f>
        <v>Normal</v>
      </c>
      <c r="F2248" s="7" t="n">
        <f aca="false">'Raw Data'!K2248</f>
        <v>189.3</v>
      </c>
      <c r="G2248" s="7" t="str">
        <f aca="false">'Raw Data'!L2248</f>
        <v>Yes</v>
      </c>
      <c r="H2248" s="7" t="str">
        <f aca="false">'Raw Data'!M2248</f>
        <v>Moderate</v>
      </c>
      <c r="I2248" s="7" t="n">
        <f aca="false">(IF(D2248="Current",3,IF(D2248="Former",1,0)))+(IF(E2248="High",3,IF(E2248="Normal",1,0)))+(IF(F2248&gt;=240,2,IF(F2248&gt;=200,1,0)))+(IF(G2248="Yes",2,0))+(IF(H2248="High",2,IF(H2248="Moderate",1,0)))</f>
        <v>7</v>
      </c>
      <c r="J2248" s="7" t="str">
        <f aca="false">IF(I2248&gt;=8,"High",IF(I2248&gt;=4,"Medium","Low"))</f>
        <v>Medium</v>
      </c>
    </row>
    <row r="2249" customFormat="false" ht="15" hidden="false" customHeight="true" outlineLevel="0" collapsed="false">
      <c r="A2249" s="7" t="n">
        <f aca="false">'Raw Data'!A2249</f>
        <v>1961</v>
      </c>
      <c r="B2249" s="7" t="n">
        <f aca="false">'Raw Data'!B2249</f>
        <v>65</v>
      </c>
      <c r="C2249" s="7" t="str">
        <f aca="false">'Raw Data'!C2249</f>
        <v>Male</v>
      </c>
      <c r="D2249" s="7" t="str">
        <f aca="false">'Raw Data'!D2249</f>
        <v>Current</v>
      </c>
      <c r="E2249" s="7" t="str">
        <f aca="false">'Raw Data'!J2249</f>
        <v>Normal</v>
      </c>
      <c r="F2249" s="7" t="n">
        <f aca="false">'Raw Data'!K2249</f>
        <v>211.1</v>
      </c>
      <c r="G2249" s="7" t="str">
        <f aca="false">'Raw Data'!L2249</f>
        <v>Yes</v>
      </c>
      <c r="H2249" s="7" t="str">
        <f aca="false">'Raw Data'!M2249</f>
        <v>Moderate</v>
      </c>
      <c r="I2249" s="7" t="n">
        <f aca="false">(IF(D2249="Current",3,IF(D2249="Former",1,0)))+(IF(E2249="High",3,IF(E2249="Normal",1,0)))+(IF(F2249&gt;=240,2,IF(F2249&gt;=200,1,0)))+(IF(G2249="Yes",2,0))+(IF(H2249="High",2,IF(H2249="Moderate",1,0)))</f>
        <v>8</v>
      </c>
      <c r="J2249" s="7" t="str">
        <f aca="false">IF(I2249&gt;=8,"High",IF(I2249&gt;=4,"Medium","Low"))</f>
        <v>High</v>
      </c>
    </row>
    <row r="2250" customFormat="false" ht="15" hidden="false" customHeight="true" outlineLevel="0" collapsed="false">
      <c r="A2250" s="7" t="n">
        <f aca="false">'Raw Data'!A2250</f>
        <v>1962</v>
      </c>
      <c r="B2250" s="7" t="n">
        <f aca="false">'Raw Data'!B2250</f>
        <v>76</v>
      </c>
      <c r="C2250" s="7" t="str">
        <f aca="false">'Raw Data'!C2250</f>
        <v>Male</v>
      </c>
      <c r="D2250" s="7" t="str">
        <f aca="false">'Raw Data'!D2250</f>
        <v>Current</v>
      </c>
      <c r="E2250" s="7" t="str">
        <f aca="false">'Raw Data'!J2250</f>
        <v>Normal</v>
      </c>
      <c r="F2250" s="7" t="n">
        <f aca="false">'Raw Data'!K2250</f>
        <v>254.2</v>
      </c>
      <c r="G2250" s="7" t="str">
        <f aca="false">'Raw Data'!L2250</f>
        <v>Yes</v>
      </c>
      <c r="H2250" s="7" t="str">
        <f aca="false">'Raw Data'!M2250</f>
        <v>Moderate</v>
      </c>
      <c r="I2250" s="7" t="n">
        <f aca="false">(IF(D2250="Current",3,IF(D2250="Former",1,0)))+(IF(E2250="High",3,IF(E2250="Normal",1,0)))+(IF(F2250&gt;=240,2,IF(F2250&gt;=200,1,0)))+(IF(G2250="Yes",2,0))+(IF(H2250="High",2,IF(H2250="Moderate",1,0)))</f>
        <v>9</v>
      </c>
      <c r="J2250" s="7" t="str">
        <f aca="false">IF(I2250&gt;=8,"High",IF(I2250&gt;=4,"Medium","Low"))</f>
        <v>High</v>
      </c>
    </row>
    <row r="2251" customFormat="false" ht="15" hidden="false" customHeight="true" outlineLevel="0" collapsed="false">
      <c r="A2251" s="7" t="n">
        <f aca="false">'Raw Data'!A2251</f>
        <v>1978</v>
      </c>
      <c r="B2251" s="7" t="n">
        <f aca="false">'Raw Data'!B2251</f>
        <v>64</v>
      </c>
      <c r="C2251" s="7" t="str">
        <f aca="false">'Raw Data'!C2251</f>
        <v>Male</v>
      </c>
      <c r="D2251" s="7" t="str">
        <f aca="false">'Raw Data'!D2251</f>
        <v>Current</v>
      </c>
      <c r="E2251" s="7" t="str">
        <f aca="false">'Raw Data'!J2251</f>
        <v>Normal</v>
      </c>
      <c r="F2251" s="7" t="n">
        <f aca="false">'Raw Data'!K2251</f>
        <v>223</v>
      </c>
      <c r="G2251" s="7" t="str">
        <f aca="false">'Raw Data'!L2251</f>
        <v>Yes</v>
      </c>
      <c r="H2251" s="7" t="str">
        <f aca="false">'Raw Data'!M2251</f>
        <v>Moderate</v>
      </c>
      <c r="I2251" s="7" t="n">
        <f aca="false">(IF(D2251="Current",3,IF(D2251="Former",1,0)))+(IF(E2251="High",3,IF(E2251="Normal",1,0)))+(IF(F2251&gt;=240,2,IF(F2251&gt;=200,1,0)))+(IF(G2251="Yes",2,0))+(IF(H2251="High",2,IF(H2251="Moderate",1,0)))</f>
        <v>8</v>
      </c>
      <c r="J2251" s="7" t="str">
        <f aca="false">IF(I2251&gt;=8,"High",IF(I2251&gt;=4,"Medium","Low"))</f>
        <v>High</v>
      </c>
    </row>
    <row r="2252" customFormat="false" ht="15" hidden="false" customHeight="true" outlineLevel="0" collapsed="false">
      <c r="A2252" s="7" t="n">
        <f aca="false">'Raw Data'!A2252</f>
        <v>1999</v>
      </c>
      <c r="B2252" s="7" t="n">
        <f aca="false">'Raw Data'!B2252</f>
        <v>53</v>
      </c>
      <c r="C2252" s="7" t="str">
        <f aca="false">'Raw Data'!C2252</f>
        <v>Female</v>
      </c>
      <c r="D2252" s="7" t="str">
        <f aca="false">'Raw Data'!D2252</f>
        <v>Current</v>
      </c>
      <c r="E2252" s="7" t="str">
        <f aca="false">'Raw Data'!J2252</f>
        <v>Normal</v>
      </c>
      <c r="F2252" s="7" t="n">
        <f aca="false">'Raw Data'!K2252</f>
        <v>265.4</v>
      </c>
      <c r="G2252" s="7" t="str">
        <f aca="false">'Raw Data'!L2252</f>
        <v>Yes</v>
      </c>
      <c r="H2252" s="7" t="str">
        <f aca="false">'Raw Data'!M2252</f>
        <v>Moderate</v>
      </c>
      <c r="I2252" s="7" t="n">
        <f aca="false">(IF(D2252="Current",3,IF(D2252="Former",1,0)))+(IF(E2252="High",3,IF(E2252="Normal",1,0)))+(IF(F2252&gt;=240,2,IF(F2252&gt;=200,1,0)))+(IF(G2252="Yes",2,0))+(IF(H2252="High",2,IF(H2252="Moderate",1,0)))</f>
        <v>9</v>
      </c>
      <c r="J2252" s="7" t="str">
        <f aca="false">IF(I2252&gt;=8,"High",IF(I2252&gt;=4,"Medium","Low"))</f>
        <v>High</v>
      </c>
    </row>
    <row r="2253" customFormat="false" ht="15" hidden="false" customHeight="true" outlineLevel="0" collapsed="false">
      <c r="A2253" s="7" t="n">
        <f aca="false">'Raw Data'!A2253</f>
        <v>2006</v>
      </c>
      <c r="B2253" s="7" t="n">
        <f aca="false">'Raw Data'!B2253</f>
        <v>43</v>
      </c>
      <c r="C2253" s="7" t="str">
        <f aca="false">'Raw Data'!C2253</f>
        <v>Male</v>
      </c>
      <c r="D2253" s="7" t="str">
        <f aca="false">'Raw Data'!D2253</f>
        <v>Current</v>
      </c>
      <c r="E2253" s="7" t="str">
        <f aca="false">'Raw Data'!J2253</f>
        <v>Normal</v>
      </c>
      <c r="F2253" s="7" t="n">
        <f aca="false">'Raw Data'!K2253</f>
        <v>198.8</v>
      </c>
      <c r="G2253" s="7" t="str">
        <f aca="false">'Raw Data'!L2253</f>
        <v>No</v>
      </c>
      <c r="H2253" s="7" t="str">
        <f aca="false">'Raw Data'!M2253</f>
        <v>Moderate</v>
      </c>
      <c r="I2253" s="7" t="n">
        <f aca="false">(IF(D2253="Current",3,IF(D2253="Former",1,0)))+(IF(E2253="High",3,IF(E2253="Normal",1,0)))+(IF(F2253&gt;=240,2,IF(F2253&gt;=200,1,0)))+(IF(G2253="Yes",2,0))+(IF(H2253="High",2,IF(H2253="Moderate",1,0)))</f>
        <v>5</v>
      </c>
      <c r="J2253" s="7" t="str">
        <f aca="false">IF(I2253&gt;=8,"High",IF(I2253&gt;=4,"Medium","Low"))</f>
        <v>Medium</v>
      </c>
    </row>
    <row r="2254" customFormat="false" ht="15" hidden="false" customHeight="true" outlineLevel="0" collapsed="false">
      <c r="A2254" s="7" t="n">
        <f aca="false">'Raw Data'!A2254</f>
        <v>2012</v>
      </c>
      <c r="B2254" s="7" t="n">
        <f aca="false">'Raw Data'!B2254</f>
        <v>47</v>
      </c>
      <c r="C2254" s="7" t="str">
        <f aca="false">'Raw Data'!C2254</f>
        <v>Female</v>
      </c>
      <c r="D2254" s="7" t="str">
        <f aca="false">'Raw Data'!D2254</f>
        <v>Current</v>
      </c>
      <c r="E2254" s="7" t="str">
        <f aca="false">'Raw Data'!J2254</f>
        <v>Normal</v>
      </c>
      <c r="F2254" s="7" t="n">
        <f aca="false">'Raw Data'!K2254</f>
        <v>134.1</v>
      </c>
      <c r="G2254" s="7" t="str">
        <f aca="false">'Raw Data'!L2254</f>
        <v>No</v>
      </c>
      <c r="H2254" s="7" t="str">
        <f aca="false">'Raw Data'!M2254</f>
        <v>Moderate</v>
      </c>
      <c r="I2254" s="7" t="n">
        <f aca="false">(IF(D2254="Current",3,IF(D2254="Former",1,0)))+(IF(E2254="High",3,IF(E2254="Normal",1,0)))+(IF(F2254&gt;=240,2,IF(F2254&gt;=200,1,0)))+(IF(G2254="Yes",2,0))+(IF(H2254="High",2,IF(H2254="Moderate",1,0)))</f>
        <v>5</v>
      </c>
      <c r="J2254" s="7" t="str">
        <f aca="false">IF(I2254&gt;=8,"High",IF(I2254&gt;=4,"Medium","Low"))</f>
        <v>Medium</v>
      </c>
    </row>
    <row r="2255" customFormat="false" ht="15" hidden="false" customHeight="true" outlineLevel="0" collapsed="false">
      <c r="A2255" s="7" t="n">
        <f aca="false">'Raw Data'!A2255</f>
        <v>2017</v>
      </c>
      <c r="B2255" s="7" t="n">
        <f aca="false">'Raw Data'!B2255</f>
        <v>62</v>
      </c>
      <c r="C2255" s="7" t="str">
        <f aca="false">'Raw Data'!C2255</f>
        <v>Male</v>
      </c>
      <c r="D2255" s="7" t="str">
        <f aca="false">'Raw Data'!D2255</f>
        <v>Current</v>
      </c>
      <c r="E2255" s="7" t="str">
        <f aca="false">'Raw Data'!J2255</f>
        <v>Normal</v>
      </c>
      <c r="F2255" s="7" t="n">
        <f aca="false">'Raw Data'!K2255</f>
        <v>265.3</v>
      </c>
      <c r="G2255" s="7" t="str">
        <f aca="false">'Raw Data'!L2255</f>
        <v>No</v>
      </c>
      <c r="H2255" s="7" t="str">
        <f aca="false">'Raw Data'!M2255</f>
        <v>Moderate</v>
      </c>
      <c r="I2255" s="7" t="n">
        <f aca="false">(IF(D2255="Current",3,IF(D2255="Former",1,0)))+(IF(E2255="High",3,IF(E2255="Normal",1,0)))+(IF(F2255&gt;=240,2,IF(F2255&gt;=200,1,0)))+(IF(G2255="Yes",2,0))+(IF(H2255="High",2,IF(H2255="Moderate",1,0)))</f>
        <v>7</v>
      </c>
      <c r="J2255" s="7" t="str">
        <f aca="false">IF(I2255&gt;=8,"High",IF(I2255&gt;=4,"Medium","Low"))</f>
        <v>Medium</v>
      </c>
    </row>
    <row r="2256" customFormat="false" ht="15" hidden="false" customHeight="true" outlineLevel="0" collapsed="false">
      <c r="A2256" s="7" t="n">
        <f aca="false">'Raw Data'!A2256</f>
        <v>2034</v>
      </c>
      <c r="B2256" s="7" t="n">
        <f aca="false">'Raw Data'!B2256</f>
        <v>36</v>
      </c>
      <c r="C2256" s="7" t="str">
        <f aca="false">'Raw Data'!C2256</f>
        <v>Male</v>
      </c>
      <c r="D2256" s="7" t="str">
        <f aca="false">'Raw Data'!D2256</f>
        <v>Current</v>
      </c>
      <c r="E2256" s="7" t="str">
        <f aca="false">'Raw Data'!J2256</f>
        <v>Normal</v>
      </c>
      <c r="F2256" s="7" t="n">
        <f aca="false">'Raw Data'!K2256</f>
        <v>256.5</v>
      </c>
      <c r="G2256" s="7" t="str">
        <f aca="false">'Raw Data'!L2256</f>
        <v>Yes</v>
      </c>
      <c r="H2256" s="7" t="str">
        <f aca="false">'Raw Data'!M2256</f>
        <v>Moderate</v>
      </c>
      <c r="I2256" s="7" t="n">
        <f aca="false">(IF(D2256="Current",3,IF(D2256="Former",1,0)))+(IF(E2256="High",3,IF(E2256="Normal",1,0)))+(IF(F2256&gt;=240,2,IF(F2256&gt;=200,1,0)))+(IF(G2256="Yes",2,0))+(IF(H2256="High",2,IF(H2256="Moderate",1,0)))</f>
        <v>9</v>
      </c>
      <c r="J2256" s="7" t="str">
        <f aca="false">IF(I2256&gt;=8,"High",IF(I2256&gt;=4,"Medium","Low"))</f>
        <v>High</v>
      </c>
    </row>
    <row r="2257" customFormat="false" ht="15" hidden="false" customHeight="true" outlineLevel="0" collapsed="false">
      <c r="A2257" s="7" t="n">
        <f aca="false">'Raw Data'!A2257</f>
        <v>2043</v>
      </c>
      <c r="B2257" s="7" t="n">
        <f aca="false">'Raw Data'!B2257</f>
        <v>44</v>
      </c>
      <c r="C2257" s="7" t="str">
        <f aca="false">'Raw Data'!C2257</f>
        <v>Female</v>
      </c>
      <c r="D2257" s="7" t="str">
        <f aca="false">'Raw Data'!D2257</f>
        <v>Current</v>
      </c>
      <c r="E2257" s="7" t="str">
        <f aca="false">'Raw Data'!J2257</f>
        <v>Normal</v>
      </c>
      <c r="F2257" s="7" t="n">
        <f aca="false">'Raw Data'!K2257</f>
        <v>275.7</v>
      </c>
      <c r="G2257" s="7" t="str">
        <f aca="false">'Raw Data'!L2257</f>
        <v>Yes</v>
      </c>
      <c r="H2257" s="7" t="str">
        <f aca="false">'Raw Data'!M2257</f>
        <v>Moderate</v>
      </c>
      <c r="I2257" s="7" t="n">
        <f aca="false">(IF(D2257="Current",3,IF(D2257="Former",1,0)))+(IF(E2257="High",3,IF(E2257="Normal",1,0)))+(IF(F2257&gt;=240,2,IF(F2257&gt;=200,1,0)))+(IF(G2257="Yes",2,0))+(IF(H2257="High",2,IF(H2257="Moderate",1,0)))</f>
        <v>9</v>
      </c>
      <c r="J2257" s="7" t="str">
        <f aca="false">IF(I2257&gt;=8,"High",IF(I2257&gt;=4,"Medium","Low"))</f>
        <v>High</v>
      </c>
    </row>
    <row r="2258" customFormat="false" ht="15" hidden="false" customHeight="true" outlineLevel="0" collapsed="false">
      <c r="A2258" s="7" t="n">
        <f aca="false">'Raw Data'!A2258</f>
        <v>2059</v>
      </c>
      <c r="B2258" s="7" t="n">
        <f aca="false">'Raw Data'!B2258</f>
        <v>67</v>
      </c>
      <c r="C2258" s="7" t="str">
        <f aca="false">'Raw Data'!C2258</f>
        <v>Male</v>
      </c>
      <c r="D2258" s="7" t="str">
        <f aca="false">'Raw Data'!D2258</f>
        <v>Current</v>
      </c>
      <c r="E2258" s="7" t="str">
        <f aca="false">'Raw Data'!J2258</f>
        <v>Normal</v>
      </c>
      <c r="F2258" s="7" t="n">
        <f aca="false">'Raw Data'!K2258</f>
        <v>274.9</v>
      </c>
      <c r="G2258" s="7" t="str">
        <f aca="false">'Raw Data'!L2258</f>
        <v>No</v>
      </c>
      <c r="H2258" s="7" t="str">
        <f aca="false">'Raw Data'!M2258</f>
        <v>Moderate</v>
      </c>
      <c r="I2258" s="7" t="n">
        <f aca="false">(IF(D2258="Current",3,IF(D2258="Former",1,0)))+(IF(E2258="High",3,IF(E2258="Normal",1,0)))+(IF(F2258&gt;=240,2,IF(F2258&gt;=200,1,0)))+(IF(G2258="Yes",2,0))+(IF(H2258="High",2,IF(H2258="Moderate",1,0)))</f>
        <v>7</v>
      </c>
      <c r="J2258" s="7" t="str">
        <f aca="false">IF(I2258&gt;=8,"High",IF(I2258&gt;=4,"Medium","Low"))</f>
        <v>Medium</v>
      </c>
    </row>
    <row r="2259" customFormat="false" ht="15" hidden="false" customHeight="true" outlineLevel="0" collapsed="false">
      <c r="A2259" s="7" t="n">
        <f aca="false">'Raw Data'!A2259</f>
        <v>2065</v>
      </c>
      <c r="B2259" s="7" t="n">
        <f aca="false">'Raw Data'!B2259</f>
        <v>36</v>
      </c>
      <c r="C2259" s="7" t="str">
        <f aca="false">'Raw Data'!C2259</f>
        <v>Female</v>
      </c>
      <c r="D2259" s="7" t="str">
        <f aca="false">'Raw Data'!D2259</f>
        <v>Current</v>
      </c>
      <c r="E2259" s="7" t="str">
        <f aca="false">'Raw Data'!J2259</f>
        <v>Normal</v>
      </c>
      <c r="F2259" s="7" t="n">
        <f aca="false">'Raw Data'!K2259</f>
        <v>213.9</v>
      </c>
      <c r="G2259" s="7" t="str">
        <f aca="false">'Raw Data'!L2259</f>
        <v>No</v>
      </c>
      <c r="H2259" s="7" t="str">
        <f aca="false">'Raw Data'!M2259</f>
        <v>Moderate</v>
      </c>
      <c r="I2259" s="7" t="n">
        <f aca="false">(IF(D2259="Current",3,IF(D2259="Former",1,0)))+(IF(E2259="High",3,IF(E2259="Normal",1,0)))+(IF(F2259&gt;=240,2,IF(F2259&gt;=200,1,0)))+(IF(G2259="Yes",2,0))+(IF(H2259="High",2,IF(H2259="Moderate",1,0)))</f>
        <v>6</v>
      </c>
      <c r="J2259" s="7" t="str">
        <f aca="false">IF(I2259&gt;=8,"High",IF(I2259&gt;=4,"Medium","Low"))</f>
        <v>Medium</v>
      </c>
    </row>
    <row r="2260" customFormat="false" ht="15" hidden="false" customHeight="true" outlineLevel="0" collapsed="false">
      <c r="A2260" s="7" t="n">
        <f aca="false">'Raw Data'!A2260</f>
        <v>2066</v>
      </c>
      <c r="B2260" s="7" t="n">
        <f aca="false">'Raw Data'!B2260</f>
        <v>52</v>
      </c>
      <c r="C2260" s="7" t="str">
        <f aca="false">'Raw Data'!C2260</f>
        <v>Female</v>
      </c>
      <c r="D2260" s="7" t="str">
        <f aca="false">'Raw Data'!D2260</f>
        <v>Current</v>
      </c>
      <c r="E2260" s="7" t="str">
        <f aca="false">'Raw Data'!J2260</f>
        <v>Normal</v>
      </c>
      <c r="F2260" s="7" t="n">
        <f aca="false">'Raw Data'!K2260</f>
        <v>150.3</v>
      </c>
      <c r="G2260" s="7" t="str">
        <f aca="false">'Raw Data'!L2260</f>
        <v>No</v>
      </c>
      <c r="H2260" s="7" t="str">
        <f aca="false">'Raw Data'!M2260</f>
        <v>Moderate</v>
      </c>
      <c r="I2260" s="7" t="n">
        <f aca="false">(IF(D2260="Current",3,IF(D2260="Former",1,0)))+(IF(E2260="High",3,IF(E2260="Normal",1,0)))+(IF(F2260&gt;=240,2,IF(F2260&gt;=200,1,0)))+(IF(G2260="Yes",2,0))+(IF(H2260="High",2,IF(H2260="Moderate",1,0)))</f>
        <v>5</v>
      </c>
      <c r="J2260" s="7" t="str">
        <f aca="false">IF(I2260&gt;=8,"High",IF(I2260&gt;=4,"Medium","Low"))</f>
        <v>Medium</v>
      </c>
    </row>
    <row r="2261" customFormat="false" ht="15" hidden="false" customHeight="true" outlineLevel="0" collapsed="false">
      <c r="A2261" s="7" t="n">
        <f aca="false">'Raw Data'!A2261</f>
        <v>2073</v>
      </c>
      <c r="B2261" s="7" t="n">
        <f aca="false">'Raw Data'!B2261</f>
        <v>56</v>
      </c>
      <c r="C2261" s="7" t="str">
        <f aca="false">'Raw Data'!C2261</f>
        <v>Male</v>
      </c>
      <c r="D2261" s="7" t="str">
        <f aca="false">'Raw Data'!D2261</f>
        <v>Current</v>
      </c>
      <c r="E2261" s="7" t="str">
        <f aca="false">'Raw Data'!J2261</f>
        <v>Normal</v>
      </c>
      <c r="F2261" s="7" t="n">
        <f aca="false">'Raw Data'!K2261</f>
        <v>217.9</v>
      </c>
      <c r="G2261" s="7" t="str">
        <f aca="false">'Raw Data'!L2261</f>
        <v>Yes</v>
      </c>
      <c r="H2261" s="7" t="str">
        <f aca="false">'Raw Data'!M2261</f>
        <v>Moderate</v>
      </c>
      <c r="I2261" s="7" t="n">
        <f aca="false">(IF(D2261="Current",3,IF(D2261="Former",1,0)))+(IF(E2261="High",3,IF(E2261="Normal",1,0)))+(IF(F2261&gt;=240,2,IF(F2261&gt;=200,1,0)))+(IF(G2261="Yes",2,0))+(IF(H2261="High",2,IF(H2261="Moderate",1,0)))</f>
        <v>8</v>
      </c>
      <c r="J2261" s="7" t="str">
        <f aca="false">IF(I2261&gt;=8,"High",IF(I2261&gt;=4,"Medium","Low"))</f>
        <v>High</v>
      </c>
    </row>
    <row r="2262" customFormat="false" ht="15" hidden="false" customHeight="true" outlineLevel="0" collapsed="false">
      <c r="A2262" s="7" t="n">
        <f aca="false">'Raw Data'!A2262</f>
        <v>2083</v>
      </c>
      <c r="B2262" s="7" t="n">
        <f aca="false">'Raw Data'!B2262</f>
        <v>68</v>
      </c>
      <c r="C2262" s="7" t="str">
        <f aca="false">'Raw Data'!C2262</f>
        <v>Male</v>
      </c>
      <c r="D2262" s="7" t="str">
        <f aca="false">'Raw Data'!D2262</f>
        <v>Current</v>
      </c>
      <c r="E2262" s="7" t="str">
        <f aca="false">'Raw Data'!J2262</f>
        <v>Normal</v>
      </c>
      <c r="F2262" s="7" t="n">
        <f aca="false">'Raw Data'!K2262</f>
        <v>181.9</v>
      </c>
      <c r="G2262" s="7" t="str">
        <f aca="false">'Raw Data'!L2262</f>
        <v>No</v>
      </c>
      <c r="H2262" s="7" t="str">
        <f aca="false">'Raw Data'!M2262</f>
        <v>Moderate</v>
      </c>
      <c r="I2262" s="7" t="n">
        <f aca="false">(IF(D2262="Current",3,IF(D2262="Former",1,0)))+(IF(E2262="High",3,IF(E2262="Normal",1,0)))+(IF(F2262&gt;=240,2,IF(F2262&gt;=200,1,0)))+(IF(G2262="Yes",2,0))+(IF(H2262="High",2,IF(H2262="Moderate",1,0)))</f>
        <v>5</v>
      </c>
      <c r="J2262" s="7" t="str">
        <f aca="false">IF(I2262&gt;=8,"High",IF(I2262&gt;=4,"Medium","Low"))</f>
        <v>Medium</v>
      </c>
    </row>
    <row r="2263" customFormat="false" ht="15" hidden="false" customHeight="true" outlineLevel="0" collapsed="false">
      <c r="A2263" s="7" t="n">
        <f aca="false">'Raw Data'!A2263</f>
        <v>2102</v>
      </c>
      <c r="B2263" s="7" t="n">
        <f aca="false">'Raw Data'!B2263</f>
        <v>38</v>
      </c>
      <c r="C2263" s="7" t="str">
        <f aca="false">'Raw Data'!C2263</f>
        <v>Male</v>
      </c>
      <c r="D2263" s="7" t="str">
        <f aca="false">'Raw Data'!D2263</f>
        <v>Current</v>
      </c>
      <c r="E2263" s="7" t="str">
        <f aca="false">'Raw Data'!J2263</f>
        <v>Normal</v>
      </c>
      <c r="F2263" s="7" t="n">
        <f aca="false">'Raw Data'!K2263</f>
        <v>296.7</v>
      </c>
      <c r="G2263" s="7" t="str">
        <f aca="false">'Raw Data'!L2263</f>
        <v>No</v>
      </c>
      <c r="H2263" s="7" t="str">
        <f aca="false">'Raw Data'!M2263</f>
        <v>Moderate</v>
      </c>
      <c r="I2263" s="7" t="n">
        <f aca="false">(IF(D2263="Current",3,IF(D2263="Former",1,0)))+(IF(E2263="High",3,IF(E2263="Normal",1,0)))+(IF(F2263&gt;=240,2,IF(F2263&gt;=200,1,0)))+(IF(G2263="Yes",2,0))+(IF(H2263="High",2,IF(H2263="Moderate",1,0)))</f>
        <v>7</v>
      </c>
      <c r="J2263" s="7" t="str">
        <f aca="false">IF(I2263&gt;=8,"High",IF(I2263&gt;=4,"Medium","Low"))</f>
        <v>Medium</v>
      </c>
    </row>
    <row r="2264" customFormat="false" ht="15" hidden="false" customHeight="true" outlineLevel="0" collapsed="false">
      <c r="A2264" s="7" t="n">
        <f aca="false">'Raw Data'!A2264</f>
        <v>2104</v>
      </c>
      <c r="B2264" s="7" t="n">
        <f aca="false">'Raw Data'!B2264</f>
        <v>72</v>
      </c>
      <c r="C2264" s="7" t="str">
        <f aca="false">'Raw Data'!C2264</f>
        <v>Male</v>
      </c>
      <c r="D2264" s="7" t="str">
        <f aca="false">'Raw Data'!D2264</f>
        <v>Current</v>
      </c>
      <c r="E2264" s="7" t="str">
        <f aca="false">'Raw Data'!J2264</f>
        <v>Normal</v>
      </c>
      <c r="F2264" s="7" t="n">
        <f aca="false">'Raw Data'!K2264</f>
        <v>231.5</v>
      </c>
      <c r="G2264" s="7" t="str">
        <f aca="false">'Raw Data'!L2264</f>
        <v>No</v>
      </c>
      <c r="H2264" s="7" t="str">
        <f aca="false">'Raw Data'!M2264</f>
        <v>Moderate</v>
      </c>
      <c r="I2264" s="7" t="n">
        <f aca="false">(IF(D2264="Current",3,IF(D2264="Former",1,0)))+(IF(E2264="High",3,IF(E2264="Normal",1,0)))+(IF(F2264&gt;=240,2,IF(F2264&gt;=200,1,0)))+(IF(G2264="Yes",2,0))+(IF(H2264="High",2,IF(H2264="Moderate",1,0)))</f>
        <v>6</v>
      </c>
      <c r="J2264" s="7" t="str">
        <f aca="false">IF(I2264&gt;=8,"High",IF(I2264&gt;=4,"Medium","Low"))</f>
        <v>Medium</v>
      </c>
    </row>
    <row r="2265" customFormat="false" ht="15" hidden="false" customHeight="true" outlineLevel="0" collapsed="false">
      <c r="A2265" s="7" t="n">
        <f aca="false">'Raw Data'!A2265</f>
        <v>2109</v>
      </c>
      <c r="B2265" s="7" t="n">
        <f aca="false">'Raw Data'!B2265</f>
        <v>84</v>
      </c>
      <c r="C2265" s="7" t="str">
        <f aca="false">'Raw Data'!C2265</f>
        <v>Male</v>
      </c>
      <c r="D2265" s="7" t="str">
        <f aca="false">'Raw Data'!D2265</f>
        <v>Current</v>
      </c>
      <c r="E2265" s="7" t="str">
        <f aca="false">'Raw Data'!J2265</f>
        <v>Normal</v>
      </c>
      <c r="F2265" s="7" t="n">
        <f aca="false">'Raw Data'!K2265</f>
        <v>281.6</v>
      </c>
      <c r="G2265" s="7" t="str">
        <f aca="false">'Raw Data'!L2265</f>
        <v>No</v>
      </c>
      <c r="H2265" s="7" t="str">
        <f aca="false">'Raw Data'!M2265</f>
        <v>Moderate</v>
      </c>
      <c r="I2265" s="7" t="n">
        <f aca="false">(IF(D2265="Current",3,IF(D2265="Former",1,0)))+(IF(E2265="High",3,IF(E2265="Normal",1,0)))+(IF(F2265&gt;=240,2,IF(F2265&gt;=200,1,0)))+(IF(G2265="Yes",2,0))+(IF(H2265="High",2,IF(H2265="Moderate",1,0)))</f>
        <v>7</v>
      </c>
      <c r="J2265" s="7" t="str">
        <f aca="false">IF(I2265&gt;=8,"High",IF(I2265&gt;=4,"Medium","Low"))</f>
        <v>Medium</v>
      </c>
    </row>
    <row r="2266" customFormat="false" ht="15" hidden="false" customHeight="true" outlineLevel="0" collapsed="false">
      <c r="A2266" s="7" t="n">
        <f aca="false">'Raw Data'!A2266</f>
        <v>2118</v>
      </c>
      <c r="B2266" s="7" t="n">
        <f aca="false">'Raw Data'!B2266</f>
        <v>68</v>
      </c>
      <c r="C2266" s="7" t="str">
        <f aca="false">'Raw Data'!C2266</f>
        <v>Female</v>
      </c>
      <c r="D2266" s="7" t="str">
        <f aca="false">'Raw Data'!D2266</f>
        <v>Current</v>
      </c>
      <c r="E2266" s="7" t="str">
        <f aca="false">'Raw Data'!J2266</f>
        <v>Normal</v>
      </c>
      <c r="F2266" s="7" t="n">
        <f aca="false">'Raw Data'!K2266</f>
        <v>296.8</v>
      </c>
      <c r="G2266" s="7" t="str">
        <f aca="false">'Raw Data'!L2266</f>
        <v>No</v>
      </c>
      <c r="H2266" s="7" t="str">
        <f aca="false">'Raw Data'!M2266</f>
        <v>Moderate</v>
      </c>
      <c r="I2266" s="7" t="n">
        <f aca="false">(IF(D2266="Current",3,IF(D2266="Former",1,0)))+(IF(E2266="High",3,IF(E2266="Normal",1,0)))+(IF(F2266&gt;=240,2,IF(F2266&gt;=200,1,0)))+(IF(G2266="Yes",2,0))+(IF(H2266="High",2,IF(H2266="Moderate",1,0)))</f>
        <v>7</v>
      </c>
      <c r="J2266" s="7" t="str">
        <f aca="false">IF(I2266&gt;=8,"High",IF(I2266&gt;=4,"Medium","Low"))</f>
        <v>Medium</v>
      </c>
    </row>
    <row r="2267" customFormat="false" ht="15" hidden="false" customHeight="true" outlineLevel="0" collapsed="false">
      <c r="A2267" s="7" t="n">
        <f aca="false">'Raw Data'!A2267</f>
        <v>2128</v>
      </c>
      <c r="B2267" s="7" t="n">
        <f aca="false">'Raw Data'!B2267</f>
        <v>29</v>
      </c>
      <c r="C2267" s="7" t="str">
        <f aca="false">'Raw Data'!C2267</f>
        <v>Female</v>
      </c>
      <c r="D2267" s="7" t="str">
        <f aca="false">'Raw Data'!D2267</f>
        <v>Current</v>
      </c>
      <c r="E2267" s="7" t="str">
        <f aca="false">'Raw Data'!J2267</f>
        <v>Normal</v>
      </c>
      <c r="F2267" s="7" t="n">
        <f aca="false">'Raw Data'!K2267</f>
        <v>149.8</v>
      </c>
      <c r="G2267" s="7" t="str">
        <f aca="false">'Raw Data'!L2267</f>
        <v>No</v>
      </c>
      <c r="H2267" s="7" t="str">
        <f aca="false">'Raw Data'!M2267</f>
        <v>Moderate</v>
      </c>
      <c r="I2267" s="7" t="n">
        <f aca="false">(IF(D2267="Current",3,IF(D2267="Former",1,0)))+(IF(E2267="High",3,IF(E2267="Normal",1,0)))+(IF(F2267&gt;=240,2,IF(F2267&gt;=200,1,0)))+(IF(G2267="Yes",2,0))+(IF(H2267="High",2,IF(H2267="Moderate",1,0)))</f>
        <v>5</v>
      </c>
      <c r="J2267" s="7" t="str">
        <f aca="false">IF(I2267&gt;=8,"High",IF(I2267&gt;=4,"Medium","Low"))</f>
        <v>Medium</v>
      </c>
    </row>
    <row r="2268" customFormat="false" ht="15" hidden="false" customHeight="true" outlineLevel="0" collapsed="false">
      <c r="A2268" s="7" t="n">
        <f aca="false">'Raw Data'!A2268</f>
        <v>2134</v>
      </c>
      <c r="B2268" s="7" t="n">
        <f aca="false">'Raw Data'!B2268</f>
        <v>59</v>
      </c>
      <c r="C2268" s="7" t="str">
        <f aca="false">'Raw Data'!C2268</f>
        <v>Female</v>
      </c>
      <c r="D2268" s="7" t="str">
        <f aca="false">'Raw Data'!D2268</f>
        <v>Current</v>
      </c>
      <c r="E2268" s="7" t="str">
        <f aca="false">'Raw Data'!J2268</f>
        <v>Normal</v>
      </c>
      <c r="F2268" s="7" t="n">
        <f aca="false">'Raw Data'!K2268</f>
        <v>166.1</v>
      </c>
      <c r="G2268" s="7" t="str">
        <f aca="false">'Raw Data'!L2268</f>
        <v>Yes</v>
      </c>
      <c r="H2268" s="7" t="str">
        <f aca="false">'Raw Data'!M2268</f>
        <v>Moderate</v>
      </c>
      <c r="I2268" s="7" t="n">
        <f aca="false">(IF(D2268="Current",3,IF(D2268="Former",1,0)))+(IF(E2268="High",3,IF(E2268="Normal",1,0)))+(IF(F2268&gt;=240,2,IF(F2268&gt;=200,1,0)))+(IF(G2268="Yes",2,0))+(IF(H2268="High",2,IF(H2268="Moderate",1,0)))</f>
        <v>7</v>
      </c>
      <c r="J2268" s="7" t="str">
        <f aca="false">IF(I2268&gt;=8,"High",IF(I2268&gt;=4,"Medium","Low"))</f>
        <v>Medium</v>
      </c>
    </row>
    <row r="2269" customFormat="false" ht="15" hidden="false" customHeight="true" outlineLevel="0" collapsed="false">
      <c r="A2269" s="7" t="n">
        <f aca="false">'Raw Data'!A2269</f>
        <v>2146</v>
      </c>
      <c r="B2269" s="7" t="n">
        <f aca="false">'Raw Data'!B2269</f>
        <v>29</v>
      </c>
      <c r="C2269" s="7" t="str">
        <f aca="false">'Raw Data'!C2269</f>
        <v>Female</v>
      </c>
      <c r="D2269" s="7" t="str">
        <f aca="false">'Raw Data'!D2269</f>
        <v>Current</v>
      </c>
      <c r="E2269" s="7" t="str">
        <f aca="false">'Raw Data'!J2269</f>
        <v>Normal</v>
      </c>
      <c r="F2269" s="7" t="n">
        <f aca="false">'Raw Data'!K2269</f>
        <v>293.7</v>
      </c>
      <c r="G2269" s="7" t="str">
        <f aca="false">'Raw Data'!L2269</f>
        <v>No</v>
      </c>
      <c r="H2269" s="7" t="str">
        <f aca="false">'Raw Data'!M2269</f>
        <v>Moderate</v>
      </c>
      <c r="I2269" s="7" t="n">
        <f aca="false">(IF(D2269="Current",3,IF(D2269="Former",1,0)))+(IF(E2269="High",3,IF(E2269="Normal",1,0)))+(IF(F2269&gt;=240,2,IF(F2269&gt;=200,1,0)))+(IF(G2269="Yes",2,0))+(IF(H2269="High",2,IF(H2269="Moderate",1,0)))</f>
        <v>7</v>
      </c>
      <c r="J2269" s="7" t="str">
        <f aca="false">IF(I2269&gt;=8,"High",IF(I2269&gt;=4,"Medium","Low"))</f>
        <v>Medium</v>
      </c>
    </row>
    <row r="2270" customFormat="false" ht="15" hidden="false" customHeight="true" outlineLevel="0" collapsed="false">
      <c r="A2270" s="7" t="n">
        <f aca="false">'Raw Data'!A2270</f>
        <v>2151</v>
      </c>
      <c r="B2270" s="7" t="n">
        <f aca="false">'Raw Data'!B2270</f>
        <v>49</v>
      </c>
      <c r="C2270" s="7" t="str">
        <f aca="false">'Raw Data'!C2270</f>
        <v>Male</v>
      </c>
      <c r="D2270" s="7" t="str">
        <f aca="false">'Raw Data'!D2270</f>
        <v>Current</v>
      </c>
      <c r="E2270" s="7" t="str">
        <f aca="false">'Raw Data'!J2270</f>
        <v>Normal</v>
      </c>
      <c r="F2270" s="7" t="n">
        <f aca="false">'Raw Data'!K2270</f>
        <v>218.4</v>
      </c>
      <c r="G2270" s="7" t="str">
        <f aca="false">'Raw Data'!L2270</f>
        <v>Yes</v>
      </c>
      <c r="H2270" s="7" t="str">
        <f aca="false">'Raw Data'!M2270</f>
        <v>Moderate</v>
      </c>
      <c r="I2270" s="7" t="n">
        <f aca="false">(IF(D2270="Current",3,IF(D2270="Former",1,0)))+(IF(E2270="High",3,IF(E2270="Normal",1,0)))+(IF(F2270&gt;=240,2,IF(F2270&gt;=200,1,0)))+(IF(G2270="Yes",2,0))+(IF(H2270="High",2,IF(H2270="Moderate",1,0)))</f>
        <v>8</v>
      </c>
      <c r="J2270" s="7" t="str">
        <f aca="false">IF(I2270&gt;=8,"High",IF(I2270&gt;=4,"Medium","Low"))</f>
        <v>High</v>
      </c>
    </row>
    <row r="2271" customFormat="false" ht="15" hidden="false" customHeight="true" outlineLevel="0" collapsed="false">
      <c r="A2271" s="7" t="n">
        <f aca="false">'Raw Data'!A2271</f>
        <v>2155</v>
      </c>
      <c r="B2271" s="7" t="n">
        <f aca="false">'Raw Data'!B2271</f>
        <v>20</v>
      </c>
      <c r="C2271" s="7" t="str">
        <f aca="false">'Raw Data'!C2271</f>
        <v>Female</v>
      </c>
      <c r="D2271" s="7" t="str">
        <f aca="false">'Raw Data'!D2271</f>
        <v>Current</v>
      </c>
      <c r="E2271" s="7" t="str">
        <f aca="false">'Raw Data'!J2271</f>
        <v>Normal</v>
      </c>
      <c r="F2271" s="7" t="n">
        <f aca="false">'Raw Data'!K2271</f>
        <v>164.6</v>
      </c>
      <c r="G2271" s="7" t="str">
        <f aca="false">'Raw Data'!L2271</f>
        <v>No</v>
      </c>
      <c r="H2271" s="7" t="str">
        <f aca="false">'Raw Data'!M2271</f>
        <v>Moderate</v>
      </c>
      <c r="I2271" s="7" t="n">
        <f aca="false">(IF(D2271="Current",3,IF(D2271="Former",1,0)))+(IF(E2271="High",3,IF(E2271="Normal",1,0)))+(IF(F2271&gt;=240,2,IF(F2271&gt;=200,1,0)))+(IF(G2271="Yes",2,0))+(IF(H2271="High",2,IF(H2271="Moderate",1,0)))</f>
        <v>5</v>
      </c>
      <c r="J2271" s="7" t="str">
        <f aca="false">IF(I2271&gt;=8,"High",IF(I2271&gt;=4,"Medium","Low"))</f>
        <v>Medium</v>
      </c>
    </row>
    <row r="2272" customFormat="false" ht="15" hidden="false" customHeight="true" outlineLevel="0" collapsed="false">
      <c r="A2272" s="7" t="n">
        <f aca="false">'Raw Data'!A2272</f>
        <v>2167</v>
      </c>
      <c r="B2272" s="7" t="n">
        <f aca="false">'Raw Data'!B2272</f>
        <v>43</v>
      </c>
      <c r="C2272" s="7" t="str">
        <f aca="false">'Raw Data'!C2272</f>
        <v>Female</v>
      </c>
      <c r="D2272" s="7" t="str">
        <f aca="false">'Raw Data'!D2272</f>
        <v>Current</v>
      </c>
      <c r="E2272" s="7" t="str">
        <f aca="false">'Raw Data'!J2272</f>
        <v>Normal</v>
      </c>
      <c r="F2272" s="7" t="n">
        <f aca="false">'Raw Data'!K2272</f>
        <v>173.5</v>
      </c>
      <c r="G2272" s="7" t="str">
        <f aca="false">'Raw Data'!L2272</f>
        <v>No</v>
      </c>
      <c r="H2272" s="7" t="str">
        <f aca="false">'Raw Data'!M2272</f>
        <v>Moderate</v>
      </c>
      <c r="I2272" s="7" t="n">
        <f aca="false">(IF(D2272="Current",3,IF(D2272="Former",1,0)))+(IF(E2272="High",3,IF(E2272="Normal",1,0)))+(IF(F2272&gt;=240,2,IF(F2272&gt;=200,1,0)))+(IF(G2272="Yes",2,0))+(IF(H2272="High",2,IF(H2272="Moderate",1,0)))</f>
        <v>5</v>
      </c>
      <c r="J2272" s="7" t="str">
        <f aca="false">IF(I2272&gt;=8,"High",IF(I2272&gt;=4,"Medium","Low"))</f>
        <v>Medium</v>
      </c>
    </row>
    <row r="2273" customFormat="false" ht="15" hidden="false" customHeight="true" outlineLevel="0" collapsed="false">
      <c r="A2273" s="7" t="n">
        <f aca="false">'Raw Data'!A2273</f>
        <v>2170</v>
      </c>
      <c r="B2273" s="7" t="n">
        <f aca="false">'Raw Data'!B2273</f>
        <v>58</v>
      </c>
      <c r="C2273" s="7" t="str">
        <f aca="false">'Raw Data'!C2273</f>
        <v>Male</v>
      </c>
      <c r="D2273" s="7" t="str">
        <f aca="false">'Raw Data'!D2273</f>
        <v>Current</v>
      </c>
      <c r="E2273" s="7" t="str">
        <f aca="false">'Raw Data'!J2273</f>
        <v>Normal</v>
      </c>
      <c r="F2273" s="7" t="n">
        <f aca="false">'Raw Data'!K2273</f>
        <v>201</v>
      </c>
      <c r="G2273" s="7" t="str">
        <f aca="false">'Raw Data'!L2273</f>
        <v>No</v>
      </c>
      <c r="H2273" s="7" t="str">
        <f aca="false">'Raw Data'!M2273</f>
        <v>Moderate</v>
      </c>
      <c r="I2273" s="7" t="n">
        <f aca="false">(IF(D2273="Current",3,IF(D2273="Former",1,0)))+(IF(E2273="High",3,IF(E2273="Normal",1,0)))+(IF(F2273&gt;=240,2,IF(F2273&gt;=200,1,0)))+(IF(G2273="Yes",2,0))+(IF(H2273="High",2,IF(H2273="Moderate",1,0)))</f>
        <v>6</v>
      </c>
      <c r="J2273" s="7" t="str">
        <f aca="false">IF(I2273&gt;=8,"High",IF(I2273&gt;=4,"Medium","Low"))</f>
        <v>Medium</v>
      </c>
    </row>
    <row r="2274" customFormat="false" ht="15" hidden="false" customHeight="true" outlineLevel="0" collapsed="false">
      <c r="A2274" s="7" t="n">
        <f aca="false">'Raw Data'!A2274</f>
        <v>2193</v>
      </c>
      <c r="B2274" s="7" t="n">
        <f aca="false">'Raw Data'!B2274</f>
        <v>34</v>
      </c>
      <c r="C2274" s="7" t="str">
        <f aca="false">'Raw Data'!C2274</f>
        <v>Female</v>
      </c>
      <c r="D2274" s="7" t="str">
        <f aca="false">'Raw Data'!D2274</f>
        <v>Current</v>
      </c>
      <c r="E2274" s="7" t="str">
        <f aca="false">'Raw Data'!J2274</f>
        <v>Normal</v>
      </c>
      <c r="F2274" s="7" t="n">
        <f aca="false">'Raw Data'!K2274</f>
        <v>130.9</v>
      </c>
      <c r="G2274" s="7" t="str">
        <f aca="false">'Raw Data'!L2274</f>
        <v>No</v>
      </c>
      <c r="H2274" s="7" t="str">
        <f aca="false">'Raw Data'!M2274</f>
        <v>Moderate</v>
      </c>
      <c r="I2274" s="7" t="n">
        <f aca="false">(IF(D2274="Current",3,IF(D2274="Former",1,0)))+(IF(E2274="High",3,IF(E2274="Normal",1,0)))+(IF(F2274&gt;=240,2,IF(F2274&gt;=200,1,0)))+(IF(G2274="Yes",2,0))+(IF(H2274="High",2,IF(H2274="Moderate",1,0)))</f>
        <v>5</v>
      </c>
      <c r="J2274" s="7" t="str">
        <f aca="false">IF(I2274&gt;=8,"High",IF(I2274&gt;=4,"Medium","Low"))</f>
        <v>Medium</v>
      </c>
    </row>
    <row r="2275" customFormat="false" ht="15" hidden="false" customHeight="true" outlineLevel="0" collapsed="false">
      <c r="A2275" s="7" t="n">
        <f aca="false">'Raw Data'!A2275</f>
        <v>2202</v>
      </c>
      <c r="B2275" s="7" t="n">
        <f aca="false">'Raw Data'!B2275</f>
        <v>87</v>
      </c>
      <c r="C2275" s="7" t="str">
        <f aca="false">'Raw Data'!C2275</f>
        <v>Female</v>
      </c>
      <c r="D2275" s="7" t="str">
        <f aca="false">'Raw Data'!D2275</f>
        <v>Current</v>
      </c>
      <c r="E2275" s="7" t="str">
        <f aca="false">'Raw Data'!J2275</f>
        <v>Normal</v>
      </c>
      <c r="F2275" s="7" t="n">
        <f aca="false">'Raw Data'!K2275</f>
        <v>250.5</v>
      </c>
      <c r="G2275" s="7" t="str">
        <f aca="false">'Raw Data'!L2275</f>
        <v>No</v>
      </c>
      <c r="H2275" s="7" t="str">
        <f aca="false">'Raw Data'!M2275</f>
        <v>Moderate</v>
      </c>
      <c r="I2275" s="7" t="n">
        <f aca="false">(IF(D2275="Current",3,IF(D2275="Former",1,0)))+(IF(E2275="High",3,IF(E2275="Normal",1,0)))+(IF(F2275&gt;=240,2,IF(F2275&gt;=200,1,0)))+(IF(G2275="Yes",2,0))+(IF(H2275="High",2,IF(H2275="Moderate",1,0)))</f>
        <v>7</v>
      </c>
      <c r="J2275" s="7" t="str">
        <f aca="false">IF(I2275&gt;=8,"High",IF(I2275&gt;=4,"Medium","Low"))</f>
        <v>Medium</v>
      </c>
    </row>
    <row r="2276" customFormat="false" ht="15" hidden="false" customHeight="true" outlineLevel="0" collapsed="false">
      <c r="A2276" s="7" t="n">
        <f aca="false">'Raw Data'!A2276</f>
        <v>2207</v>
      </c>
      <c r="B2276" s="7" t="n">
        <f aca="false">'Raw Data'!B2276</f>
        <v>78</v>
      </c>
      <c r="C2276" s="7" t="str">
        <f aca="false">'Raw Data'!C2276</f>
        <v>Male</v>
      </c>
      <c r="D2276" s="7" t="str">
        <f aca="false">'Raw Data'!D2276</f>
        <v>Current</v>
      </c>
      <c r="E2276" s="7" t="str">
        <f aca="false">'Raw Data'!J2276</f>
        <v>Normal</v>
      </c>
      <c r="F2276" s="7" t="n">
        <f aca="false">'Raw Data'!K2276</f>
        <v>212.1</v>
      </c>
      <c r="G2276" s="7" t="str">
        <f aca="false">'Raw Data'!L2276</f>
        <v>No</v>
      </c>
      <c r="H2276" s="7" t="str">
        <f aca="false">'Raw Data'!M2276</f>
        <v>Moderate</v>
      </c>
      <c r="I2276" s="7" t="n">
        <f aca="false">(IF(D2276="Current",3,IF(D2276="Former",1,0)))+(IF(E2276="High",3,IF(E2276="Normal",1,0)))+(IF(F2276&gt;=240,2,IF(F2276&gt;=200,1,0)))+(IF(G2276="Yes",2,0))+(IF(H2276="High",2,IF(H2276="Moderate",1,0)))</f>
        <v>6</v>
      </c>
      <c r="J2276" s="7" t="str">
        <f aca="false">IF(I2276&gt;=8,"High",IF(I2276&gt;=4,"Medium","Low"))</f>
        <v>Medium</v>
      </c>
    </row>
    <row r="2277" customFormat="false" ht="15" hidden="false" customHeight="true" outlineLevel="0" collapsed="false">
      <c r="A2277" s="7" t="n">
        <f aca="false">'Raw Data'!A2277</f>
        <v>2241</v>
      </c>
      <c r="B2277" s="7" t="n">
        <f aca="false">'Raw Data'!B2277</f>
        <v>42</v>
      </c>
      <c r="C2277" s="7" t="str">
        <f aca="false">'Raw Data'!C2277</f>
        <v>Male</v>
      </c>
      <c r="D2277" s="7" t="str">
        <f aca="false">'Raw Data'!D2277</f>
        <v>Current</v>
      </c>
      <c r="E2277" s="7" t="str">
        <f aca="false">'Raw Data'!J2277</f>
        <v>Normal</v>
      </c>
      <c r="F2277" s="7" t="n">
        <f aca="false">'Raw Data'!K2277</f>
        <v>197.3</v>
      </c>
      <c r="G2277" s="7" t="str">
        <f aca="false">'Raw Data'!L2277</f>
        <v>No</v>
      </c>
      <c r="H2277" s="7" t="str">
        <f aca="false">'Raw Data'!M2277</f>
        <v>Moderate</v>
      </c>
      <c r="I2277" s="7" t="n">
        <f aca="false">(IF(D2277="Current",3,IF(D2277="Former",1,0)))+(IF(E2277="High",3,IF(E2277="Normal",1,0)))+(IF(F2277&gt;=240,2,IF(F2277&gt;=200,1,0)))+(IF(G2277="Yes",2,0))+(IF(H2277="High",2,IF(H2277="Moderate",1,0)))</f>
        <v>5</v>
      </c>
      <c r="J2277" s="7" t="str">
        <f aca="false">IF(I2277&gt;=8,"High",IF(I2277&gt;=4,"Medium","Low"))</f>
        <v>Medium</v>
      </c>
    </row>
    <row r="2278" customFormat="false" ht="15" hidden="false" customHeight="true" outlineLevel="0" collapsed="false">
      <c r="A2278" s="7" t="n">
        <f aca="false">'Raw Data'!A2278</f>
        <v>2256</v>
      </c>
      <c r="B2278" s="7" t="n">
        <f aca="false">'Raw Data'!B2278</f>
        <v>54</v>
      </c>
      <c r="C2278" s="7" t="str">
        <f aca="false">'Raw Data'!C2278</f>
        <v>Female</v>
      </c>
      <c r="D2278" s="7" t="str">
        <f aca="false">'Raw Data'!D2278</f>
        <v>Current</v>
      </c>
      <c r="E2278" s="7" t="str">
        <f aca="false">'Raw Data'!J2278</f>
        <v>Normal</v>
      </c>
      <c r="F2278" s="7" t="n">
        <f aca="false">'Raw Data'!K2278</f>
        <v>172.1</v>
      </c>
      <c r="G2278" s="7" t="str">
        <f aca="false">'Raw Data'!L2278</f>
        <v>No</v>
      </c>
      <c r="H2278" s="7" t="str">
        <f aca="false">'Raw Data'!M2278</f>
        <v>Moderate</v>
      </c>
      <c r="I2278" s="7" t="n">
        <f aca="false">(IF(D2278="Current",3,IF(D2278="Former",1,0)))+(IF(E2278="High",3,IF(E2278="Normal",1,0)))+(IF(F2278&gt;=240,2,IF(F2278&gt;=200,1,0)))+(IF(G2278="Yes",2,0))+(IF(H2278="High",2,IF(H2278="Moderate",1,0)))</f>
        <v>5</v>
      </c>
      <c r="J2278" s="7" t="str">
        <f aca="false">IF(I2278&gt;=8,"High",IF(I2278&gt;=4,"Medium","Low"))</f>
        <v>Medium</v>
      </c>
    </row>
    <row r="2279" customFormat="false" ht="15" hidden="false" customHeight="true" outlineLevel="0" collapsed="false">
      <c r="A2279" s="7" t="n">
        <f aca="false">'Raw Data'!A2279</f>
        <v>2260</v>
      </c>
      <c r="B2279" s="7" t="n">
        <f aca="false">'Raw Data'!B2279</f>
        <v>42</v>
      </c>
      <c r="C2279" s="7" t="str">
        <f aca="false">'Raw Data'!C2279</f>
        <v>Female</v>
      </c>
      <c r="D2279" s="7" t="str">
        <f aca="false">'Raw Data'!D2279</f>
        <v>Current</v>
      </c>
      <c r="E2279" s="7" t="str">
        <f aca="false">'Raw Data'!J2279</f>
        <v>Normal</v>
      </c>
      <c r="F2279" s="7" t="n">
        <f aca="false">'Raw Data'!K2279</f>
        <v>258.2</v>
      </c>
      <c r="G2279" s="7" t="str">
        <f aca="false">'Raw Data'!L2279</f>
        <v>No</v>
      </c>
      <c r="H2279" s="7" t="str">
        <f aca="false">'Raw Data'!M2279</f>
        <v>Moderate</v>
      </c>
      <c r="I2279" s="7" t="n">
        <f aca="false">(IF(D2279="Current",3,IF(D2279="Former",1,0)))+(IF(E2279="High",3,IF(E2279="Normal",1,0)))+(IF(F2279&gt;=240,2,IF(F2279&gt;=200,1,0)))+(IF(G2279="Yes",2,0))+(IF(H2279="High",2,IF(H2279="Moderate",1,0)))</f>
        <v>7</v>
      </c>
      <c r="J2279" s="7" t="str">
        <f aca="false">IF(I2279&gt;=8,"High",IF(I2279&gt;=4,"Medium","Low"))</f>
        <v>Medium</v>
      </c>
    </row>
    <row r="2280" customFormat="false" ht="15" hidden="false" customHeight="true" outlineLevel="0" collapsed="false">
      <c r="A2280" s="7" t="n">
        <f aca="false">'Raw Data'!A2280</f>
        <v>2284</v>
      </c>
      <c r="B2280" s="7" t="n">
        <f aca="false">'Raw Data'!B2280</f>
        <v>28</v>
      </c>
      <c r="C2280" s="7" t="str">
        <f aca="false">'Raw Data'!C2280</f>
        <v>Female</v>
      </c>
      <c r="D2280" s="7" t="str">
        <f aca="false">'Raw Data'!D2280</f>
        <v>Current</v>
      </c>
      <c r="E2280" s="7" t="str">
        <f aca="false">'Raw Data'!J2280</f>
        <v>Normal</v>
      </c>
      <c r="F2280" s="7" t="n">
        <f aca="false">'Raw Data'!K2280</f>
        <v>125.4</v>
      </c>
      <c r="G2280" s="7" t="str">
        <f aca="false">'Raw Data'!L2280</f>
        <v>Yes</v>
      </c>
      <c r="H2280" s="7" t="str">
        <f aca="false">'Raw Data'!M2280</f>
        <v>Moderate</v>
      </c>
      <c r="I2280" s="7" t="n">
        <f aca="false">(IF(D2280="Current",3,IF(D2280="Former",1,0)))+(IF(E2280="High",3,IF(E2280="Normal",1,0)))+(IF(F2280&gt;=240,2,IF(F2280&gt;=200,1,0)))+(IF(G2280="Yes",2,0))+(IF(H2280="High",2,IF(H2280="Moderate",1,0)))</f>
        <v>7</v>
      </c>
      <c r="J2280" s="7" t="str">
        <f aca="false">IF(I2280&gt;=8,"High",IF(I2280&gt;=4,"Medium","Low"))</f>
        <v>Medium</v>
      </c>
    </row>
    <row r="2281" customFormat="false" ht="15" hidden="false" customHeight="true" outlineLevel="0" collapsed="false">
      <c r="A2281" s="7" t="n">
        <f aca="false">'Raw Data'!A2281</f>
        <v>2304</v>
      </c>
      <c r="B2281" s="7" t="n">
        <f aca="false">'Raw Data'!B2281</f>
        <v>58</v>
      </c>
      <c r="C2281" s="7" t="str">
        <f aca="false">'Raw Data'!C2281</f>
        <v>Male</v>
      </c>
      <c r="D2281" s="7" t="str">
        <f aca="false">'Raw Data'!D2281</f>
        <v>Current</v>
      </c>
      <c r="E2281" s="7" t="str">
        <f aca="false">'Raw Data'!J2281</f>
        <v>Normal</v>
      </c>
      <c r="F2281" s="7" t="n">
        <f aca="false">'Raw Data'!K2281</f>
        <v>192.1</v>
      </c>
      <c r="G2281" s="7" t="str">
        <f aca="false">'Raw Data'!L2281</f>
        <v>No</v>
      </c>
      <c r="H2281" s="7" t="str">
        <f aca="false">'Raw Data'!M2281</f>
        <v>Moderate</v>
      </c>
      <c r="I2281" s="7" t="n">
        <f aca="false">(IF(D2281="Current",3,IF(D2281="Former",1,0)))+(IF(E2281="High",3,IF(E2281="Normal",1,0)))+(IF(F2281&gt;=240,2,IF(F2281&gt;=200,1,0)))+(IF(G2281="Yes",2,0))+(IF(H2281="High",2,IF(H2281="Moderate",1,0)))</f>
        <v>5</v>
      </c>
      <c r="J2281" s="7" t="str">
        <f aca="false">IF(I2281&gt;=8,"High",IF(I2281&gt;=4,"Medium","Low"))</f>
        <v>Medium</v>
      </c>
    </row>
    <row r="2282" customFormat="false" ht="15" hidden="false" customHeight="true" outlineLevel="0" collapsed="false">
      <c r="A2282" s="7" t="n">
        <f aca="false">'Raw Data'!A2282</f>
        <v>2330</v>
      </c>
      <c r="B2282" s="7" t="n">
        <f aca="false">'Raw Data'!B2282</f>
        <v>55</v>
      </c>
      <c r="C2282" s="7" t="str">
        <f aca="false">'Raw Data'!C2282</f>
        <v>Male</v>
      </c>
      <c r="D2282" s="7" t="str">
        <f aca="false">'Raw Data'!D2282</f>
        <v>Current</v>
      </c>
      <c r="E2282" s="7" t="str">
        <f aca="false">'Raw Data'!J2282</f>
        <v>Normal</v>
      </c>
      <c r="F2282" s="7" t="n">
        <f aca="false">'Raw Data'!K2282</f>
        <v>157.9</v>
      </c>
      <c r="G2282" s="7" t="str">
        <f aca="false">'Raw Data'!L2282</f>
        <v>No</v>
      </c>
      <c r="H2282" s="7" t="str">
        <f aca="false">'Raw Data'!M2282</f>
        <v>Moderate</v>
      </c>
      <c r="I2282" s="7" t="n">
        <f aca="false">(IF(D2282="Current",3,IF(D2282="Former",1,0)))+(IF(E2282="High",3,IF(E2282="Normal",1,0)))+(IF(F2282&gt;=240,2,IF(F2282&gt;=200,1,0)))+(IF(G2282="Yes",2,0))+(IF(H2282="High",2,IF(H2282="Moderate",1,0)))</f>
        <v>5</v>
      </c>
      <c r="J2282" s="7" t="str">
        <f aca="false">IF(I2282&gt;=8,"High",IF(I2282&gt;=4,"Medium","Low"))</f>
        <v>Medium</v>
      </c>
    </row>
    <row r="2283" customFormat="false" ht="15" hidden="false" customHeight="true" outlineLevel="0" collapsed="false">
      <c r="A2283" s="7" t="n">
        <f aca="false">'Raw Data'!A2283</f>
        <v>2337</v>
      </c>
      <c r="B2283" s="7" t="n">
        <f aca="false">'Raw Data'!B2283</f>
        <v>59</v>
      </c>
      <c r="C2283" s="7" t="str">
        <f aca="false">'Raw Data'!C2283</f>
        <v>Male</v>
      </c>
      <c r="D2283" s="7" t="str">
        <f aca="false">'Raw Data'!D2283</f>
        <v>Current</v>
      </c>
      <c r="E2283" s="7" t="str">
        <f aca="false">'Raw Data'!J2283</f>
        <v>Normal</v>
      </c>
      <c r="F2283" s="7" t="n">
        <f aca="false">'Raw Data'!K2283</f>
        <v>236.8</v>
      </c>
      <c r="G2283" s="7" t="str">
        <f aca="false">'Raw Data'!L2283</f>
        <v>No</v>
      </c>
      <c r="H2283" s="7" t="str">
        <f aca="false">'Raw Data'!M2283</f>
        <v>Moderate</v>
      </c>
      <c r="I2283" s="7" t="n">
        <f aca="false">(IF(D2283="Current",3,IF(D2283="Former",1,0)))+(IF(E2283="High",3,IF(E2283="Normal",1,0)))+(IF(F2283&gt;=240,2,IF(F2283&gt;=200,1,0)))+(IF(G2283="Yes",2,0))+(IF(H2283="High",2,IF(H2283="Moderate",1,0)))</f>
        <v>6</v>
      </c>
      <c r="J2283" s="7" t="str">
        <f aca="false">IF(I2283&gt;=8,"High",IF(I2283&gt;=4,"Medium","Low"))</f>
        <v>Medium</v>
      </c>
    </row>
    <row r="2284" customFormat="false" ht="15" hidden="false" customHeight="true" outlineLevel="0" collapsed="false">
      <c r="A2284" s="7" t="n">
        <f aca="false">'Raw Data'!A2284</f>
        <v>2343</v>
      </c>
      <c r="B2284" s="7" t="n">
        <f aca="false">'Raw Data'!B2284</f>
        <v>28</v>
      </c>
      <c r="C2284" s="7" t="str">
        <f aca="false">'Raw Data'!C2284</f>
        <v>Female</v>
      </c>
      <c r="D2284" s="7" t="str">
        <f aca="false">'Raw Data'!D2284</f>
        <v>Current</v>
      </c>
      <c r="E2284" s="7" t="str">
        <f aca="false">'Raw Data'!J2284</f>
        <v>Normal</v>
      </c>
      <c r="F2284" s="7" t="n">
        <f aca="false">'Raw Data'!K2284</f>
        <v>123.4</v>
      </c>
      <c r="G2284" s="7" t="str">
        <f aca="false">'Raw Data'!L2284</f>
        <v>No</v>
      </c>
      <c r="H2284" s="7" t="str">
        <f aca="false">'Raw Data'!M2284</f>
        <v>Moderate</v>
      </c>
      <c r="I2284" s="7" t="n">
        <f aca="false">(IF(D2284="Current",3,IF(D2284="Former",1,0)))+(IF(E2284="High",3,IF(E2284="Normal",1,0)))+(IF(F2284&gt;=240,2,IF(F2284&gt;=200,1,0)))+(IF(G2284="Yes",2,0))+(IF(H2284="High",2,IF(H2284="Moderate",1,0)))</f>
        <v>5</v>
      </c>
      <c r="J2284" s="7" t="str">
        <f aca="false">IF(I2284&gt;=8,"High",IF(I2284&gt;=4,"Medium","Low"))</f>
        <v>Medium</v>
      </c>
    </row>
    <row r="2285" customFormat="false" ht="15" hidden="false" customHeight="true" outlineLevel="0" collapsed="false">
      <c r="A2285" s="7" t="n">
        <f aca="false">'Raw Data'!A2285</f>
        <v>2416</v>
      </c>
      <c r="B2285" s="7" t="n">
        <f aca="false">'Raw Data'!B2285</f>
        <v>44</v>
      </c>
      <c r="C2285" s="7" t="str">
        <f aca="false">'Raw Data'!C2285</f>
        <v>Male</v>
      </c>
      <c r="D2285" s="7" t="str">
        <f aca="false">'Raw Data'!D2285</f>
        <v>Current</v>
      </c>
      <c r="E2285" s="7" t="str">
        <f aca="false">'Raw Data'!J2285</f>
        <v>Normal</v>
      </c>
      <c r="F2285" s="7" t="n">
        <f aca="false">'Raw Data'!K2285</f>
        <v>199.4</v>
      </c>
      <c r="G2285" s="7" t="str">
        <f aca="false">'Raw Data'!L2285</f>
        <v>No</v>
      </c>
      <c r="H2285" s="7" t="str">
        <f aca="false">'Raw Data'!M2285</f>
        <v>Moderate</v>
      </c>
      <c r="I2285" s="7" t="n">
        <f aca="false">(IF(D2285="Current",3,IF(D2285="Former",1,0)))+(IF(E2285="High",3,IF(E2285="Normal",1,0)))+(IF(F2285&gt;=240,2,IF(F2285&gt;=200,1,0)))+(IF(G2285="Yes",2,0))+(IF(H2285="High",2,IF(H2285="Moderate",1,0)))</f>
        <v>5</v>
      </c>
      <c r="J2285" s="7" t="str">
        <f aca="false">IF(I2285&gt;=8,"High",IF(I2285&gt;=4,"Medium","Low"))</f>
        <v>Medium</v>
      </c>
    </row>
    <row r="2286" customFormat="false" ht="15" hidden="false" customHeight="true" outlineLevel="0" collapsed="false">
      <c r="A2286" s="7" t="n">
        <f aca="false">'Raw Data'!A2286</f>
        <v>2443</v>
      </c>
      <c r="B2286" s="7" t="n">
        <f aca="false">'Raw Data'!B2286</f>
        <v>61</v>
      </c>
      <c r="C2286" s="7" t="str">
        <f aca="false">'Raw Data'!C2286</f>
        <v>Female</v>
      </c>
      <c r="D2286" s="7" t="str">
        <f aca="false">'Raw Data'!D2286</f>
        <v>Current</v>
      </c>
      <c r="E2286" s="7" t="str">
        <f aca="false">'Raw Data'!J2286</f>
        <v>Normal</v>
      </c>
      <c r="F2286" s="7" t="n">
        <f aca="false">'Raw Data'!K2286</f>
        <v>137.3</v>
      </c>
      <c r="G2286" s="7" t="str">
        <f aca="false">'Raw Data'!L2286</f>
        <v>No</v>
      </c>
      <c r="H2286" s="7" t="str">
        <f aca="false">'Raw Data'!M2286</f>
        <v>Moderate</v>
      </c>
      <c r="I2286" s="7" t="n">
        <f aca="false">(IF(D2286="Current",3,IF(D2286="Former",1,0)))+(IF(E2286="High",3,IF(E2286="Normal",1,0)))+(IF(F2286&gt;=240,2,IF(F2286&gt;=200,1,0)))+(IF(G2286="Yes",2,0))+(IF(H2286="High",2,IF(H2286="Moderate",1,0)))</f>
        <v>5</v>
      </c>
      <c r="J2286" s="7" t="str">
        <f aca="false">IF(I2286&gt;=8,"High",IF(I2286&gt;=4,"Medium","Low"))</f>
        <v>Medium</v>
      </c>
    </row>
    <row r="2287" customFormat="false" ht="15" hidden="false" customHeight="true" outlineLevel="0" collapsed="false">
      <c r="A2287" s="7" t="n">
        <f aca="false">'Raw Data'!A2287</f>
        <v>2446</v>
      </c>
      <c r="B2287" s="7" t="n">
        <f aca="false">'Raw Data'!B2287</f>
        <v>39</v>
      </c>
      <c r="C2287" s="7" t="str">
        <f aca="false">'Raw Data'!C2287</f>
        <v>Female</v>
      </c>
      <c r="D2287" s="7" t="str">
        <f aca="false">'Raw Data'!D2287</f>
        <v>Current</v>
      </c>
      <c r="E2287" s="7" t="str">
        <f aca="false">'Raw Data'!J2287</f>
        <v>Normal</v>
      </c>
      <c r="F2287" s="7" t="n">
        <f aca="false">'Raw Data'!K2287</f>
        <v>225</v>
      </c>
      <c r="G2287" s="7" t="str">
        <f aca="false">'Raw Data'!L2287</f>
        <v>Yes</v>
      </c>
      <c r="H2287" s="7" t="str">
        <f aca="false">'Raw Data'!M2287</f>
        <v>Moderate</v>
      </c>
      <c r="I2287" s="7" t="n">
        <f aca="false">(IF(D2287="Current",3,IF(D2287="Former",1,0)))+(IF(E2287="High",3,IF(E2287="Normal",1,0)))+(IF(F2287&gt;=240,2,IF(F2287&gt;=200,1,0)))+(IF(G2287="Yes",2,0))+(IF(H2287="High",2,IF(H2287="Moderate",1,0)))</f>
        <v>8</v>
      </c>
      <c r="J2287" s="7" t="str">
        <f aca="false">IF(I2287&gt;=8,"High",IF(I2287&gt;=4,"Medium","Low"))</f>
        <v>High</v>
      </c>
    </row>
    <row r="2288" customFormat="false" ht="15" hidden="false" customHeight="true" outlineLevel="0" collapsed="false">
      <c r="A2288" s="7" t="n">
        <f aca="false">'Raw Data'!A2288</f>
        <v>2460</v>
      </c>
      <c r="B2288" s="7" t="n">
        <f aca="false">'Raw Data'!B2288</f>
        <v>48</v>
      </c>
      <c r="C2288" s="7" t="str">
        <f aca="false">'Raw Data'!C2288</f>
        <v>Female</v>
      </c>
      <c r="D2288" s="7" t="str">
        <f aca="false">'Raw Data'!D2288</f>
        <v>Current</v>
      </c>
      <c r="E2288" s="7" t="str">
        <f aca="false">'Raw Data'!J2288</f>
        <v>Normal</v>
      </c>
      <c r="F2288" s="7" t="n">
        <f aca="false">'Raw Data'!K2288</f>
        <v>232.9</v>
      </c>
      <c r="G2288" s="7" t="str">
        <f aca="false">'Raw Data'!L2288</f>
        <v>No</v>
      </c>
      <c r="H2288" s="7" t="str">
        <f aca="false">'Raw Data'!M2288</f>
        <v>Moderate</v>
      </c>
      <c r="I2288" s="7" t="n">
        <f aca="false">(IF(D2288="Current",3,IF(D2288="Former",1,0)))+(IF(E2288="High",3,IF(E2288="Normal",1,0)))+(IF(F2288&gt;=240,2,IF(F2288&gt;=200,1,0)))+(IF(G2288="Yes",2,0))+(IF(H2288="High",2,IF(H2288="Moderate",1,0)))</f>
        <v>6</v>
      </c>
      <c r="J2288" s="7" t="str">
        <f aca="false">IF(I2288&gt;=8,"High",IF(I2288&gt;=4,"Medium","Low"))</f>
        <v>Medium</v>
      </c>
    </row>
    <row r="2289" customFormat="false" ht="15" hidden="false" customHeight="true" outlineLevel="0" collapsed="false">
      <c r="A2289" s="7" t="n">
        <f aca="false">'Raw Data'!A2289</f>
        <v>6</v>
      </c>
      <c r="B2289" s="7" t="n">
        <f aca="false">'Raw Data'!B2289</f>
        <v>32</v>
      </c>
      <c r="C2289" s="7" t="str">
        <f aca="false">'Raw Data'!C2289</f>
        <v>Female</v>
      </c>
      <c r="D2289" s="7" t="str">
        <f aca="false">'Raw Data'!D2289</f>
        <v>Current</v>
      </c>
      <c r="E2289" s="7" t="str">
        <f aca="false">'Raw Data'!J2289</f>
        <v>Normal</v>
      </c>
      <c r="F2289" s="7" t="n">
        <f aca="false">'Raw Data'!K2289</f>
        <v>168.8</v>
      </c>
      <c r="G2289" s="7" t="str">
        <f aca="false">'Raw Data'!L2289</f>
        <v>No</v>
      </c>
      <c r="H2289" s="7" t="str">
        <f aca="false">'Raw Data'!M2289</f>
        <v>Low</v>
      </c>
      <c r="I2289" s="7" t="n">
        <f aca="false">(IF(D2289="Current",3,IF(D2289="Former",1,0)))+(IF(E2289="High",3,IF(E2289="Normal",1,0)))+(IF(F2289&gt;=240,2,IF(F2289&gt;=200,1,0)))+(IF(G2289="Yes",2,0))+(IF(H2289="High",2,IF(H2289="Moderate",1,0)))</f>
        <v>4</v>
      </c>
      <c r="J2289" s="7" t="str">
        <f aca="false">IF(I2289&gt;=8,"High",IF(I2289&gt;=4,"Medium","Low"))</f>
        <v>Medium</v>
      </c>
    </row>
    <row r="2290" customFormat="false" ht="15" hidden="false" customHeight="true" outlineLevel="0" collapsed="false">
      <c r="A2290" s="7" t="n">
        <f aca="false">'Raw Data'!A2290</f>
        <v>54</v>
      </c>
      <c r="B2290" s="7" t="n">
        <f aca="false">'Raw Data'!B2290</f>
        <v>18</v>
      </c>
      <c r="C2290" s="7" t="str">
        <f aca="false">'Raw Data'!C2290</f>
        <v>Male</v>
      </c>
      <c r="D2290" s="7" t="str">
        <f aca="false">'Raw Data'!D2290</f>
        <v>Current</v>
      </c>
      <c r="E2290" s="7" t="str">
        <f aca="false">'Raw Data'!J2290</f>
        <v>Normal</v>
      </c>
      <c r="F2290" s="7" t="n">
        <f aca="false">'Raw Data'!K2290</f>
        <v>231.3</v>
      </c>
      <c r="G2290" s="7" t="str">
        <f aca="false">'Raw Data'!L2290</f>
        <v>No</v>
      </c>
      <c r="H2290" s="7" t="str">
        <f aca="false">'Raw Data'!M2290</f>
        <v>Low</v>
      </c>
      <c r="I2290" s="7" t="n">
        <f aca="false">(IF(D2290="Current",3,IF(D2290="Former",1,0)))+(IF(E2290="High",3,IF(E2290="Normal",1,0)))+(IF(F2290&gt;=240,2,IF(F2290&gt;=200,1,0)))+(IF(G2290="Yes",2,0))+(IF(H2290="High",2,IF(H2290="Moderate",1,0)))</f>
        <v>5</v>
      </c>
      <c r="J2290" s="7" t="str">
        <f aca="false">IF(I2290&gt;=8,"High",IF(I2290&gt;=4,"Medium","Low"))</f>
        <v>Medium</v>
      </c>
    </row>
    <row r="2291" customFormat="false" ht="15" hidden="false" customHeight="true" outlineLevel="0" collapsed="false">
      <c r="A2291" s="7" t="n">
        <f aca="false">'Raw Data'!A2291</f>
        <v>66</v>
      </c>
      <c r="B2291" s="7" t="n">
        <f aca="false">'Raw Data'!B2291</f>
        <v>58</v>
      </c>
      <c r="C2291" s="7" t="str">
        <f aca="false">'Raw Data'!C2291</f>
        <v>Male</v>
      </c>
      <c r="D2291" s="7" t="str">
        <f aca="false">'Raw Data'!D2291</f>
        <v>Current</v>
      </c>
      <c r="E2291" s="7" t="str">
        <f aca="false">'Raw Data'!J2291</f>
        <v>Normal</v>
      </c>
      <c r="F2291" s="7" t="n">
        <f aca="false">'Raw Data'!K2291</f>
        <v>297.6</v>
      </c>
      <c r="G2291" s="7" t="str">
        <f aca="false">'Raw Data'!L2291</f>
        <v>No</v>
      </c>
      <c r="H2291" s="7" t="str">
        <f aca="false">'Raw Data'!M2291</f>
        <v>Low</v>
      </c>
      <c r="I2291" s="7" t="n">
        <f aca="false">(IF(D2291="Current",3,IF(D2291="Former",1,0)))+(IF(E2291="High",3,IF(E2291="Normal",1,0)))+(IF(F2291&gt;=240,2,IF(F2291&gt;=200,1,0)))+(IF(G2291="Yes",2,0))+(IF(H2291="High",2,IF(H2291="Moderate",1,0)))</f>
        <v>6</v>
      </c>
      <c r="J2291" s="7" t="str">
        <f aca="false">IF(I2291&gt;=8,"High",IF(I2291&gt;=4,"Medium","Low"))</f>
        <v>Medium</v>
      </c>
    </row>
    <row r="2292" customFormat="false" ht="15" hidden="false" customHeight="true" outlineLevel="0" collapsed="false">
      <c r="A2292" s="7" t="n">
        <f aca="false">'Raw Data'!A2292</f>
        <v>72</v>
      </c>
      <c r="B2292" s="7" t="n">
        <f aca="false">'Raw Data'!B2292</f>
        <v>86</v>
      </c>
      <c r="C2292" s="7" t="str">
        <f aca="false">'Raw Data'!C2292</f>
        <v>Female</v>
      </c>
      <c r="D2292" s="7" t="str">
        <f aca="false">'Raw Data'!D2292</f>
        <v>Current</v>
      </c>
      <c r="E2292" s="7" t="str">
        <f aca="false">'Raw Data'!J2292</f>
        <v>Normal</v>
      </c>
      <c r="F2292" s="7" t="n">
        <f aca="false">'Raw Data'!K2292</f>
        <v>288.9</v>
      </c>
      <c r="G2292" s="7" t="str">
        <f aca="false">'Raw Data'!L2292</f>
        <v>Yes</v>
      </c>
      <c r="H2292" s="7" t="str">
        <f aca="false">'Raw Data'!M2292</f>
        <v>Low</v>
      </c>
      <c r="I2292" s="7" t="n">
        <f aca="false">(IF(D2292="Current",3,IF(D2292="Former",1,0)))+(IF(E2292="High",3,IF(E2292="Normal",1,0)))+(IF(F2292&gt;=240,2,IF(F2292&gt;=200,1,0)))+(IF(G2292="Yes",2,0))+(IF(H2292="High",2,IF(H2292="Moderate",1,0)))</f>
        <v>8</v>
      </c>
      <c r="J2292" s="7" t="str">
        <f aca="false">IF(I2292&gt;=8,"High",IF(I2292&gt;=4,"Medium","Low"))</f>
        <v>High</v>
      </c>
    </row>
    <row r="2293" customFormat="false" ht="15" hidden="false" customHeight="true" outlineLevel="0" collapsed="false">
      <c r="A2293" s="7" t="n">
        <f aca="false">'Raw Data'!A2293</f>
        <v>103</v>
      </c>
      <c r="B2293" s="7" t="n">
        <f aca="false">'Raw Data'!B2293</f>
        <v>56</v>
      </c>
      <c r="C2293" s="7" t="str">
        <f aca="false">'Raw Data'!C2293</f>
        <v>Male</v>
      </c>
      <c r="D2293" s="7" t="str">
        <f aca="false">'Raw Data'!D2293</f>
        <v>Current</v>
      </c>
      <c r="E2293" s="7" t="str">
        <f aca="false">'Raw Data'!J2293</f>
        <v>Normal</v>
      </c>
      <c r="F2293" s="7" t="n">
        <f aca="false">'Raw Data'!K2293</f>
        <v>185.6</v>
      </c>
      <c r="G2293" s="7" t="str">
        <f aca="false">'Raw Data'!L2293</f>
        <v>No</v>
      </c>
      <c r="H2293" s="7" t="str">
        <f aca="false">'Raw Data'!M2293</f>
        <v>Low</v>
      </c>
      <c r="I2293" s="7" t="n">
        <f aca="false">(IF(D2293="Current",3,IF(D2293="Former",1,0)))+(IF(E2293="High",3,IF(E2293="Normal",1,0)))+(IF(F2293&gt;=240,2,IF(F2293&gt;=200,1,0)))+(IF(G2293="Yes",2,0))+(IF(H2293="High",2,IF(H2293="Moderate",1,0)))</f>
        <v>4</v>
      </c>
      <c r="J2293" s="7" t="str">
        <f aca="false">IF(I2293&gt;=8,"High",IF(I2293&gt;=4,"Medium","Low"))</f>
        <v>Medium</v>
      </c>
    </row>
    <row r="2294" customFormat="false" ht="15" hidden="false" customHeight="true" outlineLevel="0" collapsed="false">
      <c r="A2294" s="7" t="n">
        <f aca="false">'Raw Data'!A2294</f>
        <v>106</v>
      </c>
      <c r="B2294" s="7" t="n">
        <f aca="false">'Raw Data'!B2294</f>
        <v>74</v>
      </c>
      <c r="C2294" s="7" t="str">
        <f aca="false">'Raw Data'!C2294</f>
        <v>Female</v>
      </c>
      <c r="D2294" s="7" t="str">
        <f aca="false">'Raw Data'!D2294</f>
        <v>Current</v>
      </c>
      <c r="E2294" s="7" t="str">
        <f aca="false">'Raw Data'!J2294</f>
        <v>Normal</v>
      </c>
      <c r="F2294" s="7" t="n">
        <f aca="false">'Raw Data'!K2294</f>
        <v>195.8</v>
      </c>
      <c r="G2294" s="7" t="str">
        <f aca="false">'Raw Data'!L2294</f>
        <v>No</v>
      </c>
      <c r="H2294" s="7" t="str">
        <f aca="false">'Raw Data'!M2294</f>
        <v>Low</v>
      </c>
      <c r="I2294" s="7" t="n">
        <f aca="false">(IF(D2294="Current",3,IF(D2294="Former",1,0)))+(IF(E2294="High",3,IF(E2294="Normal",1,0)))+(IF(F2294&gt;=240,2,IF(F2294&gt;=200,1,0)))+(IF(G2294="Yes",2,0))+(IF(H2294="High",2,IF(H2294="Moderate",1,0)))</f>
        <v>4</v>
      </c>
      <c r="J2294" s="7" t="str">
        <f aca="false">IF(I2294&gt;=8,"High",IF(I2294&gt;=4,"Medium","Low"))</f>
        <v>Medium</v>
      </c>
    </row>
    <row r="2295" customFormat="false" ht="15" hidden="false" customHeight="true" outlineLevel="0" collapsed="false">
      <c r="A2295" s="7" t="n">
        <f aca="false">'Raw Data'!A2295</f>
        <v>114</v>
      </c>
      <c r="B2295" s="7" t="n">
        <f aca="false">'Raw Data'!B2295</f>
        <v>75</v>
      </c>
      <c r="C2295" s="7" t="str">
        <f aca="false">'Raw Data'!C2295</f>
        <v>Male</v>
      </c>
      <c r="D2295" s="7" t="str">
        <f aca="false">'Raw Data'!D2295</f>
        <v>Current</v>
      </c>
      <c r="E2295" s="7" t="str">
        <f aca="false">'Raw Data'!J2295</f>
        <v>Normal</v>
      </c>
      <c r="F2295" s="7" t="n">
        <f aca="false">'Raw Data'!K2295</f>
        <v>213.8</v>
      </c>
      <c r="G2295" s="7" t="str">
        <f aca="false">'Raw Data'!L2295</f>
        <v>No</v>
      </c>
      <c r="H2295" s="7" t="str">
        <f aca="false">'Raw Data'!M2295</f>
        <v>Low</v>
      </c>
      <c r="I2295" s="7" t="n">
        <f aca="false">(IF(D2295="Current",3,IF(D2295="Former",1,0)))+(IF(E2295="High",3,IF(E2295="Normal",1,0)))+(IF(F2295&gt;=240,2,IF(F2295&gt;=200,1,0)))+(IF(G2295="Yes",2,0))+(IF(H2295="High",2,IF(H2295="Moderate",1,0)))</f>
        <v>5</v>
      </c>
      <c r="J2295" s="7" t="str">
        <f aca="false">IF(I2295&gt;=8,"High",IF(I2295&gt;=4,"Medium","Low"))</f>
        <v>Medium</v>
      </c>
    </row>
    <row r="2296" customFormat="false" ht="15" hidden="false" customHeight="true" outlineLevel="0" collapsed="false">
      <c r="A2296" s="7" t="n">
        <f aca="false">'Raw Data'!A2296</f>
        <v>126</v>
      </c>
      <c r="B2296" s="7" t="n">
        <f aca="false">'Raw Data'!B2296</f>
        <v>88</v>
      </c>
      <c r="C2296" s="7" t="str">
        <f aca="false">'Raw Data'!C2296</f>
        <v>Male</v>
      </c>
      <c r="D2296" s="7" t="str">
        <f aca="false">'Raw Data'!D2296</f>
        <v>Current</v>
      </c>
      <c r="E2296" s="7" t="str">
        <f aca="false">'Raw Data'!J2296</f>
        <v>Normal</v>
      </c>
      <c r="F2296" s="7" t="n">
        <f aca="false">'Raw Data'!K2296</f>
        <v>148.9</v>
      </c>
      <c r="G2296" s="7" t="str">
        <f aca="false">'Raw Data'!L2296</f>
        <v>No</v>
      </c>
      <c r="H2296" s="7" t="str">
        <f aca="false">'Raw Data'!M2296</f>
        <v>Low</v>
      </c>
      <c r="I2296" s="7" t="n">
        <f aca="false">(IF(D2296="Current",3,IF(D2296="Former",1,0)))+(IF(E2296="High",3,IF(E2296="Normal",1,0)))+(IF(F2296&gt;=240,2,IF(F2296&gt;=200,1,0)))+(IF(G2296="Yes",2,0))+(IF(H2296="High",2,IF(H2296="Moderate",1,0)))</f>
        <v>4</v>
      </c>
      <c r="J2296" s="7" t="str">
        <f aca="false">IF(I2296&gt;=8,"High",IF(I2296&gt;=4,"Medium","Low"))</f>
        <v>Medium</v>
      </c>
    </row>
    <row r="2297" customFormat="false" ht="15" hidden="false" customHeight="true" outlineLevel="0" collapsed="false">
      <c r="A2297" s="7" t="n">
        <f aca="false">'Raw Data'!A2297</f>
        <v>136</v>
      </c>
      <c r="B2297" s="7" t="n">
        <f aca="false">'Raw Data'!B2297</f>
        <v>66</v>
      </c>
      <c r="C2297" s="7" t="str">
        <f aca="false">'Raw Data'!C2297</f>
        <v>Male</v>
      </c>
      <c r="D2297" s="7" t="str">
        <f aca="false">'Raw Data'!D2297</f>
        <v>Current</v>
      </c>
      <c r="E2297" s="7" t="str">
        <f aca="false">'Raw Data'!J2297</f>
        <v>Normal</v>
      </c>
      <c r="F2297" s="7" t="n">
        <f aca="false">'Raw Data'!K2297</f>
        <v>277.2</v>
      </c>
      <c r="G2297" s="7" t="str">
        <f aca="false">'Raw Data'!L2297</f>
        <v>No</v>
      </c>
      <c r="H2297" s="7" t="str">
        <f aca="false">'Raw Data'!M2297</f>
        <v>Low</v>
      </c>
      <c r="I2297" s="7" t="n">
        <f aca="false">(IF(D2297="Current",3,IF(D2297="Former",1,0)))+(IF(E2297="High",3,IF(E2297="Normal",1,0)))+(IF(F2297&gt;=240,2,IF(F2297&gt;=200,1,0)))+(IF(G2297="Yes",2,0))+(IF(H2297="High",2,IF(H2297="Moderate",1,0)))</f>
        <v>6</v>
      </c>
      <c r="J2297" s="7" t="str">
        <f aca="false">IF(I2297&gt;=8,"High",IF(I2297&gt;=4,"Medium","Low"))</f>
        <v>Medium</v>
      </c>
    </row>
    <row r="2298" customFormat="false" ht="15" hidden="false" customHeight="true" outlineLevel="0" collapsed="false">
      <c r="A2298" s="7" t="n">
        <f aca="false">'Raw Data'!A2298</f>
        <v>138</v>
      </c>
      <c r="B2298" s="7" t="n">
        <f aca="false">'Raw Data'!B2298</f>
        <v>61</v>
      </c>
      <c r="C2298" s="7" t="str">
        <f aca="false">'Raw Data'!C2298</f>
        <v>Female</v>
      </c>
      <c r="D2298" s="7" t="str">
        <f aca="false">'Raw Data'!D2298</f>
        <v>Current</v>
      </c>
      <c r="E2298" s="7" t="str">
        <f aca="false">'Raw Data'!J2298</f>
        <v>Normal</v>
      </c>
      <c r="F2298" s="7" t="n">
        <f aca="false">'Raw Data'!K2298</f>
        <v>164.5</v>
      </c>
      <c r="G2298" s="7" t="str">
        <f aca="false">'Raw Data'!L2298</f>
        <v>No</v>
      </c>
      <c r="H2298" s="7" t="str">
        <f aca="false">'Raw Data'!M2298</f>
        <v>Low</v>
      </c>
      <c r="I2298" s="7" t="n">
        <f aca="false">(IF(D2298="Current",3,IF(D2298="Former",1,0)))+(IF(E2298="High",3,IF(E2298="Normal",1,0)))+(IF(F2298&gt;=240,2,IF(F2298&gt;=200,1,0)))+(IF(G2298="Yes",2,0))+(IF(H2298="High",2,IF(H2298="Moderate",1,0)))</f>
        <v>4</v>
      </c>
      <c r="J2298" s="7" t="str">
        <f aca="false">IF(I2298&gt;=8,"High",IF(I2298&gt;=4,"Medium","Low"))</f>
        <v>Medium</v>
      </c>
    </row>
    <row r="2299" customFormat="false" ht="15" hidden="false" customHeight="true" outlineLevel="0" collapsed="false">
      <c r="A2299" s="7" t="n">
        <f aca="false">'Raw Data'!A2299</f>
        <v>155</v>
      </c>
      <c r="B2299" s="7" t="n">
        <f aca="false">'Raw Data'!B2299</f>
        <v>24</v>
      </c>
      <c r="C2299" s="7" t="str">
        <f aca="false">'Raw Data'!C2299</f>
        <v>Male</v>
      </c>
      <c r="D2299" s="7" t="str">
        <f aca="false">'Raw Data'!D2299</f>
        <v>Current</v>
      </c>
      <c r="E2299" s="7" t="str">
        <f aca="false">'Raw Data'!J2299</f>
        <v>Normal</v>
      </c>
      <c r="F2299" s="7" t="n">
        <f aca="false">'Raw Data'!K2299</f>
        <v>139.2</v>
      </c>
      <c r="G2299" s="7" t="str">
        <f aca="false">'Raw Data'!L2299</f>
        <v>No</v>
      </c>
      <c r="H2299" s="7" t="str">
        <f aca="false">'Raw Data'!M2299</f>
        <v>Low</v>
      </c>
      <c r="I2299" s="7" t="n">
        <f aca="false">(IF(D2299="Current",3,IF(D2299="Former",1,0)))+(IF(E2299="High",3,IF(E2299="Normal",1,0)))+(IF(F2299&gt;=240,2,IF(F2299&gt;=200,1,0)))+(IF(G2299="Yes",2,0))+(IF(H2299="High",2,IF(H2299="Moderate",1,0)))</f>
        <v>4</v>
      </c>
      <c r="J2299" s="7" t="str">
        <f aca="false">IF(I2299&gt;=8,"High",IF(I2299&gt;=4,"Medium","Low"))</f>
        <v>Medium</v>
      </c>
    </row>
    <row r="2300" customFormat="false" ht="15" hidden="false" customHeight="true" outlineLevel="0" collapsed="false">
      <c r="A2300" s="7" t="n">
        <f aca="false">'Raw Data'!A2300</f>
        <v>160</v>
      </c>
      <c r="B2300" s="7" t="n">
        <f aca="false">'Raw Data'!B2300</f>
        <v>35</v>
      </c>
      <c r="C2300" s="7" t="str">
        <f aca="false">'Raw Data'!C2300</f>
        <v>Male</v>
      </c>
      <c r="D2300" s="7" t="str">
        <f aca="false">'Raw Data'!D2300</f>
        <v>Current</v>
      </c>
      <c r="E2300" s="7" t="str">
        <f aca="false">'Raw Data'!J2300</f>
        <v>Normal</v>
      </c>
      <c r="F2300" s="7" t="n">
        <f aca="false">'Raw Data'!K2300</f>
        <v>298.4</v>
      </c>
      <c r="G2300" s="7" t="str">
        <f aca="false">'Raw Data'!L2300</f>
        <v>Yes</v>
      </c>
      <c r="H2300" s="7" t="str">
        <f aca="false">'Raw Data'!M2300</f>
        <v>Low</v>
      </c>
      <c r="I2300" s="7" t="n">
        <f aca="false">(IF(D2300="Current",3,IF(D2300="Former",1,0)))+(IF(E2300="High",3,IF(E2300="Normal",1,0)))+(IF(F2300&gt;=240,2,IF(F2300&gt;=200,1,0)))+(IF(G2300="Yes",2,0))+(IF(H2300="High",2,IF(H2300="Moderate",1,0)))</f>
        <v>8</v>
      </c>
      <c r="J2300" s="7" t="str">
        <f aca="false">IF(I2300&gt;=8,"High",IF(I2300&gt;=4,"Medium","Low"))</f>
        <v>High</v>
      </c>
    </row>
    <row r="2301" customFormat="false" ht="15" hidden="false" customHeight="true" outlineLevel="0" collapsed="false">
      <c r="A2301" s="7" t="n">
        <f aca="false">'Raw Data'!A2301</f>
        <v>161</v>
      </c>
      <c r="B2301" s="7" t="n">
        <f aca="false">'Raw Data'!B2301</f>
        <v>53</v>
      </c>
      <c r="C2301" s="7" t="str">
        <f aca="false">'Raw Data'!C2301</f>
        <v>Female</v>
      </c>
      <c r="D2301" s="7" t="str">
        <f aca="false">'Raw Data'!D2301</f>
        <v>Current</v>
      </c>
      <c r="E2301" s="7" t="str">
        <f aca="false">'Raw Data'!J2301</f>
        <v>Normal</v>
      </c>
      <c r="F2301" s="7" t="n">
        <f aca="false">'Raw Data'!K2301</f>
        <v>160.8</v>
      </c>
      <c r="G2301" s="7" t="str">
        <f aca="false">'Raw Data'!L2301</f>
        <v>No</v>
      </c>
      <c r="H2301" s="7" t="str">
        <f aca="false">'Raw Data'!M2301</f>
        <v>Low</v>
      </c>
      <c r="I2301" s="7" t="n">
        <f aca="false">(IF(D2301="Current",3,IF(D2301="Former",1,0)))+(IF(E2301="High",3,IF(E2301="Normal",1,0)))+(IF(F2301&gt;=240,2,IF(F2301&gt;=200,1,0)))+(IF(G2301="Yes",2,0))+(IF(H2301="High",2,IF(H2301="Moderate",1,0)))</f>
        <v>4</v>
      </c>
      <c r="J2301" s="7" t="str">
        <f aca="false">IF(I2301&gt;=8,"High",IF(I2301&gt;=4,"Medium","Low"))</f>
        <v>Medium</v>
      </c>
    </row>
    <row r="2302" customFormat="false" ht="15" hidden="false" customHeight="true" outlineLevel="0" collapsed="false">
      <c r="A2302" s="7" t="n">
        <f aca="false">'Raw Data'!A2302</f>
        <v>167</v>
      </c>
      <c r="B2302" s="7" t="n">
        <f aca="false">'Raw Data'!B2302</f>
        <v>72</v>
      </c>
      <c r="C2302" s="7" t="str">
        <f aca="false">'Raw Data'!C2302</f>
        <v>Female</v>
      </c>
      <c r="D2302" s="7" t="str">
        <f aca="false">'Raw Data'!D2302</f>
        <v>Current</v>
      </c>
      <c r="E2302" s="7" t="str">
        <f aca="false">'Raw Data'!J2302</f>
        <v>Normal</v>
      </c>
      <c r="F2302" s="7" t="n">
        <f aca="false">'Raw Data'!K2302</f>
        <v>190.4</v>
      </c>
      <c r="G2302" s="7" t="str">
        <f aca="false">'Raw Data'!L2302</f>
        <v>No</v>
      </c>
      <c r="H2302" s="7" t="str">
        <f aca="false">'Raw Data'!M2302</f>
        <v>Low</v>
      </c>
      <c r="I2302" s="7" t="n">
        <f aca="false">(IF(D2302="Current",3,IF(D2302="Former",1,0)))+(IF(E2302="High",3,IF(E2302="Normal",1,0)))+(IF(F2302&gt;=240,2,IF(F2302&gt;=200,1,0)))+(IF(G2302="Yes",2,0))+(IF(H2302="High",2,IF(H2302="Moderate",1,0)))</f>
        <v>4</v>
      </c>
      <c r="J2302" s="7" t="str">
        <f aca="false">IF(I2302&gt;=8,"High",IF(I2302&gt;=4,"Medium","Low"))</f>
        <v>Medium</v>
      </c>
    </row>
    <row r="2303" customFormat="false" ht="15" hidden="false" customHeight="true" outlineLevel="0" collapsed="false">
      <c r="A2303" s="7" t="n">
        <f aca="false">'Raw Data'!A2303</f>
        <v>187</v>
      </c>
      <c r="B2303" s="7" t="n">
        <f aca="false">'Raw Data'!B2303</f>
        <v>30</v>
      </c>
      <c r="C2303" s="7" t="str">
        <f aca="false">'Raw Data'!C2303</f>
        <v>Female</v>
      </c>
      <c r="D2303" s="7" t="str">
        <f aca="false">'Raw Data'!D2303</f>
        <v>Current</v>
      </c>
      <c r="E2303" s="7" t="str">
        <f aca="false">'Raw Data'!J2303</f>
        <v>Normal</v>
      </c>
      <c r="F2303" s="7" t="n">
        <f aca="false">'Raw Data'!K2303</f>
        <v>152.5</v>
      </c>
      <c r="G2303" s="7" t="str">
        <f aca="false">'Raw Data'!L2303</f>
        <v>Yes</v>
      </c>
      <c r="H2303" s="7" t="str">
        <f aca="false">'Raw Data'!M2303</f>
        <v>Low</v>
      </c>
      <c r="I2303" s="7" t="n">
        <f aca="false">(IF(D2303="Current",3,IF(D2303="Former",1,0)))+(IF(E2303="High",3,IF(E2303="Normal",1,0)))+(IF(F2303&gt;=240,2,IF(F2303&gt;=200,1,0)))+(IF(G2303="Yes",2,0))+(IF(H2303="High",2,IF(H2303="Moderate",1,0)))</f>
        <v>6</v>
      </c>
      <c r="J2303" s="7" t="str">
        <f aca="false">IF(I2303&gt;=8,"High",IF(I2303&gt;=4,"Medium","Low"))</f>
        <v>Medium</v>
      </c>
    </row>
    <row r="2304" customFormat="false" ht="15" hidden="false" customHeight="true" outlineLevel="0" collapsed="false">
      <c r="A2304" s="7" t="n">
        <f aca="false">'Raw Data'!A2304</f>
        <v>195</v>
      </c>
      <c r="B2304" s="7" t="n">
        <f aca="false">'Raw Data'!B2304</f>
        <v>47</v>
      </c>
      <c r="C2304" s="7" t="str">
        <f aca="false">'Raw Data'!C2304</f>
        <v>Female</v>
      </c>
      <c r="D2304" s="7" t="str">
        <f aca="false">'Raw Data'!D2304</f>
        <v>Current</v>
      </c>
      <c r="E2304" s="7" t="str">
        <f aca="false">'Raw Data'!J2304</f>
        <v>Normal</v>
      </c>
      <c r="F2304" s="7" t="n">
        <f aca="false">'Raw Data'!K2304</f>
        <v>133.9</v>
      </c>
      <c r="G2304" s="7" t="str">
        <f aca="false">'Raw Data'!L2304</f>
        <v>Yes</v>
      </c>
      <c r="H2304" s="7" t="str">
        <f aca="false">'Raw Data'!M2304</f>
        <v>Low</v>
      </c>
      <c r="I2304" s="7" t="n">
        <f aca="false">(IF(D2304="Current",3,IF(D2304="Former",1,0)))+(IF(E2304="High",3,IF(E2304="Normal",1,0)))+(IF(F2304&gt;=240,2,IF(F2304&gt;=200,1,0)))+(IF(G2304="Yes",2,0))+(IF(H2304="High",2,IF(H2304="Moderate",1,0)))</f>
        <v>6</v>
      </c>
      <c r="J2304" s="7" t="str">
        <f aca="false">IF(I2304&gt;=8,"High",IF(I2304&gt;=4,"Medium","Low"))</f>
        <v>Medium</v>
      </c>
    </row>
    <row r="2305" customFormat="false" ht="15" hidden="false" customHeight="true" outlineLevel="0" collapsed="false">
      <c r="A2305" s="7" t="n">
        <f aca="false">'Raw Data'!A2305</f>
        <v>209</v>
      </c>
      <c r="B2305" s="7" t="n">
        <f aca="false">'Raw Data'!B2305</f>
        <v>44</v>
      </c>
      <c r="C2305" s="7" t="str">
        <f aca="false">'Raw Data'!C2305</f>
        <v>Male</v>
      </c>
      <c r="D2305" s="7" t="str">
        <f aca="false">'Raw Data'!D2305</f>
        <v>Current</v>
      </c>
      <c r="E2305" s="7" t="str">
        <f aca="false">'Raw Data'!J2305</f>
        <v>Normal</v>
      </c>
      <c r="F2305" s="7" t="n">
        <f aca="false">'Raw Data'!K2305</f>
        <v>219.5</v>
      </c>
      <c r="G2305" s="7" t="str">
        <f aca="false">'Raw Data'!L2305</f>
        <v>Yes</v>
      </c>
      <c r="H2305" s="7" t="str">
        <f aca="false">'Raw Data'!M2305</f>
        <v>Low</v>
      </c>
      <c r="I2305" s="7" t="n">
        <f aca="false">(IF(D2305="Current",3,IF(D2305="Former",1,0)))+(IF(E2305="High",3,IF(E2305="Normal",1,0)))+(IF(F2305&gt;=240,2,IF(F2305&gt;=200,1,0)))+(IF(G2305="Yes",2,0))+(IF(H2305="High",2,IF(H2305="Moderate",1,0)))</f>
        <v>7</v>
      </c>
      <c r="J2305" s="7" t="str">
        <f aca="false">IF(I2305&gt;=8,"High",IF(I2305&gt;=4,"Medium","Low"))</f>
        <v>Medium</v>
      </c>
    </row>
    <row r="2306" customFormat="false" ht="15" hidden="false" customHeight="true" outlineLevel="0" collapsed="false">
      <c r="A2306" s="7" t="n">
        <f aca="false">'Raw Data'!A2306</f>
        <v>229</v>
      </c>
      <c r="B2306" s="7" t="n">
        <f aca="false">'Raw Data'!B2306</f>
        <v>46</v>
      </c>
      <c r="C2306" s="7" t="str">
        <f aca="false">'Raw Data'!C2306</f>
        <v>Male</v>
      </c>
      <c r="D2306" s="7" t="str">
        <f aca="false">'Raw Data'!D2306</f>
        <v>Current</v>
      </c>
      <c r="E2306" s="7" t="str">
        <f aca="false">'Raw Data'!J2306</f>
        <v>Normal</v>
      </c>
      <c r="F2306" s="7" t="n">
        <f aca="false">'Raw Data'!K2306</f>
        <v>261.6</v>
      </c>
      <c r="G2306" s="7" t="str">
        <f aca="false">'Raw Data'!L2306</f>
        <v>No</v>
      </c>
      <c r="H2306" s="7" t="str">
        <f aca="false">'Raw Data'!M2306</f>
        <v>Low</v>
      </c>
      <c r="I2306" s="7" t="n">
        <f aca="false">(IF(D2306="Current",3,IF(D2306="Former",1,0)))+(IF(E2306="High",3,IF(E2306="Normal",1,0)))+(IF(F2306&gt;=240,2,IF(F2306&gt;=200,1,0)))+(IF(G2306="Yes",2,0))+(IF(H2306="High",2,IF(H2306="Moderate",1,0)))</f>
        <v>6</v>
      </c>
      <c r="J2306" s="7" t="str">
        <f aca="false">IF(I2306&gt;=8,"High",IF(I2306&gt;=4,"Medium","Low"))</f>
        <v>Medium</v>
      </c>
    </row>
    <row r="2307" customFormat="false" ht="15" hidden="false" customHeight="true" outlineLevel="0" collapsed="false">
      <c r="A2307" s="7" t="n">
        <f aca="false">'Raw Data'!A2307</f>
        <v>238</v>
      </c>
      <c r="B2307" s="7" t="n">
        <f aca="false">'Raw Data'!B2307</f>
        <v>87</v>
      </c>
      <c r="C2307" s="7" t="str">
        <f aca="false">'Raw Data'!C2307</f>
        <v>Male</v>
      </c>
      <c r="D2307" s="7" t="str">
        <f aca="false">'Raw Data'!D2307</f>
        <v>Current</v>
      </c>
      <c r="E2307" s="7" t="str">
        <f aca="false">'Raw Data'!J2307</f>
        <v>Normal</v>
      </c>
      <c r="F2307" s="7" t="n">
        <f aca="false">'Raw Data'!K2307</f>
        <v>145.6</v>
      </c>
      <c r="G2307" s="7" t="str">
        <f aca="false">'Raw Data'!L2307</f>
        <v>Yes</v>
      </c>
      <c r="H2307" s="7" t="str">
        <f aca="false">'Raw Data'!M2307</f>
        <v>Low</v>
      </c>
      <c r="I2307" s="7" t="n">
        <f aca="false">(IF(D2307="Current",3,IF(D2307="Former",1,0)))+(IF(E2307="High",3,IF(E2307="Normal",1,0)))+(IF(F2307&gt;=240,2,IF(F2307&gt;=200,1,0)))+(IF(G2307="Yes",2,0))+(IF(H2307="High",2,IF(H2307="Moderate",1,0)))</f>
        <v>6</v>
      </c>
      <c r="J2307" s="7" t="str">
        <f aca="false">IF(I2307&gt;=8,"High",IF(I2307&gt;=4,"Medium","Low"))</f>
        <v>Medium</v>
      </c>
    </row>
    <row r="2308" customFormat="false" ht="15" hidden="false" customHeight="true" outlineLevel="0" collapsed="false">
      <c r="A2308" s="7" t="n">
        <f aca="false">'Raw Data'!A2308</f>
        <v>246</v>
      </c>
      <c r="B2308" s="7" t="n">
        <f aca="false">'Raw Data'!B2308</f>
        <v>46</v>
      </c>
      <c r="C2308" s="7" t="str">
        <f aca="false">'Raw Data'!C2308</f>
        <v>Male</v>
      </c>
      <c r="D2308" s="7" t="str">
        <f aca="false">'Raw Data'!D2308</f>
        <v>Current</v>
      </c>
      <c r="E2308" s="7" t="str">
        <f aca="false">'Raw Data'!J2308</f>
        <v>Normal</v>
      </c>
      <c r="F2308" s="7" t="n">
        <f aca="false">'Raw Data'!K2308</f>
        <v>181.3</v>
      </c>
      <c r="G2308" s="7" t="str">
        <f aca="false">'Raw Data'!L2308</f>
        <v>No</v>
      </c>
      <c r="H2308" s="7" t="str">
        <f aca="false">'Raw Data'!M2308</f>
        <v>Low</v>
      </c>
      <c r="I2308" s="7" t="n">
        <f aca="false">(IF(D2308="Current",3,IF(D2308="Former",1,0)))+(IF(E2308="High",3,IF(E2308="Normal",1,0)))+(IF(F2308&gt;=240,2,IF(F2308&gt;=200,1,0)))+(IF(G2308="Yes",2,0))+(IF(H2308="High",2,IF(H2308="Moderate",1,0)))</f>
        <v>4</v>
      </c>
      <c r="J2308" s="7" t="str">
        <f aca="false">IF(I2308&gt;=8,"High",IF(I2308&gt;=4,"Medium","Low"))</f>
        <v>Medium</v>
      </c>
    </row>
    <row r="2309" customFormat="false" ht="15" hidden="false" customHeight="true" outlineLevel="0" collapsed="false">
      <c r="A2309" s="7" t="n">
        <f aca="false">'Raw Data'!A2309</f>
        <v>261</v>
      </c>
      <c r="B2309" s="7" t="n">
        <f aca="false">'Raw Data'!B2309</f>
        <v>89</v>
      </c>
      <c r="C2309" s="7" t="str">
        <f aca="false">'Raw Data'!C2309</f>
        <v>Female</v>
      </c>
      <c r="D2309" s="7" t="str">
        <f aca="false">'Raw Data'!D2309</f>
        <v>Current</v>
      </c>
      <c r="E2309" s="7" t="str">
        <f aca="false">'Raw Data'!J2309</f>
        <v>Normal</v>
      </c>
      <c r="F2309" s="7" t="n">
        <f aca="false">'Raw Data'!K2309</f>
        <v>162.2</v>
      </c>
      <c r="G2309" s="7" t="str">
        <f aca="false">'Raw Data'!L2309</f>
        <v>No</v>
      </c>
      <c r="H2309" s="7" t="str">
        <f aca="false">'Raw Data'!M2309</f>
        <v>Low</v>
      </c>
      <c r="I2309" s="7" t="n">
        <f aca="false">(IF(D2309="Current",3,IF(D2309="Former",1,0)))+(IF(E2309="High",3,IF(E2309="Normal",1,0)))+(IF(F2309&gt;=240,2,IF(F2309&gt;=200,1,0)))+(IF(G2309="Yes",2,0))+(IF(H2309="High",2,IF(H2309="Moderate",1,0)))</f>
        <v>4</v>
      </c>
      <c r="J2309" s="7" t="str">
        <f aca="false">IF(I2309&gt;=8,"High",IF(I2309&gt;=4,"Medium","Low"))</f>
        <v>Medium</v>
      </c>
    </row>
    <row r="2310" customFormat="false" ht="15" hidden="false" customHeight="true" outlineLevel="0" collapsed="false">
      <c r="A2310" s="7" t="n">
        <f aca="false">'Raw Data'!A2310</f>
        <v>281</v>
      </c>
      <c r="B2310" s="7" t="n">
        <f aca="false">'Raw Data'!B2310</f>
        <v>87</v>
      </c>
      <c r="C2310" s="7" t="str">
        <f aca="false">'Raw Data'!C2310</f>
        <v>Male</v>
      </c>
      <c r="D2310" s="7" t="str">
        <f aca="false">'Raw Data'!D2310</f>
        <v>Current</v>
      </c>
      <c r="E2310" s="7" t="str">
        <f aca="false">'Raw Data'!J2310</f>
        <v>Normal</v>
      </c>
      <c r="F2310" s="7" t="n">
        <f aca="false">'Raw Data'!K2310</f>
        <v>296.6</v>
      </c>
      <c r="G2310" s="7" t="str">
        <f aca="false">'Raw Data'!L2310</f>
        <v>No</v>
      </c>
      <c r="H2310" s="7" t="str">
        <f aca="false">'Raw Data'!M2310</f>
        <v>Low</v>
      </c>
      <c r="I2310" s="7" t="n">
        <f aca="false">(IF(D2310="Current",3,IF(D2310="Former",1,0)))+(IF(E2310="High",3,IF(E2310="Normal",1,0)))+(IF(F2310&gt;=240,2,IF(F2310&gt;=200,1,0)))+(IF(G2310="Yes",2,0))+(IF(H2310="High",2,IF(H2310="Moderate",1,0)))</f>
        <v>6</v>
      </c>
      <c r="J2310" s="7" t="str">
        <f aca="false">IF(I2310&gt;=8,"High",IF(I2310&gt;=4,"Medium","Low"))</f>
        <v>Medium</v>
      </c>
    </row>
    <row r="2311" customFormat="false" ht="15" hidden="false" customHeight="true" outlineLevel="0" collapsed="false">
      <c r="A2311" s="7" t="n">
        <f aca="false">'Raw Data'!A2311</f>
        <v>285</v>
      </c>
      <c r="B2311" s="7" t="n">
        <f aca="false">'Raw Data'!B2311</f>
        <v>39</v>
      </c>
      <c r="C2311" s="7" t="str">
        <f aca="false">'Raw Data'!C2311</f>
        <v>Male</v>
      </c>
      <c r="D2311" s="7" t="str">
        <f aca="false">'Raw Data'!D2311</f>
        <v>Current</v>
      </c>
      <c r="E2311" s="7" t="str">
        <f aca="false">'Raw Data'!J2311</f>
        <v>Normal</v>
      </c>
      <c r="F2311" s="7" t="n">
        <f aca="false">'Raw Data'!K2311</f>
        <v>141.3</v>
      </c>
      <c r="G2311" s="7" t="str">
        <f aca="false">'Raw Data'!L2311</f>
        <v>Yes</v>
      </c>
      <c r="H2311" s="7" t="str">
        <f aca="false">'Raw Data'!M2311</f>
        <v>Low</v>
      </c>
      <c r="I2311" s="7" t="n">
        <f aca="false">(IF(D2311="Current",3,IF(D2311="Former",1,0)))+(IF(E2311="High",3,IF(E2311="Normal",1,0)))+(IF(F2311&gt;=240,2,IF(F2311&gt;=200,1,0)))+(IF(G2311="Yes",2,0))+(IF(H2311="High",2,IF(H2311="Moderate",1,0)))</f>
        <v>6</v>
      </c>
      <c r="J2311" s="7" t="str">
        <f aca="false">IF(I2311&gt;=8,"High",IF(I2311&gt;=4,"Medium","Low"))</f>
        <v>Medium</v>
      </c>
    </row>
    <row r="2312" customFormat="false" ht="15" hidden="false" customHeight="true" outlineLevel="0" collapsed="false">
      <c r="A2312" s="7" t="n">
        <f aca="false">'Raw Data'!A2312</f>
        <v>295</v>
      </c>
      <c r="B2312" s="7" t="n">
        <f aca="false">'Raw Data'!B2312</f>
        <v>39</v>
      </c>
      <c r="C2312" s="7" t="str">
        <f aca="false">'Raw Data'!C2312</f>
        <v>Male</v>
      </c>
      <c r="D2312" s="7" t="str">
        <f aca="false">'Raw Data'!D2312</f>
        <v>Current</v>
      </c>
      <c r="E2312" s="7" t="str">
        <f aca="false">'Raw Data'!J2312</f>
        <v>Normal</v>
      </c>
      <c r="F2312" s="7" t="n">
        <f aca="false">'Raw Data'!K2312</f>
        <v>255.7</v>
      </c>
      <c r="G2312" s="7" t="str">
        <f aca="false">'Raw Data'!L2312</f>
        <v>Yes</v>
      </c>
      <c r="H2312" s="7" t="str">
        <f aca="false">'Raw Data'!M2312</f>
        <v>Low</v>
      </c>
      <c r="I2312" s="7" t="n">
        <f aca="false">(IF(D2312="Current",3,IF(D2312="Former",1,0)))+(IF(E2312="High",3,IF(E2312="Normal",1,0)))+(IF(F2312&gt;=240,2,IF(F2312&gt;=200,1,0)))+(IF(G2312="Yes",2,0))+(IF(H2312="High",2,IF(H2312="Moderate",1,0)))</f>
        <v>8</v>
      </c>
      <c r="J2312" s="7" t="str">
        <f aca="false">IF(I2312&gt;=8,"High",IF(I2312&gt;=4,"Medium","Low"))</f>
        <v>High</v>
      </c>
    </row>
    <row r="2313" customFormat="false" ht="15" hidden="false" customHeight="true" outlineLevel="0" collapsed="false">
      <c r="A2313" s="7" t="n">
        <f aca="false">'Raw Data'!A2313</f>
        <v>313</v>
      </c>
      <c r="B2313" s="7" t="n">
        <f aca="false">'Raw Data'!B2313</f>
        <v>34</v>
      </c>
      <c r="C2313" s="7" t="str">
        <f aca="false">'Raw Data'!C2313</f>
        <v>Male</v>
      </c>
      <c r="D2313" s="7" t="str">
        <f aca="false">'Raw Data'!D2313</f>
        <v>Current</v>
      </c>
      <c r="E2313" s="7" t="str">
        <f aca="false">'Raw Data'!J2313</f>
        <v>Normal</v>
      </c>
      <c r="F2313" s="7" t="n">
        <f aca="false">'Raw Data'!K2313</f>
        <v>237.7</v>
      </c>
      <c r="G2313" s="7" t="str">
        <f aca="false">'Raw Data'!L2313</f>
        <v>No</v>
      </c>
      <c r="H2313" s="7" t="str">
        <f aca="false">'Raw Data'!M2313</f>
        <v>Low</v>
      </c>
      <c r="I2313" s="7" t="n">
        <f aca="false">(IF(D2313="Current",3,IF(D2313="Former",1,0)))+(IF(E2313="High",3,IF(E2313="Normal",1,0)))+(IF(F2313&gt;=240,2,IF(F2313&gt;=200,1,0)))+(IF(G2313="Yes",2,0))+(IF(H2313="High",2,IF(H2313="Moderate",1,0)))</f>
        <v>5</v>
      </c>
      <c r="J2313" s="7" t="str">
        <f aca="false">IF(I2313&gt;=8,"High",IF(I2313&gt;=4,"Medium","Low"))</f>
        <v>Medium</v>
      </c>
    </row>
    <row r="2314" customFormat="false" ht="15" hidden="false" customHeight="true" outlineLevel="0" collapsed="false">
      <c r="A2314" s="7" t="n">
        <f aca="false">'Raw Data'!A2314</f>
        <v>314</v>
      </c>
      <c r="B2314" s="7" t="n">
        <f aca="false">'Raw Data'!B2314</f>
        <v>86</v>
      </c>
      <c r="C2314" s="7" t="str">
        <f aca="false">'Raw Data'!C2314</f>
        <v>Male</v>
      </c>
      <c r="D2314" s="7" t="str">
        <f aca="false">'Raw Data'!D2314</f>
        <v>Current</v>
      </c>
      <c r="E2314" s="7" t="str">
        <f aca="false">'Raw Data'!J2314</f>
        <v>Normal</v>
      </c>
      <c r="F2314" s="7" t="n">
        <f aca="false">'Raw Data'!K2314</f>
        <v>229.2</v>
      </c>
      <c r="G2314" s="7" t="str">
        <f aca="false">'Raw Data'!L2314</f>
        <v>No</v>
      </c>
      <c r="H2314" s="7" t="str">
        <f aca="false">'Raw Data'!M2314</f>
        <v>Low</v>
      </c>
      <c r="I2314" s="7" t="n">
        <f aca="false">(IF(D2314="Current",3,IF(D2314="Former",1,0)))+(IF(E2314="High",3,IF(E2314="Normal",1,0)))+(IF(F2314&gt;=240,2,IF(F2314&gt;=200,1,0)))+(IF(G2314="Yes",2,0))+(IF(H2314="High",2,IF(H2314="Moderate",1,0)))</f>
        <v>5</v>
      </c>
      <c r="J2314" s="7" t="str">
        <f aca="false">IF(I2314&gt;=8,"High",IF(I2314&gt;=4,"Medium","Low"))</f>
        <v>Medium</v>
      </c>
    </row>
    <row r="2315" customFormat="false" ht="15" hidden="false" customHeight="true" outlineLevel="0" collapsed="false">
      <c r="A2315" s="7" t="n">
        <f aca="false">'Raw Data'!A2315</f>
        <v>321</v>
      </c>
      <c r="B2315" s="7" t="n">
        <f aca="false">'Raw Data'!B2315</f>
        <v>22</v>
      </c>
      <c r="C2315" s="7" t="str">
        <f aca="false">'Raw Data'!C2315</f>
        <v>Female</v>
      </c>
      <c r="D2315" s="7" t="str">
        <f aca="false">'Raw Data'!D2315</f>
        <v>Current</v>
      </c>
      <c r="E2315" s="7" t="str">
        <f aca="false">'Raw Data'!J2315</f>
        <v>Normal</v>
      </c>
      <c r="F2315" s="7" t="n">
        <f aca="false">'Raw Data'!K2315</f>
        <v>177.3</v>
      </c>
      <c r="G2315" s="7" t="str">
        <f aca="false">'Raw Data'!L2315</f>
        <v>No</v>
      </c>
      <c r="H2315" s="7" t="str">
        <f aca="false">'Raw Data'!M2315</f>
        <v>Low</v>
      </c>
      <c r="I2315" s="7" t="n">
        <f aca="false">(IF(D2315="Current",3,IF(D2315="Former",1,0)))+(IF(E2315="High",3,IF(E2315="Normal",1,0)))+(IF(F2315&gt;=240,2,IF(F2315&gt;=200,1,0)))+(IF(G2315="Yes",2,0))+(IF(H2315="High",2,IF(H2315="Moderate",1,0)))</f>
        <v>4</v>
      </c>
      <c r="J2315" s="7" t="str">
        <f aca="false">IF(I2315&gt;=8,"High",IF(I2315&gt;=4,"Medium","Low"))</f>
        <v>Medium</v>
      </c>
    </row>
    <row r="2316" customFormat="false" ht="15" hidden="false" customHeight="true" outlineLevel="0" collapsed="false">
      <c r="A2316" s="7" t="n">
        <f aca="false">'Raw Data'!A2316</f>
        <v>322</v>
      </c>
      <c r="B2316" s="7" t="n">
        <f aca="false">'Raw Data'!B2316</f>
        <v>22</v>
      </c>
      <c r="C2316" s="7" t="str">
        <f aca="false">'Raw Data'!C2316</f>
        <v>Female</v>
      </c>
      <c r="D2316" s="7" t="str">
        <f aca="false">'Raw Data'!D2316</f>
        <v>Current</v>
      </c>
      <c r="E2316" s="7" t="str">
        <f aca="false">'Raw Data'!J2316</f>
        <v>Normal</v>
      </c>
      <c r="F2316" s="7" t="n">
        <f aca="false">'Raw Data'!K2316</f>
        <v>122.4</v>
      </c>
      <c r="G2316" s="7" t="str">
        <f aca="false">'Raw Data'!L2316</f>
        <v>Yes</v>
      </c>
      <c r="H2316" s="7" t="str">
        <f aca="false">'Raw Data'!M2316</f>
        <v>Low</v>
      </c>
      <c r="I2316" s="7" t="n">
        <f aca="false">(IF(D2316="Current",3,IF(D2316="Former",1,0)))+(IF(E2316="High",3,IF(E2316="Normal",1,0)))+(IF(F2316&gt;=240,2,IF(F2316&gt;=200,1,0)))+(IF(G2316="Yes",2,0))+(IF(H2316="High",2,IF(H2316="Moderate",1,0)))</f>
        <v>6</v>
      </c>
      <c r="J2316" s="7" t="str">
        <f aca="false">IF(I2316&gt;=8,"High",IF(I2316&gt;=4,"Medium","Low"))</f>
        <v>Medium</v>
      </c>
    </row>
    <row r="2317" customFormat="false" ht="15" hidden="false" customHeight="true" outlineLevel="0" collapsed="false">
      <c r="A2317" s="7" t="n">
        <f aca="false">'Raw Data'!A2317</f>
        <v>335</v>
      </c>
      <c r="B2317" s="7" t="n">
        <f aca="false">'Raw Data'!B2317</f>
        <v>81</v>
      </c>
      <c r="C2317" s="7" t="str">
        <f aca="false">'Raw Data'!C2317</f>
        <v>Female</v>
      </c>
      <c r="D2317" s="7" t="str">
        <f aca="false">'Raw Data'!D2317</f>
        <v>Current</v>
      </c>
      <c r="E2317" s="7" t="str">
        <f aca="false">'Raw Data'!J2317</f>
        <v>Normal</v>
      </c>
      <c r="F2317" s="7" t="n">
        <f aca="false">'Raw Data'!K2317</f>
        <v>190.3</v>
      </c>
      <c r="G2317" s="7" t="str">
        <f aca="false">'Raw Data'!L2317</f>
        <v>Yes</v>
      </c>
      <c r="H2317" s="7" t="str">
        <f aca="false">'Raw Data'!M2317</f>
        <v>Low</v>
      </c>
      <c r="I2317" s="7" t="n">
        <f aca="false">(IF(D2317="Current",3,IF(D2317="Former",1,0)))+(IF(E2317="High",3,IF(E2317="Normal",1,0)))+(IF(F2317&gt;=240,2,IF(F2317&gt;=200,1,0)))+(IF(G2317="Yes",2,0))+(IF(H2317="High",2,IF(H2317="Moderate",1,0)))</f>
        <v>6</v>
      </c>
      <c r="J2317" s="7" t="str">
        <f aca="false">IF(I2317&gt;=8,"High",IF(I2317&gt;=4,"Medium","Low"))</f>
        <v>Medium</v>
      </c>
    </row>
    <row r="2318" customFormat="false" ht="15" hidden="false" customHeight="true" outlineLevel="0" collapsed="false">
      <c r="A2318" s="7" t="n">
        <f aca="false">'Raw Data'!A2318</f>
        <v>366</v>
      </c>
      <c r="B2318" s="7" t="n">
        <f aca="false">'Raw Data'!B2318</f>
        <v>30</v>
      </c>
      <c r="C2318" s="7" t="str">
        <f aca="false">'Raw Data'!C2318</f>
        <v>Male</v>
      </c>
      <c r="D2318" s="7" t="str">
        <f aca="false">'Raw Data'!D2318</f>
        <v>Current</v>
      </c>
      <c r="E2318" s="7" t="str">
        <f aca="false">'Raw Data'!J2318</f>
        <v>Normal</v>
      </c>
      <c r="F2318" s="7" t="n">
        <f aca="false">'Raw Data'!K2318</f>
        <v>160.8</v>
      </c>
      <c r="G2318" s="7" t="str">
        <f aca="false">'Raw Data'!L2318</f>
        <v>No</v>
      </c>
      <c r="H2318" s="7" t="str">
        <f aca="false">'Raw Data'!M2318</f>
        <v>Low</v>
      </c>
      <c r="I2318" s="7" t="n">
        <f aca="false">(IF(D2318="Current",3,IF(D2318="Former",1,0)))+(IF(E2318="High",3,IF(E2318="Normal",1,0)))+(IF(F2318&gt;=240,2,IF(F2318&gt;=200,1,0)))+(IF(G2318="Yes",2,0))+(IF(H2318="High",2,IF(H2318="Moderate",1,0)))</f>
        <v>4</v>
      </c>
      <c r="J2318" s="7" t="str">
        <f aca="false">IF(I2318&gt;=8,"High",IF(I2318&gt;=4,"Medium","Low"))</f>
        <v>Medium</v>
      </c>
    </row>
    <row r="2319" customFormat="false" ht="15" hidden="false" customHeight="true" outlineLevel="0" collapsed="false">
      <c r="A2319" s="7" t="n">
        <f aca="false">'Raw Data'!A2319</f>
        <v>369</v>
      </c>
      <c r="B2319" s="7" t="n">
        <f aca="false">'Raw Data'!B2319</f>
        <v>57</v>
      </c>
      <c r="C2319" s="7" t="str">
        <f aca="false">'Raw Data'!C2319</f>
        <v>Male</v>
      </c>
      <c r="D2319" s="7" t="str">
        <f aca="false">'Raw Data'!D2319</f>
        <v>Current</v>
      </c>
      <c r="E2319" s="7" t="str">
        <f aca="false">'Raw Data'!J2319</f>
        <v>Normal</v>
      </c>
      <c r="F2319" s="7" t="n">
        <f aca="false">'Raw Data'!K2319</f>
        <v>135.8</v>
      </c>
      <c r="G2319" s="7" t="str">
        <f aca="false">'Raw Data'!L2319</f>
        <v>Yes</v>
      </c>
      <c r="H2319" s="7" t="str">
        <f aca="false">'Raw Data'!M2319</f>
        <v>Low</v>
      </c>
      <c r="I2319" s="7" t="n">
        <f aca="false">(IF(D2319="Current",3,IF(D2319="Former",1,0)))+(IF(E2319="High",3,IF(E2319="Normal",1,0)))+(IF(F2319&gt;=240,2,IF(F2319&gt;=200,1,0)))+(IF(G2319="Yes",2,0))+(IF(H2319="High",2,IF(H2319="Moderate",1,0)))</f>
        <v>6</v>
      </c>
      <c r="J2319" s="7" t="str">
        <f aca="false">IF(I2319&gt;=8,"High",IF(I2319&gt;=4,"Medium","Low"))</f>
        <v>Medium</v>
      </c>
    </row>
    <row r="2320" customFormat="false" ht="15" hidden="false" customHeight="true" outlineLevel="0" collapsed="false">
      <c r="A2320" s="7" t="n">
        <f aca="false">'Raw Data'!A2320</f>
        <v>373</v>
      </c>
      <c r="B2320" s="7" t="n">
        <f aca="false">'Raw Data'!B2320</f>
        <v>33</v>
      </c>
      <c r="C2320" s="7" t="str">
        <f aca="false">'Raw Data'!C2320</f>
        <v>Female</v>
      </c>
      <c r="D2320" s="7" t="str">
        <f aca="false">'Raw Data'!D2320</f>
        <v>Current</v>
      </c>
      <c r="E2320" s="7" t="str">
        <f aca="false">'Raw Data'!J2320</f>
        <v>Normal</v>
      </c>
      <c r="F2320" s="7" t="n">
        <f aca="false">'Raw Data'!K2320</f>
        <v>284.4</v>
      </c>
      <c r="G2320" s="7" t="str">
        <f aca="false">'Raw Data'!L2320</f>
        <v>Yes</v>
      </c>
      <c r="H2320" s="7" t="str">
        <f aca="false">'Raw Data'!M2320</f>
        <v>Low</v>
      </c>
      <c r="I2320" s="7" t="n">
        <f aca="false">(IF(D2320="Current",3,IF(D2320="Former",1,0)))+(IF(E2320="High",3,IF(E2320="Normal",1,0)))+(IF(F2320&gt;=240,2,IF(F2320&gt;=200,1,0)))+(IF(G2320="Yes",2,0))+(IF(H2320="High",2,IF(H2320="Moderate",1,0)))</f>
        <v>8</v>
      </c>
      <c r="J2320" s="7" t="str">
        <f aca="false">IF(I2320&gt;=8,"High",IF(I2320&gt;=4,"Medium","Low"))</f>
        <v>High</v>
      </c>
    </row>
    <row r="2321" customFormat="false" ht="15" hidden="false" customHeight="true" outlineLevel="0" collapsed="false">
      <c r="A2321" s="7" t="n">
        <f aca="false">'Raw Data'!A2321</f>
        <v>375</v>
      </c>
      <c r="B2321" s="7" t="n">
        <f aca="false">'Raw Data'!B2321</f>
        <v>51</v>
      </c>
      <c r="C2321" s="7" t="str">
        <f aca="false">'Raw Data'!C2321</f>
        <v>Male</v>
      </c>
      <c r="D2321" s="7" t="str">
        <f aca="false">'Raw Data'!D2321</f>
        <v>Current</v>
      </c>
      <c r="E2321" s="7" t="str">
        <f aca="false">'Raw Data'!J2321</f>
        <v>Normal</v>
      </c>
      <c r="F2321" s="7" t="n">
        <f aca="false">'Raw Data'!K2321</f>
        <v>244.4</v>
      </c>
      <c r="G2321" s="7" t="str">
        <f aca="false">'Raw Data'!L2321</f>
        <v>Yes</v>
      </c>
      <c r="H2321" s="7" t="str">
        <f aca="false">'Raw Data'!M2321</f>
        <v>Low</v>
      </c>
      <c r="I2321" s="7" t="n">
        <f aca="false">(IF(D2321="Current",3,IF(D2321="Former",1,0)))+(IF(E2321="High",3,IF(E2321="Normal",1,0)))+(IF(F2321&gt;=240,2,IF(F2321&gt;=200,1,0)))+(IF(G2321="Yes",2,0))+(IF(H2321="High",2,IF(H2321="Moderate",1,0)))</f>
        <v>8</v>
      </c>
      <c r="J2321" s="7" t="str">
        <f aca="false">IF(I2321&gt;=8,"High",IF(I2321&gt;=4,"Medium","Low"))</f>
        <v>High</v>
      </c>
    </row>
    <row r="2322" customFormat="false" ht="15" hidden="false" customHeight="true" outlineLevel="0" collapsed="false">
      <c r="A2322" s="7" t="n">
        <f aca="false">'Raw Data'!A2322</f>
        <v>397</v>
      </c>
      <c r="B2322" s="7" t="n">
        <f aca="false">'Raw Data'!B2322</f>
        <v>59</v>
      </c>
      <c r="C2322" s="7" t="str">
        <f aca="false">'Raw Data'!C2322</f>
        <v>Female</v>
      </c>
      <c r="D2322" s="7" t="str">
        <f aca="false">'Raw Data'!D2322</f>
        <v>Current</v>
      </c>
      <c r="E2322" s="7" t="str">
        <f aca="false">'Raw Data'!J2322</f>
        <v>Normal</v>
      </c>
      <c r="F2322" s="7" t="n">
        <f aca="false">'Raw Data'!K2322</f>
        <v>125.2</v>
      </c>
      <c r="G2322" s="7" t="str">
        <f aca="false">'Raw Data'!L2322</f>
        <v>No</v>
      </c>
      <c r="H2322" s="7" t="str">
        <f aca="false">'Raw Data'!M2322</f>
        <v>Low</v>
      </c>
      <c r="I2322" s="7" t="n">
        <f aca="false">(IF(D2322="Current",3,IF(D2322="Former",1,0)))+(IF(E2322="High",3,IF(E2322="Normal",1,0)))+(IF(F2322&gt;=240,2,IF(F2322&gt;=200,1,0)))+(IF(G2322="Yes",2,0))+(IF(H2322="High",2,IF(H2322="Moderate",1,0)))</f>
        <v>4</v>
      </c>
      <c r="J2322" s="7" t="str">
        <f aca="false">IF(I2322&gt;=8,"High",IF(I2322&gt;=4,"Medium","Low"))</f>
        <v>Medium</v>
      </c>
    </row>
    <row r="2323" customFormat="false" ht="15" hidden="false" customHeight="true" outlineLevel="0" collapsed="false">
      <c r="A2323" s="7" t="n">
        <f aca="false">'Raw Data'!A2323</f>
        <v>409</v>
      </c>
      <c r="B2323" s="7" t="n">
        <f aca="false">'Raw Data'!B2323</f>
        <v>57</v>
      </c>
      <c r="C2323" s="7" t="str">
        <f aca="false">'Raw Data'!C2323</f>
        <v>Male</v>
      </c>
      <c r="D2323" s="7" t="str">
        <f aca="false">'Raw Data'!D2323</f>
        <v>Current</v>
      </c>
      <c r="E2323" s="7" t="str">
        <f aca="false">'Raw Data'!J2323</f>
        <v>Normal</v>
      </c>
      <c r="F2323" s="7" t="n">
        <f aca="false">'Raw Data'!K2323</f>
        <v>237.1</v>
      </c>
      <c r="G2323" s="7" t="str">
        <f aca="false">'Raw Data'!L2323</f>
        <v>Yes</v>
      </c>
      <c r="H2323" s="7" t="str">
        <f aca="false">'Raw Data'!M2323</f>
        <v>Low</v>
      </c>
      <c r="I2323" s="7" t="n">
        <f aca="false">(IF(D2323="Current",3,IF(D2323="Former",1,0)))+(IF(E2323="High",3,IF(E2323="Normal",1,0)))+(IF(F2323&gt;=240,2,IF(F2323&gt;=200,1,0)))+(IF(G2323="Yes",2,0))+(IF(H2323="High",2,IF(H2323="Moderate",1,0)))</f>
        <v>7</v>
      </c>
      <c r="J2323" s="7" t="str">
        <f aca="false">IF(I2323&gt;=8,"High",IF(I2323&gt;=4,"Medium","Low"))</f>
        <v>Medium</v>
      </c>
    </row>
    <row r="2324" customFormat="false" ht="15" hidden="false" customHeight="true" outlineLevel="0" collapsed="false">
      <c r="A2324" s="7" t="n">
        <f aca="false">'Raw Data'!A2324</f>
        <v>427</v>
      </c>
      <c r="B2324" s="7" t="n">
        <f aca="false">'Raw Data'!B2324</f>
        <v>24</v>
      </c>
      <c r="C2324" s="7" t="str">
        <f aca="false">'Raw Data'!C2324</f>
        <v>Female</v>
      </c>
      <c r="D2324" s="7" t="str">
        <f aca="false">'Raw Data'!D2324</f>
        <v>Current</v>
      </c>
      <c r="E2324" s="7" t="str">
        <f aca="false">'Raw Data'!J2324</f>
        <v>Normal</v>
      </c>
      <c r="F2324" s="7" t="n">
        <f aca="false">'Raw Data'!K2324</f>
        <v>228.3</v>
      </c>
      <c r="G2324" s="7" t="str">
        <f aca="false">'Raw Data'!L2324</f>
        <v>No</v>
      </c>
      <c r="H2324" s="7" t="str">
        <f aca="false">'Raw Data'!M2324</f>
        <v>Low</v>
      </c>
      <c r="I2324" s="7" t="n">
        <f aca="false">(IF(D2324="Current",3,IF(D2324="Former",1,0)))+(IF(E2324="High",3,IF(E2324="Normal",1,0)))+(IF(F2324&gt;=240,2,IF(F2324&gt;=200,1,0)))+(IF(G2324="Yes",2,0))+(IF(H2324="High",2,IF(H2324="Moderate",1,0)))</f>
        <v>5</v>
      </c>
      <c r="J2324" s="7" t="str">
        <f aca="false">IF(I2324&gt;=8,"High",IF(I2324&gt;=4,"Medium","Low"))</f>
        <v>Medium</v>
      </c>
    </row>
    <row r="2325" customFormat="false" ht="15" hidden="false" customHeight="true" outlineLevel="0" collapsed="false">
      <c r="A2325" s="7" t="n">
        <f aca="false">'Raw Data'!A2325</f>
        <v>437</v>
      </c>
      <c r="B2325" s="7" t="n">
        <f aca="false">'Raw Data'!B2325</f>
        <v>56</v>
      </c>
      <c r="C2325" s="7" t="str">
        <f aca="false">'Raw Data'!C2325</f>
        <v>Female</v>
      </c>
      <c r="D2325" s="7" t="str">
        <f aca="false">'Raw Data'!D2325</f>
        <v>Current</v>
      </c>
      <c r="E2325" s="7" t="str">
        <f aca="false">'Raw Data'!J2325</f>
        <v>Normal</v>
      </c>
      <c r="F2325" s="7" t="n">
        <f aca="false">'Raw Data'!K2325</f>
        <v>163.9</v>
      </c>
      <c r="G2325" s="7" t="str">
        <f aca="false">'Raw Data'!L2325</f>
        <v>No</v>
      </c>
      <c r="H2325" s="7" t="str">
        <f aca="false">'Raw Data'!M2325</f>
        <v>Low</v>
      </c>
      <c r="I2325" s="7" t="n">
        <f aca="false">(IF(D2325="Current",3,IF(D2325="Former",1,0)))+(IF(E2325="High",3,IF(E2325="Normal",1,0)))+(IF(F2325&gt;=240,2,IF(F2325&gt;=200,1,0)))+(IF(G2325="Yes",2,0))+(IF(H2325="High",2,IF(H2325="Moderate",1,0)))</f>
        <v>4</v>
      </c>
      <c r="J2325" s="7" t="str">
        <f aca="false">IF(I2325&gt;=8,"High",IF(I2325&gt;=4,"Medium","Low"))</f>
        <v>Medium</v>
      </c>
    </row>
    <row r="2326" customFormat="false" ht="15" hidden="false" customHeight="true" outlineLevel="0" collapsed="false">
      <c r="A2326" s="7" t="n">
        <f aca="false">'Raw Data'!A2326</f>
        <v>442</v>
      </c>
      <c r="B2326" s="7" t="n">
        <f aca="false">'Raw Data'!B2326</f>
        <v>85</v>
      </c>
      <c r="C2326" s="7" t="str">
        <f aca="false">'Raw Data'!C2326</f>
        <v>Female</v>
      </c>
      <c r="D2326" s="7" t="str">
        <f aca="false">'Raw Data'!D2326</f>
        <v>Current</v>
      </c>
      <c r="E2326" s="7" t="str">
        <f aca="false">'Raw Data'!J2326</f>
        <v>Normal</v>
      </c>
      <c r="F2326" s="7" t="n">
        <f aca="false">'Raw Data'!K2326</f>
        <v>251.2</v>
      </c>
      <c r="G2326" s="7" t="str">
        <f aca="false">'Raw Data'!L2326</f>
        <v>No</v>
      </c>
      <c r="H2326" s="7" t="str">
        <f aca="false">'Raw Data'!M2326</f>
        <v>Low</v>
      </c>
      <c r="I2326" s="7" t="n">
        <f aca="false">(IF(D2326="Current",3,IF(D2326="Former",1,0)))+(IF(E2326="High",3,IF(E2326="Normal",1,0)))+(IF(F2326&gt;=240,2,IF(F2326&gt;=200,1,0)))+(IF(G2326="Yes",2,0))+(IF(H2326="High",2,IF(H2326="Moderate",1,0)))</f>
        <v>6</v>
      </c>
      <c r="J2326" s="7" t="str">
        <f aca="false">IF(I2326&gt;=8,"High",IF(I2326&gt;=4,"Medium","Low"))</f>
        <v>Medium</v>
      </c>
    </row>
    <row r="2327" customFormat="false" ht="15" hidden="false" customHeight="true" outlineLevel="0" collapsed="false">
      <c r="A2327" s="7" t="n">
        <f aca="false">'Raw Data'!A2327</f>
        <v>463</v>
      </c>
      <c r="B2327" s="7" t="n">
        <f aca="false">'Raw Data'!B2327</f>
        <v>41</v>
      </c>
      <c r="C2327" s="7" t="str">
        <f aca="false">'Raw Data'!C2327</f>
        <v>Female</v>
      </c>
      <c r="D2327" s="7" t="str">
        <f aca="false">'Raw Data'!D2327</f>
        <v>Current</v>
      </c>
      <c r="E2327" s="7" t="str">
        <f aca="false">'Raw Data'!J2327</f>
        <v>Normal</v>
      </c>
      <c r="F2327" s="7" t="n">
        <f aca="false">'Raw Data'!K2327</f>
        <v>161.6</v>
      </c>
      <c r="G2327" s="7" t="str">
        <f aca="false">'Raw Data'!L2327</f>
        <v>Yes</v>
      </c>
      <c r="H2327" s="7" t="str">
        <f aca="false">'Raw Data'!M2327</f>
        <v>Low</v>
      </c>
      <c r="I2327" s="7" t="n">
        <f aca="false">(IF(D2327="Current",3,IF(D2327="Former",1,0)))+(IF(E2327="High",3,IF(E2327="Normal",1,0)))+(IF(F2327&gt;=240,2,IF(F2327&gt;=200,1,0)))+(IF(G2327="Yes",2,0))+(IF(H2327="High",2,IF(H2327="Moderate",1,0)))</f>
        <v>6</v>
      </c>
      <c r="J2327" s="7" t="str">
        <f aca="false">IF(I2327&gt;=8,"High",IF(I2327&gt;=4,"Medium","Low"))</f>
        <v>Medium</v>
      </c>
    </row>
    <row r="2328" customFormat="false" ht="15" hidden="false" customHeight="true" outlineLevel="0" collapsed="false">
      <c r="A2328" s="7" t="n">
        <f aca="false">'Raw Data'!A2328</f>
        <v>472</v>
      </c>
      <c r="B2328" s="7" t="n">
        <f aca="false">'Raw Data'!B2328</f>
        <v>86</v>
      </c>
      <c r="C2328" s="7" t="str">
        <f aca="false">'Raw Data'!C2328</f>
        <v>Male</v>
      </c>
      <c r="D2328" s="7" t="str">
        <f aca="false">'Raw Data'!D2328</f>
        <v>Current</v>
      </c>
      <c r="E2328" s="7" t="str">
        <f aca="false">'Raw Data'!J2328</f>
        <v>Normal</v>
      </c>
      <c r="F2328" s="7" t="n">
        <f aca="false">'Raw Data'!K2328</f>
        <v>206.2</v>
      </c>
      <c r="G2328" s="7" t="str">
        <f aca="false">'Raw Data'!L2328</f>
        <v>No</v>
      </c>
      <c r="H2328" s="7" t="str">
        <f aca="false">'Raw Data'!M2328</f>
        <v>Low</v>
      </c>
      <c r="I2328" s="7" t="n">
        <f aca="false">(IF(D2328="Current",3,IF(D2328="Former",1,0)))+(IF(E2328="High",3,IF(E2328="Normal",1,0)))+(IF(F2328&gt;=240,2,IF(F2328&gt;=200,1,0)))+(IF(G2328="Yes",2,0))+(IF(H2328="High",2,IF(H2328="Moderate",1,0)))</f>
        <v>5</v>
      </c>
      <c r="J2328" s="7" t="str">
        <f aca="false">IF(I2328&gt;=8,"High",IF(I2328&gt;=4,"Medium","Low"))</f>
        <v>Medium</v>
      </c>
    </row>
    <row r="2329" customFormat="false" ht="15" hidden="false" customHeight="true" outlineLevel="0" collapsed="false">
      <c r="A2329" s="7" t="n">
        <f aca="false">'Raw Data'!A2329</f>
        <v>496</v>
      </c>
      <c r="B2329" s="7" t="n">
        <f aca="false">'Raw Data'!B2329</f>
        <v>78</v>
      </c>
      <c r="C2329" s="7" t="str">
        <f aca="false">'Raw Data'!C2329</f>
        <v>Female</v>
      </c>
      <c r="D2329" s="7" t="str">
        <f aca="false">'Raw Data'!D2329</f>
        <v>Current</v>
      </c>
      <c r="E2329" s="7" t="str">
        <f aca="false">'Raw Data'!J2329</f>
        <v>Normal</v>
      </c>
      <c r="F2329" s="7" t="n">
        <f aca="false">'Raw Data'!K2329</f>
        <v>201.1</v>
      </c>
      <c r="G2329" s="7" t="str">
        <f aca="false">'Raw Data'!L2329</f>
        <v>No</v>
      </c>
      <c r="H2329" s="7" t="str">
        <f aca="false">'Raw Data'!M2329</f>
        <v>Low</v>
      </c>
      <c r="I2329" s="7" t="n">
        <f aca="false">(IF(D2329="Current",3,IF(D2329="Former",1,0)))+(IF(E2329="High",3,IF(E2329="Normal",1,0)))+(IF(F2329&gt;=240,2,IF(F2329&gt;=200,1,0)))+(IF(G2329="Yes",2,0))+(IF(H2329="High",2,IF(H2329="Moderate",1,0)))</f>
        <v>5</v>
      </c>
      <c r="J2329" s="7" t="str">
        <f aca="false">IF(I2329&gt;=8,"High",IF(I2329&gt;=4,"Medium","Low"))</f>
        <v>Medium</v>
      </c>
    </row>
    <row r="2330" customFormat="false" ht="15" hidden="false" customHeight="true" outlineLevel="0" collapsed="false">
      <c r="A2330" s="7" t="n">
        <f aca="false">'Raw Data'!A2330</f>
        <v>502</v>
      </c>
      <c r="B2330" s="7" t="n">
        <f aca="false">'Raw Data'!B2330</f>
        <v>28</v>
      </c>
      <c r="C2330" s="7" t="str">
        <f aca="false">'Raw Data'!C2330</f>
        <v>Male</v>
      </c>
      <c r="D2330" s="7" t="str">
        <f aca="false">'Raw Data'!D2330</f>
        <v>Current</v>
      </c>
      <c r="E2330" s="7" t="str">
        <f aca="false">'Raw Data'!J2330</f>
        <v>Normal</v>
      </c>
      <c r="F2330" s="7" t="n">
        <f aca="false">'Raw Data'!K2330</f>
        <v>234.4</v>
      </c>
      <c r="G2330" s="7" t="str">
        <f aca="false">'Raw Data'!L2330</f>
        <v>Yes</v>
      </c>
      <c r="H2330" s="7" t="str">
        <f aca="false">'Raw Data'!M2330</f>
        <v>Low</v>
      </c>
      <c r="I2330" s="7" t="n">
        <f aca="false">(IF(D2330="Current",3,IF(D2330="Former",1,0)))+(IF(E2330="High",3,IF(E2330="Normal",1,0)))+(IF(F2330&gt;=240,2,IF(F2330&gt;=200,1,0)))+(IF(G2330="Yes",2,0))+(IF(H2330="High",2,IF(H2330="Moderate",1,0)))</f>
        <v>7</v>
      </c>
      <c r="J2330" s="7" t="str">
        <f aca="false">IF(I2330&gt;=8,"High",IF(I2330&gt;=4,"Medium","Low"))</f>
        <v>Medium</v>
      </c>
    </row>
    <row r="2331" customFormat="false" ht="15" hidden="false" customHeight="true" outlineLevel="0" collapsed="false">
      <c r="A2331" s="7" t="n">
        <f aca="false">'Raw Data'!A2331</f>
        <v>520</v>
      </c>
      <c r="B2331" s="7" t="n">
        <f aca="false">'Raw Data'!B2331</f>
        <v>59</v>
      </c>
      <c r="C2331" s="7" t="str">
        <f aca="false">'Raw Data'!C2331</f>
        <v>Female</v>
      </c>
      <c r="D2331" s="7" t="str">
        <f aca="false">'Raw Data'!D2331</f>
        <v>Current</v>
      </c>
      <c r="E2331" s="7" t="str">
        <f aca="false">'Raw Data'!J2331</f>
        <v>Normal</v>
      </c>
      <c r="F2331" s="7" t="n">
        <f aca="false">'Raw Data'!K2331</f>
        <v>286.3</v>
      </c>
      <c r="G2331" s="7" t="str">
        <f aca="false">'Raw Data'!L2331</f>
        <v>No</v>
      </c>
      <c r="H2331" s="7" t="str">
        <f aca="false">'Raw Data'!M2331</f>
        <v>Low</v>
      </c>
      <c r="I2331" s="7" t="n">
        <f aca="false">(IF(D2331="Current",3,IF(D2331="Former",1,0)))+(IF(E2331="High",3,IF(E2331="Normal",1,0)))+(IF(F2331&gt;=240,2,IF(F2331&gt;=200,1,0)))+(IF(G2331="Yes",2,0))+(IF(H2331="High",2,IF(H2331="Moderate",1,0)))</f>
        <v>6</v>
      </c>
      <c r="J2331" s="7" t="str">
        <f aca="false">IF(I2331&gt;=8,"High",IF(I2331&gt;=4,"Medium","Low"))</f>
        <v>Medium</v>
      </c>
    </row>
    <row r="2332" customFormat="false" ht="15" hidden="false" customHeight="true" outlineLevel="0" collapsed="false">
      <c r="A2332" s="7" t="n">
        <f aca="false">'Raw Data'!A2332</f>
        <v>522</v>
      </c>
      <c r="B2332" s="7" t="n">
        <f aca="false">'Raw Data'!B2332</f>
        <v>53</v>
      </c>
      <c r="C2332" s="7" t="str">
        <f aca="false">'Raw Data'!C2332</f>
        <v>Male</v>
      </c>
      <c r="D2332" s="7" t="str">
        <f aca="false">'Raw Data'!D2332</f>
        <v>Current</v>
      </c>
      <c r="E2332" s="7" t="str">
        <f aca="false">'Raw Data'!J2332</f>
        <v>Normal</v>
      </c>
      <c r="F2332" s="7" t="n">
        <f aca="false">'Raw Data'!K2332</f>
        <v>217.7</v>
      </c>
      <c r="G2332" s="7" t="str">
        <f aca="false">'Raw Data'!L2332</f>
        <v>No</v>
      </c>
      <c r="H2332" s="7" t="str">
        <f aca="false">'Raw Data'!M2332</f>
        <v>Low</v>
      </c>
      <c r="I2332" s="7" t="n">
        <f aca="false">(IF(D2332="Current",3,IF(D2332="Former",1,0)))+(IF(E2332="High",3,IF(E2332="Normal",1,0)))+(IF(F2332&gt;=240,2,IF(F2332&gt;=200,1,0)))+(IF(G2332="Yes",2,0))+(IF(H2332="High",2,IF(H2332="Moderate",1,0)))</f>
        <v>5</v>
      </c>
      <c r="J2332" s="7" t="str">
        <f aca="false">IF(I2332&gt;=8,"High",IF(I2332&gt;=4,"Medium","Low"))</f>
        <v>Medium</v>
      </c>
    </row>
    <row r="2333" customFormat="false" ht="15" hidden="false" customHeight="true" outlineLevel="0" collapsed="false">
      <c r="A2333" s="7" t="n">
        <f aca="false">'Raw Data'!A2333</f>
        <v>534</v>
      </c>
      <c r="B2333" s="7" t="n">
        <f aca="false">'Raw Data'!B2333</f>
        <v>38</v>
      </c>
      <c r="C2333" s="7" t="str">
        <f aca="false">'Raw Data'!C2333</f>
        <v>Male</v>
      </c>
      <c r="D2333" s="7" t="str">
        <f aca="false">'Raw Data'!D2333</f>
        <v>Current</v>
      </c>
      <c r="E2333" s="7" t="str">
        <f aca="false">'Raw Data'!J2333</f>
        <v>Normal</v>
      </c>
      <c r="F2333" s="7" t="n">
        <f aca="false">'Raw Data'!K2333</f>
        <v>131.5</v>
      </c>
      <c r="G2333" s="7" t="str">
        <f aca="false">'Raw Data'!L2333</f>
        <v>Yes</v>
      </c>
      <c r="H2333" s="7" t="str">
        <f aca="false">'Raw Data'!M2333</f>
        <v>Low</v>
      </c>
      <c r="I2333" s="7" t="n">
        <f aca="false">(IF(D2333="Current",3,IF(D2333="Former",1,0)))+(IF(E2333="High",3,IF(E2333="Normal",1,0)))+(IF(F2333&gt;=240,2,IF(F2333&gt;=200,1,0)))+(IF(G2333="Yes",2,0))+(IF(H2333="High",2,IF(H2333="Moderate",1,0)))</f>
        <v>6</v>
      </c>
      <c r="J2333" s="7" t="str">
        <f aca="false">IF(I2333&gt;=8,"High",IF(I2333&gt;=4,"Medium","Low"))</f>
        <v>Medium</v>
      </c>
    </row>
    <row r="2334" customFormat="false" ht="15" hidden="false" customHeight="true" outlineLevel="0" collapsed="false">
      <c r="A2334" s="7" t="n">
        <f aca="false">'Raw Data'!A2334</f>
        <v>535</v>
      </c>
      <c r="B2334" s="7" t="n">
        <f aca="false">'Raw Data'!B2334</f>
        <v>83</v>
      </c>
      <c r="C2334" s="7" t="str">
        <f aca="false">'Raw Data'!C2334</f>
        <v>Male</v>
      </c>
      <c r="D2334" s="7" t="str">
        <f aca="false">'Raw Data'!D2334</f>
        <v>Current</v>
      </c>
      <c r="E2334" s="7" t="str">
        <f aca="false">'Raw Data'!J2334</f>
        <v>Normal</v>
      </c>
      <c r="F2334" s="7" t="n">
        <f aca="false">'Raw Data'!K2334</f>
        <v>289.6</v>
      </c>
      <c r="G2334" s="7" t="str">
        <f aca="false">'Raw Data'!L2334</f>
        <v>No</v>
      </c>
      <c r="H2334" s="7" t="str">
        <f aca="false">'Raw Data'!M2334</f>
        <v>Low</v>
      </c>
      <c r="I2334" s="7" t="n">
        <f aca="false">(IF(D2334="Current",3,IF(D2334="Former",1,0)))+(IF(E2334="High",3,IF(E2334="Normal",1,0)))+(IF(F2334&gt;=240,2,IF(F2334&gt;=200,1,0)))+(IF(G2334="Yes",2,0))+(IF(H2334="High",2,IF(H2334="Moderate",1,0)))</f>
        <v>6</v>
      </c>
      <c r="J2334" s="7" t="str">
        <f aca="false">IF(I2334&gt;=8,"High",IF(I2334&gt;=4,"Medium","Low"))</f>
        <v>Medium</v>
      </c>
    </row>
    <row r="2335" customFormat="false" ht="15" hidden="false" customHeight="true" outlineLevel="0" collapsed="false">
      <c r="A2335" s="7" t="n">
        <f aca="false">'Raw Data'!A2335</f>
        <v>537</v>
      </c>
      <c r="B2335" s="7" t="n">
        <f aca="false">'Raw Data'!B2335</f>
        <v>46</v>
      </c>
      <c r="C2335" s="7" t="str">
        <f aca="false">'Raw Data'!C2335</f>
        <v>Male</v>
      </c>
      <c r="D2335" s="7" t="str">
        <f aca="false">'Raw Data'!D2335</f>
        <v>Current</v>
      </c>
      <c r="E2335" s="7" t="str">
        <f aca="false">'Raw Data'!J2335</f>
        <v>Normal</v>
      </c>
      <c r="F2335" s="7" t="n">
        <f aca="false">'Raw Data'!K2335</f>
        <v>298.3</v>
      </c>
      <c r="G2335" s="7" t="str">
        <f aca="false">'Raw Data'!L2335</f>
        <v>No</v>
      </c>
      <c r="H2335" s="7" t="str">
        <f aca="false">'Raw Data'!M2335</f>
        <v>Low</v>
      </c>
      <c r="I2335" s="7" t="n">
        <f aca="false">(IF(D2335="Current",3,IF(D2335="Former",1,0)))+(IF(E2335="High",3,IF(E2335="Normal",1,0)))+(IF(F2335&gt;=240,2,IF(F2335&gt;=200,1,0)))+(IF(G2335="Yes",2,0))+(IF(H2335="High",2,IF(H2335="Moderate",1,0)))</f>
        <v>6</v>
      </c>
      <c r="J2335" s="7" t="str">
        <f aca="false">IF(I2335&gt;=8,"High",IF(I2335&gt;=4,"Medium","Low"))</f>
        <v>Medium</v>
      </c>
    </row>
    <row r="2336" customFormat="false" ht="15" hidden="false" customHeight="true" outlineLevel="0" collapsed="false">
      <c r="A2336" s="7" t="n">
        <f aca="false">'Raw Data'!A2336</f>
        <v>538</v>
      </c>
      <c r="B2336" s="7" t="n">
        <f aca="false">'Raw Data'!B2336</f>
        <v>18</v>
      </c>
      <c r="C2336" s="7" t="str">
        <f aca="false">'Raw Data'!C2336</f>
        <v>Male</v>
      </c>
      <c r="D2336" s="7" t="str">
        <f aca="false">'Raw Data'!D2336</f>
        <v>Current</v>
      </c>
      <c r="E2336" s="7" t="str">
        <f aca="false">'Raw Data'!J2336</f>
        <v>Normal</v>
      </c>
      <c r="F2336" s="7" t="n">
        <f aca="false">'Raw Data'!K2336</f>
        <v>212.5</v>
      </c>
      <c r="G2336" s="7" t="str">
        <f aca="false">'Raw Data'!L2336</f>
        <v>No</v>
      </c>
      <c r="H2336" s="7" t="str">
        <f aca="false">'Raw Data'!M2336</f>
        <v>Low</v>
      </c>
      <c r="I2336" s="7" t="n">
        <f aca="false">(IF(D2336="Current",3,IF(D2336="Former",1,0)))+(IF(E2336="High",3,IF(E2336="Normal",1,0)))+(IF(F2336&gt;=240,2,IF(F2336&gt;=200,1,0)))+(IF(G2336="Yes",2,0))+(IF(H2336="High",2,IF(H2336="Moderate",1,0)))</f>
        <v>5</v>
      </c>
      <c r="J2336" s="7" t="str">
        <f aca="false">IF(I2336&gt;=8,"High",IF(I2336&gt;=4,"Medium","Low"))</f>
        <v>Medium</v>
      </c>
    </row>
    <row r="2337" customFormat="false" ht="15" hidden="false" customHeight="true" outlineLevel="0" collapsed="false">
      <c r="A2337" s="7" t="n">
        <f aca="false">'Raw Data'!A2337</f>
        <v>540</v>
      </c>
      <c r="B2337" s="7" t="n">
        <f aca="false">'Raw Data'!B2337</f>
        <v>61</v>
      </c>
      <c r="C2337" s="7" t="str">
        <f aca="false">'Raw Data'!C2337</f>
        <v>Female</v>
      </c>
      <c r="D2337" s="7" t="str">
        <f aca="false">'Raw Data'!D2337</f>
        <v>Current</v>
      </c>
      <c r="E2337" s="7" t="str">
        <f aca="false">'Raw Data'!J2337</f>
        <v>Normal</v>
      </c>
      <c r="F2337" s="7" t="n">
        <f aca="false">'Raw Data'!K2337</f>
        <v>191</v>
      </c>
      <c r="G2337" s="7" t="str">
        <f aca="false">'Raw Data'!L2337</f>
        <v>No</v>
      </c>
      <c r="H2337" s="7" t="str">
        <f aca="false">'Raw Data'!M2337</f>
        <v>Low</v>
      </c>
      <c r="I2337" s="7" t="n">
        <f aca="false">(IF(D2337="Current",3,IF(D2337="Former",1,0)))+(IF(E2337="High",3,IF(E2337="Normal",1,0)))+(IF(F2337&gt;=240,2,IF(F2337&gt;=200,1,0)))+(IF(G2337="Yes",2,0))+(IF(H2337="High",2,IF(H2337="Moderate",1,0)))</f>
        <v>4</v>
      </c>
      <c r="J2337" s="7" t="str">
        <f aca="false">IF(I2337&gt;=8,"High",IF(I2337&gt;=4,"Medium","Low"))</f>
        <v>Medium</v>
      </c>
    </row>
    <row r="2338" customFormat="false" ht="15" hidden="false" customHeight="true" outlineLevel="0" collapsed="false">
      <c r="A2338" s="7" t="n">
        <f aca="false">'Raw Data'!A2338</f>
        <v>541</v>
      </c>
      <c r="B2338" s="7" t="n">
        <f aca="false">'Raw Data'!B2338</f>
        <v>22</v>
      </c>
      <c r="C2338" s="7" t="str">
        <f aca="false">'Raw Data'!C2338</f>
        <v>Female</v>
      </c>
      <c r="D2338" s="7" t="str">
        <f aca="false">'Raw Data'!D2338</f>
        <v>Current</v>
      </c>
      <c r="E2338" s="7" t="str">
        <f aca="false">'Raw Data'!J2338</f>
        <v>Normal</v>
      </c>
      <c r="F2338" s="7" t="n">
        <f aca="false">'Raw Data'!K2338</f>
        <v>280</v>
      </c>
      <c r="G2338" s="7" t="str">
        <f aca="false">'Raw Data'!L2338</f>
        <v>Yes</v>
      </c>
      <c r="H2338" s="7" t="str">
        <f aca="false">'Raw Data'!M2338</f>
        <v>Low</v>
      </c>
      <c r="I2338" s="7" t="n">
        <f aca="false">(IF(D2338="Current",3,IF(D2338="Former",1,0)))+(IF(E2338="High",3,IF(E2338="Normal",1,0)))+(IF(F2338&gt;=240,2,IF(F2338&gt;=200,1,0)))+(IF(G2338="Yes",2,0))+(IF(H2338="High",2,IF(H2338="Moderate",1,0)))</f>
        <v>8</v>
      </c>
      <c r="J2338" s="7" t="str">
        <f aca="false">IF(I2338&gt;=8,"High",IF(I2338&gt;=4,"Medium","Low"))</f>
        <v>High</v>
      </c>
    </row>
    <row r="2339" customFormat="false" ht="15" hidden="false" customHeight="true" outlineLevel="0" collapsed="false">
      <c r="A2339" s="7" t="n">
        <f aca="false">'Raw Data'!A2339</f>
        <v>559</v>
      </c>
      <c r="B2339" s="7" t="n">
        <f aca="false">'Raw Data'!B2339</f>
        <v>80</v>
      </c>
      <c r="C2339" s="7" t="str">
        <f aca="false">'Raw Data'!C2339</f>
        <v>Male</v>
      </c>
      <c r="D2339" s="7" t="str">
        <f aca="false">'Raw Data'!D2339</f>
        <v>Current</v>
      </c>
      <c r="E2339" s="7" t="str">
        <f aca="false">'Raw Data'!J2339</f>
        <v>Normal</v>
      </c>
      <c r="F2339" s="7" t="n">
        <f aca="false">'Raw Data'!K2339</f>
        <v>129.9</v>
      </c>
      <c r="G2339" s="7" t="str">
        <f aca="false">'Raw Data'!L2339</f>
        <v>No</v>
      </c>
      <c r="H2339" s="7" t="str">
        <f aca="false">'Raw Data'!M2339</f>
        <v>Low</v>
      </c>
      <c r="I2339" s="7" t="n">
        <f aca="false">(IF(D2339="Current",3,IF(D2339="Former",1,0)))+(IF(E2339="High",3,IF(E2339="Normal",1,0)))+(IF(F2339&gt;=240,2,IF(F2339&gt;=200,1,0)))+(IF(G2339="Yes",2,0))+(IF(H2339="High",2,IF(H2339="Moderate",1,0)))</f>
        <v>4</v>
      </c>
      <c r="J2339" s="7" t="str">
        <f aca="false">IF(I2339&gt;=8,"High",IF(I2339&gt;=4,"Medium","Low"))</f>
        <v>Medium</v>
      </c>
    </row>
    <row r="2340" customFormat="false" ht="15" hidden="false" customHeight="true" outlineLevel="0" collapsed="false">
      <c r="A2340" s="7" t="n">
        <f aca="false">'Raw Data'!A2340</f>
        <v>587</v>
      </c>
      <c r="B2340" s="7" t="n">
        <f aca="false">'Raw Data'!B2340</f>
        <v>42</v>
      </c>
      <c r="C2340" s="7" t="str">
        <f aca="false">'Raw Data'!C2340</f>
        <v>Male</v>
      </c>
      <c r="D2340" s="7" t="str">
        <f aca="false">'Raw Data'!D2340</f>
        <v>Current</v>
      </c>
      <c r="E2340" s="7" t="str">
        <f aca="false">'Raw Data'!J2340</f>
        <v>Normal</v>
      </c>
      <c r="F2340" s="7" t="n">
        <f aca="false">'Raw Data'!K2340</f>
        <v>290.2</v>
      </c>
      <c r="G2340" s="7" t="str">
        <f aca="false">'Raw Data'!L2340</f>
        <v>No</v>
      </c>
      <c r="H2340" s="7" t="str">
        <f aca="false">'Raw Data'!M2340</f>
        <v>Low</v>
      </c>
      <c r="I2340" s="7" t="n">
        <f aca="false">(IF(D2340="Current",3,IF(D2340="Former",1,0)))+(IF(E2340="High",3,IF(E2340="Normal",1,0)))+(IF(F2340&gt;=240,2,IF(F2340&gt;=200,1,0)))+(IF(G2340="Yes",2,0))+(IF(H2340="High",2,IF(H2340="Moderate",1,0)))</f>
        <v>6</v>
      </c>
      <c r="J2340" s="7" t="str">
        <f aca="false">IF(I2340&gt;=8,"High",IF(I2340&gt;=4,"Medium","Low"))</f>
        <v>Medium</v>
      </c>
    </row>
    <row r="2341" customFormat="false" ht="15" hidden="false" customHeight="true" outlineLevel="0" collapsed="false">
      <c r="A2341" s="7" t="n">
        <f aca="false">'Raw Data'!A2341</f>
        <v>598</v>
      </c>
      <c r="B2341" s="7" t="n">
        <f aca="false">'Raw Data'!B2341</f>
        <v>44</v>
      </c>
      <c r="C2341" s="7" t="str">
        <f aca="false">'Raw Data'!C2341</f>
        <v>Female</v>
      </c>
      <c r="D2341" s="7" t="str">
        <f aca="false">'Raw Data'!D2341</f>
        <v>Current</v>
      </c>
      <c r="E2341" s="7" t="str">
        <f aca="false">'Raw Data'!J2341</f>
        <v>Normal</v>
      </c>
      <c r="F2341" s="7" t="n">
        <f aca="false">'Raw Data'!K2341</f>
        <v>281.6</v>
      </c>
      <c r="G2341" s="7" t="str">
        <f aca="false">'Raw Data'!L2341</f>
        <v>No</v>
      </c>
      <c r="H2341" s="7" t="str">
        <f aca="false">'Raw Data'!M2341</f>
        <v>Low</v>
      </c>
      <c r="I2341" s="7" t="n">
        <f aca="false">(IF(D2341="Current",3,IF(D2341="Former",1,0)))+(IF(E2341="High",3,IF(E2341="Normal",1,0)))+(IF(F2341&gt;=240,2,IF(F2341&gt;=200,1,0)))+(IF(G2341="Yes",2,0))+(IF(H2341="High",2,IF(H2341="Moderate",1,0)))</f>
        <v>6</v>
      </c>
      <c r="J2341" s="7" t="str">
        <f aca="false">IF(I2341&gt;=8,"High",IF(I2341&gt;=4,"Medium","Low"))</f>
        <v>Medium</v>
      </c>
    </row>
    <row r="2342" customFormat="false" ht="15" hidden="false" customHeight="true" outlineLevel="0" collapsed="false">
      <c r="A2342" s="7" t="n">
        <f aca="false">'Raw Data'!A2342</f>
        <v>618</v>
      </c>
      <c r="B2342" s="7" t="n">
        <f aca="false">'Raw Data'!B2342</f>
        <v>65</v>
      </c>
      <c r="C2342" s="7" t="str">
        <f aca="false">'Raw Data'!C2342</f>
        <v>Female</v>
      </c>
      <c r="D2342" s="7" t="str">
        <f aca="false">'Raw Data'!D2342</f>
        <v>Current</v>
      </c>
      <c r="E2342" s="7" t="str">
        <f aca="false">'Raw Data'!J2342</f>
        <v>Normal</v>
      </c>
      <c r="F2342" s="7" t="n">
        <f aca="false">'Raw Data'!K2342</f>
        <v>187</v>
      </c>
      <c r="G2342" s="7" t="str">
        <f aca="false">'Raw Data'!L2342</f>
        <v>Yes</v>
      </c>
      <c r="H2342" s="7" t="str">
        <f aca="false">'Raw Data'!M2342</f>
        <v>Low</v>
      </c>
      <c r="I2342" s="7" t="n">
        <f aca="false">(IF(D2342="Current",3,IF(D2342="Former",1,0)))+(IF(E2342="High",3,IF(E2342="Normal",1,0)))+(IF(F2342&gt;=240,2,IF(F2342&gt;=200,1,0)))+(IF(G2342="Yes",2,0))+(IF(H2342="High",2,IF(H2342="Moderate",1,0)))</f>
        <v>6</v>
      </c>
      <c r="J2342" s="7" t="str">
        <f aca="false">IF(I2342&gt;=8,"High",IF(I2342&gt;=4,"Medium","Low"))</f>
        <v>Medium</v>
      </c>
    </row>
    <row r="2343" customFormat="false" ht="15" hidden="false" customHeight="true" outlineLevel="0" collapsed="false">
      <c r="A2343" s="7" t="n">
        <f aca="false">'Raw Data'!A2343</f>
        <v>627</v>
      </c>
      <c r="B2343" s="7" t="n">
        <f aca="false">'Raw Data'!B2343</f>
        <v>65</v>
      </c>
      <c r="C2343" s="7" t="str">
        <f aca="false">'Raw Data'!C2343</f>
        <v>Male</v>
      </c>
      <c r="D2343" s="7" t="str">
        <f aca="false">'Raw Data'!D2343</f>
        <v>Current</v>
      </c>
      <c r="E2343" s="7" t="str">
        <f aca="false">'Raw Data'!J2343</f>
        <v>Normal</v>
      </c>
      <c r="F2343" s="7" t="n">
        <f aca="false">'Raw Data'!K2343</f>
        <v>280.5</v>
      </c>
      <c r="G2343" s="7" t="str">
        <f aca="false">'Raw Data'!L2343</f>
        <v>Yes</v>
      </c>
      <c r="H2343" s="7" t="str">
        <f aca="false">'Raw Data'!M2343</f>
        <v>Low</v>
      </c>
      <c r="I2343" s="7" t="n">
        <f aca="false">(IF(D2343="Current",3,IF(D2343="Former",1,0)))+(IF(E2343="High",3,IF(E2343="Normal",1,0)))+(IF(F2343&gt;=240,2,IF(F2343&gt;=200,1,0)))+(IF(G2343="Yes",2,0))+(IF(H2343="High",2,IF(H2343="Moderate",1,0)))</f>
        <v>8</v>
      </c>
      <c r="J2343" s="7" t="str">
        <f aca="false">IF(I2343&gt;=8,"High",IF(I2343&gt;=4,"Medium","Low"))</f>
        <v>High</v>
      </c>
    </row>
    <row r="2344" customFormat="false" ht="15" hidden="false" customHeight="true" outlineLevel="0" collapsed="false">
      <c r="A2344" s="7" t="n">
        <f aca="false">'Raw Data'!A2344</f>
        <v>632</v>
      </c>
      <c r="B2344" s="7" t="n">
        <f aca="false">'Raw Data'!B2344</f>
        <v>42</v>
      </c>
      <c r="C2344" s="7" t="str">
        <f aca="false">'Raw Data'!C2344</f>
        <v>Male</v>
      </c>
      <c r="D2344" s="7" t="str">
        <f aca="false">'Raw Data'!D2344</f>
        <v>Current</v>
      </c>
      <c r="E2344" s="7" t="str">
        <f aca="false">'Raw Data'!J2344</f>
        <v>Normal</v>
      </c>
      <c r="F2344" s="7" t="n">
        <f aca="false">'Raw Data'!K2344</f>
        <v>123.2</v>
      </c>
      <c r="G2344" s="7" t="str">
        <f aca="false">'Raw Data'!L2344</f>
        <v>No</v>
      </c>
      <c r="H2344" s="7" t="str">
        <f aca="false">'Raw Data'!M2344</f>
        <v>Low</v>
      </c>
      <c r="I2344" s="7" t="n">
        <f aca="false">(IF(D2344="Current",3,IF(D2344="Former",1,0)))+(IF(E2344="High",3,IF(E2344="Normal",1,0)))+(IF(F2344&gt;=240,2,IF(F2344&gt;=200,1,0)))+(IF(G2344="Yes",2,0))+(IF(H2344="High",2,IF(H2344="Moderate",1,0)))</f>
        <v>4</v>
      </c>
      <c r="J2344" s="7" t="str">
        <f aca="false">IF(I2344&gt;=8,"High",IF(I2344&gt;=4,"Medium","Low"))</f>
        <v>Medium</v>
      </c>
    </row>
    <row r="2345" customFormat="false" ht="15" hidden="false" customHeight="true" outlineLevel="0" collapsed="false">
      <c r="A2345" s="7" t="n">
        <f aca="false">'Raw Data'!A2345</f>
        <v>643</v>
      </c>
      <c r="B2345" s="7" t="n">
        <f aca="false">'Raw Data'!B2345</f>
        <v>55</v>
      </c>
      <c r="C2345" s="7" t="str">
        <f aca="false">'Raw Data'!C2345</f>
        <v>Male</v>
      </c>
      <c r="D2345" s="7" t="str">
        <f aca="false">'Raw Data'!D2345</f>
        <v>Current</v>
      </c>
      <c r="E2345" s="7" t="str">
        <f aca="false">'Raw Data'!J2345</f>
        <v>Normal</v>
      </c>
      <c r="F2345" s="7" t="n">
        <f aca="false">'Raw Data'!K2345</f>
        <v>274.2</v>
      </c>
      <c r="G2345" s="7" t="str">
        <f aca="false">'Raw Data'!L2345</f>
        <v>No</v>
      </c>
      <c r="H2345" s="7" t="str">
        <f aca="false">'Raw Data'!M2345</f>
        <v>Low</v>
      </c>
      <c r="I2345" s="7" t="n">
        <f aca="false">(IF(D2345="Current",3,IF(D2345="Former",1,0)))+(IF(E2345="High",3,IF(E2345="Normal",1,0)))+(IF(F2345&gt;=240,2,IF(F2345&gt;=200,1,0)))+(IF(G2345="Yes",2,0))+(IF(H2345="High",2,IF(H2345="Moderate",1,0)))</f>
        <v>6</v>
      </c>
      <c r="J2345" s="7" t="str">
        <f aca="false">IF(I2345&gt;=8,"High",IF(I2345&gt;=4,"Medium","Low"))</f>
        <v>Medium</v>
      </c>
    </row>
    <row r="2346" customFormat="false" ht="15" hidden="false" customHeight="true" outlineLevel="0" collapsed="false">
      <c r="A2346" s="7" t="n">
        <f aca="false">'Raw Data'!A2346</f>
        <v>646</v>
      </c>
      <c r="B2346" s="7" t="n">
        <f aca="false">'Raw Data'!B2346</f>
        <v>40</v>
      </c>
      <c r="C2346" s="7" t="str">
        <f aca="false">'Raw Data'!C2346</f>
        <v>Male</v>
      </c>
      <c r="D2346" s="7" t="str">
        <f aca="false">'Raw Data'!D2346</f>
        <v>Current</v>
      </c>
      <c r="E2346" s="7" t="str">
        <f aca="false">'Raw Data'!J2346</f>
        <v>Normal</v>
      </c>
      <c r="F2346" s="7" t="n">
        <f aca="false">'Raw Data'!K2346</f>
        <v>123.8</v>
      </c>
      <c r="G2346" s="7" t="str">
        <f aca="false">'Raw Data'!L2346</f>
        <v>No</v>
      </c>
      <c r="H2346" s="7" t="str">
        <f aca="false">'Raw Data'!M2346</f>
        <v>Low</v>
      </c>
      <c r="I2346" s="7" t="n">
        <f aca="false">(IF(D2346="Current",3,IF(D2346="Former",1,0)))+(IF(E2346="High",3,IF(E2346="Normal",1,0)))+(IF(F2346&gt;=240,2,IF(F2346&gt;=200,1,0)))+(IF(G2346="Yes",2,0))+(IF(H2346="High",2,IF(H2346="Moderate",1,0)))</f>
        <v>4</v>
      </c>
      <c r="J2346" s="7" t="str">
        <f aca="false">IF(I2346&gt;=8,"High",IF(I2346&gt;=4,"Medium","Low"))</f>
        <v>Medium</v>
      </c>
    </row>
    <row r="2347" customFormat="false" ht="15" hidden="false" customHeight="true" outlineLevel="0" collapsed="false">
      <c r="A2347" s="7" t="n">
        <f aca="false">'Raw Data'!A2347</f>
        <v>652</v>
      </c>
      <c r="B2347" s="7" t="n">
        <f aca="false">'Raw Data'!B2347</f>
        <v>88</v>
      </c>
      <c r="C2347" s="7" t="str">
        <f aca="false">'Raw Data'!C2347</f>
        <v>Male</v>
      </c>
      <c r="D2347" s="7" t="str">
        <f aca="false">'Raw Data'!D2347</f>
        <v>Current</v>
      </c>
      <c r="E2347" s="7" t="str">
        <f aca="false">'Raw Data'!J2347</f>
        <v>Normal</v>
      </c>
      <c r="F2347" s="7" t="n">
        <f aca="false">'Raw Data'!K2347</f>
        <v>171.6</v>
      </c>
      <c r="G2347" s="7" t="str">
        <f aca="false">'Raw Data'!L2347</f>
        <v>No</v>
      </c>
      <c r="H2347" s="7" t="str">
        <f aca="false">'Raw Data'!M2347</f>
        <v>Low</v>
      </c>
      <c r="I2347" s="7" t="n">
        <f aca="false">(IF(D2347="Current",3,IF(D2347="Former",1,0)))+(IF(E2347="High",3,IF(E2347="Normal",1,0)))+(IF(F2347&gt;=240,2,IF(F2347&gt;=200,1,0)))+(IF(G2347="Yes",2,0))+(IF(H2347="High",2,IF(H2347="Moderate",1,0)))</f>
        <v>4</v>
      </c>
      <c r="J2347" s="7" t="str">
        <f aca="false">IF(I2347&gt;=8,"High",IF(I2347&gt;=4,"Medium","Low"))</f>
        <v>Medium</v>
      </c>
    </row>
    <row r="2348" customFormat="false" ht="15" hidden="false" customHeight="true" outlineLevel="0" collapsed="false">
      <c r="A2348" s="7" t="n">
        <f aca="false">'Raw Data'!A2348</f>
        <v>673</v>
      </c>
      <c r="B2348" s="7" t="n">
        <f aca="false">'Raw Data'!B2348</f>
        <v>39</v>
      </c>
      <c r="C2348" s="7" t="str">
        <f aca="false">'Raw Data'!C2348</f>
        <v>Female</v>
      </c>
      <c r="D2348" s="7" t="str">
        <f aca="false">'Raw Data'!D2348</f>
        <v>Current</v>
      </c>
      <c r="E2348" s="7" t="str">
        <f aca="false">'Raw Data'!J2348</f>
        <v>Normal</v>
      </c>
      <c r="F2348" s="7" t="n">
        <f aca="false">'Raw Data'!K2348</f>
        <v>160.9</v>
      </c>
      <c r="G2348" s="7" t="str">
        <f aca="false">'Raw Data'!L2348</f>
        <v>No</v>
      </c>
      <c r="H2348" s="7" t="str">
        <f aca="false">'Raw Data'!M2348</f>
        <v>Low</v>
      </c>
      <c r="I2348" s="7" t="n">
        <f aca="false">(IF(D2348="Current",3,IF(D2348="Former",1,0)))+(IF(E2348="High",3,IF(E2348="Normal",1,0)))+(IF(F2348&gt;=240,2,IF(F2348&gt;=200,1,0)))+(IF(G2348="Yes",2,0))+(IF(H2348="High",2,IF(H2348="Moderate",1,0)))</f>
        <v>4</v>
      </c>
      <c r="J2348" s="7" t="str">
        <f aca="false">IF(I2348&gt;=8,"High",IF(I2348&gt;=4,"Medium","Low"))</f>
        <v>Medium</v>
      </c>
    </row>
    <row r="2349" customFormat="false" ht="15" hidden="false" customHeight="true" outlineLevel="0" collapsed="false">
      <c r="A2349" s="7" t="n">
        <f aca="false">'Raw Data'!A2349</f>
        <v>699</v>
      </c>
      <c r="B2349" s="7" t="n">
        <f aca="false">'Raw Data'!B2349</f>
        <v>32</v>
      </c>
      <c r="C2349" s="7" t="str">
        <f aca="false">'Raw Data'!C2349</f>
        <v>Female</v>
      </c>
      <c r="D2349" s="7" t="str">
        <f aca="false">'Raw Data'!D2349</f>
        <v>Current</v>
      </c>
      <c r="E2349" s="7" t="str">
        <f aca="false">'Raw Data'!J2349</f>
        <v>Normal</v>
      </c>
      <c r="F2349" s="7" t="n">
        <f aca="false">'Raw Data'!K2349</f>
        <v>238.9</v>
      </c>
      <c r="G2349" s="7" t="str">
        <f aca="false">'Raw Data'!L2349</f>
        <v>No</v>
      </c>
      <c r="H2349" s="7" t="str">
        <f aca="false">'Raw Data'!M2349</f>
        <v>Low</v>
      </c>
      <c r="I2349" s="7" t="n">
        <f aca="false">(IF(D2349="Current",3,IF(D2349="Former",1,0)))+(IF(E2349="High",3,IF(E2349="Normal",1,0)))+(IF(F2349&gt;=240,2,IF(F2349&gt;=200,1,0)))+(IF(G2349="Yes",2,0))+(IF(H2349="High",2,IF(H2349="Moderate",1,0)))</f>
        <v>5</v>
      </c>
      <c r="J2349" s="7" t="str">
        <f aca="false">IF(I2349&gt;=8,"High",IF(I2349&gt;=4,"Medium","Low"))</f>
        <v>Medium</v>
      </c>
    </row>
    <row r="2350" customFormat="false" ht="15" hidden="false" customHeight="true" outlineLevel="0" collapsed="false">
      <c r="A2350" s="7" t="n">
        <f aca="false">'Raw Data'!A2350</f>
        <v>766</v>
      </c>
      <c r="B2350" s="7" t="n">
        <f aca="false">'Raw Data'!B2350</f>
        <v>73</v>
      </c>
      <c r="C2350" s="7" t="str">
        <f aca="false">'Raw Data'!C2350</f>
        <v>Male</v>
      </c>
      <c r="D2350" s="7" t="str">
        <f aca="false">'Raw Data'!D2350</f>
        <v>Current</v>
      </c>
      <c r="E2350" s="7" t="str">
        <f aca="false">'Raw Data'!J2350</f>
        <v>Normal</v>
      </c>
      <c r="F2350" s="7" t="n">
        <f aca="false">'Raw Data'!K2350</f>
        <v>237.1</v>
      </c>
      <c r="G2350" s="7" t="str">
        <f aca="false">'Raw Data'!L2350</f>
        <v>No</v>
      </c>
      <c r="H2350" s="7" t="str">
        <f aca="false">'Raw Data'!M2350</f>
        <v>Low</v>
      </c>
      <c r="I2350" s="7" t="n">
        <f aca="false">(IF(D2350="Current",3,IF(D2350="Former",1,0)))+(IF(E2350="High",3,IF(E2350="Normal",1,0)))+(IF(F2350&gt;=240,2,IF(F2350&gt;=200,1,0)))+(IF(G2350="Yes",2,0))+(IF(H2350="High",2,IF(H2350="Moderate",1,0)))</f>
        <v>5</v>
      </c>
      <c r="J2350" s="7" t="str">
        <f aca="false">IF(I2350&gt;=8,"High",IF(I2350&gt;=4,"Medium","Low"))</f>
        <v>Medium</v>
      </c>
    </row>
    <row r="2351" customFormat="false" ht="15" hidden="false" customHeight="true" outlineLevel="0" collapsed="false">
      <c r="A2351" s="7" t="n">
        <f aca="false">'Raw Data'!A2351</f>
        <v>791</v>
      </c>
      <c r="B2351" s="7" t="n">
        <f aca="false">'Raw Data'!B2351</f>
        <v>57</v>
      </c>
      <c r="C2351" s="7" t="str">
        <f aca="false">'Raw Data'!C2351</f>
        <v>Male</v>
      </c>
      <c r="D2351" s="7" t="str">
        <f aca="false">'Raw Data'!D2351</f>
        <v>Current</v>
      </c>
      <c r="E2351" s="7" t="str">
        <f aca="false">'Raw Data'!J2351</f>
        <v>Normal</v>
      </c>
      <c r="F2351" s="7" t="n">
        <f aca="false">'Raw Data'!K2351</f>
        <v>189.7</v>
      </c>
      <c r="G2351" s="7" t="str">
        <f aca="false">'Raw Data'!L2351</f>
        <v>No</v>
      </c>
      <c r="H2351" s="7" t="str">
        <f aca="false">'Raw Data'!M2351</f>
        <v>Low</v>
      </c>
      <c r="I2351" s="7" t="n">
        <f aca="false">(IF(D2351="Current",3,IF(D2351="Former",1,0)))+(IF(E2351="High",3,IF(E2351="Normal",1,0)))+(IF(F2351&gt;=240,2,IF(F2351&gt;=200,1,0)))+(IF(G2351="Yes",2,0))+(IF(H2351="High",2,IF(H2351="Moderate",1,0)))</f>
        <v>4</v>
      </c>
      <c r="J2351" s="7" t="str">
        <f aca="false">IF(I2351&gt;=8,"High",IF(I2351&gt;=4,"Medium","Low"))</f>
        <v>Medium</v>
      </c>
    </row>
    <row r="2352" customFormat="false" ht="15" hidden="false" customHeight="true" outlineLevel="0" collapsed="false">
      <c r="A2352" s="7" t="n">
        <f aca="false">'Raw Data'!A2352</f>
        <v>794</v>
      </c>
      <c r="B2352" s="7" t="n">
        <f aca="false">'Raw Data'!B2352</f>
        <v>72</v>
      </c>
      <c r="C2352" s="7" t="str">
        <f aca="false">'Raw Data'!C2352</f>
        <v>Male</v>
      </c>
      <c r="D2352" s="7" t="str">
        <f aca="false">'Raw Data'!D2352</f>
        <v>Current</v>
      </c>
      <c r="E2352" s="7" t="str">
        <f aca="false">'Raw Data'!J2352</f>
        <v>Normal</v>
      </c>
      <c r="F2352" s="7" t="n">
        <f aca="false">'Raw Data'!K2352</f>
        <v>172.6</v>
      </c>
      <c r="G2352" s="7" t="str">
        <f aca="false">'Raw Data'!L2352</f>
        <v>No</v>
      </c>
      <c r="H2352" s="7" t="str">
        <f aca="false">'Raw Data'!M2352</f>
        <v>Low</v>
      </c>
      <c r="I2352" s="7" t="n">
        <f aca="false">(IF(D2352="Current",3,IF(D2352="Former",1,0)))+(IF(E2352="High",3,IF(E2352="Normal",1,0)))+(IF(F2352&gt;=240,2,IF(F2352&gt;=200,1,0)))+(IF(G2352="Yes",2,0))+(IF(H2352="High",2,IF(H2352="Moderate",1,0)))</f>
        <v>4</v>
      </c>
      <c r="J2352" s="7" t="str">
        <f aca="false">IF(I2352&gt;=8,"High",IF(I2352&gt;=4,"Medium","Low"))</f>
        <v>Medium</v>
      </c>
    </row>
    <row r="2353" customFormat="false" ht="15" hidden="false" customHeight="true" outlineLevel="0" collapsed="false">
      <c r="A2353" s="7" t="n">
        <f aca="false">'Raw Data'!A2353</f>
        <v>795</v>
      </c>
      <c r="B2353" s="7" t="n">
        <f aca="false">'Raw Data'!B2353</f>
        <v>32</v>
      </c>
      <c r="C2353" s="7" t="str">
        <f aca="false">'Raw Data'!C2353</f>
        <v>Male</v>
      </c>
      <c r="D2353" s="7" t="str">
        <f aca="false">'Raw Data'!D2353</f>
        <v>Current</v>
      </c>
      <c r="E2353" s="7" t="str">
        <f aca="false">'Raw Data'!J2353</f>
        <v>Normal</v>
      </c>
      <c r="F2353" s="7" t="n">
        <f aca="false">'Raw Data'!K2353</f>
        <v>205.1</v>
      </c>
      <c r="G2353" s="7" t="str">
        <f aca="false">'Raw Data'!L2353</f>
        <v>No</v>
      </c>
      <c r="H2353" s="7" t="str">
        <f aca="false">'Raw Data'!M2353</f>
        <v>Low</v>
      </c>
      <c r="I2353" s="7" t="n">
        <f aca="false">(IF(D2353="Current",3,IF(D2353="Former",1,0)))+(IF(E2353="High",3,IF(E2353="Normal",1,0)))+(IF(F2353&gt;=240,2,IF(F2353&gt;=200,1,0)))+(IF(G2353="Yes",2,0))+(IF(H2353="High",2,IF(H2353="Moderate",1,0)))</f>
        <v>5</v>
      </c>
      <c r="J2353" s="7" t="str">
        <f aca="false">IF(I2353&gt;=8,"High",IF(I2353&gt;=4,"Medium","Low"))</f>
        <v>Medium</v>
      </c>
    </row>
    <row r="2354" customFormat="false" ht="15" hidden="false" customHeight="true" outlineLevel="0" collapsed="false">
      <c r="A2354" s="7" t="n">
        <f aca="false">'Raw Data'!A2354</f>
        <v>844</v>
      </c>
      <c r="B2354" s="7" t="n">
        <f aca="false">'Raw Data'!B2354</f>
        <v>26</v>
      </c>
      <c r="C2354" s="7" t="str">
        <f aca="false">'Raw Data'!C2354</f>
        <v>Female</v>
      </c>
      <c r="D2354" s="7" t="str">
        <f aca="false">'Raw Data'!D2354</f>
        <v>Current</v>
      </c>
      <c r="E2354" s="7" t="str">
        <f aca="false">'Raw Data'!J2354</f>
        <v>Normal</v>
      </c>
      <c r="F2354" s="7" t="n">
        <f aca="false">'Raw Data'!K2354</f>
        <v>265.3</v>
      </c>
      <c r="G2354" s="7" t="str">
        <f aca="false">'Raw Data'!L2354</f>
        <v>No</v>
      </c>
      <c r="H2354" s="7" t="str">
        <f aca="false">'Raw Data'!M2354</f>
        <v>Low</v>
      </c>
      <c r="I2354" s="7" t="n">
        <f aca="false">(IF(D2354="Current",3,IF(D2354="Former",1,0)))+(IF(E2354="High",3,IF(E2354="Normal",1,0)))+(IF(F2354&gt;=240,2,IF(F2354&gt;=200,1,0)))+(IF(G2354="Yes",2,0))+(IF(H2354="High",2,IF(H2354="Moderate",1,0)))</f>
        <v>6</v>
      </c>
      <c r="J2354" s="7" t="str">
        <f aca="false">IF(I2354&gt;=8,"High",IF(I2354&gt;=4,"Medium","Low"))</f>
        <v>Medium</v>
      </c>
    </row>
    <row r="2355" customFormat="false" ht="15" hidden="false" customHeight="true" outlineLevel="0" collapsed="false">
      <c r="A2355" s="7" t="n">
        <f aca="false">'Raw Data'!A2355</f>
        <v>845</v>
      </c>
      <c r="B2355" s="7" t="n">
        <f aca="false">'Raw Data'!B2355</f>
        <v>46</v>
      </c>
      <c r="C2355" s="7" t="str">
        <f aca="false">'Raw Data'!C2355</f>
        <v>Female</v>
      </c>
      <c r="D2355" s="7" t="str">
        <f aca="false">'Raw Data'!D2355</f>
        <v>Current</v>
      </c>
      <c r="E2355" s="7" t="str">
        <f aca="false">'Raw Data'!J2355</f>
        <v>Normal</v>
      </c>
      <c r="F2355" s="7" t="n">
        <f aca="false">'Raw Data'!K2355</f>
        <v>200.7</v>
      </c>
      <c r="G2355" s="7" t="str">
        <f aca="false">'Raw Data'!L2355</f>
        <v>No</v>
      </c>
      <c r="H2355" s="7" t="str">
        <f aca="false">'Raw Data'!M2355</f>
        <v>Low</v>
      </c>
      <c r="I2355" s="7" t="n">
        <f aca="false">(IF(D2355="Current",3,IF(D2355="Former",1,0)))+(IF(E2355="High",3,IF(E2355="Normal",1,0)))+(IF(F2355&gt;=240,2,IF(F2355&gt;=200,1,0)))+(IF(G2355="Yes",2,0))+(IF(H2355="High",2,IF(H2355="Moderate",1,0)))</f>
        <v>5</v>
      </c>
      <c r="J2355" s="7" t="str">
        <f aca="false">IF(I2355&gt;=8,"High",IF(I2355&gt;=4,"Medium","Low"))</f>
        <v>Medium</v>
      </c>
    </row>
    <row r="2356" customFormat="false" ht="15" hidden="false" customHeight="true" outlineLevel="0" collapsed="false">
      <c r="A2356" s="7" t="n">
        <f aca="false">'Raw Data'!A2356</f>
        <v>859</v>
      </c>
      <c r="B2356" s="7" t="n">
        <f aca="false">'Raw Data'!B2356</f>
        <v>66</v>
      </c>
      <c r="C2356" s="7" t="str">
        <f aca="false">'Raw Data'!C2356</f>
        <v>Male</v>
      </c>
      <c r="D2356" s="7" t="str">
        <f aca="false">'Raw Data'!D2356</f>
        <v>Current</v>
      </c>
      <c r="E2356" s="7" t="str">
        <f aca="false">'Raw Data'!J2356</f>
        <v>Normal</v>
      </c>
      <c r="F2356" s="7" t="n">
        <f aca="false">'Raw Data'!K2356</f>
        <v>259</v>
      </c>
      <c r="G2356" s="7" t="str">
        <f aca="false">'Raw Data'!L2356</f>
        <v>No</v>
      </c>
      <c r="H2356" s="7" t="str">
        <f aca="false">'Raw Data'!M2356</f>
        <v>Low</v>
      </c>
      <c r="I2356" s="7" t="n">
        <f aca="false">(IF(D2356="Current",3,IF(D2356="Former",1,0)))+(IF(E2356="High",3,IF(E2356="Normal",1,0)))+(IF(F2356&gt;=240,2,IF(F2356&gt;=200,1,0)))+(IF(G2356="Yes",2,0))+(IF(H2356="High",2,IF(H2356="Moderate",1,0)))</f>
        <v>6</v>
      </c>
      <c r="J2356" s="7" t="str">
        <f aca="false">IF(I2356&gt;=8,"High",IF(I2356&gt;=4,"Medium","Low"))</f>
        <v>Medium</v>
      </c>
    </row>
    <row r="2357" customFormat="false" ht="15" hidden="false" customHeight="true" outlineLevel="0" collapsed="false">
      <c r="A2357" s="7" t="n">
        <f aca="false">'Raw Data'!A2357</f>
        <v>863</v>
      </c>
      <c r="B2357" s="7" t="n">
        <f aca="false">'Raw Data'!B2357</f>
        <v>82</v>
      </c>
      <c r="C2357" s="7" t="str">
        <f aca="false">'Raw Data'!C2357</f>
        <v>Male</v>
      </c>
      <c r="D2357" s="7" t="str">
        <f aca="false">'Raw Data'!D2357</f>
        <v>Current</v>
      </c>
      <c r="E2357" s="7" t="str">
        <f aca="false">'Raw Data'!J2357</f>
        <v>Normal</v>
      </c>
      <c r="F2357" s="7" t="n">
        <f aca="false">'Raw Data'!K2357</f>
        <v>248.5</v>
      </c>
      <c r="G2357" s="7" t="str">
        <f aca="false">'Raw Data'!L2357</f>
        <v>No</v>
      </c>
      <c r="H2357" s="7" t="str">
        <f aca="false">'Raw Data'!M2357</f>
        <v>Low</v>
      </c>
      <c r="I2357" s="7" t="n">
        <f aca="false">(IF(D2357="Current",3,IF(D2357="Former",1,0)))+(IF(E2357="High",3,IF(E2357="Normal",1,0)))+(IF(F2357&gt;=240,2,IF(F2357&gt;=200,1,0)))+(IF(G2357="Yes",2,0))+(IF(H2357="High",2,IF(H2357="Moderate",1,0)))</f>
        <v>6</v>
      </c>
      <c r="J2357" s="7" t="str">
        <f aca="false">IF(I2357&gt;=8,"High",IF(I2357&gt;=4,"Medium","Low"))</f>
        <v>Medium</v>
      </c>
    </row>
    <row r="2358" customFormat="false" ht="15" hidden="false" customHeight="true" outlineLevel="0" collapsed="false">
      <c r="A2358" s="7" t="n">
        <f aca="false">'Raw Data'!A2358</f>
        <v>880</v>
      </c>
      <c r="B2358" s="7" t="n">
        <f aca="false">'Raw Data'!B2358</f>
        <v>43</v>
      </c>
      <c r="C2358" s="7" t="str">
        <f aca="false">'Raw Data'!C2358</f>
        <v>Male</v>
      </c>
      <c r="D2358" s="7" t="str">
        <f aca="false">'Raw Data'!D2358</f>
        <v>Current</v>
      </c>
      <c r="E2358" s="7" t="str">
        <f aca="false">'Raw Data'!J2358</f>
        <v>Normal</v>
      </c>
      <c r="F2358" s="7" t="n">
        <f aca="false">'Raw Data'!K2358</f>
        <v>150.6</v>
      </c>
      <c r="G2358" s="7" t="str">
        <f aca="false">'Raw Data'!L2358</f>
        <v>Yes</v>
      </c>
      <c r="H2358" s="7" t="str">
        <f aca="false">'Raw Data'!M2358</f>
        <v>Low</v>
      </c>
      <c r="I2358" s="7" t="n">
        <f aca="false">(IF(D2358="Current",3,IF(D2358="Former",1,0)))+(IF(E2358="High",3,IF(E2358="Normal",1,0)))+(IF(F2358&gt;=240,2,IF(F2358&gt;=200,1,0)))+(IF(G2358="Yes",2,0))+(IF(H2358="High",2,IF(H2358="Moderate",1,0)))</f>
        <v>6</v>
      </c>
      <c r="J2358" s="7" t="str">
        <f aca="false">IF(I2358&gt;=8,"High",IF(I2358&gt;=4,"Medium","Low"))</f>
        <v>Medium</v>
      </c>
    </row>
    <row r="2359" customFormat="false" ht="15" hidden="false" customHeight="true" outlineLevel="0" collapsed="false">
      <c r="A2359" s="7" t="n">
        <f aca="false">'Raw Data'!A2359</f>
        <v>897</v>
      </c>
      <c r="B2359" s="7" t="n">
        <f aca="false">'Raw Data'!B2359</f>
        <v>67</v>
      </c>
      <c r="C2359" s="7" t="str">
        <f aca="false">'Raw Data'!C2359</f>
        <v>Female</v>
      </c>
      <c r="D2359" s="7" t="str">
        <f aca="false">'Raw Data'!D2359</f>
        <v>Current</v>
      </c>
      <c r="E2359" s="7" t="str">
        <f aca="false">'Raw Data'!J2359</f>
        <v>Normal</v>
      </c>
      <c r="F2359" s="7" t="n">
        <f aca="false">'Raw Data'!K2359</f>
        <v>176.4</v>
      </c>
      <c r="G2359" s="7" t="str">
        <f aca="false">'Raw Data'!L2359</f>
        <v>No</v>
      </c>
      <c r="H2359" s="7" t="str">
        <f aca="false">'Raw Data'!M2359</f>
        <v>Low</v>
      </c>
      <c r="I2359" s="7" t="n">
        <f aca="false">(IF(D2359="Current",3,IF(D2359="Former",1,0)))+(IF(E2359="High",3,IF(E2359="Normal",1,0)))+(IF(F2359&gt;=240,2,IF(F2359&gt;=200,1,0)))+(IF(G2359="Yes",2,0))+(IF(H2359="High",2,IF(H2359="Moderate",1,0)))</f>
        <v>4</v>
      </c>
      <c r="J2359" s="7" t="str">
        <f aca="false">IF(I2359&gt;=8,"High",IF(I2359&gt;=4,"Medium","Low"))</f>
        <v>Medium</v>
      </c>
    </row>
    <row r="2360" customFormat="false" ht="15" hidden="false" customHeight="true" outlineLevel="0" collapsed="false">
      <c r="A2360" s="7" t="n">
        <f aca="false">'Raw Data'!A2360</f>
        <v>904</v>
      </c>
      <c r="B2360" s="7" t="n">
        <f aca="false">'Raw Data'!B2360</f>
        <v>78</v>
      </c>
      <c r="C2360" s="7" t="str">
        <f aca="false">'Raw Data'!C2360</f>
        <v>Male</v>
      </c>
      <c r="D2360" s="7" t="str">
        <f aca="false">'Raw Data'!D2360</f>
        <v>Current</v>
      </c>
      <c r="E2360" s="7" t="str">
        <f aca="false">'Raw Data'!J2360</f>
        <v>Normal</v>
      </c>
      <c r="F2360" s="7" t="n">
        <f aca="false">'Raw Data'!K2360</f>
        <v>192.4</v>
      </c>
      <c r="G2360" s="7" t="str">
        <f aca="false">'Raw Data'!L2360</f>
        <v>Yes</v>
      </c>
      <c r="H2360" s="7" t="str">
        <f aca="false">'Raw Data'!M2360</f>
        <v>Low</v>
      </c>
      <c r="I2360" s="7" t="n">
        <f aca="false">(IF(D2360="Current",3,IF(D2360="Former",1,0)))+(IF(E2360="High",3,IF(E2360="Normal",1,0)))+(IF(F2360&gt;=240,2,IF(F2360&gt;=200,1,0)))+(IF(G2360="Yes",2,0))+(IF(H2360="High",2,IF(H2360="Moderate",1,0)))</f>
        <v>6</v>
      </c>
      <c r="J2360" s="7" t="str">
        <f aca="false">IF(I2360&gt;=8,"High",IF(I2360&gt;=4,"Medium","Low"))</f>
        <v>Medium</v>
      </c>
    </row>
    <row r="2361" customFormat="false" ht="15" hidden="false" customHeight="true" outlineLevel="0" collapsed="false">
      <c r="A2361" s="7" t="n">
        <f aca="false">'Raw Data'!A2361</f>
        <v>909</v>
      </c>
      <c r="B2361" s="7" t="n">
        <f aca="false">'Raw Data'!B2361</f>
        <v>27</v>
      </c>
      <c r="C2361" s="7" t="str">
        <f aca="false">'Raw Data'!C2361</f>
        <v>Female</v>
      </c>
      <c r="D2361" s="7" t="str">
        <f aca="false">'Raw Data'!D2361</f>
        <v>Current</v>
      </c>
      <c r="E2361" s="7" t="str">
        <f aca="false">'Raw Data'!J2361</f>
        <v>Normal</v>
      </c>
      <c r="F2361" s="7" t="n">
        <f aca="false">'Raw Data'!K2361</f>
        <v>291.1</v>
      </c>
      <c r="G2361" s="7" t="str">
        <f aca="false">'Raw Data'!L2361</f>
        <v>No</v>
      </c>
      <c r="H2361" s="7" t="str">
        <f aca="false">'Raw Data'!M2361</f>
        <v>Low</v>
      </c>
      <c r="I2361" s="7" t="n">
        <f aca="false">(IF(D2361="Current",3,IF(D2361="Former",1,0)))+(IF(E2361="High",3,IF(E2361="Normal",1,0)))+(IF(F2361&gt;=240,2,IF(F2361&gt;=200,1,0)))+(IF(G2361="Yes",2,0))+(IF(H2361="High",2,IF(H2361="Moderate",1,0)))</f>
        <v>6</v>
      </c>
      <c r="J2361" s="7" t="str">
        <f aca="false">IF(I2361&gt;=8,"High",IF(I2361&gt;=4,"Medium","Low"))</f>
        <v>Medium</v>
      </c>
    </row>
    <row r="2362" customFormat="false" ht="15" hidden="false" customHeight="true" outlineLevel="0" collapsed="false">
      <c r="A2362" s="7" t="n">
        <f aca="false">'Raw Data'!A2362</f>
        <v>925</v>
      </c>
      <c r="B2362" s="7" t="n">
        <f aca="false">'Raw Data'!B2362</f>
        <v>86</v>
      </c>
      <c r="C2362" s="7" t="str">
        <f aca="false">'Raw Data'!C2362</f>
        <v>Female</v>
      </c>
      <c r="D2362" s="7" t="str">
        <f aca="false">'Raw Data'!D2362</f>
        <v>Current</v>
      </c>
      <c r="E2362" s="7" t="str">
        <f aca="false">'Raw Data'!J2362</f>
        <v>Normal</v>
      </c>
      <c r="F2362" s="7" t="n">
        <f aca="false">'Raw Data'!K2362</f>
        <v>227.4</v>
      </c>
      <c r="G2362" s="7" t="str">
        <f aca="false">'Raw Data'!L2362</f>
        <v>No</v>
      </c>
      <c r="H2362" s="7" t="str">
        <f aca="false">'Raw Data'!M2362</f>
        <v>Low</v>
      </c>
      <c r="I2362" s="7" t="n">
        <f aca="false">(IF(D2362="Current",3,IF(D2362="Former",1,0)))+(IF(E2362="High",3,IF(E2362="Normal",1,0)))+(IF(F2362&gt;=240,2,IF(F2362&gt;=200,1,0)))+(IF(G2362="Yes",2,0))+(IF(H2362="High",2,IF(H2362="Moderate",1,0)))</f>
        <v>5</v>
      </c>
      <c r="J2362" s="7" t="str">
        <f aca="false">IF(I2362&gt;=8,"High",IF(I2362&gt;=4,"Medium","Low"))</f>
        <v>Medium</v>
      </c>
    </row>
    <row r="2363" customFormat="false" ht="15" hidden="false" customHeight="true" outlineLevel="0" collapsed="false">
      <c r="A2363" s="7" t="n">
        <f aca="false">'Raw Data'!A2363</f>
        <v>939</v>
      </c>
      <c r="B2363" s="7" t="n">
        <f aca="false">'Raw Data'!B2363</f>
        <v>60</v>
      </c>
      <c r="C2363" s="7" t="str">
        <f aca="false">'Raw Data'!C2363</f>
        <v>Male</v>
      </c>
      <c r="D2363" s="7" t="str">
        <f aca="false">'Raw Data'!D2363</f>
        <v>Current</v>
      </c>
      <c r="E2363" s="7" t="str">
        <f aca="false">'Raw Data'!J2363</f>
        <v>Normal</v>
      </c>
      <c r="F2363" s="7" t="n">
        <f aca="false">'Raw Data'!K2363</f>
        <v>193.2</v>
      </c>
      <c r="G2363" s="7" t="str">
        <f aca="false">'Raw Data'!L2363</f>
        <v>No</v>
      </c>
      <c r="H2363" s="7" t="str">
        <f aca="false">'Raw Data'!M2363</f>
        <v>Low</v>
      </c>
      <c r="I2363" s="7" t="n">
        <f aca="false">(IF(D2363="Current",3,IF(D2363="Former",1,0)))+(IF(E2363="High",3,IF(E2363="Normal",1,0)))+(IF(F2363&gt;=240,2,IF(F2363&gt;=200,1,0)))+(IF(G2363="Yes",2,0))+(IF(H2363="High",2,IF(H2363="Moderate",1,0)))</f>
        <v>4</v>
      </c>
      <c r="J2363" s="7" t="str">
        <f aca="false">IF(I2363&gt;=8,"High",IF(I2363&gt;=4,"Medium","Low"))</f>
        <v>Medium</v>
      </c>
    </row>
    <row r="2364" customFormat="false" ht="15" hidden="false" customHeight="true" outlineLevel="0" collapsed="false">
      <c r="A2364" s="7" t="n">
        <f aca="false">'Raw Data'!A2364</f>
        <v>941</v>
      </c>
      <c r="B2364" s="7" t="n">
        <f aca="false">'Raw Data'!B2364</f>
        <v>67</v>
      </c>
      <c r="C2364" s="7" t="str">
        <f aca="false">'Raw Data'!C2364</f>
        <v>Male</v>
      </c>
      <c r="D2364" s="7" t="str">
        <f aca="false">'Raw Data'!D2364</f>
        <v>Current</v>
      </c>
      <c r="E2364" s="7" t="str">
        <f aca="false">'Raw Data'!J2364</f>
        <v>Normal</v>
      </c>
      <c r="F2364" s="7" t="n">
        <f aca="false">'Raw Data'!K2364</f>
        <v>260.5</v>
      </c>
      <c r="G2364" s="7" t="str">
        <f aca="false">'Raw Data'!L2364</f>
        <v>Yes</v>
      </c>
      <c r="H2364" s="7" t="str">
        <f aca="false">'Raw Data'!M2364</f>
        <v>Low</v>
      </c>
      <c r="I2364" s="7" t="n">
        <f aca="false">(IF(D2364="Current",3,IF(D2364="Former",1,0)))+(IF(E2364="High",3,IF(E2364="Normal",1,0)))+(IF(F2364&gt;=240,2,IF(F2364&gt;=200,1,0)))+(IF(G2364="Yes",2,0))+(IF(H2364="High",2,IF(H2364="Moderate",1,0)))</f>
        <v>8</v>
      </c>
      <c r="J2364" s="7" t="str">
        <f aca="false">IF(I2364&gt;=8,"High",IF(I2364&gt;=4,"Medium","Low"))</f>
        <v>High</v>
      </c>
    </row>
    <row r="2365" customFormat="false" ht="15" hidden="false" customHeight="true" outlineLevel="0" collapsed="false">
      <c r="A2365" s="7" t="n">
        <f aca="false">'Raw Data'!A2365</f>
        <v>964</v>
      </c>
      <c r="B2365" s="7" t="n">
        <f aca="false">'Raw Data'!B2365</f>
        <v>57</v>
      </c>
      <c r="C2365" s="7" t="str">
        <f aca="false">'Raw Data'!C2365</f>
        <v>Female</v>
      </c>
      <c r="D2365" s="7" t="str">
        <f aca="false">'Raw Data'!D2365</f>
        <v>Current</v>
      </c>
      <c r="E2365" s="7" t="str">
        <f aca="false">'Raw Data'!J2365</f>
        <v>Normal</v>
      </c>
      <c r="F2365" s="7" t="n">
        <f aca="false">'Raw Data'!K2365</f>
        <v>209.6</v>
      </c>
      <c r="G2365" s="7" t="str">
        <f aca="false">'Raw Data'!L2365</f>
        <v>No</v>
      </c>
      <c r="H2365" s="7" t="str">
        <f aca="false">'Raw Data'!M2365</f>
        <v>Low</v>
      </c>
      <c r="I2365" s="7" t="n">
        <f aca="false">(IF(D2365="Current",3,IF(D2365="Former",1,0)))+(IF(E2365="High",3,IF(E2365="Normal",1,0)))+(IF(F2365&gt;=240,2,IF(F2365&gt;=200,1,0)))+(IF(G2365="Yes",2,0))+(IF(H2365="High",2,IF(H2365="Moderate",1,0)))</f>
        <v>5</v>
      </c>
      <c r="J2365" s="7" t="str">
        <f aca="false">IF(I2365&gt;=8,"High",IF(I2365&gt;=4,"Medium","Low"))</f>
        <v>Medium</v>
      </c>
    </row>
    <row r="2366" customFormat="false" ht="15" hidden="false" customHeight="true" outlineLevel="0" collapsed="false">
      <c r="A2366" s="7" t="n">
        <f aca="false">'Raw Data'!A2366</f>
        <v>989</v>
      </c>
      <c r="B2366" s="7" t="n">
        <f aca="false">'Raw Data'!B2366</f>
        <v>68</v>
      </c>
      <c r="C2366" s="7" t="str">
        <f aca="false">'Raw Data'!C2366</f>
        <v>Male</v>
      </c>
      <c r="D2366" s="7" t="str">
        <f aca="false">'Raw Data'!D2366</f>
        <v>Current</v>
      </c>
      <c r="E2366" s="7" t="str">
        <f aca="false">'Raw Data'!J2366</f>
        <v>Normal</v>
      </c>
      <c r="F2366" s="7" t="n">
        <f aca="false">'Raw Data'!K2366</f>
        <v>262.2</v>
      </c>
      <c r="G2366" s="7" t="str">
        <f aca="false">'Raw Data'!L2366</f>
        <v>No</v>
      </c>
      <c r="H2366" s="7" t="str">
        <f aca="false">'Raw Data'!M2366</f>
        <v>Low</v>
      </c>
      <c r="I2366" s="7" t="n">
        <f aca="false">(IF(D2366="Current",3,IF(D2366="Former",1,0)))+(IF(E2366="High",3,IF(E2366="Normal",1,0)))+(IF(F2366&gt;=240,2,IF(F2366&gt;=200,1,0)))+(IF(G2366="Yes",2,0))+(IF(H2366="High",2,IF(H2366="Moderate",1,0)))</f>
        <v>6</v>
      </c>
      <c r="J2366" s="7" t="str">
        <f aca="false">IF(I2366&gt;=8,"High",IF(I2366&gt;=4,"Medium","Low"))</f>
        <v>Medium</v>
      </c>
    </row>
    <row r="2367" customFormat="false" ht="15" hidden="false" customHeight="true" outlineLevel="0" collapsed="false">
      <c r="A2367" s="7" t="n">
        <f aca="false">'Raw Data'!A2367</f>
        <v>1014</v>
      </c>
      <c r="B2367" s="7" t="n">
        <f aca="false">'Raw Data'!B2367</f>
        <v>69</v>
      </c>
      <c r="C2367" s="7" t="str">
        <f aca="false">'Raw Data'!C2367</f>
        <v>Male</v>
      </c>
      <c r="D2367" s="7" t="str">
        <f aca="false">'Raw Data'!D2367</f>
        <v>Current</v>
      </c>
      <c r="E2367" s="7" t="str">
        <f aca="false">'Raw Data'!J2367</f>
        <v>Normal</v>
      </c>
      <c r="F2367" s="7" t="n">
        <f aca="false">'Raw Data'!K2367</f>
        <v>220.1</v>
      </c>
      <c r="G2367" s="7" t="str">
        <f aca="false">'Raw Data'!L2367</f>
        <v>Yes</v>
      </c>
      <c r="H2367" s="7" t="str">
        <f aca="false">'Raw Data'!M2367</f>
        <v>Low</v>
      </c>
      <c r="I2367" s="7" t="n">
        <f aca="false">(IF(D2367="Current",3,IF(D2367="Former",1,0)))+(IF(E2367="High",3,IF(E2367="Normal",1,0)))+(IF(F2367&gt;=240,2,IF(F2367&gt;=200,1,0)))+(IF(G2367="Yes",2,0))+(IF(H2367="High",2,IF(H2367="Moderate",1,0)))</f>
        <v>7</v>
      </c>
      <c r="J2367" s="7" t="str">
        <f aca="false">IF(I2367&gt;=8,"High",IF(I2367&gt;=4,"Medium","Low"))</f>
        <v>Medium</v>
      </c>
    </row>
    <row r="2368" customFormat="false" ht="15" hidden="false" customHeight="true" outlineLevel="0" collapsed="false">
      <c r="A2368" s="7" t="n">
        <f aca="false">'Raw Data'!A2368</f>
        <v>1020</v>
      </c>
      <c r="B2368" s="7" t="n">
        <f aca="false">'Raw Data'!B2368</f>
        <v>83</v>
      </c>
      <c r="C2368" s="7" t="str">
        <f aca="false">'Raw Data'!C2368</f>
        <v>Female</v>
      </c>
      <c r="D2368" s="7" t="str">
        <f aca="false">'Raw Data'!D2368</f>
        <v>Current</v>
      </c>
      <c r="E2368" s="7" t="str">
        <f aca="false">'Raw Data'!J2368</f>
        <v>Normal</v>
      </c>
      <c r="F2368" s="7" t="n">
        <f aca="false">'Raw Data'!K2368</f>
        <v>163.6</v>
      </c>
      <c r="G2368" s="7" t="str">
        <f aca="false">'Raw Data'!L2368</f>
        <v>Yes</v>
      </c>
      <c r="H2368" s="7" t="str">
        <f aca="false">'Raw Data'!M2368</f>
        <v>Low</v>
      </c>
      <c r="I2368" s="7" t="n">
        <f aca="false">(IF(D2368="Current",3,IF(D2368="Former",1,0)))+(IF(E2368="High",3,IF(E2368="Normal",1,0)))+(IF(F2368&gt;=240,2,IF(F2368&gt;=200,1,0)))+(IF(G2368="Yes",2,0))+(IF(H2368="High",2,IF(H2368="Moderate",1,0)))</f>
        <v>6</v>
      </c>
      <c r="J2368" s="7" t="str">
        <f aca="false">IF(I2368&gt;=8,"High",IF(I2368&gt;=4,"Medium","Low"))</f>
        <v>Medium</v>
      </c>
    </row>
    <row r="2369" customFormat="false" ht="15" hidden="false" customHeight="true" outlineLevel="0" collapsed="false">
      <c r="A2369" s="7" t="n">
        <f aca="false">'Raw Data'!A2369</f>
        <v>1021</v>
      </c>
      <c r="B2369" s="7" t="n">
        <f aca="false">'Raw Data'!B2369</f>
        <v>55</v>
      </c>
      <c r="C2369" s="7" t="str">
        <f aca="false">'Raw Data'!C2369</f>
        <v>Female</v>
      </c>
      <c r="D2369" s="7" t="str">
        <f aca="false">'Raw Data'!D2369</f>
        <v>Current</v>
      </c>
      <c r="E2369" s="7" t="str">
        <f aca="false">'Raw Data'!J2369</f>
        <v>Normal</v>
      </c>
      <c r="F2369" s="7" t="n">
        <f aca="false">'Raw Data'!K2369</f>
        <v>187.7</v>
      </c>
      <c r="G2369" s="7" t="str">
        <f aca="false">'Raw Data'!L2369</f>
        <v>No</v>
      </c>
      <c r="H2369" s="7" t="str">
        <f aca="false">'Raw Data'!M2369</f>
        <v>Low</v>
      </c>
      <c r="I2369" s="7" t="n">
        <f aca="false">(IF(D2369="Current",3,IF(D2369="Former",1,0)))+(IF(E2369="High",3,IF(E2369="Normal",1,0)))+(IF(F2369&gt;=240,2,IF(F2369&gt;=200,1,0)))+(IF(G2369="Yes",2,0))+(IF(H2369="High",2,IF(H2369="Moderate",1,0)))</f>
        <v>4</v>
      </c>
      <c r="J2369" s="7" t="str">
        <f aca="false">IF(I2369&gt;=8,"High",IF(I2369&gt;=4,"Medium","Low"))</f>
        <v>Medium</v>
      </c>
    </row>
    <row r="2370" customFormat="false" ht="15" hidden="false" customHeight="true" outlineLevel="0" collapsed="false">
      <c r="A2370" s="7" t="n">
        <f aca="false">'Raw Data'!A2370</f>
        <v>1031</v>
      </c>
      <c r="B2370" s="7" t="n">
        <f aca="false">'Raw Data'!B2370</f>
        <v>43</v>
      </c>
      <c r="C2370" s="7" t="str">
        <f aca="false">'Raw Data'!C2370</f>
        <v>Female</v>
      </c>
      <c r="D2370" s="7" t="str">
        <f aca="false">'Raw Data'!D2370</f>
        <v>Current</v>
      </c>
      <c r="E2370" s="7" t="str">
        <f aca="false">'Raw Data'!J2370</f>
        <v>Normal</v>
      </c>
      <c r="F2370" s="7" t="n">
        <f aca="false">'Raw Data'!K2370</f>
        <v>137.8</v>
      </c>
      <c r="G2370" s="7" t="str">
        <f aca="false">'Raw Data'!L2370</f>
        <v>No</v>
      </c>
      <c r="H2370" s="7" t="str">
        <f aca="false">'Raw Data'!M2370</f>
        <v>Low</v>
      </c>
      <c r="I2370" s="7" t="n">
        <f aca="false">(IF(D2370="Current",3,IF(D2370="Former",1,0)))+(IF(E2370="High",3,IF(E2370="Normal",1,0)))+(IF(F2370&gt;=240,2,IF(F2370&gt;=200,1,0)))+(IF(G2370="Yes",2,0))+(IF(H2370="High",2,IF(H2370="Moderate",1,0)))</f>
        <v>4</v>
      </c>
      <c r="J2370" s="7" t="str">
        <f aca="false">IF(I2370&gt;=8,"High",IF(I2370&gt;=4,"Medium","Low"))</f>
        <v>Medium</v>
      </c>
    </row>
    <row r="2371" customFormat="false" ht="15" hidden="false" customHeight="true" outlineLevel="0" collapsed="false">
      <c r="A2371" s="7" t="n">
        <f aca="false">'Raw Data'!A2371</f>
        <v>1034</v>
      </c>
      <c r="B2371" s="7" t="n">
        <f aca="false">'Raw Data'!B2371</f>
        <v>89</v>
      </c>
      <c r="C2371" s="7" t="str">
        <f aca="false">'Raw Data'!C2371</f>
        <v>Female</v>
      </c>
      <c r="D2371" s="7" t="str">
        <f aca="false">'Raw Data'!D2371</f>
        <v>Current</v>
      </c>
      <c r="E2371" s="7" t="str">
        <f aca="false">'Raw Data'!J2371</f>
        <v>Normal</v>
      </c>
      <c r="F2371" s="7" t="n">
        <f aca="false">'Raw Data'!K2371</f>
        <v>165.6</v>
      </c>
      <c r="G2371" s="7" t="str">
        <f aca="false">'Raw Data'!L2371</f>
        <v>No</v>
      </c>
      <c r="H2371" s="7" t="str">
        <f aca="false">'Raw Data'!M2371</f>
        <v>Low</v>
      </c>
      <c r="I2371" s="7" t="n">
        <f aca="false">(IF(D2371="Current",3,IF(D2371="Former",1,0)))+(IF(E2371="High",3,IF(E2371="Normal",1,0)))+(IF(F2371&gt;=240,2,IF(F2371&gt;=200,1,0)))+(IF(G2371="Yes",2,0))+(IF(H2371="High",2,IF(H2371="Moderate",1,0)))</f>
        <v>4</v>
      </c>
      <c r="J2371" s="7" t="str">
        <f aca="false">IF(I2371&gt;=8,"High",IF(I2371&gt;=4,"Medium","Low"))</f>
        <v>Medium</v>
      </c>
    </row>
    <row r="2372" customFormat="false" ht="15" hidden="false" customHeight="true" outlineLevel="0" collapsed="false">
      <c r="A2372" s="7" t="n">
        <f aca="false">'Raw Data'!A2372</f>
        <v>1037</v>
      </c>
      <c r="B2372" s="7" t="n">
        <f aca="false">'Raw Data'!B2372</f>
        <v>89</v>
      </c>
      <c r="C2372" s="7" t="str">
        <f aca="false">'Raw Data'!C2372</f>
        <v>Female</v>
      </c>
      <c r="D2372" s="7" t="str">
        <f aca="false">'Raw Data'!D2372</f>
        <v>Current</v>
      </c>
      <c r="E2372" s="7" t="str">
        <f aca="false">'Raw Data'!J2372</f>
        <v>Normal</v>
      </c>
      <c r="F2372" s="7" t="n">
        <f aca="false">'Raw Data'!K2372</f>
        <v>257.7</v>
      </c>
      <c r="G2372" s="7" t="str">
        <f aca="false">'Raw Data'!L2372</f>
        <v>No</v>
      </c>
      <c r="H2372" s="7" t="str">
        <f aca="false">'Raw Data'!M2372</f>
        <v>Low</v>
      </c>
      <c r="I2372" s="7" t="n">
        <f aca="false">(IF(D2372="Current",3,IF(D2372="Former",1,0)))+(IF(E2372="High",3,IF(E2372="Normal",1,0)))+(IF(F2372&gt;=240,2,IF(F2372&gt;=200,1,0)))+(IF(G2372="Yes",2,0))+(IF(H2372="High",2,IF(H2372="Moderate",1,0)))</f>
        <v>6</v>
      </c>
      <c r="J2372" s="7" t="str">
        <f aca="false">IF(I2372&gt;=8,"High",IF(I2372&gt;=4,"Medium","Low"))</f>
        <v>Medium</v>
      </c>
    </row>
    <row r="2373" customFormat="false" ht="15" hidden="false" customHeight="true" outlineLevel="0" collapsed="false">
      <c r="A2373" s="7" t="n">
        <f aca="false">'Raw Data'!A2373</f>
        <v>1040</v>
      </c>
      <c r="B2373" s="7" t="n">
        <f aca="false">'Raw Data'!B2373</f>
        <v>60</v>
      </c>
      <c r="C2373" s="7" t="str">
        <f aca="false">'Raw Data'!C2373</f>
        <v>Male</v>
      </c>
      <c r="D2373" s="7" t="str">
        <f aca="false">'Raw Data'!D2373</f>
        <v>Current</v>
      </c>
      <c r="E2373" s="7" t="str">
        <f aca="false">'Raw Data'!J2373</f>
        <v>Normal</v>
      </c>
      <c r="F2373" s="7" t="n">
        <f aca="false">'Raw Data'!K2373</f>
        <v>222.4</v>
      </c>
      <c r="G2373" s="7" t="str">
        <f aca="false">'Raw Data'!L2373</f>
        <v>Yes</v>
      </c>
      <c r="H2373" s="7" t="str">
        <f aca="false">'Raw Data'!M2373</f>
        <v>Low</v>
      </c>
      <c r="I2373" s="7" t="n">
        <f aca="false">(IF(D2373="Current",3,IF(D2373="Former",1,0)))+(IF(E2373="High",3,IF(E2373="Normal",1,0)))+(IF(F2373&gt;=240,2,IF(F2373&gt;=200,1,0)))+(IF(G2373="Yes",2,0))+(IF(H2373="High",2,IF(H2373="Moderate",1,0)))</f>
        <v>7</v>
      </c>
      <c r="J2373" s="7" t="str">
        <f aca="false">IF(I2373&gt;=8,"High",IF(I2373&gt;=4,"Medium","Low"))</f>
        <v>Medium</v>
      </c>
    </row>
    <row r="2374" customFormat="false" ht="15" hidden="false" customHeight="true" outlineLevel="0" collapsed="false">
      <c r="A2374" s="7" t="n">
        <f aca="false">'Raw Data'!A2374</f>
        <v>1041</v>
      </c>
      <c r="B2374" s="7" t="n">
        <f aca="false">'Raw Data'!B2374</f>
        <v>68</v>
      </c>
      <c r="C2374" s="7" t="str">
        <f aca="false">'Raw Data'!C2374</f>
        <v>Male</v>
      </c>
      <c r="D2374" s="7" t="str">
        <f aca="false">'Raw Data'!D2374</f>
        <v>Current</v>
      </c>
      <c r="E2374" s="7" t="str">
        <f aca="false">'Raw Data'!J2374</f>
        <v>Normal</v>
      </c>
      <c r="F2374" s="7" t="n">
        <f aca="false">'Raw Data'!K2374</f>
        <v>150.9</v>
      </c>
      <c r="G2374" s="7" t="str">
        <f aca="false">'Raw Data'!L2374</f>
        <v>Yes</v>
      </c>
      <c r="H2374" s="7" t="str">
        <f aca="false">'Raw Data'!M2374</f>
        <v>Low</v>
      </c>
      <c r="I2374" s="7" t="n">
        <f aca="false">(IF(D2374="Current",3,IF(D2374="Former",1,0)))+(IF(E2374="High",3,IF(E2374="Normal",1,0)))+(IF(F2374&gt;=240,2,IF(F2374&gt;=200,1,0)))+(IF(G2374="Yes",2,0))+(IF(H2374="High",2,IF(H2374="Moderate",1,0)))</f>
        <v>6</v>
      </c>
      <c r="J2374" s="7" t="str">
        <f aca="false">IF(I2374&gt;=8,"High",IF(I2374&gt;=4,"Medium","Low"))</f>
        <v>Medium</v>
      </c>
    </row>
    <row r="2375" customFormat="false" ht="15" hidden="false" customHeight="true" outlineLevel="0" collapsed="false">
      <c r="A2375" s="7" t="n">
        <f aca="false">'Raw Data'!A2375</f>
        <v>1046</v>
      </c>
      <c r="B2375" s="7" t="n">
        <f aca="false">'Raw Data'!B2375</f>
        <v>44</v>
      </c>
      <c r="C2375" s="7" t="str">
        <f aca="false">'Raw Data'!C2375</f>
        <v>Male</v>
      </c>
      <c r="D2375" s="7" t="str">
        <f aca="false">'Raw Data'!D2375</f>
        <v>Current</v>
      </c>
      <c r="E2375" s="7" t="str">
        <f aca="false">'Raw Data'!J2375</f>
        <v>Normal</v>
      </c>
      <c r="F2375" s="7" t="n">
        <f aca="false">'Raw Data'!K2375</f>
        <v>171.1</v>
      </c>
      <c r="G2375" s="7" t="str">
        <f aca="false">'Raw Data'!L2375</f>
        <v>No</v>
      </c>
      <c r="H2375" s="7" t="str">
        <f aca="false">'Raw Data'!M2375</f>
        <v>Low</v>
      </c>
      <c r="I2375" s="7" t="n">
        <f aca="false">(IF(D2375="Current",3,IF(D2375="Former",1,0)))+(IF(E2375="High",3,IF(E2375="Normal",1,0)))+(IF(F2375&gt;=240,2,IF(F2375&gt;=200,1,0)))+(IF(G2375="Yes",2,0))+(IF(H2375="High",2,IF(H2375="Moderate",1,0)))</f>
        <v>4</v>
      </c>
      <c r="J2375" s="7" t="str">
        <f aca="false">IF(I2375&gt;=8,"High",IF(I2375&gt;=4,"Medium","Low"))</f>
        <v>Medium</v>
      </c>
    </row>
    <row r="2376" customFormat="false" ht="15" hidden="false" customHeight="true" outlineLevel="0" collapsed="false">
      <c r="A2376" s="7" t="n">
        <f aca="false">'Raw Data'!A2376</f>
        <v>1053</v>
      </c>
      <c r="B2376" s="7" t="n">
        <f aca="false">'Raw Data'!B2376</f>
        <v>32</v>
      </c>
      <c r="C2376" s="7" t="str">
        <f aca="false">'Raw Data'!C2376</f>
        <v>Female</v>
      </c>
      <c r="D2376" s="7" t="str">
        <f aca="false">'Raw Data'!D2376</f>
        <v>Current</v>
      </c>
      <c r="E2376" s="7" t="str">
        <f aca="false">'Raw Data'!J2376</f>
        <v>Normal</v>
      </c>
      <c r="F2376" s="7" t="n">
        <f aca="false">'Raw Data'!K2376</f>
        <v>257.6</v>
      </c>
      <c r="G2376" s="7" t="str">
        <f aca="false">'Raw Data'!L2376</f>
        <v>No</v>
      </c>
      <c r="H2376" s="7" t="str">
        <f aca="false">'Raw Data'!M2376</f>
        <v>Low</v>
      </c>
      <c r="I2376" s="7" t="n">
        <f aca="false">(IF(D2376="Current",3,IF(D2376="Former",1,0)))+(IF(E2376="High",3,IF(E2376="Normal",1,0)))+(IF(F2376&gt;=240,2,IF(F2376&gt;=200,1,0)))+(IF(G2376="Yes",2,0))+(IF(H2376="High",2,IF(H2376="Moderate",1,0)))</f>
        <v>6</v>
      </c>
      <c r="J2376" s="7" t="str">
        <f aca="false">IF(I2376&gt;=8,"High",IF(I2376&gt;=4,"Medium","Low"))</f>
        <v>Medium</v>
      </c>
    </row>
    <row r="2377" customFormat="false" ht="15" hidden="false" customHeight="true" outlineLevel="0" collapsed="false">
      <c r="A2377" s="7" t="n">
        <f aca="false">'Raw Data'!A2377</f>
        <v>1079</v>
      </c>
      <c r="B2377" s="7" t="n">
        <f aca="false">'Raw Data'!B2377</f>
        <v>76</v>
      </c>
      <c r="C2377" s="7" t="str">
        <f aca="false">'Raw Data'!C2377</f>
        <v>Male</v>
      </c>
      <c r="D2377" s="7" t="str">
        <f aca="false">'Raw Data'!D2377</f>
        <v>Current</v>
      </c>
      <c r="E2377" s="7" t="str">
        <f aca="false">'Raw Data'!J2377</f>
        <v>Normal</v>
      </c>
      <c r="F2377" s="7" t="n">
        <f aca="false">'Raw Data'!K2377</f>
        <v>267.5</v>
      </c>
      <c r="G2377" s="7" t="str">
        <f aca="false">'Raw Data'!L2377</f>
        <v>Yes</v>
      </c>
      <c r="H2377" s="7" t="str">
        <f aca="false">'Raw Data'!M2377</f>
        <v>Low</v>
      </c>
      <c r="I2377" s="7" t="n">
        <f aca="false">(IF(D2377="Current",3,IF(D2377="Former",1,0)))+(IF(E2377="High",3,IF(E2377="Normal",1,0)))+(IF(F2377&gt;=240,2,IF(F2377&gt;=200,1,0)))+(IF(G2377="Yes",2,0))+(IF(H2377="High",2,IF(H2377="Moderate",1,0)))</f>
        <v>8</v>
      </c>
      <c r="J2377" s="7" t="str">
        <f aca="false">IF(I2377&gt;=8,"High",IF(I2377&gt;=4,"Medium","Low"))</f>
        <v>High</v>
      </c>
    </row>
    <row r="2378" customFormat="false" ht="15" hidden="false" customHeight="true" outlineLevel="0" collapsed="false">
      <c r="A2378" s="7" t="n">
        <f aca="false">'Raw Data'!A2378</f>
        <v>1088</v>
      </c>
      <c r="B2378" s="7" t="n">
        <f aca="false">'Raw Data'!B2378</f>
        <v>27</v>
      </c>
      <c r="C2378" s="7" t="str">
        <f aca="false">'Raw Data'!C2378</f>
        <v>Male</v>
      </c>
      <c r="D2378" s="7" t="str">
        <f aca="false">'Raw Data'!D2378</f>
        <v>Current</v>
      </c>
      <c r="E2378" s="7" t="str">
        <f aca="false">'Raw Data'!J2378</f>
        <v>Normal</v>
      </c>
      <c r="F2378" s="7" t="n">
        <f aca="false">'Raw Data'!K2378</f>
        <v>293.2</v>
      </c>
      <c r="G2378" s="7" t="str">
        <f aca="false">'Raw Data'!L2378</f>
        <v>Yes</v>
      </c>
      <c r="H2378" s="7" t="str">
        <f aca="false">'Raw Data'!M2378</f>
        <v>Low</v>
      </c>
      <c r="I2378" s="7" t="n">
        <f aca="false">(IF(D2378="Current",3,IF(D2378="Former",1,0)))+(IF(E2378="High",3,IF(E2378="Normal",1,0)))+(IF(F2378&gt;=240,2,IF(F2378&gt;=200,1,0)))+(IF(G2378="Yes",2,0))+(IF(H2378="High",2,IF(H2378="Moderate",1,0)))</f>
        <v>8</v>
      </c>
      <c r="J2378" s="7" t="str">
        <f aca="false">IF(I2378&gt;=8,"High",IF(I2378&gt;=4,"Medium","Low"))</f>
        <v>High</v>
      </c>
    </row>
    <row r="2379" customFormat="false" ht="15" hidden="false" customHeight="true" outlineLevel="0" collapsed="false">
      <c r="A2379" s="7" t="n">
        <f aca="false">'Raw Data'!A2379</f>
        <v>1126</v>
      </c>
      <c r="B2379" s="7" t="n">
        <f aca="false">'Raw Data'!B2379</f>
        <v>18</v>
      </c>
      <c r="C2379" s="7" t="str">
        <f aca="false">'Raw Data'!C2379</f>
        <v>Male</v>
      </c>
      <c r="D2379" s="7" t="str">
        <f aca="false">'Raw Data'!D2379</f>
        <v>Current</v>
      </c>
      <c r="E2379" s="7" t="str">
        <f aca="false">'Raw Data'!J2379</f>
        <v>Normal</v>
      </c>
      <c r="F2379" s="7" t="n">
        <f aca="false">'Raw Data'!K2379</f>
        <v>174.5</v>
      </c>
      <c r="G2379" s="7" t="str">
        <f aca="false">'Raw Data'!L2379</f>
        <v>No</v>
      </c>
      <c r="H2379" s="7" t="str">
        <f aca="false">'Raw Data'!M2379</f>
        <v>Low</v>
      </c>
      <c r="I2379" s="7" t="n">
        <f aca="false">(IF(D2379="Current",3,IF(D2379="Former",1,0)))+(IF(E2379="High",3,IF(E2379="Normal",1,0)))+(IF(F2379&gt;=240,2,IF(F2379&gt;=200,1,0)))+(IF(G2379="Yes",2,0))+(IF(H2379="High",2,IF(H2379="Moderate",1,0)))</f>
        <v>4</v>
      </c>
      <c r="J2379" s="7" t="str">
        <f aca="false">IF(I2379&gt;=8,"High",IF(I2379&gt;=4,"Medium","Low"))</f>
        <v>Medium</v>
      </c>
    </row>
    <row r="2380" customFormat="false" ht="15" hidden="false" customHeight="true" outlineLevel="0" collapsed="false">
      <c r="A2380" s="7" t="n">
        <f aca="false">'Raw Data'!A2380</f>
        <v>1181</v>
      </c>
      <c r="B2380" s="7" t="n">
        <f aca="false">'Raw Data'!B2380</f>
        <v>83</v>
      </c>
      <c r="C2380" s="7" t="str">
        <f aca="false">'Raw Data'!C2380</f>
        <v>Male</v>
      </c>
      <c r="D2380" s="7" t="str">
        <f aca="false">'Raw Data'!D2380</f>
        <v>Current</v>
      </c>
      <c r="E2380" s="7" t="str">
        <f aca="false">'Raw Data'!J2380</f>
        <v>Normal</v>
      </c>
      <c r="F2380" s="7" t="n">
        <f aca="false">'Raw Data'!K2380</f>
        <v>286</v>
      </c>
      <c r="G2380" s="7" t="str">
        <f aca="false">'Raw Data'!L2380</f>
        <v>No</v>
      </c>
      <c r="H2380" s="7" t="str">
        <f aca="false">'Raw Data'!M2380</f>
        <v>Low</v>
      </c>
      <c r="I2380" s="7" t="n">
        <f aca="false">(IF(D2380="Current",3,IF(D2380="Former",1,0)))+(IF(E2380="High",3,IF(E2380="Normal",1,0)))+(IF(F2380&gt;=240,2,IF(F2380&gt;=200,1,0)))+(IF(G2380="Yes",2,0))+(IF(H2380="High",2,IF(H2380="Moderate",1,0)))</f>
        <v>6</v>
      </c>
      <c r="J2380" s="7" t="str">
        <f aca="false">IF(I2380&gt;=8,"High",IF(I2380&gt;=4,"Medium","Low"))</f>
        <v>Medium</v>
      </c>
    </row>
    <row r="2381" customFormat="false" ht="15" hidden="false" customHeight="true" outlineLevel="0" collapsed="false">
      <c r="A2381" s="7" t="n">
        <f aca="false">'Raw Data'!A2381</f>
        <v>1203</v>
      </c>
      <c r="B2381" s="7" t="n">
        <f aca="false">'Raw Data'!B2381</f>
        <v>65</v>
      </c>
      <c r="C2381" s="7" t="str">
        <f aca="false">'Raw Data'!C2381</f>
        <v>Male</v>
      </c>
      <c r="D2381" s="7" t="str">
        <f aca="false">'Raw Data'!D2381</f>
        <v>Current</v>
      </c>
      <c r="E2381" s="7" t="str">
        <f aca="false">'Raw Data'!J2381</f>
        <v>Normal</v>
      </c>
      <c r="F2381" s="7" t="n">
        <f aca="false">'Raw Data'!K2381</f>
        <v>155.4</v>
      </c>
      <c r="G2381" s="7" t="str">
        <f aca="false">'Raw Data'!L2381</f>
        <v>No</v>
      </c>
      <c r="H2381" s="7" t="str">
        <f aca="false">'Raw Data'!M2381</f>
        <v>Low</v>
      </c>
      <c r="I2381" s="7" t="n">
        <f aca="false">(IF(D2381="Current",3,IF(D2381="Former",1,0)))+(IF(E2381="High",3,IF(E2381="Normal",1,0)))+(IF(F2381&gt;=240,2,IF(F2381&gt;=200,1,0)))+(IF(G2381="Yes",2,0))+(IF(H2381="High",2,IF(H2381="Moderate",1,0)))</f>
        <v>4</v>
      </c>
      <c r="J2381" s="7" t="str">
        <f aca="false">IF(I2381&gt;=8,"High",IF(I2381&gt;=4,"Medium","Low"))</f>
        <v>Medium</v>
      </c>
    </row>
    <row r="2382" customFormat="false" ht="15" hidden="false" customHeight="true" outlineLevel="0" collapsed="false">
      <c r="A2382" s="7" t="n">
        <f aca="false">'Raw Data'!A2382</f>
        <v>1229</v>
      </c>
      <c r="B2382" s="7" t="n">
        <f aca="false">'Raw Data'!B2382</f>
        <v>32</v>
      </c>
      <c r="C2382" s="7" t="str">
        <f aca="false">'Raw Data'!C2382</f>
        <v>Male</v>
      </c>
      <c r="D2382" s="7" t="str">
        <f aca="false">'Raw Data'!D2382</f>
        <v>Current</v>
      </c>
      <c r="E2382" s="7" t="str">
        <f aca="false">'Raw Data'!J2382</f>
        <v>Normal</v>
      </c>
      <c r="F2382" s="7" t="n">
        <f aca="false">'Raw Data'!K2382</f>
        <v>290</v>
      </c>
      <c r="G2382" s="7" t="str">
        <f aca="false">'Raw Data'!L2382</f>
        <v>No</v>
      </c>
      <c r="H2382" s="7" t="str">
        <f aca="false">'Raw Data'!M2382</f>
        <v>Low</v>
      </c>
      <c r="I2382" s="7" t="n">
        <f aca="false">(IF(D2382="Current",3,IF(D2382="Former",1,0)))+(IF(E2382="High",3,IF(E2382="Normal",1,0)))+(IF(F2382&gt;=240,2,IF(F2382&gt;=200,1,0)))+(IF(G2382="Yes",2,0))+(IF(H2382="High",2,IF(H2382="Moderate",1,0)))</f>
        <v>6</v>
      </c>
      <c r="J2382" s="7" t="str">
        <f aca="false">IF(I2382&gt;=8,"High",IF(I2382&gt;=4,"Medium","Low"))</f>
        <v>Medium</v>
      </c>
    </row>
    <row r="2383" customFormat="false" ht="15" hidden="false" customHeight="true" outlineLevel="0" collapsed="false">
      <c r="A2383" s="7" t="n">
        <f aca="false">'Raw Data'!A2383</f>
        <v>1236</v>
      </c>
      <c r="B2383" s="7" t="n">
        <f aca="false">'Raw Data'!B2383</f>
        <v>26</v>
      </c>
      <c r="C2383" s="7" t="str">
        <f aca="false">'Raw Data'!C2383</f>
        <v>Female</v>
      </c>
      <c r="D2383" s="7" t="str">
        <f aca="false">'Raw Data'!D2383</f>
        <v>Current</v>
      </c>
      <c r="E2383" s="7" t="str">
        <f aca="false">'Raw Data'!J2383</f>
        <v>Normal</v>
      </c>
      <c r="F2383" s="7" t="n">
        <f aca="false">'Raw Data'!K2383</f>
        <v>170.7</v>
      </c>
      <c r="G2383" s="7" t="str">
        <f aca="false">'Raw Data'!L2383</f>
        <v>No</v>
      </c>
      <c r="H2383" s="7" t="str">
        <f aca="false">'Raw Data'!M2383</f>
        <v>Low</v>
      </c>
      <c r="I2383" s="7" t="n">
        <f aca="false">(IF(D2383="Current",3,IF(D2383="Former",1,0)))+(IF(E2383="High",3,IF(E2383="Normal",1,0)))+(IF(F2383&gt;=240,2,IF(F2383&gt;=200,1,0)))+(IF(G2383="Yes",2,0))+(IF(H2383="High",2,IF(H2383="Moderate",1,0)))</f>
        <v>4</v>
      </c>
      <c r="J2383" s="7" t="str">
        <f aca="false">IF(I2383&gt;=8,"High",IF(I2383&gt;=4,"Medium","Low"))</f>
        <v>Medium</v>
      </c>
    </row>
    <row r="2384" customFormat="false" ht="15" hidden="false" customHeight="true" outlineLevel="0" collapsed="false">
      <c r="A2384" s="7" t="n">
        <f aca="false">'Raw Data'!A2384</f>
        <v>1257</v>
      </c>
      <c r="B2384" s="7" t="n">
        <f aca="false">'Raw Data'!B2384</f>
        <v>82</v>
      </c>
      <c r="C2384" s="7" t="str">
        <f aca="false">'Raw Data'!C2384</f>
        <v>Male</v>
      </c>
      <c r="D2384" s="7" t="str">
        <f aca="false">'Raw Data'!D2384</f>
        <v>Current</v>
      </c>
      <c r="E2384" s="7" t="str">
        <f aca="false">'Raw Data'!J2384</f>
        <v>Normal</v>
      </c>
      <c r="F2384" s="7" t="n">
        <f aca="false">'Raw Data'!K2384</f>
        <v>130.7</v>
      </c>
      <c r="G2384" s="7" t="str">
        <f aca="false">'Raw Data'!L2384</f>
        <v>No</v>
      </c>
      <c r="H2384" s="7" t="str">
        <f aca="false">'Raw Data'!M2384</f>
        <v>Low</v>
      </c>
      <c r="I2384" s="7" t="n">
        <f aca="false">(IF(D2384="Current",3,IF(D2384="Former",1,0)))+(IF(E2384="High",3,IF(E2384="Normal",1,0)))+(IF(F2384&gt;=240,2,IF(F2384&gt;=200,1,0)))+(IF(G2384="Yes",2,0))+(IF(H2384="High",2,IF(H2384="Moderate",1,0)))</f>
        <v>4</v>
      </c>
      <c r="J2384" s="7" t="str">
        <f aca="false">IF(I2384&gt;=8,"High",IF(I2384&gt;=4,"Medium","Low"))</f>
        <v>Medium</v>
      </c>
    </row>
    <row r="2385" customFormat="false" ht="15" hidden="false" customHeight="true" outlineLevel="0" collapsed="false">
      <c r="A2385" s="7" t="n">
        <f aca="false">'Raw Data'!A2385</f>
        <v>1264</v>
      </c>
      <c r="B2385" s="7" t="n">
        <f aca="false">'Raw Data'!B2385</f>
        <v>42</v>
      </c>
      <c r="C2385" s="7" t="str">
        <f aca="false">'Raw Data'!C2385</f>
        <v>Male</v>
      </c>
      <c r="D2385" s="7" t="str">
        <f aca="false">'Raw Data'!D2385</f>
        <v>Current</v>
      </c>
      <c r="E2385" s="7" t="str">
        <f aca="false">'Raw Data'!J2385</f>
        <v>Normal</v>
      </c>
      <c r="F2385" s="7" t="n">
        <f aca="false">'Raw Data'!K2385</f>
        <v>257.5</v>
      </c>
      <c r="G2385" s="7" t="str">
        <f aca="false">'Raw Data'!L2385</f>
        <v>No</v>
      </c>
      <c r="H2385" s="7" t="str">
        <f aca="false">'Raw Data'!M2385</f>
        <v>Low</v>
      </c>
      <c r="I2385" s="7" t="n">
        <f aca="false">(IF(D2385="Current",3,IF(D2385="Former",1,0)))+(IF(E2385="High",3,IF(E2385="Normal",1,0)))+(IF(F2385&gt;=240,2,IF(F2385&gt;=200,1,0)))+(IF(G2385="Yes",2,0))+(IF(H2385="High",2,IF(H2385="Moderate",1,0)))</f>
        <v>6</v>
      </c>
      <c r="J2385" s="7" t="str">
        <f aca="false">IF(I2385&gt;=8,"High",IF(I2385&gt;=4,"Medium","Low"))</f>
        <v>Medium</v>
      </c>
    </row>
    <row r="2386" customFormat="false" ht="15" hidden="false" customHeight="true" outlineLevel="0" collapsed="false">
      <c r="A2386" s="7" t="n">
        <f aca="false">'Raw Data'!A2386</f>
        <v>1290</v>
      </c>
      <c r="B2386" s="7" t="n">
        <f aca="false">'Raw Data'!B2386</f>
        <v>67</v>
      </c>
      <c r="C2386" s="7" t="str">
        <f aca="false">'Raw Data'!C2386</f>
        <v>Male</v>
      </c>
      <c r="D2386" s="7" t="str">
        <f aca="false">'Raw Data'!D2386</f>
        <v>Current</v>
      </c>
      <c r="E2386" s="7" t="str">
        <f aca="false">'Raw Data'!J2386</f>
        <v>Normal</v>
      </c>
      <c r="F2386" s="7" t="n">
        <f aca="false">'Raw Data'!K2386</f>
        <v>155.4</v>
      </c>
      <c r="G2386" s="7" t="str">
        <f aca="false">'Raw Data'!L2386</f>
        <v>No</v>
      </c>
      <c r="H2386" s="7" t="str">
        <f aca="false">'Raw Data'!M2386</f>
        <v>Low</v>
      </c>
      <c r="I2386" s="7" t="n">
        <f aca="false">(IF(D2386="Current",3,IF(D2386="Former",1,0)))+(IF(E2386="High",3,IF(E2386="Normal",1,0)))+(IF(F2386&gt;=240,2,IF(F2386&gt;=200,1,0)))+(IF(G2386="Yes",2,0))+(IF(H2386="High",2,IF(H2386="Moderate",1,0)))</f>
        <v>4</v>
      </c>
      <c r="J2386" s="7" t="str">
        <f aca="false">IF(I2386&gt;=8,"High",IF(I2386&gt;=4,"Medium","Low"))</f>
        <v>Medium</v>
      </c>
    </row>
    <row r="2387" customFormat="false" ht="15" hidden="false" customHeight="true" outlineLevel="0" collapsed="false">
      <c r="A2387" s="7" t="n">
        <f aca="false">'Raw Data'!A2387</f>
        <v>1291</v>
      </c>
      <c r="B2387" s="7" t="n">
        <f aca="false">'Raw Data'!B2387</f>
        <v>73</v>
      </c>
      <c r="C2387" s="7" t="str">
        <f aca="false">'Raw Data'!C2387</f>
        <v>Female</v>
      </c>
      <c r="D2387" s="7" t="str">
        <f aca="false">'Raw Data'!D2387</f>
        <v>Current</v>
      </c>
      <c r="E2387" s="7" t="str">
        <f aca="false">'Raw Data'!J2387</f>
        <v>Normal</v>
      </c>
      <c r="F2387" s="7" t="n">
        <f aca="false">'Raw Data'!K2387</f>
        <v>223.4</v>
      </c>
      <c r="G2387" s="7" t="str">
        <f aca="false">'Raw Data'!L2387</f>
        <v>Yes</v>
      </c>
      <c r="H2387" s="7" t="str">
        <f aca="false">'Raw Data'!M2387</f>
        <v>Low</v>
      </c>
      <c r="I2387" s="7" t="n">
        <f aca="false">(IF(D2387="Current",3,IF(D2387="Former",1,0)))+(IF(E2387="High",3,IF(E2387="Normal",1,0)))+(IF(F2387&gt;=240,2,IF(F2387&gt;=200,1,0)))+(IF(G2387="Yes",2,0))+(IF(H2387="High",2,IF(H2387="Moderate",1,0)))</f>
        <v>7</v>
      </c>
      <c r="J2387" s="7" t="str">
        <f aca="false">IF(I2387&gt;=8,"High",IF(I2387&gt;=4,"Medium","Low"))</f>
        <v>Medium</v>
      </c>
    </row>
    <row r="2388" customFormat="false" ht="15" hidden="false" customHeight="true" outlineLevel="0" collapsed="false">
      <c r="A2388" s="7" t="n">
        <f aca="false">'Raw Data'!A2388</f>
        <v>1300</v>
      </c>
      <c r="B2388" s="7" t="n">
        <f aca="false">'Raw Data'!B2388</f>
        <v>84</v>
      </c>
      <c r="C2388" s="7" t="str">
        <f aca="false">'Raw Data'!C2388</f>
        <v>Female</v>
      </c>
      <c r="D2388" s="7" t="str">
        <f aca="false">'Raw Data'!D2388</f>
        <v>Current</v>
      </c>
      <c r="E2388" s="7" t="str">
        <f aca="false">'Raw Data'!J2388</f>
        <v>Normal</v>
      </c>
      <c r="F2388" s="7" t="n">
        <f aca="false">'Raw Data'!K2388</f>
        <v>296.5</v>
      </c>
      <c r="G2388" s="7" t="str">
        <f aca="false">'Raw Data'!L2388</f>
        <v>No</v>
      </c>
      <c r="H2388" s="7" t="str">
        <f aca="false">'Raw Data'!M2388</f>
        <v>Low</v>
      </c>
      <c r="I2388" s="7" t="n">
        <f aca="false">(IF(D2388="Current",3,IF(D2388="Former",1,0)))+(IF(E2388="High",3,IF(E2388="Normal",1,0)))+(IF(F2388&gt;=240,2,IF(F2388&gt;=200,1,0)))+(IF(G2388="Yes",2,0))+(IF(H2388="High",2,IF(H2388="Moderate",1,0)))</f>
        <v>6</v>
      </c>
      <c r="J2388" s="7" t="str">
        <f aca="false">IF(I2388&gt;=8,"High",IF(I2388&gt;=4,"Medium","Low"))</f>
        <v>Medium</v>
      </c>
    </row>
    <row r="2389" customFormat="false" ht="15" hidden="false" customHeight="true" outlineLevel="0" collapsed="false">
      <c r="A2389" s="7" t="n">
        <f aca="false">'Raw Data'!A2389</f>
        <v>1309</v>
      </c>
      <c r="B2389" s="7" t="n">
        <f aca="false">'Raw Data'!B2389</f>
        <v>31</v>
      </c>
      <c r="C2389" s="7" t="str">
        <f aca="false">'Raw Data'!C2389</f>
        <v>Male</v>
      </c>
      <c r="D2389" s="7" t="str">
        <f aca="false">'Raw Data'!D2389</f>
        <v>Current</v>
      </c>
      <c r="E2389" s="7" t="str">
        <f aca="false">'Raw Data'!J2389</f>
        <v>Normal</v>
      </c>
      <c r="F2389" s="7" t="n">
        <f aca="false">'Raw Data'!K2389</f>
        <v>154.7</v>
      </c>
      <c r="G2389" s="7" t="str">
        <f aca="false">'Raw Data'!L2389</f>
        <v>No</v>
      </c>
      <c r="H2389" s="7" t="str">
        <f aca="false">'Raw Data'!M2389</f>
        <v>Low</v>
      </c>
      <c r="I2389" s="7" t="n">
        <f aca="false">(IF(D2389="Current",3,IF(D2389="Former",1,0)))+(IF(E2389="High",3,IF(E2389="Normal",1,0)))+(IF(F2389&gt;=240,2,IF(F2389&gt;=200,1,0)))+(IF(G2389="Yes",2,0))+(IF(H2389="High",2,IF(H2389="Moderate",1,0)))</f>
        <v>4</v>
      </c>
      <c r="J2389" s="7" t="str">
        <f aca="false">IF(I2389&gt;=8,"High",IF(I2389&gt;=4,"Medium","Low"))</f>
        <v>Medium</v>
      </c>
    </row>
    <row r="2390" customFormat="false" ht="15" hidden="false" customHeight="true" outlineLevel="0" collapsed="false">
      <c r="A2390" s="7" t="n">
        <f aca="false">'Raw Data'!A2390</f>
        <v>1347</v>
      </c>
      <c r="B2390" s="7" t="n">
        <f aca="false">'Raw Data'!B2390</f>
        <v>37</v>
      </c>
      <c r="C2390" s="7" t="str">
        <f aca="false">'Raw Data'!C2390</f>
        <v>Male</v>
      </c>
      <c r="D2390" s="7" t="str">
        <f aca="false">'Raw Data'!D2390</f>
        <v>Current</v>
      </c>
      <c r="E2390" s="7" t="str">
        <f aca="false">'Raw Data'!J2390</f>
        <v>Normal</v>
      </c>
      <c r="F2390" s="7" t="n">
        <f aca="false">'Raw Data'!K2390</f>
        <v>177.9</v>
      </c>
      <c r="G2390" s="7" t="str">
        <f aca="false">'Raw Data'!L2390</f>
        <v>No</v>
      </c>
      <c r="H2390" s="7" t="str">
        <f aca="false">'Raw Data'!M2390</f>
        <v>Low</v>
      </c>
      <c r="I2390" s="7" t="n">
        <f aca="false">(IF(D2390="Current",3,IF(D2390="Former",1,0)))+(IF(E2390="High",3,IF(E2390="Normal",1,0)))+(IF(F2390&gt;=240,2,IF(F2390&gt;=200,1,0)))+(IF(G2390="Yes",2,0))+(IF(H2390="High",2,IF(H2390="Moderate",1,0)))</f>
        <v>4</v>
      </c>
      <c r="J2390" s="7" t="str">
        <f aca="false">IF(I2390&gt;=8,"High",IF(I2390&gt;=4,"Medium","Low"))</f>
        <v>Medium</v>
      </c>
    </row>
    <row r="2391" customFormat="false" ht="15" hidden="false" customHeight="true" outlineLevel="0" collapsed="false">
      <c r="A2391" s="7" t="n">
        <f aca="false">'Raw Data'!A2391</f>
        <v>1357</v>
      </c>
      <c r="B2391" s="7" t="n">
        <f aca="false">'Raw Data'!B2391</f>
        <v>45</v>
      </c>
      <c r="C2391" s="7" t="str">
        <f aca="false">'Raw Data'!C2391</f>
        <v>Female</v>
      </c>
      <c r="D2391" s="7" t="str">
        <f aca="false">'Raw Data'!D2391</f>
        <v>Current</v>
      </c>
      <c r="E2391" s="7" t="str">
        <f aca="false">'Raw Data'!J2391</f>
        <v>Normal</v>
      </c>
      <c r="F2391" s="7" t="n">
        <f aca="false">'Raw Data'!K2391</f>
        <v>220.1</v>
      </c>
      <c r="G2391" s="7" t="str">
        <f aca="false">'Raw Data'!L2391</f>
        <v>No</v>
      </c>
      <c r="H2391" s="7" t="str">
        <f aca="false">'Raw Data'!M2391</f>
        <v>Low</v>
      </c>
      <c r="I2391" s="7" t="n">
        <f aca="false">(IF(D2391="Current",3,IF(D2391="Former",1,0)))+(IF(E2391="High",3,IF(E2391="Normal",1,0)))+(IF(F2391&gt;=240,2,IF(F2391&gt;=200,1,0)))+(IF(G2391="Yes",2,0))+(IF(H2391="High",2,IF(H2391="Moderate",1,0)))</f>
        <v>5</v>
      </c>
      <c r="J2391" s="7" t="str">
        <f aca="false">IF(I2391&gt;=8,"High",IF(I2391&gt;=4,"Medium","Low"))</f>
        <v>Medium</v>
      </c>
    </row>
    <row r="2392" customFormat="false" ht="15" hidden="false" customHeight="true" outlineLevel="0" collapsed="false">
      <c r="A2392" s="7" t="n">
        <f aca="false">'Raw Data'!A2392</f>
        <v>1378</v>
      </c>
      <c r="B2392" s="7" t="n">
        <f aca="false">'Raw Data'!B2392</f>
        <v>57</v>
      </c>
      <c r="C2392" s="7" t="str">
        <f aca="false">'Raw Data'!C2392</f>
        <v>Female</v>
      </c>
      <c r="D2392" s="7" t="str">
        <f aca="false">'Raw Data'!D2392</f>
        <v>Current</v>
      </c>
      <c r="E2392" s="7" t="str">
        <f aca="false">'Raw Data'!J2392</f>
        <v>Normal</v>
      </c>
      <c r="F2392" s="7" t="n">
        <f aca="false">'Raw Data'!K2392</f>
        <v>280.9</v>
      </c>
      <c r="G2392" s="7" t="str">
        <f aca="false">'Raw Data'!L2392</f>
        <v>Yes</v>
      </c>
      <c r="H2392" s="7" t="str">
        <f aca="false">'Raw Data'!M2392</f>
        <v>Low</v>
      </c>
      <c r="I2392" s="7" t="n">
        <f aca="false">(IF(D2392="Current",3,IF(D2392="Former",1,0)))+(IF(E2392="High",3,IF(E2392="Normal",1,0)))+(IF(F2392&gt;=240,2,IF(F2392&gt;=200,1,0)))+(IF(G2392="Yes",2,0))+(IF(H2392="High",2,IF(H2392="Moderate",1,0)))</f>
        <v>8</v>
      </c>
      <c r="J2392" s="7" t="str">
        <f aca="false">IF(I2392&gt;=8,"High",IF(I2392&gt;=4,"Medium","Low"))</f>
        <v>High</v>
      </c>
    </row>
    <row r="2393" customFormat="false" ht="15" hidden="false" customHeight="true" outlineLevel="0" collapsed="false">
      <c r="A2393" s="7" t="n">
        <f aca="false">'Raw Data'!A2393</f>
        <v>1382</v>
      </c>
      <c r="B2393" s="7" t="n">
        <f aca="false">'Raw Data'!B2393</f>
        <v>60</v>
      </c>
      <c r="C2393" s="7" t="str">
        <f aca="false">'Raw Data'!C2393</f>
        <v>Female</v>
      </c>
      <c r="D2393" s="7" t="str">
        <f aca="false">'Raw Data'!D2393</f>
        <v>Current</v>
      </c>
      <c r="E2393" s="7" t="str">
        <f aca="false">'Raw Data'!J2393</f>
        <v>Normal</v>
      </c>
      <c r="F2393" s="7" t="n">
        <f aca="false">'Raw Data'!K2393</f>
        <v>196.3</v>
      </c>
      <c r="G2393" s="7" t="str">
        <f aca="false">'Raw Data'!L2393</f>
        <v>No</v>
      </c>
      <c r="H2393" s="7" t="str">
        <f aca="false">'Raw Data'!M2393</f>
        <v>Low</v>
      </c>
      <c r="I2393" s="7" t="n">
        <f aca="false">(IF(D2393="Current",3,IF(D2393="Former",1,0)))+(IF(E2393="High",3,IF(E2393="Normal",1,0)))+(IF(F2393&gt;=240,2,IF(F2393&gt;=200,1,0)))+(IF(G2393="Yes",2,0))+(IF(H2393="High",2,IF(H2393="Moderate",1,0)))</f>
        <v>4</v>
      </c>
      <c r="J2393" s="7" t="str">
        <f aca="false">IF(I2393&gt;=8,"High",IF(I2393&gt;=4,"Medium","Low"))</f>
        <v>Medium</v>
      </c>
    </row>
    <row r="2394" customFormat="false" ht="15" hidden="false" customHeight="true" outlineLevel="0" collapsed="false">
      <c r="A2394" s="7" t="n">
        <f aca="false">'Raw Data'!A2394</f>
        <v>1387</v>
      </c>
      <c r="B2394" s="7" t="n">
        <f aca="false">'Raw Data'!B2394</f>
        <v>58</v>
      </c>
      <c r="C2394" s="7" t="str">
        <f aca="false">'Raw Data'!C2394</f>
        <v>Male</v>
      </c>
      <c r="D2394" s="7" t="str">
        <f aca="false">'Raw Data'!D2394</f>
        <v>Current</v>
      </c>
      <c r="E2394" s="7" t="str">
        <f aca="false">'Raw Data'!J2394</f>
        <v>Normal</v>
      </c>
      <c r="F2394" s="7" t="n">
        <f aca="false">'Raw Data'!K2394</f>
        <v>193.5</v>
      </c>
      <c r="G2394" s="7" t="str">
        <f aca="false">'Raw Data'!L2394</f>
        <v>No</v>
      </c>
      <c r="H2394" s="7" t="str">
        <f aca="false">'Raw Data'!M2394</f>
        <v>Low</v>
      </c>
      <c r="I2394" s="7" t="n">
        <f aca="false">(IF(D2394="Current",3,IF(D2394="Former",1,0)))+(IF(E2394="High",3,IF(E2394="Normal",1,0)))+(IF(F2394&gt;=240,2,IF(F2394&gt;=200,1,0)))+(IF(G2394="Yes",2,0))+(IF(H2394="High",2,IF(H2394="Moderate",1,0)))</f>
        <v>4</v>
      </c>
      <c r="J2394" s="7" t="str">
        <f aca="false">IF(I2394&gt;=8,"High",IF(I2394&gt;=4,"Medium","Low"))</f>
        <v>Medium</v>
      </c>
    </row>
    <row r="2395" customFormat="false" ht="15" hidden="false" customHeight="true" outlineLevel="0" collapsed="false">
      <c r="A2395" s="7" t="n">
        <f aca="false">'Raw Data'!A2395</f>
        <v>1397</v>
      </c>
      <c r="B2395" s="7" t="n">
        <f aca="false">'Raw Data'!B2395</f>
        <v>36</v>
      </c>
      <c r="C2395" s="7" t="str">
        <f aca="false">'Raw Data'!C2395</f>
        <v>Male</v>
      </c>
      <c r="D2395" s="7" t="str">
        <f aca="false">'Raw Data'!D2395</f>
        <v>Current</v>
      </c>
      <c r="E2395" s="7" t="str">
        <f aca="false">'Raw Data'!J2395</f>
        <v>Normal</v>
      </c>
      <c r="F2395" s="7" t="n">
        <f aca="false">'Raw Data'!K2395</f>
        <v>223.9</v>
      </c>
      <c r="G2395" s="7" t="str">
        <f aca="false">'Raw Data'!L2395</f>
        <v>No</v>
      </c>
      <c r="H2395" s="7" t="str">
        <f aca="false">'Raw Data'!M2395</f>
        <v>Low</v>
      </c>
      <c r="I2395" s="7" t="n">
        <f aca="false">(IF(D2395="Current",3,IF(D2395="Former",1,0)))+(IF(E2395="High",3,IF(E2395="Normal",1,0)))+(IF(F2395&gt;=240,2,IF(F2395&gt;=200,1,0)))+(IF(G2395="Yes",2,0))+(IF(H2395="High",2,IF(H2395="Moderate",1,0)))</f>
        <v>5</v>
      </c>
      <c r="J2395" s="7" t="str">
        <f aca="false">IF(I2395&gt;=8,"High",IF(I2395&gt;=4,"Medium","Low"))</f>
        <v>Medium</v>
      </c>
    </row>
    <row r="2396" customFormat="false" ht="15" hidden="false" customHeight="true" outlineLevel="0" collapsed="false">
      <c r="A2396" s="7" t="n">
        <f aca="false">'Raw Data'!A2396</f>
        <v>1401</v>
      </c>
      <c r="B2396" s="7" t="n">
        <f aca="false">'Raw Data'!B2396</f>
        <v>27</v>
      </c>
      <c r="C2396" s="7" t="str">
        <f aca="false">'Raw Data'!C2396</f>
        <v>Female</v>
      </c>
      <c r="D2396" s="7" t="str">
        <f aca="false">'Raw Data'!D2396</f>
        <v>Current</v>
      </c>
      <c r="E2396" s="7" t="str">
        <f aca="false">'Raw Data'!J2396</f>
        <v>Normal</v>
      </c>
      <c r="F2396" s="7" t="n">
        <f aca="false">'Raw Data'!K2396</f>
        <v>227.7</v>
      </c>
      <c r="G2396" s="7" t="str">
        <f aca="false">'Raw Data'!L2396</f>
        <v>Yes</v>
      </c>
      <c r="H2396" s="7" t="str">
        <f aca="false">'Raw Data'!M2396</f>
        <v>Low</v>
      </c>
      <c r="I2396" s="7" t="n">
        <f aca="false">(IF(D2396="Current",3,IF(D2396="Former",1,0)))+(IF(E2396="High",3,IF(E2396="Normal",1,0)))+(IF(F2396&gt;=240,2,IF(F2396&gt;=200,1,0)))+(IF(G2396="Yes",2,0))+(IF(H2396="High",2,IF(H2396="Moderate",1,0)))</f>
        <v>7</v>
      </c>
      <c r="J2396" s="7" t="str">
        <f aca="false">IF(I2396&gt;=8,"High",IF(I2396&gt;=4,"Medium","Low"))</f>
        <v>Medium</v>
      </c>
    </row>
    <row r="2397" customFormat="false" ht="15" hidden="false" customHeight="true" outlineLevel="0" collapsed="false">
      <c r="A2397" s="7" t="n">
        <f aca="false">'Raw Data'!A2397</f>
        <v>1417</v>
      </c>
      <c r="B2397" s="7" t="n">
        <f aca="false">'Raw Data'!B2397</f>
        <v>80</v>
      </c>
      <c r="C2397" s="7" t="str">
        <f aca="false">'Raw Data'!C2397</f>
        <v>Male</v>
      </c>
      <c r="D2397" s="7" t="str">
        <f aca="false">'Raw Data'!D2397</f>
        <v>Current</v>
      </c>
      <c r="E2397" s="7" t="str">
        <f aca="false">'Raw Data'!J2397</f>
        <v>Normal</v>
      </c>
      <c r="F2397" s="7" t="n">
        <f aca="false">'Raw Data'!K2397</f>
        <v>132.5</v>
      </c>
      <c r="G2397" s="7" t="str">
        <f aca="false">'Raw Data'!L2397</f>
        <v>No</v>
      </c>
      <c r="H2397" s="7" t="str">
        <f aca="false">'Raw Data'!M2397</f>
        <v>Low</v>
      </c>
      <c r="I2397" s="7" t="n">
        <f aca="false">(IF(D2397="Current",3,IF(D2397="Former",1,0)))+(IF(E2397="High",3,IF(E2397="Normal",1,0)))+(IF(F2397&gt;=240,2,IF(F2397&gt;=200,1,0)))+(IF(G2397="Yes",2,0))+(IF(H2397="High",2,IF(H2397="Moderate",1,0)))</f>
        <v>4</v>
      </c>
      <c r="J2397" s="7" t="str">
        <f aca="false">IF(I2397&gt;=8,"High",IF(I2397&gt;=4,"Medium","Low"))</f>
        <v>Medium</v>
      </c>
    </row>
    <row r="2398" customFormat="false" ht="15" hidden="false" customHeight="true" outlineLevel="0" collapsed="false">
      <c r="A2398" s="7" t="n">
        <f aca="false">'Raw Data'!A2398</f>
        <v>1428</v>
      </c>
      <c r="B2398" s="7" t="n">
        <f aca="false">'Raw Data'!B2398</f>
        <v>24</v>
      </c>
      <c r="C2398" s="7" t="str">
        <f aca="false">'Raw Data'!C2398</f>
        <v>Male</v>
      </c>
      <c r="D2398" s="7" t="str">
        <f aca="false">'Raw Data'!D2398</f>
        <v>Current</v>
      </c>
      <c r="E2398" s="7" t="str">
        <f aca="false">'Raw Data'!J2398</f>
        <v>Normal</v>
      </c>
      <c r="F2398" s="7" t="n">
        <f aca="false">'Raw Data'!K2398</f>
        <v>196</v>
      </c>
      <c r="G2398" s="7" t="str">
        <f aca="false">'Raw Data'!L2398</f>
        <v>Yes</v>
      </c>
      <c r="H2398" s="7" t="str">
        <f aca="false">'Raw Data'!M2398</f>
        <v>Low</v>
      </c>
      <c r="I2398" s="7" t="n">
        <f aca="false">(IF(D2398="Current",3,IF(D2398="Former",1,0)))+(IF(E2398="High",3,IF(E2398="Normal",1,0)))+(IF(F2398&gt;=240,2,IF(F2398&gt;=200,1,0)))+(IF(G2398="Yes",2,0))+(IF(H2398="High",2,IF(H2398="Moderate",1,0)))</f>
        <v>6</v>
      </c>
      <c r="J2398" s="7" t="str">
        <f aca="false">IF(I2398&gt;=8,"High",IF(I2398&gt;=4,"Medium","Low"))</f>
        <v>Medium</v>
      </c>
    </row>
    <row r="2399" customFormat="false" ht="15" hidden="false" customHeight="true" outlineLevel="0" collapsed="false">
      <c r="A2399" s="7" t="n">
        <f aca="false">'Raw Data'!A2399</f>
        <v>1431</v>
      </c>
      <c r="B2399" s="7" t="n">
        <f aca="false">'Raw Data'!B2399</f>
        <v>86</v>
      </c>
      <c r="C2399" s="7" t="str">
        <f aca="false">'Raw Data'!C2399</f>
        <v>Male</v>
      </c>
      <c r="D2399" s="7" t="str">
        <f aca="false">'Raw Data'!D2399</f>
        <v>Current</v>
      </c>
      <c r="E2399" s="7" t="str">
        <f aca="false">'Raw Data'!J2399</f>
        <v>Normal</v>
      </c>
      <c r="F2399" s="7" t="n">
        <f aca="false">'Raw Data'!K2399</f>
        <v>142</v>
      </c>
      <c r="G2399" s="7" t="str">
        <f aca="false">'Raw Data'!L2399</f>
        <v>No</v>
      </c>
      <c r="H2399" s="7" t="str">
        <f aca="false">'Raw Data'!M2399</f>
        <v>Low</v>
      </c>
      <c r="I2399" s="7" t="n">
        <f aca="false">(IF(D2399="Current",3,IF(D2399="Former",1,0)))+(IF(E2399="High",3,IF(E2399="Normal",1,0)))+(IF(F2399&gt;=240,2,IF(F2399&gt;=200,1,0)))+(IF(G2399="Yes",2,0))+(IF(H2399="High",2,IF(H2399="Moderate",1,0)))</f>
        <v>4</v>
      </c>
      <c r="J2399" s="7" t="str">
        <f aca="false">IF(I2399&gt;=8,"High",IF(I2399&gt;=4,"Medium","Low"))</f>
        <v>Medium</v>
      </c>
    </row>
    <row r="2400" customFormat="false" ht="15" hidden="false" customHeight="true" outlineLevel="0" collapsed="false">
      <c r="A2400" s="7" t="n">
        <f aca="false">'Raw Data'!A2400</f>
        <v>1436</v>
      </c>
      <c r="B2400" s="7" t="n">
        <f aca="false">'Raw Data'!B2400</f>
        <v>69</v>
      </c>
      <c r="C2400" s="7" t="str">
        <f aca="false">'Raw Data'!C2400</f>
        <v>Female</v>
      </c>
      <c r="D2400" s="7" t="str">
        <f aca="false">'Raw Data'!D2400</f>
        <v>Current</v>
      </c>
      <c r="E2400" s="7" t="str">
        <f aca="false">'Raw Data'!J2400</f>
        <v>Normal</v>
      </c>
      <c r="F2400" s="7" t="n">
        <f aca="false">'Raw Data'!K2400</f>
        <v>258.8</v>
      </c>
      <c r="G2400" s="7" t="str">
        <f aca="false">'Raw Data'!L2400</f>
        <v>No</v>
      </c>
      <c r="H2400" s="7" t="str">
        <f aca="false">'Raw Data'!M2400</f>
        <v>Low</v>
      </c>
      <c r="I2400" s="7" t="n">
        <f aca="false">(IF(D2400="Current",3,IF(D2400="Former",1,0)))+(IF(E2400="High",3,IF(E2400="Normal",1,0)))+(IF(F2400&gt;=240,2,IF(F2400&gt;=200,1,0)))+(IF(G2400="Yes",2,0))+(IF(H2400="High",2,IF(H2400="Moderate",1,0)))</f>
        <v>6</v>
      </c>
      <c r="J2400" s="7" t="str">
        <f aca="false">IF(I2400&gt;=8,"High",IF(I2400&gt;=4,"Medium","Low"))</f>
        <v>Medium</v>
      </c>
    </row>
    <row r="2401" customFormat="false" ht="15" hidden="false" customHeight="true" outlineLevel="0" collapsed="false">
      <c r="A2401" s="7" t="n">
        <f aca="false">'Raw Data'!A2401</f>
        <v>1444</v>
      </c>
      <c r="B2401" s="7" t="n">
        <f aca="false">'Raw Data'!B2401</f>
        <v>63</v>
      </c>
      <c r="C2401" s="7" t="str">
        <f aca="false">'Raw Data'!C2401</f>
        <v>Female</v>
      </c>
      <c r="D2401" s="7" t="str">
        <f aca="false">'Raw Data'!D2401</f>
        <v>Current</v>
      </c>
      <c r="E2401" s="7" t="str">
        <f aca="false">'Raw Data'!J2401</f>
        <v>Normal</v>
      </c>
      <c r="F2401" s="7" t="n">
        <f aca="false">'Raw Data'!K2401</f>
        <v>206.9</v>
      </c>
      <c r="G2401" s="7" t="str">
        <f aca="false">'Raw Data'!L2401</f>
        <v>Yes</v>
      </c>
      <c r="H2401" s="7" t="str">
        <f aca="false">'Raw Data'!M2401</f>
        <v>Low</v>
      </c>
      <c r="I2401" s="7" t="n">
        <f aca="false">(IF(D2401="Current",3,IF(D2401="Former",1,0)))+(IF(E2401="High",3,IF(E2401="Normal",1,0)))+(IF(F2401&gt;=240,2,IF(F2401&gt;=200,1,0)))+(IF(G2401="Yes",2,0))+(IF(H2401="High",2,IF(H2401="Moderate",1,0)))</f>
        <v>7</v>
      </c>
      <c r="J2401" s="7" t="str">
        <f aca="false">IF(I2401&gt;=8,"High",IF(I2401&gt;=4,"Medium","Low"))</f>
        <v>Medium</v>
      </c>
    </row>
    <row r="2402" customFormat="false" ht="15" hidden="false" customHeight="true" outlineLevel="0" collapsed="false">
      <c r="A2402" s="7" t="n">
        <f aca="false">'Raw Data'!A2402</f>
        <v>1451</v>
      </c>
      <c r="B2402" s="7" t="n">
        <f aca="false">'Raw Data'!B2402</f>
        <v>26</v>
      </c>
      <c r="C2402" s="7" t="str">
        <f aca="false">'Raw Data'!C2402</f>
        <v>Male</v>
      </c>
      <c r="D2402" s="7" t="str">
        <f aca="false">'Raw Data'!D2402</f>
        <v>Current</v>
      </c>
      <c r="E2402" s="7" t="str">
        <f aca="false">'Raw Data'!J2402</f>
        <v>Normal</v>
      </c>
      <c r="F2402" s="7" t="n">
        <f aca="false">'Raw Data'!K2402</f>
        <v>255.3</v>
      </c>
      <c r="G2402" s="7" t="str">
        <f aca="false">'Raw Data'!L2402</f>
        <v>No</v>
      </c>
      <c r="H2402" s="7" t="str">
        <f aca="false">'Raw Data'!M2402</f>
        <v>Low</v>
      </c>
      <c r="I2402" s="7" t="n">
        <f aca="false">(IF(D2402="Current",3,IF(D2402="Former",1,0)))+(IF(E2402="High",3,IF(E2402="Normal",1,0)))+(IF(F2402&gt;=240,2,IF(F2402&gt;=200,1,0)))+(IF(G2402="Yes",2,0))+(IF(H2402="High",2,IF(H2402="Moderate",1,0)))</f>
        <v>6</v>
      </c>
      <c r="J2402" s="7" t="str">
        <f aca="false">IF(I2402&gt;=8,"High",IF(I2402&gt;=4,"Medium","Low"))</f>
        <v>Medium</v>
      </c>
    </row>
    <row r="2403" customFormat="false" ht="15" hidden="false" customHeight="true" outlineLevel="0" collapsed="false">
      <c r="A2403" s="7" t="n">
        <f aca="false">'Raw Data'!A2403</f>
        <v>1453</v>
      </c>
      <c r="B2403" s="7" t="n">
        <f aca="false">'Raw Data'!B2403</f>
        <v>84</v>
      </c>
      <c r="C2403" s="7" t="str">
        <f aca="false">'Raw Data'!C2403</f>
        <v>Female</v>
      </c>
      <c r="D2403" s="7" t="str">
        <f aca="false">'Raw Data'!D2403</f>
        <v>Current</v>
      </c>
      <c r="E2403" s="7" t="str">
        <f aca="false">'Raw Data'!J2403</f>
        <v>Normal</v>
      </c>
      <c r="F2403" s="7" t="n">
        <f aca="false">'Raw Data'!K2403</f>
        <v>175.7</v>
      </c>
      <c r="G2403" s="7" t="str">
        <f aca="false">'Raw Data'!L2403</f>
        <v>No</v>
      </c>
      <c r="H2403" s="7" t="str">
        <f aca="false">'Raw Data'!M2403</f>
        <v>Low</v>
      </c>
      <c r="I2403" s="7" t="n">
        <f aca="false">(IF(D2403="Current",3,IF(D2403="Former",1,0)))+(IF(E2403="High",3,IF(E2403="Normal",1,0)))+(IF(F2403&gt;=240,2,IF(F2403&gt;=200,1,0)))+(IF(G2403="Yes",2,0))+(IF(H2403="High",2,IF(H2403="Moderate",1,0)))</f>
        <v>4</v>
      </c>
      <c r="J2403" s="7" t="str">
        <f aca="false">IF(I2403&gt;=8,"High",IF(I2403&gt;=4,"Medium","Low"))</f>
        <v>Medium</v>
      </c>
    </row>
    <row r="2404" customFormat="false" ht="15" hidden="false" customHeight="true" outlineLevel="0" collapsed="false">
      <c r="A2404" s="7" t="n">
        <f aca="false">'Raw Data'!A2404</f>
        <v>1455</v>
      </c>
      <c r="B2404" s="7" t="n">
        <f aca="false">'Raw Data'!B2404</f>
        <v>82</v>
      </c>
      <c r="C2404" s="7" t="str">
        <f aca="false">'Raw Data'!C2404</f>
        <v>Female</v>
      </c>
      <c r="D2404" s="7" t="str">
        <f aca="false">'Raw Data'!D2404</f>
        <v>Current</v>
      </c>
      <c r="E2404" s="7" t="str">
        <f aca="false">'Raw Data'!J2404</f>
        <v>Normal</v>
      </c>
      <c r="F2404" s="7" t="n">
        <f aca="false">'Raw Data'!K2404</f>
        <v>179.2</v>
      </c>
      <c r="G2404" s="7" t="str">
        <f aca="false">'Raw Data'!L2404</f>
        <v>No</v>
      </c>
      <c r="H2404" s="7" t="str">
        <f aca="false">'Raw Data'!M2404</f>
        <v>Low</v>
      </c>
      <c r="I2404" s="7" t="n">
        <f aca="false">(IF(D2404="Current",3,IF(D2404="Former",1,0)))+(IF(E2404="High",3,IF(E2404="Normal",1,0)))+(IF(F2404&gt;=240,2,IF(F2404&gt;=200,1,0)))+(IF(G2404="Yes",2,0))+(IF(H2404="High",2,IF(H2404="Moderate",1,0)))</f>
        <v>4</v>
      </c>
      <c r="J2404" s="7" t="str">
        <f aca="false">IF(I2404&gt;=8,"High",IF(I2404&gt;=4,"Medium","Low"))</f>
        <v>Medium</v>
      </c>
    </row>
    <row r="2405" customFormat="false" ht="15" hidden="false" customHeight="true" outlineLevel="0" collapsed="false">
      <c r="A2405" s="7" t="n">
        <f aca="false">'Raw Data'!A2405</f>
        <v>1457</v>
      </c>
      <c r="B2405" s="7" t="n">
        <f aca="false">'Raw Data'!B2405</f>
        <v>27</v>
      </c>
      <c r="C2405" s="7" t="str">
        <f aca="false">'Raw Data'!C2405</f>
        <v>Female</v>
      </c>
      <c r="D2405" s="7" t="str">
        <f aca="false">'Raw Data'!D2405</f>
        <v>Current</v>
      </c>
      <c r="E2405" s="7" t="str">
        <f aca="false">'Raw Data'!J2405</f>
        <v>Normal</v>
      </c>
      <c r="F2405" s="7" t="n">
        <f aca="false">'Raw Data'!K2405</f>
        <v>127.5</v>
      </c>
      <c r="G2405" s="7" t="str">
        <f aca="false">'Raw Data'!L2405</f>
        <v>No</v>
      </c>
      <c r="H2405" s="7" t="str">
        <f aca="false">'Raw Data'!M2405</f>
        <v>Low</v>
      </c>
      <c r="I2405" s="7" t="n">
        <f aca="false">(IF(D2405="Current",3,IF(D2405="Former",1,0)))+(IF(E2405="High",3,IF(E2405="Normal",1,0)))+(IF(F2405&gt;=240,2,IF(F2405&gt;=200,1,0)))+(IF(G2405="Yes",2,0))+(IF(H2405="High",2,IF(H2405="Moderate",1,0)))</f>
        <v>4</v>
      </c>
      <c r="J2405" s="7" t="str">
        <f aca="false">IF(I2405&gt;=8,"High",IF(I2405&gt;=4,"Medium","Low"))</f>
        <v>Medium</v>
      </c>
    </row>
    <row r="2406" customFormat="false" ht="15" hidden="false" customHeight="true" outlineLevel="0" collapsed="false">
      <c r="A2406" s="7" t="n">
        <f aca="false">'Raw Data'!A2406</f>
        <v>1462</v>
      </c>
      <c r="B2406" s="7" t="n">
        <f aca="false">'Raw Data'!B2406</f>
        <v>47</v>
      </c>
      <c r="C2406" s="7" t="str">
        <f aca="false">'Raw Data'!C2406</f>
        <v>Male</v>
      </c>
      <c r="D2406" s="7" t="str">
        <f aca="false">'Raw Data'!D2406</f>
        <v>Current</v>
      </c>
      <c r="E2406" s="7" t="str">
        <f aca="false">'Raw Data'!J2406</f>
        <v>Normal</v>
      </c>
      <c r="F2406" s="7" t="n">
        <f aca="false">'Raw Data'!K2406</f>
        <v>216.5</v>
      </c>
      <c r="G2406" s="7" t="str">
        <f aca="false">'Raw Data'!L2406</f>
        <v>No</v>
      </c>
      <c r="H2406" s="7" t="str">
        <f aca="false">'Raw Data'!M2406</f>
        <v>Low</v>
      </c>
      <c r="I2406" s="7" t="n">
        <f aca="false">(IF(D2406="Current",3,IF(D2406="Former",1,0)))+(IF(E2406="High",3,IF(E2406="Normal",1,0)))+(IF(F2406&gt;=240,2,IF(F2406&gt;=200,1,0)))+(IF(G2406="Yes",2,0))+(IF(H2406="High",2,IF(H2406="Moderate",1,0)))</f>
        <v>5</v>
      </c>
      <c r="J2406" s="7" t="str">
        <f aca="false">IF(I2406&gt;=8,"High",IF(I2406&gt;=4,"Medium","Low"))</f>
        <v>Medium</v>
      </c>
    </row>
    <row r="2407" customFormat="false" ht="15" hidden="false" customHeight="true" outlineLevel="0" collapsed="false">
      <c r="A2407" s="7" t="n">
        <f aca="false">'Raw Data'!A2407</f>
        <v>1466</v>
      </c>
      <c r="B2407" s="7" t="n">
        <f aca="false">'Raw Data'!B2407</f>
        <v>54</v>
      </c>
      <c r="C2407" s="7" t="str">
        <f aca="false">'Raw Data'!C2407</f>
        <v>Male</v>
      </c>
      <c r="D2407" s="7" t="str">
        <f aca="false">'Raw Data'!D2407</f>
        <v>Current</v>
      </c>
      <c r="E2407" s="7" t="str">
        <f aca="false">'Raw Data'!J2407</f>
        <v>Normal</v>
      </c>
      <c r="F2407" s="7" t="n">
        <f aca="false">'Raw Data'!K2407</f>
        <v>291.1</v>
      </c>
      <c r="G2407" s="7" t="str">
        <f aca="false">'Raw Data'!L2407</f>
        <v>Yes</v>
      </c>
      <c r="H2407" s="7" t="str">
        <f aca="false">'Raw Data'!M2407</f>
        <v>Low</v>
      </c>
      <c r="I2407" s="7" t="n">
        <f aca="false">(IF(D2407="Current",3,IF(D2407="Former",1,0)))+(IF(E2407="High",3,IF(E2407="Normal",1,0)))+(IF(F2407&gt;=240,2,IF(F2407&gt;=200,1,0)))+(IF(G2407="Yes",2,0))+(IF(H2407="High",2,IF(H2407="Moderate",1,0)))</f>
        <v>8</v>
      </c>
      <c r="J2407" s="7" t="str">
        <f aca="false">IF(I2407&gt;=8,"High",IF(I2407&gt;=4,"Medium","Low"))</f>
        <v>High</v>
      </c>
    </row>
    <row r="2408" customFormat="false" ht="15" hidden="false" customHeight="true" outlineLevel="0" collapsed="false">
      <c r="A2408" s="7" t="n">
        <f aca="false">'Raw Data'!A2408</f>
        <v>1467</v>
      </c>
      <c r="B2408" s="7" t="n">
        <f aca="false">'Raw Data'!B2408</f>
        <v>60</v>
      </c>
      <c r="C2408" s="7" t="str">
        <f aca="false">'Raw Data'!C2408</f>
        <v>Female</v>
      </c>
      <c r="D2408" s="7" t="str">
        <f aca="false">'Raw Data'!D2408</f>
        <v>Current</v>
      </c>
      <c r="E2408" s="7" t="str">
        <f aca="false">'Raw Data'!J2408</f>
        <v>Normal</v>
      </c>
      <c r="F2408" s="7" t="n">
        <f aca="false">'Raw Data'!K2408</f>
        <v>297.6</v>
      </c>
      <c r="G2408" s="7" t="str">
        <f aca="false">'Raw Data'!L2408</f>
        <v>Yes</v>
      </c>
      <c r="H2408" s="7" t="str">
        <f aca="false">'Raw Data'!M2408</f>
        <v>Low</v>
      </c>
      <c r="I2408" s="7" t="n">
        <f aca="false">(IF(D2408="Current",3,IF(D2408="Former",1,0)))+(IF(E2408="High",3,IF(E2408="Normal",1,0)))+(IF(F2408&gt;=240,2,IF(F2408&gt;=200,1,0)))+(IF(G2408="Yes",2,0))+(IF(H2408="High",2,IF(H2408="Moderate",1,0)))</f>
        <v>8</v>
      </c>
      <c r="J2408" s="7" t="str">
        <f aca="false">IF(I2408&gt;=8,"High",IF(I2408&gt;=4,"Medium","Low"))</f>
        <v>High</v>
      </c>
    </row>
    <row r="2409" customFormat="false" ht="15" hidden="false" customHeight="true" outlineLevel="0" collapsed="false">
      <c r="A2409" s="7" t="n">
        <f aca="false">'Raw Data'!A2409</f>
        <v>1471</v>
      </c>
      <c r="B2409" s="7" t="n">
        <f aca="false">'Raw Data'!B2409</f>
        <v>78</v>
      </c>
      <c r="C2409" s="7" t="str">
        <f aca="false">'Raw Data'!C2409</f>
        <v>Female</v>
      </c>
      <c r="D2409" s="7" t="str">
        <f aca="false">'Raw Data'!D2409</f>
        <v>Current</v>
      </c>
      <c r="E2409" s="7" t="str">
        <f aca="false">'Raw Data'!J2409</f>
        <v>Normal</v>
      </c>
      <c r="F2409" s="7" t="n">
        <f aca="false">'Raw Data'!K2409</f>
        <v>225.2</v>
      </c>
      <c r="G2409" s="7" t="str">
        <f aca="false">'Raw Data'!L2409</f>
        <v>No</v>
      </c>
      <c r="H2409" s="7" t="str">
        <f aca="false">'Raw Data'!M2409</f>
        <v>Low</v>
      </c>
      <c r="I2409" s="7" t="n">
        <f aca="false">(IF(D2409="Current",3,IF(D2409="Former",1,0)))+(IF(E2409="High",3,IF(E2409="Normal",1,0)))+(IF(F2409&gt;=240,2,IF(F2409&gt;=200,1,0)))+(IF(G2409="Yes",2,0))+(IF(H2409="High",2,IF(H2409="Moderate",1,0)))</f>
        <v>5</v>
      </c>
      <c r="J2409" s="7" t="str">
        <f aca="false">IF(I2409&gt;=8,"High",IF(I2409&gt;=4,"Medium","Low"))</f>
        <v>Medium</v>
      </c>
    </row>
    <row r="2410" customFormat="false" ht="15" hidden="false" customHeight="true" outlineLevel="0" collapsed="false">
      <c r="A2410" s="7" t="n">
        <f aca="false">'Raw Data'!A2410</f>
        <v>1477</v>
      </c>
      <c r="B2410" s="7" t="n">
        <f aca="false">'Raw Data'!B2410</f>
        <v>40</v>
      </c>
      <c r="C2410" s="7" t="str">
        <f aca="false">'Raw Data'!C2410</f>
        <v>Male</v>
      </c>
      <c r="D2410" s="7" t="str">
        <f aca="false">'Raw Data'!D2410</f>
        <v>Current</v>
      </c>
      <c r="E2410" s="7" t="str">
        <f aca="false">'Raw Data'!J2410</f>
        <v>Normal</v>
      </c>
      <c r="F2410" s="7" t="n">
        <f aca="false">'Raw Data'!K2410</f>
        <v>286.7</v>
      </c>
      <c r="G2410" s="7" t="str">
        <f aca="false">'Raw Data'!L2410</f>
        <v>No</v>
      </c>
      <c r="H2410" s="7" t="str">
        <f aca="false">'Raw Data'!M2410</f>
        <v>Low</v>
      </c>
      <c r="I2410" s="7" t="n">
        <f aca="false">(IF(D2410="Current",3,IF(D2410="Former",1,0)))+(IF(E2410="High",3,IF(E2410="Normal",1,0)))+(IF(F2410&gt;=240,2,IF(F2410&gt;=200,1,0)))+(IF(G2410="Yes",2,0))+(IF(H2410="High",2,IF(H2410="Moderate",1,0)))</f>
        <v>6</v>
      </c>
      <c r="J2410" s="7" t="str">
        <f aca="false">IF(I2410&gt;=8,"High",IF(I2410&gt;=4,"Medium","Low"))</f>
        <v>Medium</v>
      </c>
    </row>
    <row r="2411" customFormat="false" ht="15" hidden="false" customHeight="true" outlineLevel="0" collapsed="false">
      <c r="A2411" s="7" t="n">
        <f aca="false">'Raw Data'!A2411</f>
        <v>1478</v>
      </c>
      <c r="B2411" s="7" t="n">
        <f aca="false">'Raw Data'!B2411</f>
        <v>69</v>
      </c>
      <c r="C2411" s="7" t="str">
        <f aca="false">'Raw Data'!C2411</f>
        <v>Male</v>
      </c>
      <c r="D2411" s="7" t="str">
        <f aca="false">'Raw Data'!D2411</f>
        <v>Current</v>
      </c>
      <c r="E2411" s="7" t="str">
        <f aca="false">'Raw Data'!J2411</f>
        <v>Normal</v>
      </c>
      <c r="F2411" s="7" t="n">
        <f aca="false">'Raw Data'!K2411</f>
        <v>270.4</v>
      </c>
      <c r="G2411" s="7" t="str">
        <f aca="false">'Raw Data'!L2411</f>
        <v>No</v>
      </c>
      <c r="H2411" s="7" t="str">
        <f aca="false">'Raw Data'!M2411</f>
        <v>Low</v>
      </c>
      <c r="I2411" s="7" t="n">
        <f aca="false">(IF(D2411="Current",3,IF(D2411="Former",1,0)))+(IF(E2411="High",3,IF(E2411="Normal",1,0)))+(IF(F2411&gt;=240,2,IF(F2411&gt;=200,1,0)))+(IF(G2411="Yes",2,0))+(IF(H2411="High",2,IF(H2411="Moderate",1,0)))</f>
        <v>6</v>
      </c>
      <c r="J2411" s="7" t="str">
        <f aca="false">IF(I2411&gt;=8,"High",IF(I2411&gt;=4,"Medium","Low"))</f>
        <v>Medium</v>
      </c>
    </row>
    <row r="2412" customFormat="false" ht="15" hidden="false" customHeight="true" outlineLevel="0" collapsed="false">
      <c r="A2412" s="7" t="n">
        <f aca="false">'Raw Data'!A2412</f>
        <v>1487</v>
      </c>
      <c r="B2412" s="7" t="n">
        <f aca="false">'Raw Data'!B2412</f>
        <v>89</v>
      </c>
      <c r="C2412" s="7" t="str">
        <f aca="false">'Raw Data'!C2412</f>
        <v>Female</v>
      </c>
      <c r="D2412" s="7" t="str">
        <f aca="false">'Raw Data'!D2412</f>
        <v>Current</v>
      </c>
      <c r="E2412" s="7" t="str">
        <f aca="false">'Raw Data'!J2412</f>
        <v>Normal</v>
      </c>
      <c r="F2412" s="7" t="n">
        <f aca="false">'Raw Data'!K2412</f>
        <v>225.8</v>
      </c>
      <c r="G2412" s="7" t="str">
        <f aca="false">'Raw Data'!L2412</f>
        <v>No</v>
      </c>
      <c r="H2412" s="7" t="str">
        <f aca="false">'Raw Data'!M2412</f>
        <v>Low</v>
      </c>
      <c r="I2412" s="7" t="n">
        <f aca="false">(IF(D2412="Current",3,IF(D2412="Former",1,0)))+(IF(E2412="High",3,IF(E2412="Normal",1,0)))+(IF(F2412&gt;=240,2,IF(F2412&gt;=200,1,0)))+(IF(G2412="Yes",2,0))+(IF(H2412="High",2,IF(H2412="Moderate",1,0)))</f>
        <v>5</v>
      </c>
      <c r="J2412" s="7" t="str">
        <f aca="false">IF(I2412&gt;=8,"High",IF(I2412&gt;=4,"Medium","Low"))</f>
        <v>Medium</v>
      </c>
    </row>
    <row r="2413" customFormat="false" ht="15" hidden="false" customHeight="true" outlineLevel="0" collapsed="false">
      <c r="A2413" s="7" t="n">
        <f aca="false">'Raw Data'!A2413</f>
        <v>1500</v>
      </c>
      <c r="B2413" s="7" t="n">
        <f aca="false">'Raw Data'!B2413</f>
        <v>49</v>
      </c>
      <c r="C2413" s="7" t="str">
        <f aca="false">'Raw Data'!C2413</f>
        <v>Male</v>
      </c>
      <c r="D2413" s="7" t="str">
        <f aca="false">'Raw Data'!D2413</f>
        <v>Current</v>
      </c>
      <c r="E2413" s="7" t="str">
        <f aca="false">'Raw Data'!J2413</f>
        <v>Normal</v>
      </c>
      <c r="F2413" s="7" t="n">
        <f aca="false">'Raw Data'!K2413</f>
        <v>206.1</v>
      </c>
      <c r="G2413" s="7" t="str">
        <f aca="false">'Raw Data'!L2413</f>
        <v>No</v>
      </c>
      <c r="H2413" s="7" t="str">
        <f aca="false">'Raw Data'!M2413</f>
        <v>Low</v>
      </c>
      <c r="I2413" s="7" t="n">
        <f aca="false">(IF(D2413="Current",3,IF(D2413="Former",1,0)))+(IF(E2413="High",3,IF(E2413="Normal",1,0)))+(IF(F2413&gt;=240,2,IF(F2413&gt;=200,1,0)))+(IF(G2413="Yes",2,0))+(IF(H2413="High",2,IF(H2413="Moderate",1,0)))</f>
        <v>5</v>
      </c>
      <c r="J2413" s="7" t="str">
        <f aca="false">IF(I2413&gt;=8,"High",IF(I2413&gt;=4,"Medium","Low"))</f>
        <v>Medium</v>
      </c>
    </row>
    <row r="2414" customFormat="false" ht="15" hidden="false" customHeight="true" outlineLevel="0" collapsed="false">
      <c r="A2414" s="7" t="n">
        <f aca="false">'Raw Data'!A2414</f>
        <v>1513</v>
      </c>
      <c r="B2414" s="7" t="n">
        <f aca="false">'Raw Data'!B2414</f>
        <v>26</v>
      </c>
      <c r="C2414" s="7" t="str">
        <f aca="false">'Raw Data'!C2414</f>
        <v>Female</v>
      </c>
      <c r="D2414" s="7" t="str">
        <f aca="false">'Raw Data'!D2414</f>
        <v>Current</v>
      </c>
      <c r="E2414" s="7" t="str">
        <f aca="false">'Raw Data'!J2414</f>
        <v>Normal</v>
      </c>
      <c r="F2414" s="7" t="n">
        <f aca="false">'Raw Data'!K2414</f>
        <v>229.7</v>
      </c>
      <c r="G2414" s="7" t="str">
        <f aca="false">'Raw Data'!L2414</f>
        <v>Yes</v>
      </c>
      <c r="H2414" s="7" t="str">
        <f aca="false">'Raw Data'!M2414</f>
        <v>Low</v>
      </c>
      <c r="I2414" s="7" t="n">
        <f aca="false">(IF(D2414="Current",3,IF(D2414="Former",1,0)))+(IF(E2414="High",3,IF(E2414="Normal",1,0)))+(IF(F2414&gt;=240,2,IF(F2414&gt;=200,1,0)))+(IF(G2414="Yes",2,0))+(IF(H2414="High",2,IF(H2414="Moderate",1,0)))</f>
        <v>7</v>
      </c>
      <c r="J2414" s="7" t="str">
        <f aca="false">IF(I2414&gt;=8,"High",IF(I2414&gt;=4,"Medium","Low"))</f>
        <v>Medium</v>
      </c>
    </row>
    <row r="2415" customFormat="false" ht="15" hidden="false" customHeight="true" outlineLevel="0" collapsed="false">
      <c r="A2415" s="7" t="n">
        <f aca="false">'Raw Data'!A2415</f>
        <v>1531</v>
      </c>
      <c r="B2415" s="7" t="n">
        <f aca="false">'Raw Data'!B2415</f>
        <v>58</v>
      </c>
      <c r="C2415" s="7" t="str">
        <f aca="false">'Raw Data'!C2415</f>
        <v>Male</v>
      </c>
      <c r="D2415" s="7" t="str">
        <f aca="false">'Raw Data'!D2415</f>
        <v>Current</v>
      </c>
      <c r="E2415" s="7" t="str">
        <f aca="false">'Raw Data'!J2415</f>
        <v>Normal</v>
      </c>
      <c r="F2415" s="7" t="n">
        <f aca="false">'Raw Data'!K2415</f>
        <v>287.6</v>
      </c>
      <c r="G2415" s="7" t="str">
        <f aca="false">'Raw Data'!L2415</f>
        <v>No</v>
      </c>
      <c r="H2415" s="7" t="str">
        <f aca="false">'Raw Data'!M2415</f>
        <v>Low</v>
      </c>
      <c r="I2415" s="7" t="n">
        <f aca="false">(IF(D2415="Current",3,IF(D2415="Former",1,0)))+(IF(E2415="High",3,IF(E2415="Normal",1,0)))+(IF(F2415&gt;=240,2,IF(F2415&gt;=200,1,0)))+(IF(G2415="Yes",2,0))+(IF(H2415="High",2,IF(H2415="Moderate",1,0)))</f>
        <v>6</v>
      </c>
      <c r="J2415" s="7" t="str">
        <f aca="false">IF(I2415&gt;=8,"High",IF(I2415&gt;=4,"Medium","Low"))</f>
        <v>Medium</v>
      </c>
    </row>
    <row r="2416" customFormat="false" ht="15" hidden="false" customHeight="true" outlineLevel="0" collapsed="false">
      <c r="A2416" s="7" t="n">
        <f aca="false">'Raw Data'!A2416</f>
        <v>1533</v>
      </c>
      <c r="B2416" s="7" t="n">
        <f aca="false">'Raw Data'!B2416</f>
        <v>53</v>
      </c>
      <c r="C2416" s="7" t="str">
        <f aca="false">'Raw Data'!C2416</f>
        <v>Male</v>
      </c>
      <c r="D2416" s="7" t="str">
        <f aca="false">'Raw Data'!D2416</f>
        <v>Current</v>
      </c>
      <c r="E2416" s="7" t="str">
        <f aca="false">'Raw Data'!J2416</f>
        <v>Normal</v>
      </c>
      <c r="F2416" s="7" t="n">
        <f aca="false">'Raw Data'!K2416</f>
        <v>150.4</v>
      </c>
      <c r="G2416" s="7" t="str">
        <f aca="false">'Raw Data'!L2416</f>
        <v>No</v>
      </c>
      <c r="H2416" s="7" t="str">
        <f aca="false">'Raw Data'!M2416</f>
        <v>Low</v>
      </c>
      <c r="I2416" s="7" t="n">
        <f aca="false">(IF(D2416="Current",3,IF(D2416="Former",1,0)))+(IF(E2416="High",3,IF(E2416="Normal",1,0)))+(IF(F2416&gt;=240,2,IF(F2416&gt;=200,1,0)))+(IF(G2416="Yes",2,0))+(IF(H2416="High",2,IF(H2416="Moderate",1,0)))</f>
        <v>4</v>
      </c>
      <c r="J2416" s="7" t="str">
        <f aca="false">IF(I2416&gt;=8,"High",IF(I2416&gt;=4,"Medium","Low"))</f>
        <v>Medium</v>
      </c>
    </row>
    <row r="2417" customFormat="false" ht="15" hidden="false" customHeight="true" outlineLevel="0" collapsed="false">
      <c r="A2417" s="7" t="n">
        <f aca="false">'Raw Data'!A2417</f>
        <v>1586</v>
      </c>
      <c r="B2417" s="7" t="n">
        <f aca="false">'Raw Data'!B2417</f>
        <v>66</v>
      </c>
      <c r="C2417" s="7" t="str">
        <f aca="false">'Raw Data'!C2417</f>
        <v>Female</v>
      </c>
      <c r="D2417" s="7" t="str">
        <f aca="false">'Raw Data'!D2417</f>
        <v>Current</v>
      </c>
      <c r="E2417" s="7" t="str">
        <f aca="false">'Raw Data'!J2417</f>
        <v>Normal</v>
      </c>
      <c r="F2417" s="7" t="n">
        <f aca="false">'Raw Data'!K2417</f>
        <v>165.4</v>
      </c>
      <c r="G2417" s="7" t="str">
        <f aca="false">'Raw Data'!L2417</f>
        <v>No</v>
      </c>
      <c r="H2417" s="7" t="str">
        <f aca="false">'Raw Data'!M2417</f>
        <v>Low</v>
      </c>
      <c r="I2417" s="7" t="n">
        <f aca="false">(IF(D2417="Current",3,IF(D2417="Former",1,0)))+(IF(E2417="High",3,IF(E2417="Normal",1,0)))+(IF(F2417&gt;=240,2,IF(F2417&gt;=200,1,0)))+(IF(G2417="Yes",2,0))+(IF(H2417="High",2,IF(H2417="Moderate",1,0)))</f>
        <v>4</v>
      </c>
      <c r="J2417" s="7" t="str">
        <f aca="false">IF(I2417&gt;=8,"High",IF(I2417&gt;=4,"Medium","Low"))</f>
        <v>Medium</v>
      </c>
    </row>
    <row r="2418" customFormat="false" ht="15" hidden="false" customHeight="true" outlineLevel="0" collapsed="false">
      <c r="A2418" s="7" t="n">
        <f aca="false">'Raw Data'!A2418</f>
        <v>1591</v>
      </c>
      <c r="B2418" s="7" t="n">
        <f aca="false">'Raw Data'!B2418</f>
        <v>47</v>
      </c>
      <c r="C2418" s="7" t="str">
        <f aca="false">'Raw Data'!C2418</f>
        <v>Female</v>
      </c>
      <c r="D2418" s="7" t="str">
        <f aca="false">'Raw Data'!D2418</f>
        <v>Current</v>
      </c>
      <c r="E2418" s="7" t="str">
        <f aca="false">'Raw Data'!J2418</f>
        <v>Normal</v>
      </c>
      <c r="F2418" s="7" t="n">
        <f aca="false">'Raw Data'!K2418</f>
        <v>232.6</v>
      </c>
      <c r="G2418" s="7" t="str">
        <f aca="false">'Raw Data'!L2418</f>
        <v>No</v>
      </c>
      <c r="H2418" s="7" t="str">
        <f aca="false">'Raw Data'!M2418</f>
        <v>Low</v>
      </c>
      <c r="I2418" s="7" t="n">
        <f aca="false">(IF(D2418="Current",3,IF(D2418="Former",1,0)))+(IF(E2418="High",3,IF(E2418="Normal",1,0)))+(IF(F2418&gt;=240,2,IF(F2418&gt;=200,1,0)))+(IF(G2418="Yes",2,0))+(IF(H2418="High",2,IF(H2418="Moderate",1,0)))</f>
        <v>5</v>
      </c>
      <c r="J2418" s="7" t="str">
        <f aca="false">IF(I2418&gt;=8,"High",IF(I2418&gt;=4,"Medium","Low"))</f>
        <v>Medium</v>
      </c>
    </row>
    <row r="2419" customFormat="false" ht="15" hidden="false" customHeight="true" outlineLevel="0" collapsed="false">
      <c r="A2419" s="7" t="n">
        <f aca="false">'Raw Data'!A2419</f>
        <v>1599</v>
      </c>
      <c r="B2419" s="7" t="n">
        <f aca="false">'Raw Data'!B2419</f>
        <v>87</v>
      </c>
      <c r="C2419" s="7" t="str">
        <f aca="false">'Raw Data'!C2419</f>
        <v>Male</v>
      </c>
      <c r="D2419" s="7" t="str">
        <f aca="false">'Raw Data'!D2419</f>
        <v>Current</v>
      </c>
      <c r="E2419" s="7" t="str">
        <f aca="false">'Raw Data'!J2419</f>
        <v>Normal</v>
      </c>
      <c r="F2419" s="7" t="n">
        <f aca="false">'Raw Data'!K2419</f>
        <v>270.3</v>
      </c>
      <c r="G2419" s="7" t="str">
        <f aca="false">'Raw Data'!L2419</f>
        <v>Yes</v>
      </c>
      <c r="H2419" s="7" t="str">
        <f aca="false">'Raw Data'!M2419</f>
        <v>Low</v>
      </c>
      <c r="I2419" s="7" t="n">
        <f aca="false">(IF(D2419="Current",3,IF(D2419="Former",1,0)))+(IF(E2419="High",3,IF(E2419="Normal",1,0)))+(IF(F2419&gt;=240,2,IF(F2419&gt;=200,1,0)))+(IF(G2419="Yes",2,0))+(IF(H2419="High",2,IF(H2419="Moderate",1,0)))</f>
        <v>8</v>
      </c>
      <c r="J2419" s="7" t="str">
        <f aca="false">IF(I2419&gt;=8,"High",IF(I2419&gt;=4,"Medium","Low"))</f>
        <v>High</v>
      </c>
    </row>
    <row r="2420" customFormat="false" ht="15" hidden="false" customHeight="true" outlineLevel="0" collapsed="false">
      <c r="A2420" s="7" t="n">
        <f aca="false">'Raw Data'!A2420</f>
        <v>1617</v>
      </c>
      <c r="B2420" s="7" t="n">
        <f aca="false">'Raw Data'!B2420</f>
        <v>51</v>
      </c>
      <c r="C2420" s="7" t="str">
        <f aca="false">'Raw Data'!C2420</f>
        <v>Male</v>
      </c>
      <c r="D2420" s="7" t="str">
        <f aca="false">'Raw Data'!D2420</f>
        <v>Current</v>
      </c>
      <c r="E2420" s="7" t="str">
        <f aca="false">'Raw Data'!J2420</f>
        <v>Normal</v>
      </c>
      <c r="F2420" s="7" t="n">
        <f aca="false">'Raw Data'!K2420</f>
        <v>225.2</v>
      </c>
      <c r="G2420" s="7" t="str">
        <f aca="false">'Raw Data'!L2420</f>
        <v>No</v>
      </c>
      <c r="H2420" s="7" t="str">
        <f aca="false">'Raw Data'!M2420</f>
        <v>Low</v>
      </c>
      <c r="I2420" s="7" t="n">
        <f aca="false">(IF(D2420="Current",3,IF(D2420="Former",1,0)))+(IF(E2420="High",3,IF(E2420="Normal",1,0)))+(IF(F2420&gt;=240,2,IF(F2420&gt;=200,1,0)))+(IF(G2420="Yes",2,0))+(IF(H2420="High",2,IF(H2420="Moderate",1,0)))</f>
        <v>5</v>
      </c>
      <c r="J2420" s="7" t="str">
        <f aca="false">IF(I2420&gt;=8,"High",IF(I2420&gt;=4,"Medium","Low"))</f>
        <v>Medium</v>
      </c>
    </row>
    <row r="2421" customFormat="false" ht="15" hidden="false" customHeight="true" outlineLevel="0" collapsed="false">
      <c r="A2421" s="7" t="n">
        <f aca="false">'Raw Data'!A2421</f>
        <v>1644</v>
      </c>
      <c r="B2421" s="7" t="n">
        <f aca="false">'Raw Data'!B2421</f>
        <v>67</v>
      </c>
      <c r="C2421" s="7" t="str">
        <f aca="false">'Raw Data'!C2421</f>
        <v>Male</v>
      </c>
      <c r="D2421" s="7" t="str">
        <f aca="false">'Raw Data'!D2421</f>
        <v>Current</v>
      </c>
      <c r="E2421" s="7" t="str">
        <f aca="false">'Raw Data'!J2421</f>
        <v>Normal</v>
      </c>
      <c r="F2421" s="7" t="n">
        <f aca="false">'Raw Data'!K2421</f>
        <v>254.7</v>
      </c>
      <c r="G2421" s="7" t="str">
        <f aca="false">'Raw Data'!L2421</f>
        <v>No</v>
      </c>
      <c r="H2421" s="7" t="str">
        <f aca="false">'Raw Data'!M2421</f>
        <v>Low</v>
      </c>
      <c r="I2421" s="7" t="n">
        <f aca="false">(IF(D2421="Current",3,IF(D2421="Former",1,0)))+(IF(E2421="High",3,IF(E2421="Normal",1,0)))+(IF(F2421&gt;=240,2,IF(F2421&gt;=200,1,0)))+(IF(G2421="Yes",2,0))+(IF(H2421="High",2,IF(H2421="Moderate",1,0)))</f>
        <v>6</v>
      </c>
      <c r="J2421" s="7" t="str">
        <f aca="false">IF(I2421&gt;=8,"High",IF(I2421&gt;=4,"Medium","Low"))</f>
        <v>Medium</v>
      </c>
    </row>
    <row r="2422" customFormat="false" ht="15" hidden="false" customHeight="true" outlineLevel="0" collapsed="false">
      <c r="A2422" s="7" t="n">
        <f aca="false">'Raw Data'!A2422</f>
        <v>1654</v>
      </c>
      <c r="B2422" s="7" t="n">
        <f aca="false">'Raw Data'!B2422</f>
        <v>48</v>
      </c>
      <c r="C2422" s="7" t="str">
        <f aca="false">'Raw Data'!C2422</f>
        <v>Female</v>
      </c>
      <c r="D2422" s="7" t="str">
        <f aca="false">'Raw Data'!D2422</f>
        <v>Current</v>
      </c>
      <c r="E2422" s="7" t="str">
        <f aca="false">'Raw Data'!J2422</f>
        <v>Normal</v>
      </c>
      <c r="F2422" s="7" t="n">
        <f aca="false">'Raw Data'!K2422</f>
        <v>163.4</v>
      </c>
      <c r="G2422" s="7" t="str">
        <f aca="false">'Raw Data'!L2422</f>
        <v>No</v>
      </c>
      <c r="H2422" s="7" t="str">
        <f aca="false">'Raw Data'!M2422</f>
        <v>Low</v>
      </c>
      <c r="I2422" s="7" t="n">
        <f aca="false">(IF(D2422="Current",3,IF(D2422="Former",1,0)))+(IF(E2422="High",3,IF(E2422="Normal",1,0)))+(IF(F2422&gt;=240,2,IF(F2422&gt;=200,1,0)))+(IF(G2422="Yes",2,0))+(IF(H2422="High",2,IF(H2422="Moderate",1,0)))</f>
        <v>4</v>
      </c>
      <c r="J2422" s="7" t="str">
        <f aca="false">IF(I2422&gt;=8,"High",IF(I2422&gt;=4,"Medium","Low"))</f>
        <v>Medium</v>
      </c>
    </row>
    <row r="2423" customFormat="false" ht="15" hidden="false" customHeight="true" outlineLevel="0" collapsed="false">
      <c r="A2423" s="7" t="n">
        <f aca="false">'Raw Data'!A2423</f>
        <v>1656</v>
      </c>
      <c r="B2423" s="7" t="n">
        <f aca="false">'Raw Data'!B2423</f>
        <v>27</v>
      </c>
      <c r="C2423" s="7" t="str">
        <f aca="false">'Raw Data'!C2423</f>
        <v>Male</v>
      </c>
      <c r="D2423" s="7" t="str">
        <f aca="false">'Raw Data'!D2423</f>
        <v>Current</v>
      </c>
      <c r="E2423" s="7" t="str">
        <f aca="false">'Raw Data'!J2423</f>
        <v>Normal</v>
      </c>
      <c r="F2423" s="7" t="n">
        <f aca="false">'Raw Data'!K2423</f>
        <v>230.4</v>
      </c>
      <c r="G2423" s="7" t="str">
        <f aca="false">'Raw Data'!L2423</f>
        <v>No</v>
      </c>
      <c r="H2423" s="7" t="str">
        <f aca="false">'Raw Data'!M2423</f>
        <v>Low</v>
      </c>
      <c r="I2423" s="7" t="n">
        <f aca="false">(IF(D2423="Current",3,IF(D2423="Former",1,0)))+(IF(E2423="High",3,IF(E2423="Normal",1,0)))+(IF(F2423&gt;=240,2,IF(F2423&gt;=200,1,0)))+(IF(G2423="Yes",2,0))+(IF(H2423="High",2,IF(H2423="Moderate",1,0)))</f>
        <v>5</v>
      </c>
      <c r="J2423" s="7" t="str">
        <f aca="false">IF(I2423&gt;=8,"High",IF(I2423&gt;=4,"Medium","Low"))</f>
        <v>Medium</v>
      </c>
    </row>
    <row r="2424" customFormat="false" ht="15" hidden="false" customHeight="true" outlineLevel="0" collapsed="false">
      <c r="A2424" s="7" t="n">
        <f aca="false">'Raw Data'!A2424</f>
        <v>1663</v>
      </c>
      <c r="B2424" s="7" t="n">
        <f aca="false">'Raw Data'!B2424</f>
        <v>76</v>
      </c>
      <c r="C2424" s="7" t="str">
        <f aca="false">'Raw Data'!C2424</f>
        <v>Male</v>
      </c>
      <c r="D2424" s="7" t="str">
        <f aca="false">'Raw Data'!D2424</f>
        <v>Current</v>
      </c>
      <c r="E2424" s="7" t="str">
        <f aca="false">'Raw Data'!J2424</f>
        <v>Normal</v>
      </c>
      <c r="F2424" s="7" t="n">
        <f aca="false">'Raw Data'!K2424</f>
        <v>280</v>
      </c>
      <c r="G2424" s="7" t="str">
        <f aca="false">'Raw Data'!L2424</f>
        <v>No</v>
      </c>
      <c r="H2424" s="7" t="str">
        <f aca="false">'Raw Data'!M2424</f>
        <v>Low</v>
      </c>
      <c r="I2424" s="7" t="n">
        <f aca="false">(IF(D2424="Current",3,IF(D2424="Former",1,0)))+(IF(E2424="High",3,IF(E2424="Normal",1,0)))+(IF(F2424&gt;=240,2,IF(F2424&gt;=200,1,0)))+(IF(G2424="Yes",2,0))+(IF(H2424="High",2,IF(H2424="Moderate",1,0)))</f>
        <v>6</v>
      </c>
      <c r="J2424" s="7" t="str">
        <f aca="false">IF(I2424&gt;=8,"High",IF(I2424&gt;=4,"Medium","Low"))</f>
        <v>Medium</v>
      </c>
    </row>
    <row r="2425" customFormat="false" ht="15" hidden="false" customHeight="true" outlineLevel="0" collapsed="false">
      <c r="A2425" s="7" t="n">
        <f aca="false">'Raw Data'!A2425</f>
        <v>1669</v>
      </c>
      <c r="B2425" s="7" t="n">
        <f aca="false">'Raw Data'!B2425</f>
        <v>73</v>
      </c>
      <c r="C2425" s="7" t="str">
        <f aca="false">'Raw Data'!C2425</f>
        <v>Male</v>
      </c>
      <c r="D2425" s="7" t="str">
        <f aca="false">'Raw Data'!D2425</f>
        <v>Current</v>
      </c>
      <c r="E2425" s="7" t="str">
        <f aca="false">'Raw Data'!J2425</f>
        <v>Normal</v>
      </c>
      <c r="F2425" s="7" t="n">
        <f aca="false">'Raw Data'!K2425</f>
        <v>182.7</v>
      </c>
      <c r="G2425" s="7" t="str">
        <f aca="false">'Raw Data'!L2425</f>
        <v>No</v>
      </c>
      <c r="H2425" s="7" t="str">
        <f aca="false">'Raw Data'!M2425</f>
        <v>Low</v>
      </c>
      <c r="I2425" s="7" t="n">
        <f aca="false">(IF(D2425="Current",3,IF(D2425="Former",1,0)))+(IF(E2425="High",3,IF(E2425="Normal",1,0)))+(IF(F2425&gt;=240,2,IF(F2425&gt;=200,1,0)))+(IF(G2425="Yes",2,0))+(IF(H2425="High",2,IF(H2425="Moderate",1,0)))</f>
        <v>4</v>
      </c>
      <c r="J2425" s="7" t="str">
        <f aca="false">IF(I2425&gt;=8,"High",IF(I2425&gt;=4,"Medium","Low"))</f>
        <v>Medium</v>
      </c>
    </row>
    <row r="2426" customFormat="false" ht="15" hidden="false" customHeight="true" outlineLevel="0" collapsed="false">
      <c r="A2426" s="7" t="n">
        <f aca="false">'Raw Data'!A2426</f>
        <v>1670</v>
      </c>
      <c r="B2426" s="7" t="n">
        <f aca="false">'Raw Data'!B2426</f>
        <v>33</v>
      </c>
      <c r="C2426" s="7" t="str">
        <f aca="false">'Raw Data'!C2426</f>
        <v>Female</v>
      </c>
      <c r="D2426" s="7" t="str">
        <f aca="false">'Raw Data'!D2426</f>
        <v>Current</v>
      </c>
      <c r="E2426" s="7" t="str">
        <f aca="false">'Raw Data'!J2426</f>
        <v>Normal</v>
      </c>
      <c r="F2426" s="7" t="n">
        <f aca="false">'Raw Data'!K2426</f>
        <v>287.5</v>
      </c>
      <c r="G2426" s="7" t="str">
        <f aca="false">'Raw Data'!L2426</f>
        <v>No</v>
      </c>
      <c r="H2426" s="7" t="str">
        <f aca="false">'Raw Data'!M2426</f>
        <v>Low</v>
      </c>
      <c r="I2426" s="7" t="n">
        <f aca="false">(IF(D2426="Current",3,IF(D2426="Former",1,0)))+(IF(E2426="High",3,IF(E2426="Normal",1,0)))+(IF(F2426&gt;=240,2,IF(F2426&gt;=200,1,0)))+(IF(G2426="Yes",2,0))+(IF(H2426="High",2,IF(H2426="Moderate",1,0)))</f>
        <v>6</v>
      </c>
      <c r="J2426" s="7" t="str">
        <f aca="false">IF(I2426&gt;=8,"High",IF(I2426&gt;=4,"Medium","Low"))</f>
        <v>Medium</v>
      </c>
    </row>
    <row r="2427" customFormat="false" ht="15" hidden="false" customHeight="true" outlineLevel="0" collapsed="false">
      <c r="A2427" s="7" t="n">
        <f aca="false">'Raw Data'!A2427</f>
        <v>1673</v>
      </c>
      <c r="B2427" s="7" t="n">
        <f aca="false">'Raw Data'!B2427</f>
        <v>33</v>
      </c>
      <c r="C2427" s="7" t="str">
        <f aca="false">'Raw Data'!C2427</f>
        <v>Female</v>
      </c>
      <c r="D2427" s="7" t="str">
        <f aca="false">'Raw Data'!D2427</f>
        <v>Current</v>
      </c>
      <c r="E2427" s="7" t="str">
        <f aca="false">'Raw Data'!J2427</f>
        <v>Normal</v>
      </c>
      <c r="F2427" s="7" t="n">
        <f aca="false">'Raw Data'!K2427</f>
        <v>178.3</v>
      </c>
      <c r="G2427" s="7" t="str">
        <f aca="false">'Raw Data'!L2427</f>
        <v>No</v>
      </c>
      <c r="H2427" s="7" t="str">
        <f aca="false">'Raw Data'!M2427</f>
        <v>Low</v>
      </c>
      <c r="I2427" s="7" t="n">
        <f aca="false">(IF(D2427="Current",3,IF(D2427="Former",1,0)))+(IF(E2427="High",3,IF(E2427="Normal",1,0)))+(IF(F2427&gt;=240,2,IF(F2427&gt;=200,1,0)))+(IF(G2427="Yes",2,0))+(IF(H2427="High",2,IF(H2427="Moderate",1,0)))</f>
        <v>4</v>
      </c>
      <c r="J2427" s="7" t="str">
        <f aca="false">IF(I2427&gt;=8,"High",IF(I2427&gt;=4,"Medium","Low"))</f>
        <v>Medium</v>
      </c>
    </row>
    <row r="2428" customFormat="false" ht="15" hidden="false" customHeight="true" outlineLevel="0" collapsed="false">
      <c r="A2428" s="7" t="n">
        <f aca="false">'Raw Data'!A2428</f>
        <v>1682</v>
      </c>
      <c r="B2428" s="7" t="n">
        <f aca="false">'Raw Data'!B2428</f>
        <v>27</v>
      </c>
      <c r="C2428" s="7" t="str">
        <f aca="false">'Raw Data'!C2428</f>
        <v>Female</v>
      </c>
      <c r="D2428" s="7" t="str">
        <f aca="false">'Raw Data'!D2428</f>
        <v>Current</v>
      </c>
      <c r="E2428" s="7" t="str">
        <f aca="false">'Raw Data'!J2428</f>
        <v>Normal</v>
      </c>
      <c r="F2428" s="7" t="n">
        <f aca="false">'Raw Data'!K2428</f>
        <v>132</v>
      </c>
      <c r="G2428" s="7" t="str">
        <f aca="false">'Raw Data'!L2428</f>
        <v>No</v>
      </c>
      <c r="H2428" s="7" t="str">
        <f aca="false">'Raw Data'!M2428</f>
        <v>Low</v>
      </c>
      <c r="I2428" s="7" t="n">
        <f aca="false">(IF(D2428="Current",3,IF(D2428="Former",1,0)))+(IF(E2428="High",3,IF(E2428="Normal",1,0)))+(IF(F2428&gt;=240,2,IF(F2428&gt;=200,1,0)))+(IF(G2428="Yes",2,0))+(IF(H2428="High",2,IF(H2428="Moderate",1,0)))</f>
        <v>4</v>
      </c>
      <c r="J2428" s="7" t="str">
        <f aca="false">IF(I2428&gt;=8,"High",IF(I2428&gt;=4,"Medium","Low"))</f>
        <v>Medium</v>
      </c>
    </row>
    <row r="2429" customFormat="false" ht="15" hidden="false" customHeight="true" outlineLevel="0" collapsed="false">
      <c r="A2429" s="7" t="n">
        <f aca="false">'Raw Data'!A2429</f>
        <v>1686</v>
      </c>
      <c r="B2429" s="7" t="n">
        <f aca="false">'Raw Data'!B2429</f>
        <v>72</v>
      </c>
      <c r="C2429" s="7" t="str">
        <f aca="false">'Raw Data'!C2429</f>
        <v>Female</v>
      </c>
      <c r="D2429" s="7" t="str">
        <f aca="false">'Raw Data'!D2429</f>
        <v>Current</v>
      </c>
      <c r="E2429" s="7" t="str">
        <f aca="false">'Raw Data'!J2429</f>
        <v>Normal</v>
      </c>
      <c r="F2429" s="7" t="n">
        <f aca="false">'Raw Data'!K2429</f>
        <v>124.4</v>
      </c>
      <c r="G2429" s="7" t="str">
        <f aca="false">'Raw Data'!L2429</f>
        <v>No</v>
      </c>
      <c r="H2429" s="7" t="str">
        <f aca="false">'Raw Data'!M2429</f>
        <v>Low</v>
      </c>
      <c r="I2429" s="7" t="n">
        <f aca="false">(IF(D2429="Current",3,IF(D2429="Former",1,0)))+(IF(E2429="High",3,IF(E2429="Normal",1,0)))+(IF(F2429&gt;=240,2,IF(F2429&gt;=200,1,0)))+(IF(G2429="Yes",2,0))+(IF(H2429="High",2,IF(H2429="Moderate",1,0)))</f>
        <v>4</v>
      </c>
      <c r="J2429" s="7" t="str">
        <f aca="false">IF(I2429&gt;=8,"High",IF(I2429&gt;=4,"Medium","Low"))</f>
        <v>Medium</v>
      </c>
    </row>
    <row r="2430" customFormat="false" ht="15" hidden="false" customHeight="true" outlineLevel="0" collapsed="false">
      <c r="A2430" s="7" t="n">
        <f aca="false">'Raw Data'!A2430</f>
        <v>1695</v>
      </c>
      <c r="B2430" s="7" t="n">
        <f aca="false">'Raw Data'!B2430</f>
        <v>76</v>
      </c>
      <c r="C2430" s="7" t="str">
        <f aca="false">'Raw Data'!C2430</f>
        <v>Female</v>
      </c>
      <c r="D2430" s="7" t="str">
        <f aca="false">'Raw Data'!D2430</f>
        <v>Current</v>
      </c>
      <c r="E2430" s="7" t="str">
        <f aca="false">'Raw Data'!J2430</f>
        <v>Normal</v>
      </c>
      <c r="F2430" s="7" t="n">
        <f aca="false">'Raw Data'!K2430</f>
        <v>253.7</v>
      </c>
      <c r="G2430" s="7" t="str">
        <f aca="false">'Raw Data'!L2430</f>
        <v>No</v>
      </c>
      <c r="H2430" s="7" t="str">
        <f aca="false">'Raw Data'!M2430</f>
        <v>Low</v>
      </c>
      <c r="I2430" s="7" t="n">
        <f aca="false">(IF(D2430="Current",3,IF(D2430="Former",1,0)))+(IF(E2430="High",3,IF(E2430="Normal",1,0)))+(IF(F2430&gt;=240,2,IF(F2430&gt;=200,1,0)))+(IF(G2430="Yes",2,0))+(IF(H2430="High",2,IF(H2430="Moderate",1,0)))</f>
        <v>6</v>
      </c>
      <c r="J2430" s="7" t="str">
        <f aca="false">IF(I2430&gt;=8,"High",IF(I2430&gt;=4,"Medium","Low"))</f>
        <v>Medium</v>
      </c>
    </row>
    <row r="2431" customFormat="false" ht="15" hidden="false" customHeight="true" outlineLevel="0" collapsed="false">
      <c r="A2431" s="7" t="n">
        <f aca="false">'Raw Data'!A2431</f>
        <v>1700</v>
      </c>
      <c r="B2431" s="7" t="n">
        <f aca="false">'Raw Data'!B2431</f>
        <v>27</v>
      </c>
      <c r="C2431" s="7" t="str">
        <f aca="false">'Raw Data'!C2431</f>
        <v>Female</v>
      </c>
      <c r="D2431" s="7" t="str">
        <f aca="false">'Raw Data'!D2431</f>
        <v>Current</v>
      </c>
      <c r="E2431" s="7" t="str">
        <f aca="false">'Raw Data'!J2431</f>
        <v>Normal</v>
      </c>
      <c r="F2431" s="7" t="n">
        <f aca="false">'Raw Data'!K2431</f>
        <v>121.4</v>
      </c>
      <c r="G2431" s="7" t="str">
        <f aca="false">'Raw Data'!L2431</f>
        <v>Yes</v>
      </c>
      <c r="H2431" s="7" t="str">
        <f aca="false">'Raw Data'!M2431</f>
        <v>Low</v>
      </c>
      <c r="I2431" s="7" t="n">
        <f aca="false">(IF(D2431="Current",3,IF(D2431="Former",1,0)))+(IF(E2431="High",3,IF(E2431="Normal",1,0)))+(IF(F2431&gt;=240,2,IF(F2431&gt;=200,1,0)))+(IF(G2431="Yes",2,0))+(IF(H2431="High",2,IF(H2431="Moderate",1,0)))</f>
        <v>6</v>
      </c>
      <c r="J2431" s="7" t="str">
        <f aca="false">IF(I2431&gt;=8,"High",IF(I2431&gt;=4,"Medium","Low"))</f>
        <v>Medium</v>
      </c>
    </row>
    <row r="2432" customFormat="false" ht="15" hidden="false" customHeight="true" outlineLevel="0" collapsed="false">
      <c r="A2432" s="7" t="n">
        <f aca="false">'Raw Data'!A2432</f>
        <v>1703</v>
      </c>
      <c r="B2432" s="7" t="n">
        <f aca="false">'Raw Data'!B2432</f>
        <v>74</v>
      </c>
      <c r="C2432" s="7" t="str">
        <f aca="false">'Raw Data'!C2432</f>
        <v>Female</v>
      </c>
      <c r="D2432" s="7" t="str">
        <f aca="false">'Raw Data'!D2432</f>
        <v>Current</v>
      </c>
      <c r="E2432" s="7" t="str">
        <f aca="false">'Raw Data'!J2432</f>
        <v>Normal</v>
      </c>
      <c r="F2432" s="7" t="n">
        <f aca="false">'Raw Data'!K2432</f>
        <v>233.3</v>
      </c>
      <c r="G2432" s="7" t="str">
        <f aca="false">'Raw Data'!L2432</f>
        <v>No</v>
      </c>
      <c r="H2432" s="7" t="str">
        <f aca="false">'Raw Data'!M2432</f>
        <v>Low</v>
      </c>
      <c r="I2432" s="7" t="n">
        <f aca="false">(IF(D2432="Current",3,IF(D2432="Former",1,0)))+(IF(E2432="High",3,IF(E2432="Normal",1,0)))+(IF(F2432&gt;=240,2,IF(F2432&gt;=200,1,0)))+(IF(G2432="Yes",2,0))+(IF(H2432="High",2,IF(H2432="Moderate",1,0)))</f>
        <v>5</v>
      </c>
      <c r="J2432" s="7" t="str">
        <f aca="false">IF(I2432&gt;=8,"High",IF(I2432&gt;=4,"Medium","Low"))</f>
        <v>Medium</v>
      </c>
    </row>
    <row r="2433" customFormat="false" ht="15" hidden="false" customHeight="true" outlineLevel="0" collapsed="false">
      <c r="A2433" s="7" t="n">
        <f aca="false">'Raw Data'!A2433</f>
        <v>1706</v>
      </c>
      <c r="B2433" s="7" t="n">
        <f aca="false">'Raw Data'!B2433</f>
        <v>86</v>
      </c>
      <c r="C2433" s="7" t="str">
        <f aca="false">'Raw Data'!C2433</f>
        <v>Male</v>
      </c>
      <c r="D2433" s="7" t="str">
        <f aca="false">'Raw Data'!D2433</f>
        <v>Current</v>
      </c>
      <c r="E2433" s="7" t="str">
        <f aca="false">'Raw Data'!J2433</f>
        <v>Normal</v>
      </c>
      <c r="F2433" s="7" t="n">
        <f aca="false">'Raw Data'!K2433</f>
        <v>152.6</v>
      </c>
      <c r="G2433" s="7" t="str">
        <f aca="false">'Raw Data'!L2433</f>
        <v>Yes</v>
      </c>
      <c r="H2433" s="7" t="str">
        <f aca="false">'Raw Data'!M2433</f>
        <v>Low</v>
      </c>
      <c r="I2433" s="7" t="n">
        <f aca="false">(IF(D2433="Current",3,IF(D2433="Former",1,0)))+(IF(E2433="High",3,IF(E2433="Normal",1,0)))+(IF(F2433&gt;=240,2,IF(F2433&gt;=200,1,0)))+(IF(G2433="Yes",2,0))+(IF(H2433="High",2,IF(H2433="Moderate",1,0)))</f>
        <v>6</v>
      </c>
      <c r="J2433" s="7" t="str">
        <f aca="false">IF(I2433&gt;=8,"High",IF(I2433&gt;=4,"Medium","Low"))</f>
        <v>Medium</v>
      </c>
    </row>
    <row r="2434" customFormat="false" ht="15" hidden="false" customHeight="true" outlineLevel="0" collapsed="false">
      <c r="A2434" s="7" t="n">
        <f aca="false">'Raw Data'!A2434</f>
        <v>1719</v>
      </c>
      <c r="B2434" s="7" t="n">
        <f aca="false">'Raw Data'!B2434</f>
        <v>52</v>
      </c>
      <c r="C2434" s="7" t="str">
        <f aca="false">'Raw Data'!C2434</f>
        <v>Male</v>
      </c>
      <c r="D2434" s="7" t="str">
        <f aca="false">'Raw Data'!D2434</f>
        <v>Current</v>
      </c>
      <c r="E2434" s="7" t="str">
        <f aca="false">'Raw Data'!J2434</f>
        <v>Normal</v>
      </c>
      <c r="F2434" s="7" t="n">
        <f aca="false">'Raw Data'!K2434</f>
        <v>120.8</v>
      </c>
      <c r="G2434" s="7" t="str">
        <f aca="false">'Raw Data'!L2434</f>
        <v>Yes</v>
      </c>
      <c r="H2434" s="7" t="str">
        <f aca="false">'Raw Data'!M2434</f>
        <v>Low</v>
      </c>
      <c r="I2434" s="7" t="n">
        <f aca="false">(IF(D2434="Current",3,IF(D2434="Former",1,0)))+(IF(E2434="High",3,IF(E2434="Normal",1,0)))+(IF(F2434&gt;=240,2,IF(F2434&gt;=200,1,0)))+(IF(G2434="Yes",2,0))+(IF(H2434="High",2,IF(H2434="Moderate",1,0)))</f>
        <v>6</v>
      </c>
      <c r="J2434" s="7" t="str">
        <f aca="false">IF(I2434&gt;=8,"High",IF(I2434&gt;=4,"Medium","Low"))</f>
        <v>Medium</v>
      </c>
    </row>
    <row r="2435" customFormat="false" ht="15" hidden="false" customHeight="true" outlineLevel="0" collapsed="false">
      <c r="A2435" s="7" t="n">
        <f aca="false">'Raw Data'!A2435</f>
        <v>1731</v>
      </c>
      <c r="B2435" s="7" t="n">
        <f aca="false">'Raw Data'!B2435</f>
        <v>44</v>
      </c>
      <c r="C2435" s="7" t="str">
        <f aca="false">'Raw Data'!C2435</f>
        <v>Female</v>
      </c>
      <c r="D2435" s="7" t="str">
        <f aca="false">'Raw Data'!D2435</f>
        <v>Current</v>
      </c>
      <c r="E2435" s="7" t="str">
        <f aca="false">'Raw Data'!J2435</f>
        <v>Normal</v>
      </c>
      <c r="F2435" s="7" t="n">
        <f aca="false">'Raw Data'!K2435</f>
        <v>230.7</v>
      </c>
      <c r="G2435" s="7" t="str">
        <f aca="false">'Raw Data'!L2435</f>
        <v>Yes</v>
      </c>
      <c r="H2435" s="7" t="str">
        <f aca="false">'Raw Data'!M2435</f>
        <v>Low</v>
      </c>
      <c r="I2435" s="7" t="n">
        <f aca="false">(IF(D2435="Current",3,IF(D2435="Former",1,0)))+(IF(E2435="High",3,IF(E2435="Normal",1,0)))+(IF(F2435&gt;=240,2,IF(F2435&gt;=200,1,0)))+(IF(G2435="Yes",2,0))+(IF(H2435="High",2,IF(H2435="Moderate",1,0)))</f>
        <v>7</v>
      </c>
      <c r="J2435" s="7" t="str">
        <f aca="false">IF(I2435&gt;=8,"High",IF(I2435&gt;=4,"Medium","Low"))</f>
        <v>Medium</v>
      </c>
    </row>
    <row r="2436" customFormat="false" ht="15" hidden="false" customHeight="true" outlineLevel="0" collapsed="false">
      <c r="A2436" s="7" t="n">
        <f aca="false">'Raw Data'!A2436</f>
        <v>1734</v>
      </c>
      <c r="B2436" s="7" t="n">
        <f aca="false">'Raw Data'!B2436</f>
        <v>83</v>
      </c>
      <c r="C2436" s="7" t="str">
        <f aca="false">'Raw Data'!C2436</f>
        <v>Female</v>
      </c>
      <c r="D2436" s="7" t="str">
        <f aca="false">'Raw Data'!D2436</f>
        <v>Current</v>
      </c>
      <c r="E2436" s="7" t="str">
        <f aca="false">'Raw Data'!J2436</f>
        <v>Normal</v>
      </c>
      <c r="F2436" s="7" t="n">
        <f aca="false">'Raw Data'!K2436</f>
        <v>281.6</v>
      </c>
      <c r="G2436" s="7" t="str">
        <f aca="false">'Raw Data'!L2436</f>
        <v>No</v>
      </c>
      <c r="H2436" s="7" t="str">
        <f aca="false">'Raw Data'!M2436</f>
        <v>Low</v>
      </c>
      <c r="I2436" s="7" t="n">
        <f aca="false">(IF(D2436="Current",3,IF(D2436="Former",1,0)))+(IF(E2436="High",3,IF(E2436="Normal",1,0)))+(IF(F2436&gt;=240,2,IF(F2436&gt;=200,1,0)))+(IF(G2436="Yes",2,0))+(IF(H2436="High",2,IF(H2436="Moderate",1,0)))</f>
        <v>6</v>
      </c>
      <c r="J2436" s="7" t="str">
        <f aca="false">IF(I2436&gt;=8,"High",IF(I2436&gt;=4,"Medium","Low"))</f>
        <v>Medium</v>
      </c>
    </row>
    <row r="2437" customFormat="false" ht="15" hidden="false" customHeight="true" outlineLevel="0" collapsed="false">
      <c r="A2437" s="7" t="n">
        <f aca="false">'Raw Data'!A2437</f>
        <v>1738</v>
      </c>
      <c r="B2437" s="7" t="n">
        <f aca="false">'Raw Data'!B2437</f>
        <v>30</v>
      </c>
      <c r="C2437" s="7" t="str">
        <f aca="false">'Raw Data'!C2437</f>
        <v>Female</v>
      </c>
      <c r="D2437" s="7" t="str">
        <f aca="false">'Raw Data'!D2437</f>
        <v>Current</v>
      </c>
      <c r="E2437" s="7" t="str">
        <f aca="false">'Raw Data'!J2437</f>
        <v>Normal</v>
      </c>
      <c r="F2437" s="7" t="n">
        <f aca="false">'Raw Data'!K2437</f>
        <v>127.7</v>
      </c>
      <c r="G2437" s="7" t="str">
        <f aca="false">'Raw Data'!L2437</f>
        <v>No</v>
      </c>
      <c r="H2437" s="7" t="str">
        <f aca="false">'Raw Data'!M2437</f>
        <v>Low</v>
      </c>
      <c r="I2437" s="7" t="n">
        <f aca="false">(IF(D2437="Current",3,IF(D2437="Former",1,0)))+(IF(E2437="High",3,IF(E2437="Normal",1,0)))+(IF(F2437&gt;=240,2,IF(F2437&gt;=200,1,0)))+(IF(G2437="Yes",2,0))+(IF(H2437="High",2,IF(H2437="Moderate",1,0)))</f>
        <v>4</v>
      </c>
      <c r="J2437" s="7" t="str">
        <f aca="false">IF(I2437&gt;=8,"High",IF(I2437&gt;=4,"Medium","Low"))</f>
        <v>Medium</v>
      </c>
    </row>
    <row r="2438" customFormat="false" ht="15" hidden="false" customHeight="true" outlineLevel="0" collapsed="false">
      <c r="A2438" s="7" t="n">
        <f aca="false">'Raw Data'!A2438</f>
        <v>1761</v>
      </c>
      <c r="B2438" s="7" t="n">
        <f aca="false">'Raw Data'!B2438</f>
        <v>32</v>
      </c>
      <c r="C2438" s="7" t="str">
        <f aca="false">'Raw Data'!C2438</f>
        <v>Female</v>
      </c>
      <c r="D2438" s="7" t="str">
        <f aca="false">'Raw Data'!D2438</f>
        <v>Current</v>
      </c>
      <c r="E2438" s="7" t="str">
        <f aca="false">'Raw Data'!J2438</f>
        <v>Normal</v>
      </c>
      <c r="F2438" s="7" t="n">
        <f aca="false">'Raw Data'!K2438</f>
        <v>185.2</v>
      </c>
      <c r="G2438" s="7" t="str">
        <f aca="false">'Raw Data'!L2438</f>
        <v>No</v>
      </c>
      <c r="H2438" s="7" t="str">
        <f aca="false">'Raw Data'!M2438</f>
        <v>Low</v>
      </c>
      <c r="I2438" s="7" t="n">
        <f aca="false">(IF(D2438="Current",3,IF(D2438="Former",1,0)))+(IF(E2438="High",3,IF(E2438="Normal",1,0)))+(IF(F2438&gt;=240,2,IF(F2438&gt;=200,1,0)))+(IF(G2438="Yes",2,0))+(IF(H2438="High",2,IF(H2438="Moderate",1,0)))</f>
        <v>4</v>
      </c>
      <c r="J2438" s="7" t="str">
        <f aca="false">IF(I2438&gt;=8,"High",IF(I2438&gt;=4,"Medium","Low"))</f>
        <v>Medium</v>
      </c>
    </row>
    <row r="2439" customFormat="false" ht="15" hidden="false" customHeight="true" outlineLevel="0" collapsed="false">
      <c r="A2439" s="7" t="n">
        <f aca="false">'Raw Data'!A2439</f>
        <v>1769</v>
      </c>
      <c r="B2439" s="7" t="n">
        <f aca="false">'Raw Data'!B2439</f>
        <v>82</v>
      </c>
      <c r="C2439" s="7" t="str">
        <f aca="false">'Raw Data'!C2439</f>
        <v>Female</v>
      </c>
      <c r="D2439" s="7" t="str">
        <f aca="false">'Raw Data'!D2439</f>
        <v>Current</v>
      </c>
      <c r="E2439" s="7" t="str">
        <f aca="false">'Raw Data'!J2439</f>
        <v>Normal</v>
      </c>
      <c r="F2439" s="7" t="n">
        <f aca="false">'Raw Data'!K2439</f>
        <v>212.6</v>
      </c>
      <c r="G2439" s="7" t="str">
        <f aca="false">'Raw Data'!L2439</f>
        <v>No</v>
      </c>
      <c r="H2439" s="7" t="str">
        <f aca="false">'Raw Data'!M2439</f>
        <v>Low</v>
      </c>
      <c r="I2439" s="7" t="n">
        <f aca="false">(IF(D2439="Current",3,IF(D2439="Former",1,0)))+(IF(E2439="High",3,IF(E2439="Normal",1,0)))+(IF(F2439&gt;=240,2,IF(F2439&gt;=200,1,0)))+(IF(G2439="Yes",2,0))+(IF(H2439="High",2,IF(H2439="Moderate",1,0)))</f>
        <v>5</v>
      </c>
      <c r="J2439" s="7" t="str">
        <f aca="false">IF(I2439&gt;=8,"High",IF(I2439&gt;=4,"Medium","Low"))</f>
        <v>Medium</v>
      </c>
    </row>
    <row r="2440" customFormat="false" ht="15" hidden="false" customHeight="true" outlineLevel="0" collapsed="false">
      <c r="A2440" s="7" t="n">
        <f aca="false">'Raw Data'!A2440</f>
        <v>1770</v>
      </c>
      <c r="B2440" s="7" t="n">
        <f aca="false">'Raw Data'!B2440</f>
        <v>82</v>
      </c>
      <c r="C2440" s="7" t="str">
        <f aca="false">'Raw Data'!C2440</f>
        <v>Female</v>
      </c>
      <c r="D2440" s="7" t="str">
        <f aca="false">'Raw Data'!D2440</f>
        <v>Current</v>
      </c>
      <c r="E2440" s="7" t="str">
        <f aca="false">'Raw Data'!J2440</f>
        <v>Normal</v>
      </c>
      <c r="F2440" s="7" t="n">
        <f aca="false">'Raw Data'!K2440</f>
        <v>207.4</v>
      </c>
      <c r="G2440" s="7" t="str">
        <f aca="false">'Raw Data'!L2440</f>
        <v>No</v>
      </c>
      <c r="H2440" s="7" t="str">
        <f aca="false">'Raw Data'!M2440</f>
        <v>Low</v>
      </c>
      <c r="I2440" s="7" t="n">
        <f aca="false">(IF(D2440="Current",3,IF(D2440="Former",1,0)))+(IF(E2440="High",3,IF(E2440="Normal",1,0)))+(IF(F2440&gt;=240,2,IF(F2440&gt;=200,1,0)))+(IF(G2440="Yes",2,0))+(IF(H2440="High",2,IF(H2440="Moderate",1,0)))</f>
        <v>5</v>
      </c>
      <c r="J2440" s="7" t="str">
        <f aca="false">IF(I2440&gt;=8,"High",IF(I2440&gt;=4,"Medium","Low"))</f>
        <v>Medium</v>
      </c>
    </row>
    <row r="2441" customFormat="false" ht="15" hidden="false" customHeight="true" outlineLevel="0" collapsed="false">
      <c r="A2441" s="7" t="n">
        <f aca="false">'Raw Data'!A2441</f>
        <v>1781</v>
      </c>
      <c r="B2441" s="7" t="n">
        <f aca="false">'Raw Data'!B2441</f>
        <v>52</v>
      </c>
      <c r="C2441" s="7" t="str">
        <f aca="false">'Raw Data'!C2441</f>
        <v>Female</v>
      </c>
      <c r="D2441" s="7" t="str">
        <f aca="false">'Raw Data'!D2441</f>
        <v>Current</v>
      </c>
      <c r="E2441" s="7" t="str">
        <f aca="false">'Raw Data'!J2441</f>
        <v>Normal</v>
      </c>
      <c r="F2441" s="7" t="n">
        <f aca="false">'Raw Data'!K2441</f>
        <v>197.2</v>
      </c>
      <c r="G2441" s="7" t="str">
        <f aca="false">'Raw Data'!L2441</f>
        <v>Yes</v>
      </c>
      <c r="H2441" s="7" t="str">
        <f aca="false">'Raw Data'!M2441</f>
        <v>Low</v>
      </c>
      <c r="I2441" s="7" t="n">
        <f aca="false">(IF(D2441="Current",3,IF(D2441="Former",1,0)))+(IF(E2441="High",3,IF(E2441="Normal",1,0)))+(IF(F2441&gt;=240,2,IF(F2441&gt;=200,1,0)))+(IF(G2441="Yes",2,0))+(IF(H2441="High",2,IF(H2441="Moderate",1,0)))</f>
        <v>6</v>
      </c>
      <c r="J2441" s="7" t="str">
        <f aca="false">IF(I2441&gt;=8,"High",IF(I2441&gt;=4,"Medium","Low"))</f>
        <v>Medium</v>
      </c>
    </row>
    <row r="2442" customFormat="false" ht="15" hidden="false" customHeight="true" outlineLevel="0" collapsed="false">
      <c r="A2442" s="7" t="n">
        <f aca="false">'Raw Data'!A2442</f>
        <v>1788</v>
      </c>
      <c r="B2442" s="7" t="n">
        <f aca="false">'Raw Data'!B2442</f>
        <v>49</v>
      </c>
      <c r="C2442" s="7" t="str">
        <f aca="false">'Raw Data'!C2442</f>
        <v>Female</v>
      </c>
      <c r="D2442" s="7" t="str">
        <f aca="false">'Raw Data'!D2442</f>
        <v>Current</v>
      </c>
      <c r="E2442" s="7" t="str">
        <f aca="false">'Raw Data'!J2442</f>
        <v>Normal</v>
      </c>
      <c r="F2442" s="7" t="n">
        <f aca="false">'Raw Data'!K2442</f>
        <v>298.6</v>
      </c>
      <c r="G2442" s="7" t="str">
        <f aca="false">'Raw Data'!L2442</f>
        <v>No</v>
      </c>
      <c r="H2442" s="7" t="str">
        <f aca="false">'Raw Data'!M2442</f>
        <v>Low</v>
      </c>
      <c r="I2442" s="7" t="n">
        <f aca="false">(IF(D2442="Current",3,IF(D2442="Former",1,0)))+(IF(E2442="High",3,IF(E2442="Normal",1,0)))+(IF(F2442&gt;=240,2,IF(F2442&gt;=200,1,0)))+(IF(G2442="Yes",2,0))+(IF(H2442="High",2,IF(H2442="Moderate",1,0)))</f>
        <v>6</v>
      </c>
      <c r="J2442" s="7" t="str">
        <f aca="false">IF(I2442&gt;=8,"High",IF(I2442&gt;=4,"Medium","Low"))</f>
        <v>Medium</v>
      </c>
    </row>
    <row r="2443" customFormat="false" ht="15" hidden="false" customHeight="true" outlineLevel="0" collapsed="false">
      <c r="A2443" s="7" t="n">
        <f aca="false">'Raw Data'!A2443</f>
        <v>1790</v>
      </c>
      <c r="B2443" s="7" t="n">
        <f aca="false">'Raw Data'!B2443</f>
        <v>52</v>
      </c>
      <c r="C2443" s="7" t="str">
        <f aca="false">'Raw Data'!C2443</f>
        <v>Female</v>
      </c>
      <c r="D2443" s="7" t="str">
        <f aca="false">'Raw Data'!D2443</f>
        <v>Current</v>
      </c>
      <c r="E2443" s="7" t="str">
        <f aca="false">'Raw Data'!J2443</f>
        <v>Normal</v>
      </c>
      <c r="F2443" s="7" t="n">
        <f aca="false">'Raw Data'!K2443</f>
        <v>138.5</v>
      </c>
      <c r="G2443" s="7" t="str">
        <f aca="false">'Raw Data'!L2443</f>
        <v>Yes</v>
      </c>
      <c r="H2443" s="7" t="str">
        <f aca="false">'Raw Data'!M2443</f>
        <v>Low</v>
      </c>
      <c r="I2443" s="7" t="n">
        <f aca="false">(IF(D2443="Current",3,IF(D2443="Former",1,0)))+(IF(E2443="High",3,IF(E2443="Normal",1,0)))+(IF(F2443&gt;=240,2,IF(F2443&gt;=200,1,0)))+(IF(G2443="Yes",2,0))+(IF(H2443="High",2,IF(H2443="Moderate",1,0)))</f>
        <v>6</v>
      </c>
      <c r="J2443" s="7" t="str">
        <f aca="false">IF(I2443&gt;=8,"High",IF(I2443&gt;=4,"Medium","Low"))</f>
        <v>Medium</v>
      </c>
    </row>
    <row r="2444" customFormat="false" ht="15" hidden="false" customHeight="true" outlineLevel="0" collapsed="false">
      <c r="A2444" s="7" t="n">
        <f aca="false">'Raw Data'!A2444</f>
        <v>1809</v>
      </c>
      <c r="B2444" s="7" t="n">
        <f aca="false">'Raw Data'!B2444</f>
        <v>47</v>
      </c>
      <c r="C2444" s="7" t="str">
        <f aca="false">'Raw Data'!C2444</f>
        <v>Female</v>
      </c>
      <c r="D2444" s="7" t="str">
        <f aca="false">'Raw Data'!D2444</f>
        <v>Current</v>
      </c>
      <c r="E2444" s="7" t="str">
        <f aca="false">'Raw Data'!J2444</f>
        <v>Normal</v>
      </c>
      <c r="F2444" s="7" t="n">
        <f aca="false">'Raw Data'!K2444</f>
        <v>194.4</v>
      </c>
      <c r="G2444" s="7" t="str">
        <f aca="false">'Raw Data'!L2444</f>
        <v>No</v>
      </c>
      <c r="H2444" s="7" t="str">
        <f aca="false">'Raw Data'!M2444</f>
        <v>Low</v>
      </c>
      <c r="I2444" s="7" t="n">
        <f aca="false">(IF(D2444="Current",3,IF(D2444="Former",1,0)))+(IF(E2444="High",3,IF(E2444="Normal",1,0)))+(IF(F2444&gt;=240,2,IF(F2444&gt;=200,1,0)))+(IF(G2444="Yes",2,0))+(IF(H2444="High",2,IF(H2444="Moderate",1,0)))</f>
        <v>4</v>
      </c>
      <c r="J2444" s="7" t="str">
        <f aca="false">IF(I2444&gt;=8,"High",IF(I2444&gt;=4,"Medium","Low"))</f>
        <v>Medium</v>
      </c>
    </row>
    <row r="2445" customFormat="false" ht="15" hidden="false" customHeight="true" outlineLevel="0" collapsed="false">
      <c r="A2445" s="7" t="n">
        <f aca="false">'Raw Data'!A2445</f>
        <v>1817</v>
      </c>
      <c r="B2445" s="7" t="n">
        <f aca="false">'Raw Data'!B2445</f>
        <v>89</v>
      </c>
      <c r="C2445" s="7" t="str">
        <f aca="false">'Raw Data'!C2445</f>
        <v>Male</v>
      </c>
      <c r="D2445" s="7" t="str">
        <f aca="false">'Raw Data'!D2445</f>
        <v>Current</v>
      </c>
      <c r="E2445" s="7" t="str">
        <f aca="false">'Raw Data'!J2445</f>
        <v>Normal</v>
      </c>
      <c r="F2445" s="7" t="n">
        <f aca="false">'Raw Data'!K2445</f>
        <v>281.3</v>
      </c>
      <c r="G2445" s="7" t="str">
        <f aca="false">'Raw Data'!L2445</f>
        <v>No</v>
      </c>
      <c r="H2445" s="7" t="str">
        <f aca="false">'Raw Data'!M2445</f>
        <v>Low</v>
      </c>
      <c r="I2445" s="7" t="n">
        <f aca="false">(IF(D2445="Current",3,IF(D2445="Former",1,0)))+(IF(E2445="High",3,IF(E2445="Normal",1,0)))+(IF(F2445&gt;=240,2,IF(F2445&gt;=200,1,0)))+(IF(G2445="Yes",2,0))+(IF(H2445="High",2,IF(H2445="Moderate",1,0)))</f>
        <v>6</v>
      </c>
      <c r="J2445" s="7" t="str">
        <f aca="false">IF(I2445&gt;=8,"High",IF(I2445&gt;=4,"Medium","Low"))</f>
        <v>Medium</v>
      </c>
    </row>
    <row r="2446" customFormat="false" ht="15" hidden="false" customHeight="true" outlineLevel="0" collapsed="false">
      <c r="A2446" s="7" t="n">
        <f aca="false">'Raw Data'!A2446</f>
        <v>1820</v>
      </c>
      <c r="B2446" s="7" t="n">
        <f aca="false">'Raw Data'!B2446</f>
        <v>85</v>
      </c>
      <c r="C2446" s="7" t="str">
        <f aca="false">'Raw Data'!C2446</f>
        <v>Male</v>
      </c>
      <c r="D2446" s="7" t="str">
        <f aca="false">'Raw Data'!D2446</f>
        <v>Current</v>
      </c>
      <c r="E2446" s="7" t="str">
        <f aca="false">'Raw Data'!J2446</f>
        <v>Normal</v>
      </c>
      <c r="F2446" s="7" t="n">
        <f aca="false">'Raw Data'!K2446</f>
        <v>145.4</v>
      </c>
      <c r="G2446" s="7" t="str">
        <f aca="false">'Raw Data'!L2446</f>
        <v>Yes</v>
      </c>
      <c r="H2446" s="7" t="str">
        <f aca="false">'Raw Data'!M2446</f>
        <v>Low</v>
      </c>
      <c r="I2446" s="7" t="n">
        <f aca="false">(IF(D2446="Current",3,IF(D2446="Former",1,0)))+(IF(E2446="High",3,IF(E2446="Normal",1,0)))+(IF(F2446&gt;=240,2,IF(F2446&gt;=200,1,0)))+(IF(G2446="Yes",2,0))+(IF(H2446="High",2,IF(H2446="Moderate",1,0)))</f>
        <v>6</v>
      </c>
      <c r="J2446" s="7" t="str">
        <f aca="false">IF(I2446&gt;=8,"High",IF(I2446&gt;=4,"Medium","Low"))</f>
        <v>Medium</v>
      </c>
    </row>
    <row r="2447" customFormat="false" ht="15" hidden="false" customHeight="true" outlineLevel="0" collapsed="false">
      <c r="A2447" s="7" t="n">
        <f aca="false">'Raw Data'!A2447</f>
        <v>1832</v>
      </c>
      <c r="B2447" s="7" t="n">
        <f aca="false">'Raw Data'!B2447</f>
        <v>70</v>
      </c>
      <c r="C2447" s="7" t="str">
        <f aca="false">'Raw Data'!C2447</f>
        <v>Female</v>
      </c>
      <c r="D2447" s="7" t="str">
        <f aca="false">'Raw Data'!D2447</f>
        <v>Current</v>
      </c>
      <c r="E2447" s="7" t="str">
        <f aca="false">'Raw Data'!J2447</f>
        <v>Normal</v>
      </c>
      <c r="F2447" s="7" t="n">
        <f aca="false">'Raw Data'!K2447</f>
        <v>267.7</v>
      </c>
      <c r="G2447" s="7" t="str">
        <f aca="false">'Raw Data'!L2447</f>
        <v>No</v>
      </c>
      <c r="H2447" s="7" t="str">
        <f aca="false">'Raw Data'!M2447</f>
        <v>Low</v>
      </c>
      <c r="I2447" s="7" t="n">
        <f aca="false">(IF(D2447="Current",3,IF(D2447="Former",1,0)))+(IF(E2447="High",3,IF(E2447="Normal",1,0)))+(IF(F2447&gt;=240,2,IF(F2447&gt;=200,1,0)))+(IF(G2447="Yes",2,0))+(IF(H2447="High",2,IF(H2447="Moderate",1,0)))</f>
        <v>6</v>
      </c>
      <c r="J2447" s="7" t="str">
        <f aca="false">IF(I2447&gt;=8,"High",IF(I2447&gt;=4,"Medium","Low"))</f>
        <v>Medium</v>
      </c>
    </row>
    <row r="2448" customFormat="false" ht="15" hidden="false" customHeight="true" outlineLevel="0" collapsed="false">
      <c r="A2448" s="7" t="n">
        <f aca="false">'Raw Data'!A2448</f>
        <v>1855</v>
      </c>
      <c r="B2448" s="7" t="n">
        <f aca="false">'Raw Data'!B2448</f>
        <v>89</v>
      </c>
      <c r="C2448" s="7" t="str">
        <f aca="false">'Raw Data'!C2448</f>
        <v>Female</v>
      </c>
      <c r="D2448" s="7" t="str">
        <f aca="false">'Raw Data'!D2448</f>
        <v>Current</v>
      </c>
      <c r="E2448" s="7" t="str">
        <f aca="false">'Raw Data'!J2448</f>
        <v>Normal</v>
      </c>
      <c r="F2448" s="7" t="n">
        <f aca="false">'Raw Data'!K2448</f>
        <v>202.9</v>
      </c>
      <c r="G2448" s="7" t="str">
        <f aca="false">'Raw Data'!L2448</f>
        <v>No</v>
      </c>
      <c r="H2448" s="7" t="str">
        <f aca="false">'Raw Data'!M2448</f>
        <v>Low</v>
      </c>
      <c r="I2448" s="7" t="n">
        <f aca="false">(IF(D2448="Current",3,IF(D2448="Former",1,0)))+(IF(E2448="High",3,IF(E2448="Normal",1,0)))+(IF(F2448&gt;=240,2,IF(F2448&gt;=200,1,0)))+(IF(G2448="Yes",2,0))+(IF(H2448="High",2,IF(H2448="Moderate",1,0)))</f>
        <v>5</v>
      </c>
      <c r="J2448" s="7" t="str">
        <f aca="false">IF(I2448&gt;=8,"High",IF(I2448&gt;=4,"Medium","Low"))</f>
        <v>Medium</v>
      </c>
    </row>
    <row r="2449" customFormat="false" ht="15" hidden="false" customHeight="true" outlineLevel="0" collapsed="false">
      <c r="A2449" s="7" t="n">
        <f aca="false">'Raw Data'!A2449</f>
        <v>1883</v>
      </c>
      <c r="B2449" s="7" t="n">
        <f aca="false">'Raw Data'!B2449</f>
        <v>84</v>
      </c>
      <c r="C2449" s="7" t="str">
        <f aca="false">'Raw Data'!C2449</f>
        <v>Male</v>
      </c>
      <c r="D2449" s="7" t="str">
        <f aca="false">'Raw Data'!D2449</f>
        <v>Current</v>
      </c>
      <c r="E2449" s="7" t="str">
        <f aca="false">'Raw Data'!J2449</f>
        <v>Normal</v>
      </c>
      <c r="F2449" s="7" t="n">
        <f aca="false">'Raw Data'!K2449</f>
        <v>132.8</v>
      </c>
      <c r="G2449" s="7" t="str">
        <f aca="false">'Raw Data'!L2449</f>
        <v>No</v>
      </c>
      <c r="H2449" s="7" t="str">
        <f aca="false">'Raw Data'!M2449</f>
        <v>Low</v>
      </c>
      <c r="I2449" s="7" t="n">
        <f aca="false">(IF(D2449="Current",3,IF(D2449="Former",1,0)))+(IF(E2449="High",3,IF(E2449="Normal",1,0)))+(IF(F2449&gt;=240,2,IF(F2449&gt;=200,1,0)))+(IF(G2449="Yes",2,0))+(IF(H2449="High",2,IF(H2449="Moderate",1,0)))</f>
        <v>4</v>
      </c>
      <c r="J2449" s="7" t="str">
        <f aca="false">IF(I2449&gt;=8,"High",IF(I2449&gt;=4,"Medium","Low"))</f>
        <v>Medium</v>
      </c>
    </row>
    <row r="2450" customFormat="false" ht="15" hidden="false" customHeight="true" outlineLevel="0" collapsed="false">
      <c r="A2450" s="7" t="n">
        <f aca="false">'Raw Data'!A2450</f>
        <v>1894</v>
      </c>
      <c r="B2450" s="7" t="n">
        <f aca="false">'Raw Data'!B2450</f>
        <v>63</v>
      </c>
      <c r="C2450" s="7" t="str">
        <f aca="false">'Raw Data'!C2450</f>
        <v>Female</v>
      </c>
      <c r="D2450" s="7" t="str">
        <f aca="false">'Raw Data'!D2450</f>
        <v>Current</v>
      </c>
      <c r="E2450" s="7" t="str">
        <f aca="false">'Raw Data'!J2450</f>
        <v>Normal</v>
      </c>
      <c r="F2450" s="7" t="n">
        <f aca="false">'Raw Data'!K2450</f>
        <v>125.2</v>
      </c>
      <c r="G2450" s="7" t="str">
        <f aca="false">'Raw Data'!L2450</f>
        <v>No</v>
      </c>
      <c r="H2450" s="7" t="str">
        <f aca="false">'Raw Data'!M2450</f>
        <v>Low</v>
      </c>
      <c r="I2450" s="7" t="n">
        <f aca="false">(IF(D2450="Current",3,IF(D2450="Former",1,0)))+(IF(E2450="High",3,IF(E2450="Normal",1,0)))+(IF(F2450&gt;=240,2,IF(F2450&gt;=200,1,0)))+(IF(G2450="Yes",2,0))+(IF(H2450="High",2,IF(H2450="Moderate",1,0)))</f>
        <v>4</v>
      </c>
      <c r="J2450" s="7" t="str">
        <f aca="false">IF(I2450&gt;=8,"High",IF(I2450&gt;=4,"Medium","Low"))</f>
        <v>Medium</v>
      </c>
    </row>
    <row r="2451" customFormat="false" ht="15" hidden="false" customHeight="true" outlineLevel="0" collapsed="false">
      <c r="A2451" s="7" t="n">
        <f aca="false">'Raw Data'!A2451</f>
        <v>1898</v>
      </c>
      <c r="B2451" s="7" t="n">
        <f aca="false">'Raw Data'!B2451</f>
        <v>80</v>
      </c>
      <c r="C2451" s="7" t="str">
        <f aca="false">'Raw Data'!C2451</f>
        <v>Male</v>
      </c>
      <c r="D2451" s="7" t="str">
        <f aca="false">'Raw Data'!D2451</f>
        <v>Current</v>
      </c>
      <c r="E2451" s="7" t="str">
        <f aca="false">'Raw Data'!J2451</f>
        <v>Normal</v>
      </c>
      <c r="F2451" s="7" t="n">
        <f aca="false">'Raw Data'!K2451</f>
        <v>206.7</v>
      </c>
      <c r="G2451" s="7" t="str">
        <f aca="false">'Raw Data'!L2451</f>
        <v>No</v>
      </c>
      <c r="H2451" s="7" t="str">
        <f aca="false">'Raw Data'!M2451</f>
        <v>Low</v>
      </c>
      <c r="I2451" s="7" t="n">
        <f aca="false">(IF(D2451="Current",3,IF(D2451="Former",1,0)))+(IF(E2451="High",3,IF(E2451="Normal",1,0)))+(IF(F2451&gt;=240,2,IF(F2451&gt;=200,1,0)))+(IF(G2451="Yes",2,0))+(IF(H2451="High",2,IF(H2451="Moderate",1,0)))</f>
        <v>5</v>
      </c>
      <c r="J2451" s="7" t="str">
        <f aca="false">IF(I2451&gt;=8,"High",IF(I2451&gt;=4,"Medium","Low"))</f>
        <v>Medium</v>
      </c>
    </row>
    <row r="2452" customFormat="false" ht="15" hidden="false" customHeight="true" outlineLevel="0" collapsed="false">
      <c r="A2452" s="7" t="n">
        <f aca="false">'Raw Data'!A2452</f>
        <v>1928</v>
      </c>
      <c r="B2452" s="7" t="n">
        <f aca="false">'Raw Data'!B2452</f>
        <v>36</v>
      </c>
      <c r="C2452" s="7" t="str">
        <f aca="false">'Raw Data'!C2452</f>
        <v>Male</v>
      </c>
      <c r="D2452" s="7" t="str">
        <f aca="false">'Raw Data'!D2452</f>
        <v>Current</v>
      </c>
      <c r="E2452" s="7" t="str">
        <f aca="false">'Raw Data'!J2452</f>
        <v>Normal</v>
      </c>
      <c r="F2452" s="7" t="n">
        <f aca="false">'Raw Data'!K2452</f>
        <v>171.5</v>
      </c>
      <c r="G2452" s="7" t="str">
        <f aca="false">'Raw Data'!L2452</f>
        <v>No</v>
      </c>
      <c r="H2452" s="7" t="str">
        <f aca="false">'Raw Data'!M2452</f>
        <v>Low</v>
      </c>
      <c r="I2452" s="7" t="n">
        <f aca="false">(IF(D2452="Current",3,IF(D2452="Former",1,0)))+(IF(E2452="High",3,IF(E2452="Normal",1,0)))+(IF(F2452&gt;=240,2,IF(F2452&gt;=200,1,0)))+(IF(G2452="Yes",2,0))+(IF(H2452="High",2,IF(H2452="Moderate",1,0)))</f>
        <v>4</v>
      </c>
      <c r="J2452" s="7" t="str">
        <f aca="false">IF(I2452&gt;=8,"High",IF(I2452&gt;=4,"Medium","Low"))</f>
        <v>Medium</v>
      </c>
    </row>
    <row r="2453" customFormat="false" ht="15" hidden="false" customHeight="true" outlineLevel="0" collapsed="false">
      <c r="A2453" s="7" t="n">
        <f aca="false">'Raw Data'!A2453</f>
        <v>1945</v>
      </c>
      <c r="B2453" s="7" t="n">
        <f aca="false">'Raw Data'!B2453</f>
        <v>57</v>
      </c>
      <c r="C2453" s="7" t="str">
        <f aca="false">'Raw Data'!C2453</f>
        <v>Female</v>
      </c>
      <c r="D2453" s="7" t="str">
        <f aca="false">'Raw Data'!D2453</f>
        <v>Current</v>
      </c>
      <c r="E2453" s="7" t="str">
        <f aca="false">'Raw Data'!J2453</f>
        <v>Normal</v>
      </c>
      <c r="F2453" s="7" t="n">
        <f aca="false">'Raw Data'!K2453</f>
        <v>154.6</v>
      </c>
      <c r="G2453" s="7" t="str">
        <f aca="false">'Raw Data'!L2453</f>
        <v>Yes</v>
      </c>
      <c r="H2453" s="7" t="str">
        <f aca="false">'Raw Data'!M2453</f>
        <v>Low</v>
      </c>
      <c r="I2453" s="7" t="n">
        <f aca="false">(IF(D2453="Current",3,IF(D2453="Former",1,0)))+(IF(E2453="High",3,IF(E2453="Normal",1,0)))+(IF(F2453&gt;=240,2,IF(F2453&gt;=200,1,0)))+(IF(G2453="Yes",2,0))+(IF(H2453="High",2,IF(H2453="Moderate",1,0)))</f>
        <v>6</v>
      </c>
      <c r="J2453" s="7" t="str">
        <f aca="false">IF(I2453&gt;=8,"High",IF(I2453&gt;=4,"Medium","Low"))</f>
        <v>Medium</v>
      </c>
    </row>
    <row r="2454" customFormat="false" ht="15" hidden="false" customHeight="true" outlineLevel="0" collapsed="false">
      <c r="A2454" s="7" t="n">
        <f aca="false">'Raw Data'!A2454</f>
        <v>1968</v>
      </c>
      <c r="B2454" s="7" t="n">
        <f aca="false">'Raw Data'!B2454</f>
        <v>54</v>
      </c>
      <c r="C2454" s="7" t="str">
        <f aca="false">'Raw Data'!C2454</f>
        <v>Female</v>
      </c>
      <c r="D2454" s="7" t="str">
        <f aca="false">'Raw Data'!D2454</f>
        <v>Current</v>
      </c>
      <c r="E2454" s="7" t="str">
        <f aca="false">'Raw Data'!J2454</f>
        <v>Normal</v>
      </c>
      <c r="F2454" s="7" t="n">
        <f aca="false">'Raw Data'!K2454</f>
        <v>160</v>
      </c>
      <c r="G2454" s="7" t="str">
        <f aca="false">'Raw Data'!L2454</f>
        <v>Yes</v>
      </c>
      <c r="H2454" s="7" t="str">
        <f aca="false">'Raw Data'!M2454</f>
        <v>Low</v>
      </c>
      <c r="I2454" s="7" t="n">
        <f aca="false">(IF(D2454="Current",3,IF(D2454="Former",1,0)))+(IF(E2454="High",3,IF(E2454="Normal",1,0)))+(IF(F2454&gt;=240,2,IF(F2454&gt;=200,1,0)))+(IF(G2454="Yes",2,0))+(IF(H2454="High",2,IF(H2454="Moderate",1,0)))</f>
        <v>6</v>
      </c>
      <c r="J2454" s="7" t="str">
        <f aca="false">IF(I2454&gt;=8,"High",IF(I2454&gt;=4,"Medium","Low"))</f>
        <v>Medium</v>
      </c>
    </row>
    <row r="2455" customFormat="false" ht="15" hidden="false" customHeight="true" outlineLevel="0" collapsed="false">
      <c r="A2455" s="7" t="n">
        <f aca="false">'Raw Data'!A2455</f>
        <v>1969</v>
      </c>
      <c r="B2455" s="7" t="n">
        <f aca="false">'Raw Data'!B2455</f>
        <v>39</v>
      </c>
      <c r="C2455" s="7" t="str">
        <f aca="false">'Raw Data'!C2455</f>
        <v>Female</v>
      </c>
      <c r="D2455" s="7" t="str">
        <f aca="false">'Raw Data'!D2455</f>
        <v>Current</v>
      </c>
      <c r="E2455" s="7" t="str">
        <f aca="false">'Raw Data'!J2455</f>
        <v>Normal</v>
      </c>
      <c r="F2455" s="7" t="n">
        <f aca="false">'Raw Data'!K2455</f>
        <v>131.5</v>
      </c>
      <c r="G2455" s="7" t="str">
        <f aca="false">'Raw Data'!L2455</f>
        <v>Yes</v>
      </c>
      <c r="H2455" s="7" t="str">
        <f aca="false">'Raw Data'!M2455</f>
        <v>Low</v>
      </c>
      <c r="I2455" s="7" t="n">
        <f aca="false">(IF(D2455="Current",3,IF(D2455="Former",1,0)))+(IF(E2455="High",3,IF(E2455="Normal",1,0)))+(IF(F2455&gt;=240,2,IF(F2455&gt;=200,1,0)))+(IF(G2455="Yes",2,0))+(IF(H2455="High",2,IF(H2455="Moderate",1,0)))</f>
        <v>6</v>
      </c>
      <c r="J2455" s="7" t="str">
        <f aca="false">IF(I2455&gt;=8,"High",IF(I2455&gt;=4,"Medium","Low"))</f>
        <v>Medium</v>
      </c>
    </row>
    <row r="2456" customFormat="false" ht="15" hidden="false" customHeight="true" outlineLevel="0" collapsed="false">
      <c r="A2456" s="7" t="n">
        <f aca="false">'Raw Data'!A2456</f>
        <v>1984</v>
      </c>
      <c r="B2456" s="7" t="n">
        <f aca="false">'Raw Data'!B2456</f>
        <v>31</v>
      </c>
      <c r="C2456" s="7" t="str">
        <f aca="false">'Raw Data'!C2456</f>
        <v>Male</v>
      </c>
      <c r="D2456" s="7" t="str">
        <f aca="false">'Raw Data'!D2456</f>
        <v>Current</v>
      </c>
      <c r="E2456" s="7" t="str">
        <f aca="false">'Raw Data'!J2456</f>
        <v>Normal</v>
      </c>
      <c r="F2456" s="7" t="n">
        <f aca="false">'Raw Data'!K2456</f>
        <v>263.6</v>
      </c>
      <c r="G2456" s="7" t="str">
        <f aca="false">'Raw Data'!L2456</f>
        <v>No</v>
      </c>
      <c r="H2456" s="7" t="str">
        <f aca="false">'Raw Data'!M2456</f>
        <v>Low</v>
      </c>
      <c r="I2456" s="7" t="n">
        <f aca="false">(IF(D2456="Current",3,IF(D2456="Former",1,0)))+(IF(E2456="High",3,IF(E2456="Normal",1,0)))+(IF(F2456&gt;=240,2,IF(F2456&gt;=200,1,0)))+(IF(G2456="Yes",2,0))+(IF(H2456="High",2,IF(H2456="Moderate",1,0)))</f>
        <v>6</v>
      </c>
      <c r="J2456" s="7" t="str">
        <f aca="false">IF(I2456&gt;=8,"High",IF(I2456&gt;=4,"Medium","Low"))</f>
        <v>Medium</v>
      </c>
    </row>
    <row r="2457" customFormat="false" ht="15" hidden="false" customHeight="true" outlineLevel="0" collapsed="false">
      <c r="A2457" s="7" t="n">
        <f aca="false">'Raw Data'!A2457</f>
        <v>1985</v>
      </c>
      <c r="B2457" s="7" t="n">
        <f aca="false">'Raw Data'!B2457</f>
        <v>46</v>
      </c>
      <c r="C2457" s="7" t="str">
        <f aca="false">'Raw Data'!C2457</f>
        <v>Male</v>
      </c>
      <c r="D2457" s="7" t="str">
        <f aca="false">'Raw Data'!D2457</f>
        <v>Current</v>
      </c>
      <c r="E2457" s="7" t="str">
        <f aca="false">'Raw Data'!J2457</f>
        <v>Normal</v>
      </c>
      <c r="F2457" s="7" t="n">
        <f aca="false">'Raw Data'!K2457</f>
        <v>256.7</v>
      </c>
      <c r="G2457" s="7" t="str">
        <f aca="false">'Raw Data'!L2457</f>
        <v>No</v>
      </c>
      <c r="H2457" s="7" t="str">
        <f aca="false">'Raw Data'!M2457</f>
        <v>Low</v>
      </c>
      <c r="I2457" s="7" t="n">
        <f aca="false">(IF(D2457="Current",3,IF(D2457="Former",1,0)))+(IF(E2457="High",3,IF(E2457="Normal",1,0)))+(IF(F2457&gt;=240,2,IF(F2457&gt;=200,1,0)))+(IF(G2457="Yes",2,0))+(IF(H2457="High",2,IF(H2457="Moderate",1,0)))</f>
        <v>6</v>
      </c>
      <c r="J2457" s="7" t="str">
        <f aca="false">IF(I2457&gt;=8,"High",IF(I2457&gt;=4,"Medium","Low"))</f>
        <v>Medium</v>
      </c>
    </row>
    <row r="2458" customFormat="false" ht="15" hidden="false" customHeight="true" outlineLevel="0" collapsed="false">
      <c r="A2458" s="7" t="n">
        <f aca="false">'Raw Data'!A2458</f>
        <v>1987</v>
      </c>
      <c r="B2458" s="7" t="n">
        <f aca="false">'Raw Data'!B2458</f>
        <v>18</v>
      </c>
      <c r="C2458" s="7" t="str">
        <f aca="false">'Raw Data'!C2458</f>
        <v>Male</v>
      </c>
      <c r="D2458" s="7" t="str">
        <f aca="false">'Raw Data'!D2458</f>
        <v>Current</v>
      </c>
      <c r="E2458" s="7" t="str">
        <f aca="false">'Raw Data'!J2458</f>
        <v>Normal</v>
      </c>
      <c r="F2458" s="7" t="n">
        <f aca="false">'Raw Data'!K2458</f>
        <v>134.8</v>
      </c>
      <c r="G2458" s="7" t="str">
        <f aca="false">'Raw Data'!L2458</f>
        <v>No</v>
      </c>
      <c r="H2458" s="7" t="str">
        <f aca="false">'Raw Data'!M2458</f>
        <v>Low</v>
      </c>
      <c r="I2458" s="7" t="n">
        <f aca="false">(IF(D2458="Current",3,IF(D2458="Former",1,0)))+(IF(E2458="High",3,IF(E2458="Normal",1,0)))+(IF(F2458&gt;=240,2,IF(F2458&gt;=200,1,0)))+(IF(G2458="Yes",2,0))+(IF(H2458="High",2,IF(H2458="Moderate",1,0)))</f>
        <v>4</v>
      </c>
      <c r="J2458" s="7" t="str">
        <f aca="false">IF(I2458&gt;=8,"High",IF(I2458&gt;=4,"Medium","Low"))</f>
        <v>Medium</v>
      </c>
    </row>
    <row r="2459" customFormat="false" ht="15" hidden="false" customHeight="true" outlineLevel="0" collapsed="false">
      <c r="A2459" s="7" t="n">
        <f aca="false">'Raw Data'!A2459</f>
        <v>1991</v>
      </c>
      <c r="B2459" s="7" t="n">
        <f aca="false">'Raw Data'!B2459</f>
        <v>67</v>
      </c>
      <c r="C2459" s="7" t="str">
        <f aca="false">'Raw Data'!C2459</f>
        <v>Male</v>
      </c>
      <c r="D2459" s="7" t="str">
        <f aca="false">'Raw Data'!D2459</f>
        <v>Current</v>
      </c>
      <c r="E2459" s="7" t="str">
        <f aca="false">'Raw Data'!J2459</f>
        <v>Normal</v>
      </c>
      <c r="F2459" s="7" t="n">
        <f aca="false">'Raw Data'!K2459</f>
        <v>296.7</v>
      </c>
      <c r="G2459" s="7" t="str">
        <f aca="false">'Raw Data'!L2459</f>
        <v>Yes</v>
      </c>
      <c r="H2459" s="7" t="str">
        <f aca="false">'Raw Data'!M2459</f>
        <v>Low</v>
      </c>
      <c r="I2459" s="7" t="n">
        <f aca="false">(IF(D2459="Current",3,IF(D2459="Former",1,0)))+(IF(E2459="High",3,IF(E2459="Normal",1,0)))+(IF(F2459&gt;=240,2,IF(F2459&gt;=200,1,0)))+(IF(G2459="Yes",2,0))+(IF(H2459="High",2,IF(H2459="Moderate",1,0)))</f>
        <v>8</v>
      </c>
      <c r="J2459" s="7" t="str">
        <f aca="false">IF(I2459&gt;=8,"High",IF(I2459&gt;=4,"Medium","Low"))</f>
        <v>High</v>
      </c>
    </row>
    <row r="2460" customFormat="false" ht="15" hidden="false" customHeight="true" outlineLevel="0" collapsed="false">
      <c r="A2460" s="7" t="n">
        <f aca="false">'Raw Data'!A2460</f>
        <v>2015</v>
      </c>
      <c r="B2460" s="7" t="n">
        <f aca="false">'Raw Data'!B2460</f>
        <v>18</v>
      </c>
      <c r="C2460" s="7" t="str">
        <f aca="false">'Raw Data'!C2460</f>
        <v>Female</v>
      </c>
      <c r="D2460" s="7" t="str">
        <f aca="false">'Raw Data'!D2460</f>
        <v>Current</v>
      </c>
      <c r="E2460" s="7" t="str">
        <f aca="false">'Raw Data'!J2460</f>
        <v>Normal</v>
      </c>
      <c r="F2460" s="7" t="n">
        <f aca="false">'Raw Data'!K2460</f>
        <v>286.5</v>
      </c>
      <c r="G2460" s="7" t="str">
        <f aca="false">'Raw Data'!L2460</f>
        <v>Yes</v>
      </c>
      <c r="H2460" s="7" t="str">
        <f aca="false">'Raw Data'!M2460</f>
        <v>Low</v>
      </c>
      <c r="I2460" s="7" t="n">
        <f aca="false">(IF(D2460="Current",3,IF(D2460="Former",1,0)))+(IF(E2460="High",3,IF(E2460="Normal",1,0)))+(IF(F2460&gt;=240,2,IF(F2460&gt;=200,1,0)))+(IF(G2460="Yes",2,0))+(IF(H2460="High",2,IF(H2460="Moderate",1,0)))</f>
        <v>8</v>
      </c>
      <c r="J2460" s="7" t="str">
        <f aca="false">IF(I2460&gt;=8,"High",IF(I2460&gt;=4,"Medium","Low"))</f>
        <v>High</v>
      </c>
    </row>
    <row r="2461" customFormat="false" ht="15" hidden="false" customHeight="true" outlineLevel="0" collapsed="false">
      <c r="A2461" s="7" t="n">
        <f aca="false">'Raw Data'!A2461</f>
        <v>2026</v>
      </c>
      <c r="B2461" s="7" t="n">
        <f aca="false">'Raw Data'!B2461</f>
        <v>48</v>
      </c>
      <c r="C2461" s="7" t="str">
        <f aca="false">'Raw Data'!C2461</f>
        <v>Female</v>
      </c>
      <c r="D2461" s="7" t="str">
        <f aca="false">'Raw Data'!D2461</f>
        <v>Current</v>
      </c>
      <c r="E2461" s="7" t="str">
        <f aca="false">'Raw Data'!J2461</f>
        <v>Normal</v>
      </c>
      <c r="F2461" s="7" t="n">
        <f aca="false">'Raw Data'!K2461</f>
        <v>275.1</v>
      </c>
      <c r="G2461" s="7" t="str">
        <f aca="false">'Raw Data'!L2461</f>
        <v>No</v>
      </c>
      <c r="H2461" s="7" t="str">
        <f aca="false">'Raw Data'!M2461</f>
        <v>Low</v>
      </c>
      <c r="I2461" s="7" t="n">
        <f aca="false">(IF(D2461="Current",3,IF(D2461="Former",1,0)))+(IF(E2461="High",3,IF(E2461="Normal",1,0)))+(IF(F2461&gt;=240,2,IF(F2461&gt;=200,1,0)))+(IF(G2461="Yes",2,0))+(IF(H2461="High",2,IF(H2461="Moderate",1,0)))</f>
        <v>6</v>
      </c>
      <c r="J2461" s="7" t="str">
        <f aca="false">IF(I2461&gt;=8,"High",IF(I2461&gt;=4,"Medium","Low"))</f>
        <v>Medium</v>
      </c>
    </row>
    <row r="2462" customFormat="false" ht="15" hidden="false" customHeight="true" outlineLevel="0" collapsed="false">
      <c r="A2462" s="7" t="n">
        <f aca="false">'Raw Data'!A2462</f>
        <v>2037</v>
      </c>
      <c r="B2462" s="7" t="n">
        <f aca="false">'Raw Data'!B2462</f>
        <v>37</v>
      </c>
      <c r="C2462" s="7" t="str">
        <f aca="false">'Raw Data'!C2462</f>
        <v>Female</v>
      </c>
      <c r="D2462" s="7" t="str">
        <f aca="false">'Raw Data'!D2462</f>
        <v>Current</v>
      </c>
      <c r="E2462" s="7" t="str">
        <f aca="false">'Raw Data'!J2462</f>
        <v>Normal</v>
      </c>
      <c r="F2462" s="7" t="n">
        <f aca="false">'Raw Data'!K2462</f>
        <v>120.5</v>
      </c>
      <c r="G2462" s="7" t="str">
        <f aca="false">'Raw Data'!L2462</f>
        <v>No</v>
      </c>
      <c r="H2462" s="7" t="str">
        <f aca="false">'Raw Data'!M2462</f>
        <v>Low</v>
      </c>
      <c r="I2462" s="7" t="n">
        <f aca="false">(IF(D2462="Current",3,IF(D2462="Former",1,0)))+(IF(E2462="High",3,IF(E2462="Normal",1,0)))+(IF(F2462&gt;=240,2,IF(F2462&gt;=200,1,0)))+(IF(G2462="Yes",2,0))+(IF(H2462="High",2,IF(H2462="Moderate",1,0)))</f>
        <v>4</v>
      </c>
      <c r="J2462" s="7" t="str">
        <f aca="false">IF(I2462&gt;=8,"High",IF(I2462&gt;=4,"Medium","Low"))</f>
        <v>Medium</v>
      </c>
    </row>
    <row r="2463" customFormat="false" ht="15" hidden="false" customHeight="true" outlineLevel="0" collapsed="false">
      <c r="A2463" s="7" t="n">
        <f aca="false">'Raw Data'!A2463</f>
        <v>2053</v>
      </c>
      <c r="B2463" s="7" t="n">
        <f aca="false">'Raw Data'!B2463</f>
        <v>64</v>
      </c>
      <c r="C2463" s="7" t="str">
        <f aca="false">'Raw Data'!C2463</f>
        <v>Male</v>
      </c>
      <c r="D2463" s="7" t="str">
        <f aca="false">'Raw Data'!D2463</f>
        <v>Current</v>
      </c>
      <c r="E2463" s="7" t="str">
        <f aca="false">'Raw Data'!J2463</f>
        <v>Normal</v>
      </c>
      <c r="F2463" s="7" t="n">
        <f aca="false">'Raw Data'!K2463</f>
        <v>172</v>
      </c>
      <c r="G2463" s="7" t="str">
        <f aca="false">'Raw Data'!L2463</f>
        <v>Yes</v>
      </c>
      <c r="H2463" s="7" t="str">
        <f aca="false">'Raw Data'!M2463</f>
        <v>Low</v>
      </c>
      <c r="I2463" s="7" t="n">
        <f aca="false">(IF(D2463="Current",3,IF(D2463="Former",1,0)))+(IF(E2463="High",3,IF(E2463="Normal",1,0)))+(IF(F2463&gt;=240,2,IF(F2463&gt;=200,1,0)))+(IF(G2463="Yes",2,0))+(IF(H2463="High",2,IF(H2463="Moderate",1,0)))</f>
        <v>6</v>
      </c>
      <c r="J2463" s="7" t="str">
        <f aca="false">IF(I2463&gt;=8,"High",IF(I2463&gt;=4,"Medium","Low"))</f>
        <v>Medium</v>
      </c>
    </row>
    <row r="2464" customFormat="false" ht="15" hidden="false" customHeight="true" outlineLevel="0" collapsed="false">
      <c r="A2464" s="7" t="n">
        <f aca="false">'Raw Data'!A2464</f>
        <v>2060</v>
      </c>
      <c r="B2464" s="7" t="n">
        <f aca="false">'Raw Data'!B2464</f>
        <v>22</v>
      </c>
      <c r="C2464" s="7" t="str">
        <f aca="false">'Raw Data'!C2464</f>
        <v>Female</v>
      </c>
      <c r="D2464" s="7" t="str">
        <f aca="false">'Raw Data'!D2464</f>
        <v>Current</v>
      </c>
      <c r="E2464" s="7" t="str">
        <f aca="false">'Raw Data'!J2464</f>
        <v>Normal</v>
      </c>
      <c r="F2464" s="7" t="n">
        <f aca="false">'Raw Data'!K2464</f>
        <v>161.9</v>
      </c>
      <c r="G2464" s="7" t="str">
        <f aca="false">'Raw Data'!L2464</f>
        <v>No</v>
      </c>
      <c r="H2464" s="7" t="str">
        <f aca="false">'Raw Data'!M2464</f>
        <v>Low</v>
      </c>
      <c r="I2464" s="7" t="n">
        <f aca="false">(IF(D2464="Current",3,IF(D2464="Former",1,0)))+(IF(E2464="High",3,IF(E2464="Normal",1,0)))+(IF(F2464&gt;=240,2,IF(F2464&gt;=200,1,0)))+(IF(G2464="Yes",2,0))+(IF(H2464="High",2,IF(H2464="Moderate",1,0)))</f>
        <v>4</v>
      </c>
      <c r="J2464" s="7" t="str">
        <f aca="false">IF(I2464&gt;=8,"High",IF(I2464&gt;=4,"Medium","Low"))</f>
        <v>Medium</v>
      </c>
    </row>
    <row r="2465" customFormat="false" ht="15" hidden="false" customHeight="true" outlineLevel="0" collapsed="false">
      <c r="A2465" s="7" t="n">
        <f aca="false">'Raw Data'!A2465</f>
        <v>2068</v>
      </c>
      <c r="B2465" s="7" t="n">
        <f aca="false">'Raw Data'!B2465</f>
        <v>85</v>
      </c>
      <c r="C2465" s="7" t="str">
        <f aca="false">'Raw Data'!C2465</f>
        <v>Female</v>
      </c>
      <c r="D2465" s="7" t="str">
        <f aca="false">'Raw Data'!D2465</f>
        <v>Current</v>
      </c>
      <c r="E2465" s="7" t="str">
        <f aca="false">'Raw Data'!J2465</f>
        <v>Normal</v>
      </c>
      <c r="F2465" s="7" t="n">
        <f aca="false">'Raw Data'!K2465</f>
        <v>142.5</v>
      </c>
      <c r="G2465" s="7" t="str">
        <f aca="false">'Raw Data'!L2465</f>
        <v>No</v>
      </c>
      <c r="H2465" s="7" t="str">
        <f aca="false">'Raw Data'!M2465</f>
        <v>Low</v>
      </c>
      <c r="I2465" s="7" t="n">
        <f aca="false">(IF(D2465="Current",3,IF(D2465="Former",1,0)))+(IF(E2465="High",3,IF(E2465="Normal",1,0)))+(IF(F2465&gt;=240,2,IF(F2465&gt;=200,1,0)))+(IF(G2465="Yes",2,0))+(IF(H2465="High",2,IF(H2465="Moderate",1,0)))</f>
        <v>4</v>
      </c>
      <c r="J2465" s="7" t="str">
        <f aca="false">IF(I2465&gt;=8,"High",IF(I2465&gt;=4,"Medium","Low"))</f>
        <v>Medium</v>
      </c>
    </row>
    <row r="2466" customFormat="false" ht="15" hidden="false" customHeight="true" outlineLevel="0" collapsed="false">
      <c r="A2466" s="7" t="n">
        <f aca="false">'Raw Data'!A2466</f>
        <v>2091</v>
      </c>
      <c r="B2466" s="7" t="n">
        <f aca="false">'Raw Data'!B2466</f>
        <v>49</v>
      </c>
      <c r="C2466" s="7" t="str">
        <f aca="false">'Raw Data'!C2466</f>
        <v>Female</v>
      </c>
      <c r="D2466" s="7" t="str">
        <f aca="false">'Raw Data'!D2466</f>
        <v>Current</v>
      </c>
      <c r="E2466" s="7" t="str">
        <f aca="false">'Raw Data'!J2466</f>
        <v>Normal</v>
      </c>
      <c r="F2466" s="7" t="n">
        <f aca="false">'Raw Data'!K2466</f>
        <v>289.6</v>
      </c>
      <c r="G2466" s="7" t="str">
        <f aca="false">'Raw Data'!L2466</f>
        <v>No</v>
      </c>
      <c r="H2466" s="7" t="str">
        <f aca="false">'Raw Data'!M2466</f>
        <v>Low</v>
      </c>
      <c r="I2466" s="7" t="n">
        <f aca="false">(IF(D2466="Current",3,IF(D2466="Former",1,0)))+(IF(E2466="High",3,IF(E2466="Normal",1,0)))+(IF(F2466&gt;=240,2,IF(F2466&gt;=200,1,0)))+(IF(G2466="Yes",2,0))+(IF(H2466="High",2,IF(H2466="Moderate",1,0)))</f>
        <v>6</v>
      </c>
      <c r="J2466" s="7" t="str">
        <f aca="false">IF(I2466&gt;=8,"High",IF(I2466&gt;=4,"Medium","Low"))</f>
        <v>Medium</v>
      </c>
    </row>
    <row r="2467" customFormat="false" ht="15" hidden="false" customHeight="true" outlineLevel="0" collapsed="false">
      <c r="A2467" s="7" t="n">
        <f aca="false">'Raw Data'!A2467</f>
        <v>2094</v>
      </c>
      <c r="B2467" s="7" t="n">
        <f aca="false">'Raw Data'!B2467</f>
        <v>73</v>
      </c>
      <c r="C2467" s="7" t="str">
        <f aca="false">'Raw Data'!C2467</f>
        <v>Female</v>
      </c>
      <c r="D2467" s="7" t="str">
        <f aca="false">'Raw Data'!D2467</f>
        <v>Current</v>
      </c>
      <c r="E2467" s="7" t="str">
        <f aca="false">'Raw Data'!J2467</f>
        <v>Normal</v>
      </c>
      <c r="F2467" s="7" t="n">
        <f aca="false">'Raw Data'!K2467</f>
        <v>270.5</v>
      </c>
      <c r="G2467" s="7" t="str">
        <f aca="false">'Raw Data'!L2467</f>
        <v>No</v>
      </c>
      <c r="H2467" s="7" t="str">
        <f aca="false">'Raw Data'!M2467</f>
        <v>Low</v>
      </c>
      <c r="I2467" s="7" t="n">
        <f aca="false">(IF(D2467="Current",3,IF(D2467="Former",1,0)))+(IF(E2467="High",3,IF(E2467="Normal",1,0)))+(IF(F2467&gt;=240,2,IF(F2467&gt;=200,1,0)))+(IF(G2467="Yes",2,0))+(IF(H2467="High",2,IF(H2467="Moderate",1,0)))</f>
        <v>6</v>
      </c>
      <c r="J2467" s="7" t="str">
        <f aca="false">IF(I2467&gt;=8,"High",IF(I2467&gt;=4,"Medium","Low"))</f>
        <v>Medium</v>
      </c>
    </row>
    <row r="2468" customFormat="false" ht="15" hidden="false" customHeight="true" outlineLevel="0" collapsed="false">
      <c r="A2468" s="7" t="n">
        <f aca="false">'Raw Data'!A2468</f>
        <v>2100</v>
      </c>
      <c r="B2468" s="7" t="n">
        <f aca="false">'Raw Data'!B2468</f>
        <v>25</v>
      </c>
      <c r="C2468" s="7" t="str">
        <f aca="false">'Raw Data'!C2468</f>
        <v>Male</v>
      </c>
      <c r="D2468" s="7" t="str">
        <f aca="false">'Raw Data'!D2468</f>
        <v>Current</v>
      </c>
      <c r="E2468" s="7" t="str">
        <f aca="false">'Raw Data'!J2468</f>
        <v>Normal</v>
      </c>
      <c r="F2468" s="7" t="n">
        <f aca="false">'Raw Data'!K2468</f>
        <v>268.6</v>
      </c>
      <c r="G2468" s="7" t="str">
        <f aca="false">'Raw Data'!L2468</f>
        <v>Yes</v>
      </c>
      <c r="H2468" s="7" t="str">
        <f aca="false">'Raw Data'!M2468</f>
        <v>Low</v>
      </c>
      <c r="I2468" s="7" t="n">
        <f aca="false">(IF(D2468="Current",3,IF(D2468="Former",1,0)))+(IF(E2468="High",3,IF(E2468="Normal",1,0)))+(IF(F2468&gt;=240,2,IF(F2468&gt;=200,1,0)))+(IF(G2468="Yes",2,0))+(IF(H2468="High",2,IF(H2468="Moderate",1,0)))</f>
        <v>8</v>
      </c>
      <c r="J2468" s="7" t="str">
        <f aca="false">IF(I2468&gt;=8,"High",IF(I2468&gt;=4,"Medium","Low"))</f>
        <v>High</v>
      </c>
    </row>
    <row r="2469" customFormat="false" ht="15" hidden="false" customHeight="true" outlineLevel="0" collapsed="false">
      <c r="A2469" s="7" t="n">
        <f aca="false">'Raw Data'!A2469</f>
        <v>2112</v>
      </c>
      <c r="B2469" s="7" t="n">
        <f aca="false">'Raw Data'!B2469</f>
        <v>44</v>
      </c>
      <c r="C2469" s="7" t="str">
        <f aca="false">'Raw Data'!C2469</f>
        <v>Male</v>
      </c>
      <c r="D2469" s="7" t="str">
        <f aca="false">'Raw Data'!D2469</f>
        <v>Current</v>
      </c>
      <c r="E2469" s="7" t="str">
        <f aca="false">'Raw Data'!J2469</f>
        <v>Normal</v>
      </c>
      <c r="F2469" s="7" t="n">
        <f aca="false">'Raw Data'!K2469</f>
        <v>290.7</v>
      </c>
      <c r="G2469" s="7" t="str">
        <f aca="false">'Raw Data'!L2469</f>
        <v>Yes</v>
      </c>
      <c r="H2469" s="7" t="str">
        <f aca="false">'Raw Data'!M2469</f>
        <v>Low</v>
      </c>
      <c r="I2469" s="7" t="n">
        <f aca="false">(IF(D2469="Current",3,IF(D2469="Former",1,0)))+(IF(E2469="High",3,IF(E2469="Normal",1,0)))+(IF(F2469&gt;=240,2,IF(F2469&gt;=200,1,0)))+(IF(G2469="Yes",2,0))+(IF(H2469="High",2,IF(H2469="Moderate",1,0)))</f>
        <v>8</v>
      </c>
      <c r="J2469" s="7" t="str">
        <f aca="false">IF(I2469&gt;=8,"High",IF(I2469&gt;=4,"Medium","Low"))</f>
        <v>High</v>
      </c>
    </row>
    <row r="2470" customFormat="false" ht="15" hidden="false" customHeight="true" outlineLevel="0" collapsed="false">
      <c r="A2470" s="7" t="n">
        <f aca="false">'Raw Data'!A2470</f>
        <v>2123</v>
      </c>
      <c r="B2470" s="7" t="n">
        <f aca="false">'Raw Data'!B2470</f>
        <v>35</v>
      </c>
      <c r="C2470" s="7" t="str">
        <f aca="false">'Raw Data'!C2470</f>
        <v>Female</v>
      </c>
      <c r="D2470" s="7" t="str">
        <f aca="false">'Raw Data'!D2470</f>
        <v>Current</v>
      </c>
      <c r="E2470" s="7" t="str">
        <f aca="false">'Raw Data'!J2470</f>
        <v>Normal</v>
      </c>
      <c r="F2470" s="7" t="n">
        <f aca="false">'Raw Data'!K2470</f>
        <v>270.3</v>
      </c>
      <c r="G2470" s="7" t="str">
        <f aca="false">'Raw Data'!L2470</f>
        <v>No</v>
      </c>
      <c r="H2470" s="7" t="str">
        <f aca="false">'Raw Data'!M2470</f>
        <v>Low</v>
      </c>
      <c r="I2470" s="7" t="n">
        <f aca="false">(IF(D2470="Current",3,IF(D2470="Former",1,0)))+(IF(E2470="High",3,IF(E2470="Normal",1,0)))+(IF(F2470&gt;=240,2,IF(F2470&gt;=200,1,0)))+(IF(G2470="Yes",2,0))+(IF(H2470="High",2,IF(H2470="Moderate",1,0)))</f>
        <v>6</v>
      </c>
      <c r="J2470" s="7" t="str">
        <f aca="false">IF(I2470&gt;=8,"High",IF(I2470&gt;=4,"Medium","Low"))</f>
        <v>Medium</v>
      </c>
    </row>
    <row r="2471" customFormat="false" ht="15" hidden="false" customHeight="true" outlineLevel="0" collapsed="false">
      <c r="A2471" s="7" t="n">
        <f aca="false">'Raw Data'!A2471</f>
        <v>2144</v>
      </c>
      <c r="B2471" s="7" t="n">
        <f aca="false">'Raw Data'!B2471</f>
        <v>42</v>
      </c>
      <c r="C2471" s="7" t="str">
        <f aca="false">'Raw Data'!C2471</f>
        <v>Female</v>
      </c>
      <c r="D2471" s="7" t="str">
        <f aca="false">'Raw Data'!D2471</f>
        <v>Current</v>
      </c>
      <c r="E2471" s="7" t="str">
        <f aca="false">'Raw Data'!J2471</f>
        <v>Normal</v>
      </c>
      <c r="F2471" s="7" t="n">
        <f aca="false">'Raw Data'!K2471</f>
        <v>142.5</v>
      </c>
      <c r="G2471" s="7" t="str">
        <f aca="false">'Raw Data'!L2471</f>
        <v>No</v>
      </c>
      <c r="H2471" s="7" t="str">
        <f aca="false">'Raw Data'!M2471</f>
        <v>Low</v>
      </c>
      <c r="I2471" s="7" t="n">
        <f aca="false">(IF(D2471="Current",3,IF(D2471="Former",1,0)))+(IF(E2471="High",3,IF(E2471="Normal",1,0)))+(IF(F2471&gt;=240,2,IF(F2471&gt;=200,1,0)))+(IF(G2471="Yes",2,0))+(IF(H2471="High",2,IF(H2471="Moderate",1,0)))</f>
        <v>4</v>
      </c>
      <c r="J2471" s="7" t="str">
        <f aca="false">IF(I2471&gt;=8,"High",IF(I2471&gt;=4,"Medium","Low"))</f>
        <v>Medium</v>
      </c>
    </row>
    <row r="2472" customFormat="false" ht="15" hidden="false" customHeight="true" outlineLevel="0" collapsed="false">
      <c r="A2472" s="7" t="n">
        <f aca="false">'Raw Data'!A2472</f>
        <v>2148</v>
      </c>
      <c r="B2472" s="7" t="n">
        <f aca="false">'Raw Data'!B2472</f>
        <v>65</v>
      </c>
      <c r="C2472" s="7" t="str">
        <f aca="false">'Raw Data'!C2472</f>
        <v>Female</v>
      </c>
      <c r="D2472" s="7" t="str">
        <f aca="false">'Raw Data'!D2472</f>
        <v>Current</v>
      </c>
      <c r="E2472" s="7" t="str">
        <f aca="false">'Raw Data'!J2472</f>
        <v>Normal</v>
      </c>
      <c r="F2472" s="7" t="n">
        <f aca="false">'Raw Data'!K2472</f>
        <v>251.3</v>
      </c>
      <c r="G2472" s="7" t="str">
        <f aca="false">'Raw Data'!L2472</f>
        <v>Yes</v>
      </c>
      <c r="H2472" s="7" t="str">
        <f aca="false">'Raw Data'!M2472</f>
        <v>Low</v>
      </c>
      <c r="I2472" s="7" t="n">
        <f aca="false">(IF(D2472="Current",3,IF(D2472="Former",1,0)))+(IF(E2472="High",3,IF(E2472="Normal",1,0)))+(IF(F2472&gt;=240,2,IF(F2472&gt;=200,1,0)))+(IF(G2472="Yes",2,0))+(IF(H2472="High",2,IF(H2472="Moderate",1,0)))</f>
        <v>8</v>
      </c>
      <c r="J2472" s="7" t="str">
        <f aca="false">IF(I2472&gt;=8,"High",IF(I2472&gt;=4,"Medium","Low"))</f>
        <v>High</v>
      </c>
    </row>
    <row r="2473" customFormat="false" ht="15" hidden="false" customHeight="true" outlineLevel="0" collapsed="false">
      <c r="A2473" s="7" t="n">
        <f aca="false">'Raw Data'!A2473</f>
        <v>2172</v>
      </c>
      <c r="B2473" s="7" t="n">
        <f aca="false">'Raw Data'!B2473</f>
        <v>85</v>
      </c>
      <c r="C2473" s="7" t="str">
        <f aca="false">'Raw Data'!C2473</f>
        <v>Male</v>
      </c>
      <c r="D2473" s="7" t="str">
        <f aca="false">'Raw Data'!D2473</f>
        <v>Current</v>
      </c>
      <c r="E2473" s="7" t="str">
        <f aca="false">'Raw Data'!J2473</f>
        <v>Normal</v>
      </c>
      <c r="F2473" s="7" t="n">
        <f aca="false">'Raw Data'!K2473</f>
        <v>238.4</v>
      </c>
      <c r="G2473" s="7" t="str">
        <f aca="false">'Raw Data'!L2473</f>
        <v>Yes</v>
      </c>
      <c r="H2473" s="7" t="str">
        <f aca="false">'Raw Data'!M2473</f>
        <v>Low</v>
      </c>
      <c r="I2473" s="7" t="n">
        <f aca="false">(IF(D2473="Current",3,IF(D2473="Former",1,0)))+(IF(E2473="High",3,IF(E2473="Normal",1,0)))+(IF(F2473&gt;=240,2,IF(F2473&gt;=200,1,0)))+(IF(G2473="Yes",2,0))+(IF(H2473="High",2,IF(H2473="Moderate",1,0)))</f>
        <v>7</v>
      </c>
      <c r="J2473" s="7" t="str">
        <f aca="false">IF(I2473&gt;=8,"High",IF(I2473&gt;=4,"Medium","Low"))</f>
        <v>Medium</v>
      </c>
    </row>
    <row r="2474" customFormat="false" ht="15" hidden="false" customHeight="true" outlineLevel="0" collapsed="false">
      <c r="A2474" s="7" t="n">
        <f aca="false">'Raw Data'!A2474</f>
        <v>2181</v>
      </c>
      <c r="B2474" s="7" t="n">
        <f aca="false">'Raw Data'!B2474</f>
        <v>33</v>
      </c>
      <c r="C2474" s="7" t="str">
        <f aca="false">'Raw Data'!C2474</f>
        <v>Female</v>
      </c>
      <c r="D2474" s="7" t="str">
        <f aca="false">'Raw Data'!D2474</f>
        <v>Current</v>
      </c>
      <c r="E2474" s="7" t="str">
        <f aca="false">'Raw Data'!J2474</f>
        <v>Normal</v>
      </c>
      <c r="F2474" s="7" t="n">
        <f aca="false">'Raw Data'!K2474</f>
        <v>131.5</v>
      </c>
      <c r="G2474" s="7" t="str">
        <f aca="false">'Raw Data'!L2474</f>
        <v>Yes</v>
      </c>
      <c r="H2474" s="7" t="str">
        <f aca="false">'Raw Data'!M2474</f>
        <v>Low</v>
      </c>
      <c r="I2474" s="7" t="n">
        <f aca="false">(IF(D2474="Current",3,IF(D2474="Former",1,0)))+(IF(E2474="High",3,IF(E2474="Normal",1,0)))+(IF(F2474&gt;=240,2,IF(F2474&gt;=200,1,0)))+(IF(G2474="Yes",2,0))+(IF(H2474="High",2,IF(H2474="Moderate",1,0)))</f>
        <v>6</v>
      </c>
      <c r="J2474" s="7" t="str">
        <f aca="false">IF(I2474&gt;=8,"High",IF(I2474&gt;=4,"Medium","Low"))</f>
        <v>Medium</v>
      </c>
    </row>
    <row r="2475" customFormat="false" ht="15" hidden="false" customHeight="true" outlineLevel="0" collapsed="false">
      <c r="A2475" s="7" t="n">
        <f aca="false">'Raw Data'!A2475</f>
        <v>2195</v>
      </c>
      <c r="B2475" s="7" t="n">
        <f aca="false">'Raw Data'!B2475</f>
        <v>37</v>
      </c>
      <c r="C2475" s="7" t="str">
        <f aca="false">'Raw Data'!C2475</f>
        <v>Male</v>
      </c>
      <c r="D2475" s="7" t="str">
        <f aca="false">'Raw Data'!D2475</f>
        <v>Current</v>
      </c>
      <c r="E2475" s="7" t="str">
        <f aca="false">'Raw Data'!J2475</f>
        <v>Normal</v>
      </c>
      <c r="F2475" s="7" t="n">
        <f aca="false">'Raw Data'!K2475</f>
        <v>141.1</v>
      </c>
      <c r="G2475" s="7" t="str">
        <f aca="false">'Raw Data'!L2475</f>
        <v>Yes</v>
      </c>
      <c r="H2475" s="7" t="str">
        <f aca="false">'Raw Data'!M2475</f>
        <v>Low</v>
      </c>
      <c r="I2475" s="7" t="n">
        <f aca="false">(IF(D2475="Current",3,IF(D2475="Former",1,0)))+(IF(E2475="High",3,IF(E2475="Normal",1,0)))+(IF(F2475&gt;=240,2,IF(F2475&gt;=200,1,0)))+(IF(G2475="Yes",2,0))+(IF(H2475="High",2,IF(H2475="Moderate",1,0)))</f>
        <v>6</v>
      </c>
      <c r="J2475" s="7" t="str">
        <f aca="false">IF(I2475&gt;=8,"High",IF(I2475&gt;=4,"Medium","Low"))</f>
        <v>Medium</v>
      </c>
    </row>
    <row r="2476" customFormat="false" ht="15" hidden="false" customHeight="true" outlineLevel="0" collapsed="false">
      <c r="A2476" s="7" t="n">
        <f aca="false">'Raw Data'!A2476</f>
        <v>2224</v>
      </c>
      <c r="B2476" s="7" t="n">
        <f aca="false">'Raw Data'!B2476</f>
        <v>84</v>
      </c>
      <c r="C2476" s="7" t="str">
        <f aca="false">'Raw Data'!C2476</f>
        <v>Male</v>
      </c>
      <c r="D2476" s="7" t="str">
        <f aca="false">'Raw Data'!D2476</f>
        <v>Current</v>
      </c>
      <c r="E2476" s="7" t="str">
        <f aca="false">'Raw Data'!J2476</f>
        <v>Normal</v>
      </c>
      <c r="F2476" s="7" t="n">
        <f aca="false">'Raw Data'!K2476</f>
        <v>136.6</v>
      </c>
      <c r="G2476" s="7" t="str">
        <f aca="false">'Raw Data'!L2476</f>
        <v>No</v>
      </c>
      <c r="H2476" s="7" t="str">
        <f aca="false">'Raw Data'!M2476</f>
        <v>Low</v>
      </c>
      <c r="I2476" s="7" t="n">
        <f aca="false">(IF(D2476="Current",3,IF(D2476="Former",1,0)))+(IF(E2476="High",3,IF(E2476="Normal",1,0)))+(IF(F2476&gt;=240,2,IF(F2476&gt;=200,1,0)))+(IF(G2476="Yes",2,0))+(IF(H2476="High",2,IF(H2476="Moderate",1,0)))</f>
        <v>4</v>
      </c>
      <c r="J2476" s="7" t="str">
        <f aca="false">IF(I2476&gt;=8,"High",IF(I2476&gt;=4,"Medium","Low"))</f>
        <v>Medium</v>
      </c>
    </row>
    <row r="2477" customFormat="false" ht="15" hidden="false" customHeight="true" outlineLevel="0" collapsed="false">
      <c r="A2477" s="7" t="n">
        <f aca="false">'Raw Data'!A2477</f>
        <v>2265</v>
      </c>
      <c r="B2477" s="7" t="n">
        <f aca="false">'Raw Data'!B2477</f>
        <v>20</v>
      </c>
      <c r="C2477" s="7" t="str">
        <f aca="false">'Raw Data'!C2477</f>
        <v>Female</v>
      </c>
      <c r="D2477" s="7" t="str">
        <f aca="false">'Raw Data'!D2477</f>
        <v>Current</v>
      </c>
      <c r="E2477" s="7" t="str">
        <f aca="false">'Raw Data'!J2477</f>
        <v>Normal</v>
      </c>
      <c r="F2477" s="7" t="n">
        <f aca="false">'Raw Data'!K2477</f>
        <v>255.7</v>
      </c>
      <c r="G2477" s="7" t="str">
        <f aca="false">'Raw Data'!L2477</f>
        <v>No</v>
      </c>
      <c r="H2477" s="7" t="str">
        <f aca="false">'Raw Data'!M2477</f>
        <v>Low</v>
      </c>
      <c r="I2477" s="7" t="n">
        <f aca="false">(IF(D2477="Current",3,IF(D2477="Former",1,0)))+(IF(E2477="High",3,IF(E2477="Normal",1,0)))+(IF(F2477&gt;=240,2,IF(F2477&gt;=200,1,0)))+(IF(G2477="Yes",2,0))+(IF(H2477="High",2,IF(H2477="Moderate",1,0)))</f>
        <v>6</v>
      </c>
      <c r="J2477" s="7" t="str">
        <f aca="false">IF(I2477&gt;=8,"High",IF(I2477&gt;=4,"Medium","Low"))</f>
        <v>Medium</v>
      </c>
    </row>
    <row r="2478" customFormat="false" ht="15" hidden="false" customHeight="true" outlineLevel="0" collapsed="false">
      <c r="A2478" s="7" t="n">
        <f aca="false">'Raw Data'!A2478</f>
        <v>2290</v>
      </c>
      <c r="B2478" s="7" t="n">
        <f aca="false">'Raw Data'!B2478</f>
        <v>74</v>
      </c>
      <c r="C2478" s="7" t="str">
        <f aca="false">'Raw Data'!C2478</f>
        <v>Female</v>
      </c>
      <c r="D2478" s="7" t="str">
        <f aca="false">'Raw Data'!D2478</f>
        <v>Current</v>
      </c>
      <c r="E2478" s="7" t="str">
        <f aca="false">'Raw Data'!J2478</f>
        <v>Normal</v>
      </c>
      <c r="F2478" s="7" t="n">
        <f aca="false">'Raw Data'!K2478</f>
        <v>274.4</v>
      </c>
      <c r="G2478" s="7" t="str">
        <f aca="false">'Raw Data'!L2478</f>
        <v>No</v>
      </c>
      <c r="H2478" s="7" t="str">
        <f aca="false">'Raw Data'!M2478</f>
        <v>Low</v>
      </c>
      <c r="I2478" s="7" t="n">
        <f aca="false">(IF(D2478="Current",3,IF(D2478="Former",1,0)))+(IF(E2478="High",3,IF(E2478="Normal",1,0)))+(IF(F2478&gt;=240,2,IF(F2478&gt;=200,1,0)))+(IF(G2478="Yes",2,0))+(IF(H2478="High",2,IF(H2478="Moderate",1,0)))</f>
        <v>6</v>
      </c>
      <c r="J2478" s="7" t="str">
        <f aca="false">IF(I2478&gt;=8,"High",IF(I2478&gt;=4,"Medium","Low"))</f>
        <v>Medium</v>
      </c>
    </row>
    <row r="2479" customFormat="false" ht="15" hidden="false" customHeight="true" outlineLevel="0" collapsed="false">
      <c r="A2479" s="7" t="n">
        <f aca="false">'Raw Data'!A2479</f>
        <v>2309</v>
      </c>
      <c r="B2479" s="7" t="n">
        <f aca="false">'Raw Data'!B2479</f>
        <v>64</v>
      </c>
      <c r="C2479" s="7" t="str">
        <f aca="false">'Raw Data'!C2479</f>
        <v>Female</v>
      </c>
      <c r="D2479" s="7" t="str">
        <f aca="false">'Raw Data'!D2479</f>
        <v>Current</v>
      </c>
      <c r="E2479" s="7" t="str">
        <f aca="false">'Raw Data'!J2479</f>
        <v>Normal</v>
      </c>
      <c r="F2479" s="7" t="n">
        <f aca="false">'Raw Data'!K2479</f>
        <v>209.7</v>
      </c>
      <c r="G2479" s="7" t="str">
        <f aca="false">'Raw Data'!L2479</f>
        <v>No</v>
      </c>
      <c r="H2479" s="7" t="str">
        <f aca="false">'Raw Data'!M2479</f>
        <v>Low</v>
      </c>
      <c r="I2479" s="7" t="n">
        <f aca="false">(IF(D2479="Current",3,IF(D2479="Former",1,0)))+(IF(E2479="High",3,IF(E2479="Normal",1,0)))+(IF(F2479&gt;=240,2,IF(F2479&gt;=200,1,0)))+(IF(G2479="Yes",2,0))+(IF(H2479="High",2,IF(H2479="Moderate",1,0)))</f>
        <v>5</v>
      </c>
      <c r="J2479" s="7" t="str">
        <f aca="false">IF(I2479&gt;=8,"High",IF(I2479&gt;=4,"Medium","Low"))</f>
        <v>Medium</v>
      </c>
    </row>
    <row r="2480" customFormat="false" ht="15" hidden="false" customHeight="true" outlineLevel="0" collapsed="false">
      <c r="A2480" s="7" t="n">
        <f aca="false">'Raw Data'!A2480</f>
        <v>2310</v>
      </c>
      <c r="B2480" s="7" t="n">
        <f aca="false">'Raw Data'!B2480</f>
        <v>64</v>
      </c>
      <c r="C2480" s="7" t="str">
        <f aca="false">'Raw Data'!C2480</f>
        <v>Female</v>
      </c>
      <c r="D2480" s="7" t="str">
        <f aca="false">'Raw Data'!D2480</f>
        <v>Current</v>
      </c>
      <c r="E2480" s="7" t="str">
        <f aca="false">'Raw Data'!J2480</f>
        <v>Normal</v>
      </c>
      <c r="F2480" s="7" t="n">
        <f aca="false">'Raw Data'!K2480</f>
        <v>251.6</v>
      </c>
      <c r="G2480" s="7" t="str">
        <f aca="false">'Raw Data'!L2480</f>
        <v>No</v>
      </c>
      <c r="H2480" s="7" t="str">
        <f aca="false">'Raw Data'!M2480</f>
        <v>Low</v>
      </c>
      <c r="I2480" s="7" t="n">
        <f aca="false">(IF(D2480="Current",3,IF(D2480="Former",1,0)))+(IF(E2480="High",3,IF(E2480="Normal",1,0)))+(IF(F2480&gt;=240,2,IF(F2480&gt;=200,1,0)))+(IF(G2480="Yes",2,0))+(IF(H2480="High",2,IF(H2480="Moderate",1,0)))</f>
        <v>6</v>
      </c>
      <c r="J2480" s="7" t="str">
        <f aca="false">IF(I2480&gt;=8,"High",IF(I2480&gt;=4,"Medium","Low"))</f>
        <v>Medium</v>
      </c>
    </row>
    <row r="2481" customFormat="false" ht="15" hidden="false" customHeight="true" outlineLevel="0" collapsed="false">
      <c r="A2481" s="7" t="n">
        <f aca="false">'Raw Data'!A2481</f>
        <v>2314</v>
      </c>
      <c r="B2481" s="7" t="n">
        <f aca="false">'Raw Data'!B2481</f>
        <v>28</v>
      </c>
      <c r="C2481" s="7" t="str">
        <f aca="false">'Raw Data'!C2481</f>
        <v>Female</v>
      </c>
      <c r="D2481" s="7" t="str">
        <f aca="false">'Raw Data'!D2481</f>
        <v>Current</v>
      </c>
      <c r="E2481" s="7" t="str">
        <f aca="false">'Raw Data'!J2481</f>
        <v>Normal</v>
      </c>
      <c r="F2481" s="7" t="n">
        <f aca="false">'Raw Data'!K2481</f>
        <v>191.1</v>
      </c>
      <c r="G2481" s="7" t="str">
        <f aca="false">'Raw Data'!L2481</f>
        <v>Yes</v>
      </c>
      <c r="H2481" s="7" t="str">
        <f aca="false">'Raw Data'!M2481</f>
        <v>Low</v>
      </c>
      <c r="I2481" s="7" t="n">
        <f aca="false">(IF(D2481="Current",3,IF(D2481="Former",1,0)))+(IF(E2481="High",3,IF(E2481="Normal",1,0)))+(IF(F2481&gt;=240,2,IF(F2481&gt;=200,1,0)))+(IF(G2481="Yes",2,0))+(IF(H2481="High",2,IF(H2481="Moderate",1,0)))</f>
        <v>6</v>
      </c>
      <c r="J2481" s="7" t="str">
        <f aca="false">IF(I2481&gt;=8,"High",IF(I2481&gt;=4,"Medium","Low"))</f>
        <v>Medium</v>
      </c>
    </row>
    <row r="2482" customFormat="false" ht="15" hidden="false" customHeight="true" outlineLevel="0" collapsed="false">
      <c r="A2482" s="7" t="n">
        <f aca="false">'Raw Data'!A2482</f>
        <v>2317</v>
      </c>
      <c r="B2482" s="7" t="n">
        <f aca="false">'Raw Data'!B2482</f>
        <v>24</v>
      </c>
      <c r="C2482" s="7" t="str">
        <f aca="false">'Raw Data'!C2482</f>
        <v>Male</v>
      </c>
      <c r="D2482" s="7" t="str">
        <f aca="false">'Raw Data'!D2482</f>
        <v>Current</v>
      </c>
      <c r="E2482" s="7" t="str">
        <f aca="false">'Raw Data'!J2482</f>
        <v>Normal</v>
      </c>
      <c r="F2482" s="7" t="n">
        <f aca="false">'Raw Data'!K2482</f>
        <v>149.2</v>
      </c>
      <c r="G2482" s="7" t="str">
        <f aca="false">'Raw Data'!L2482</f>
        <v>Yes</v>
      </c>
      <c r="H2482" s="7" t="str">
        <f aca="false">'Raw Data'!M2482</f>
        <v>Low</v>
      </c>
      <c r="I2482" s="7" t="n">
        <f aca="false">(IF(D2482="Current",3,IF(D2482="Former",1,0)))+(IF(E2482="High",3,IF(E2482="Normal",1,0)))+(IF(F2482&gt;=240,2,IF(F2482&gt;=200,1,0)))+(IF(G2482="Yes",2,0))+(IF(H2482="High",2,IF(H2482="Moderate",1,0)))</f>
        <v>6</v>
      </c>
      <c r="J2482" s="7" t="str">
        <f aca="false">IF(I2482&gt;=8,"High",IF(I2482&gt;=4,"Medium","Low"))</f>
        <v>Medium</v>
      </c>
    </row>
    <row r="2483" customFormat="false" ht="15" hidden="false" customHeight="true" outlineLevel="0" collapsed="false">
      <c r="A2483" s="7" t="n">
        <f aca="false">'Raw Data'!A2483</f>
        <v>2329</v>
      </c>
      <c r="B2483" s="7" t="n">
        <f aca="false">'Raw Data'!B2483</f>
        <v>75</v>
      </c>
      <c r="C2483" s="7" t="str">
        <f aca="false">'Raw Data'!C2483</f>
        <v>Female</v>
      </c>
      <c r="D2483" s="7" t="str">
        <f aca="false">'Raw Data'!D2483</f>
        <v>Current</v>
      </c>
      <c r="E2483" s="7" t="str">
        <f aca="false">'Raw Data'!J2483</f>
        <v>Normal</v>
      </c>
      <c r="F2483" s="7" t="n">
        <f aca="false">'Raw Data'!K2483</f>
        <v>243.8</v>
      </c>
      <c r="G2483" s="7" t="str">
        <f aca="false">'Raw Data'!L2483</f>
        <v>No</v>
      </c>
      <c r="H2483" s="7" t="str">
        <f aca="false">'Raw Data'!M2483</f>
        <v>Low</v>
      </c>
      <c r="I2483" s="7" t="n">
        <f aca="false">(IF(D2483="Current",3,IF(D2483="Former",1,0)))+(IF(E2483="High",3,IF(E2483="Normal",1,0)))+(IF(F2483&gt;=240,2,IF(F2483&gt;=200,1,0)))+(IF(G2483="Yes",2,0))+(IF(H2483="High",2,IF(H2483="Moderate",1,0)))</f>
        <v>6</v>
      </c>
      <c r="J2483" s="7" t="str">
        <f aca="false">IF(I2483&gt;=8,"High",IF(I2483&gt;=4,"Medium","Low"))</f>
        <v>Medium</v>
      </c>
    </row>
    <row r="2484" customFormat="false" ht="15" hidden="false" customHeight="true" outlineLevel="0" collapsed="false">
      <c r="A2484" s="7" t="n">
        <f aca="false">'Raw Data'!A2484</f>
        <v>2334</v>
      </c>
      <c r="B2484" s="7" t="n">
        <f aca="false">'Raw Data'!B2484</f>
        <v>50</v>
      </c>
      <c r="C2484" s="7" t="str">
        <f aca="false">'Raw Data'!C2484</f>
        <v>Female</v>
      </c>
      <c r="D2484" s="7" t="str">
        <f aca="false">'Raw Data'!D2484</f>
        <v>Current</v>
      </c>
      <c r="E2484" s="7" t="str">
        <f aca="false">'Raw Data'!J2484</f>
        <v>Normal</v>
      </c>
      <c r="F2484" s="7" t="n">
        <f aca="false">'Raw Data'!K2484</f>
        <v>185.7</v>
      </c>
      <c r="G2484" s="7" t="str">
        <f aca="false">'Raw Data'!L2484</f>
        <v>No</v>
      </c>
      <c r="H2484" s="7" t="str">
        <f aca="false">'Raw Data'!M2484</f>
        <v>Low</v>
      </c>
      <c r="I2484" s="7" t="n">
        <f aca="false">(IF(D2484="Current",3,IF(D2484="Former",1,0)))+(IF(E2484="High",3,IF(E2484="Normal",1,0)))+(IF(F2484&gt;=240,2,IF(F2484&gt;=200,1,0)))+(IF(G2484="Yes",2,0))+(IF(H2484="High",2,IF(H2484="Moderate",1,0)))</f>
        <v>4</v>
      </c>
      <c r="J2484" s="7" t="str">
        <f aca="false">IF(I2484&gt;=8,"High",IF(I2484&gt;=4,"Medium","Low"))</f>
        <v>Medium</v>
      </c>
    </row>
    <row r="2485" customFormat="false" ht="15" hidden="false" customHeight="true" outlineLevel="0" collapsed="false">
      <c r="A2485" s="7" t="n">
        <f aca="false">'Raw Data'!A2485</f>
        <v>2336</v>
      </c>
      <c r="B2485" s="7" t="n">
        <f aca="false">'Raw Data'!B2485</f>
        <v>42</v>
      </c>
      <c r="C2485" s="7" t="str">
        <f aca="false">'Raw Data'!C2485</f>
        <v>Male</v>
      </c>
      <c r="D2485" s="7" t="str">
        <f aca="false">'Raw Data'!D2485</f>
        <v>Current</v>
      </c>
      <c r="E2485" s="7" t="str">
        <f aca="false">'Raw Data'!J2485</f>
        <v>Normal</v>
      </c>
      <c r="F2485" s="7" t="n">
        <f aca="false">'Raw Data'!K2485</f>
        <v>123.9</v>
      </c>
      <c r="G2485" s="7" t="str">
        <f aca="false">'Raw Data'!L2485</f>
        <v>No</v>
      </c>
      <c r="H2485" s="7" t="str">
        <f aca="false">'Raw Data'!M2485</f>
        <v>Low</v>
      </c>
      <c r="I2485" s="7" t="n">
        <f aca="false">(IF(D2485="Current",3,IF(D2485="Former",1,0)))+(IF(E2485="High",3,IF(E2485="Normal",1,0)))+(IF(F2485&gt;=240,2,IF(F2485&gt;=200,1,0)))+(IF(G2485="Yes",2,0))+(IF(H2485="High",2,IF(H2485="Moderate",1,0)))</f>
        <v>4</v>
      </c>
      <c r="J2485" s="7" t="str">
        <f aca="false">IF(I2485&gt;=8,"High",IF(I2485&gt;=4,"Medium","Low"))</f>
        <v>Medium</v>
      </c>
    </row>
    <row r="2486" customFormat="false" ht="15" hidden="false" customHeight="true" outlineLevel="0" collapsed="false">
      <c r="A2486" s="7" t="n">
        <f aca="false">'Raw Data'!A2486</f>
        <v>2340</v>
      </c>
      <c r="B2486" s="7" t="n">
        <f aca="false">'Raw Data'!B2486</f>
        <v>45</v>
      </c>
      <c r="C2486" s="7" t="str">
        <f aca="false">'Raw Data'!C2486</f>
        <v>Male</v>
      </c>
      <c r="D2486" s="7" t="str">
        <f aca="false">'Raw Data'!D2486</f>
        <v>Current</v>
      </c>
      <c r="E2486" s="7" t="str">
        <f aca="false">'Raw Data'!J2486</f>
        <v>Normal</v>
      </c>
      <c r="F2486" s="7" t="n">
        <f aca="false">'Raw Data'!K2486</f>
        <v>295.1</v>
      </c>
      <c r="G2486" s="7" t="str">
        <f aca="false">'Raw Data'!L2486</f>
        <v>No</v>
      </c>
      <c r="H2486" s="7" t="str">
        <f aca="false">'Raw Data'!M2486</f>
        <v>Low</v>
      </c>
      <c r="I2486" s="7" t="n">
        <f aca="false">(IF(D2486="Current",3,IF(D2486="Former",1,0)))+(IF(E2486="High",3,IF(E2486="Normal",1,0)))+(IF(F2486&gt;=240,2,IF(F2486&gt;=200,1,0)))+(IF(G2486="Yes",2,0))+(IF(H2486="High",2,IF(H2486="Moderate",1,0)))</f>
        <v>6</v>
      </c>
      <c r="J2486" s="7" t="str">
        <f aca="false">IF(I2486&gt;=8,"High",IF(I2486&gt;=4,"Medium","Low"))</f>
        <v>Medium</v>
      </c>
    </row>
    <row r="2487" customFormat="false" ht="15" hidden="false" customHeight="true" outlineLevel="0" collapsed="false">
      <c r="A2487" s="7" t="n">
        <f aca="false">'Raw Data'!A2487</f>
        <v>2346</v>
      </c>
      <c r="B2487" s="7" t="n">
        <f aca="false">'Raw Data'!B2487</f>
        <v>58</v>
      </c>
      <c r="C2487" s="7" t="str">
        <f aca="false">'Raw Data'!C2487</f>
        <v>Male</v>
      </c>
      <c r="D2487" s="7" t="str">
        <f aca="false">'Raw Data'!D2487</f>
        <v>Current</v>
      </c>
      <c r="E2487" s="7" t="str">
        <f aca="false">'Raw Data'!J2487</f>
        <v>Normal</v>
      </c>
      <c r="F2487" s="7" t="n">
        <f aca="false">'Raw Data'!K2487</f>
        <v>279.2</v>
      </c>
      <c r="G2487" s="7" t="str">
        <f aca="false">'Raw Data'!L2487</f>
        <v>Yes</v>
      </c>
      <c r="H2487" s="7" t="str">
        <f aca="false">'Raw Data'!M2487</f>
        <v>Low</v>
      </c>
      <c r="I2487" s="7" t="n">
        <f aca="false">(IF(D2487="Current",3,IF(D2487="Former",1,0)))+(IF(E2487="High",3,IF(E2487="Normal",1,0)))+(IF(F2487&gt;=240,2,IF(F2487&gt;=200,1,0)))+(IF(G2487="Yes",2,0))+(IF(H2487="High",2,IF(H2487="Moderate",1,0)))</f>
        <v>8</v>
      </c>
      <c r="J2487" s="7" t="str">
        <f aca="false">IF(I2487&gt;=8,"High",IF(I2487&gt;=4,"Medium","Low"))</f>
        <v>High</v>
      </c>
    </row>
    <row r="2488" customFormat="false" ht="15" hidden="false" customHeight="true" outlineLevel="0" collapsed="false">
      <c r="A2488" s="7" t="n">
        <f aca="false">'Raw Data'!A2488</f>
        <v>2351</v>
      </c>
      <c r="B2488" s="7" t="n">
        <f aca="false">'Raw Data'!B2488</f>
        <v>86</v>
      </c>
      <c r="C2488" s="7" t="str">
        <f aca="false">'Raw Data'!C2488</f>
        <v>Female</v>
      </c>
      <c r="D2488" s="7" t="str">
        <f aca="false">'Raw Data'!D2488</f>
        <v>Current</v>
      </c>
      <c r="E2488" s="7" t="str">
        <f aca="false">'Raw Data'!J2488</f>
        <v>Normal</v>
      </c>
      <c r="F2488" s="7" t="n">
        <f aca="false">'Raw Data'!K2488</f>
        <v>295.5</v>
      </c>
      <c r="G2488" s="7" t="str">
        <f aca="false">'Raw Data'!L2488</f>
        <v>No</v>
      </c>
      <c r="H2488" s="7" t="str">
        <f aca="false">'Raw Data'!M2488</f>
        <v>Low</v>
      </c>
      <c r="I2488" s="7" t="n">
        <f aca="false">(IF(D2488="Current",3,IF(D2488="Former",1,0)))+(IF(E2488="High",3,IF(E2488="Normal",1,0)))+(IF(F2488&gt;=240,2,IF(F2488&gt;=200,1,0)))+(IF(G2488="Yes",2,0))+(IF(H2488="High",2,IF(H2488="Moderate",1,0)))</f>
        <v>6</v>
      </c>
      <c r="J2488" s="7" t="str">
        <f aca="false">IF(I2488&gt;=8,"High",IF(I2488&gt;=4,"Medium","Low"))</f>
        <v>Medium</v>
      </c>
    </row>
    <row r="2489" customFormat="false" ht="15" hidden="false" customHeight="true" outlineLevel="0" collapsed="false">
      <c r="A2489" s="7" t="n">
        <f aca="false">'Raw Data'!A2489</f>
        <v>2356</v>
      </c>
      <c r="B2489" s="7" t="n">
        <f aca="false">'Raw Data'!B2489</f>
        <v>77</v>
      </c>
      <c r="C2489" s="7" t="str">
        <f aca="false">'Raw Data'!C2489</f>
        <v>Male</v>
      </c>
      <c r="D2489" s="7" t="str">
        <f aca="false">'Raw Data'!D2489</f>
        <v>Current</v>
      </c>
      <c r="E2489" s="7" t="str">
        <f aca="false">'Raw Data'!J2489</f>
        <v>Normal</v>
      </c>
      <c r="F2489" s="7" t="n">
        <f aca="false">'Raw Data'!K2489</f>
        <v>237.9</v>
      </c>
      <c r="G2489" s="7" t="str">
        <f aca="false">'Raw Data'!L2489</f>
        <v>No</v>
      </c>
      <c r="H2489" s="7" t="str">
        <f aca="false">'Raw Data'!M2489</f>
        <v>Low</v>
      </c>
      <c r="I2489" s="7" t="n">
        <f aca="false">(IF(D2489="Current",3,IF(D2489="Former",1,0)))+(IF(E2489="High",3,IF(E2489="Normal",1,0)))+(IF(F2489&gt;=240,2,IF(F2489&gt;=200,1,0)))+(IF(G2489="Yes",2,0))+(IF(H2489="High",2,IF(H2489="Moderate",1,0)))</f>
        <v>5</v>
      </c>
      <c r="J2489" s="7" t="str">
        <f aca="false">IF(I2489&gt;=8,"High",IF(I2489&gt;=4,"Medium","Low"))</f>
        <v>Medium</v>
      </c>
    </row>
    <row r="2490" customFormat="false" ht="15" hidden="false" customHeight="true" outlineLevel="0" collapsed="false">
      <c r="A2490" s="7" t="n">
        <f aca="false">'Raw Data'!A2490</f>
        <v>2370</v>
      </c>
      <c r="B2490" s="7" t="n">
        <f aca="false">'Raw Data'!B2490</f>
        <v>22</v>
      </c>
      <c r="C2490" s="7" t="str">
        <f aca="false">'Raw Data'!C2490</f>
        <v>Female</v>
      </c>
      <c r="D2490" s="7" t="str">
        <f aca="false">'Raw Data'!D2490</f>
        <v>Current</v>
      </c>
      <c r="E2490" s="7" t="str">
        <f aca="false">'Raw Data'!J2490</f>
        <v>Normal</v>
      </c>
      <c r="F2490" s="7" t="n">
        <f aca="false">'Raw Data'!K2490</f>
        <v>147.1</v>
      </c>
      <c r="G2490" s="7" t="str">
        <f aca="false">'Raw Data'!L2490</f>
        <v>Yes</v>
      </c>
      <c r="H2490" s="7" t="str">
        <f aca="false">'Raw Data'!M2490</f>
        <v>Low</v>
      </c>
      <c r="I2490" s="7" t="n">
        <f aca="false">(IF(D2490="Current",3,IF(D2490="Former",1,0)))+(IF(E2490="High",3,IF(E2490="Normal",1,0)))+(IF(F2490&gt;=240,2,IF(F2490&gt;=200,1,0)))+(IF(G2490="Yes",2,0))+(IF(H2490="High",2,IF(H2490="Moderate",1,0)))</f>
        <v>6</v>
      </c>
      <c r="J2490" s="7" t="str">
        <f aca="false">IF(I2490&gt;=8,"High",IF(I2490&gt;=4,"Medium","Low"))</f>
        <v>Medium</v>
      </c>
    </row>
    <row r="2491" customFormat="false" ht="15" hidden="false" customHeight="true" outlineLevel="0" collapsed="false">
      <c r="A2491" s="7" t="n">
        <f aca="false">'Raw Data'!A2491</f>
        <v>2377</v>
      </c>
      <c r="B2491" s="7" t="n">
        <f aca="false">'Raw Data'!B2491</f>
        <v>68</v>
      </c>
      <c r="C2491" s="7" t="str">
        <f aca="false">'Raw Data'!C2491</f>
        <v>Male</v>
      </c>
      <c r="D2491" s="7" t="str">
        <f aca="false">'Raw Data'!D2491</f>
        <v>Current</v>
      </c>
      <c r="E2491" s="7" t="str">
        <f aca="false">'Raw Data'!J2491</f>
        <v>Normal</v>
      </c>
      <c r="F2491" s="7" t="n">
        <f aca="false">'Raw Data'!K2491</f>
        <v>148.6</v>
      </c>
      <c r="G2491" s="7" t="str">
        <f aca="false">'Raw Data'!L2491</f>
        <v>No</v>
      </c>
      <c r="H2491" s="7" t="str">
        <f aca="false">'Raw Data'!M2491</f>
        <v>Low</v>
      </c>
      <c r="I2491" s="7" t="n">
        <f aca="false">(IF(D2491="Current",3,IF(D2491="Former",1,0)))+(IF(E2491="High",3,IF(E2491="Normal",1,0)))+(IF(F2491&gt;=240,2,IF(F2491&gt;=200,1,0)))+(IF(G2491="Yes",2,0))+(IF(H2491="High",2,IF(H2491="Moderate",1,0)))</f>
        <v>4</v>
      </c>
      <c r="J2491" s="7" t="str">
        <f aca="false">IF(I2491&gt;=8,"High",IF(I2491&gt;=4,"Medium","Low"))</f>
        <v>Medium</v>
      </c>
    </row>
    <row r="2492" customFormat="false" ht="15" hidden="false" customHeight="true" outlineLevel="0" collapsed="false">
      <c r="A2492" s="7" t="n">
        <f aca="false">'Raw Data'!A2492</f>
        <v>2393</v>
      </c>
      <c r="B2492" s="7" t="n">
        <f aca="false">'Raw Data'!B2492</f>
        <v>77</v>
      </c>
      <c r="C2492" s="7" t="str">
        <f aca="false">'Raw Data'!C2492</f>
        <v>Female</v>
      </c>
      <c r="D2492" s="7" t="str">
        <f aca="false">'Raw Data'!D2492</f>
        <v>Current</v>
      </c>
      <c r="E2492" s="7" t="str">
        <f aca="false">'Raw Data'!J2492</f>
        <v>Normal</v>
      </c>
      <c r="F2492" s="7" t="n">
        <f aca="false">'Raw Data'!K2492</f>
        <v>148.1</v>
      </c>
      <c r="G2492" s="7" t="str">
        <f aca="false">'Raw Data'!L2492</f>
        <v>Yes</v>
      </c>
      <c r="H2492" s="7" t="str">
        <f aca="false">'Raw Data'!M2492</f>
        <v>Low</v>
      </c>
      <c r="I2492" s="7" t="n">
        <f aca="false">(IF(D2492="Current",3,IF(D2492="Former",1,0)))+(IF(E2492="High",3,IF(E2492="Normal",1,0)))+(IF(F2492&gt;=240,2,IF(F2492&gt;=200,1,0)))+(IF(G2492="Yes",2,0))+(IF(H2492="High",2,IF(H2492="Moderate",1,0)))</f>
        <v>6</v>
      </c>
      <c r="J2492" s="7" t="str">
        <f aca="false">IF(I2492&gt;=8,"High",IF(I2492&gt;=4,"Medium","Low"))</f>
        <v>Medium</v>
      </c>
    </row>
    <row r="2493" customFormat="false" ht="15" hidden="false" customHeight="true" outlineLevel="0" collapsed="false">
      <c r="A2493" s="7" t="n">
        <f aca="false">'Raw Data'!A2493</f>
        <v>2394</v>
      </c>
      <c r="B2493" s="7" t="n">
        <f aca="false">'Raw Data'!B2493</f>
        <v>71</v>
      </c>
      <c r="C2493" s="7" t="str">
        <f aca="false">'Raw Data'!C2493</f>
        <v>Female</v>
      </c>
      <c r="D2493" s="7" t="str">
        <f aca="false">'Raw Data'!D2493</f>
        <v>Current</v>
      </c>
      <c r="E2493" s="7" t="str">
        <f aca="false">'Raw Data'!J2493</f>
        <v>Normal</v>
      </c>
      <c r="F2493" s="7" t="n">
        <f aca="false">'Raw Data'!K2493</f>
        <v>202.2</v>
      </c>
      <c r="G2493" s="7" t="str">
        <f aca="false">'Raw Data'!L2493</f>
        <v>No</v>
      </c>
      <c r="H2493" s="7" t="str">
        <f aca="false">'Raw Data'!M2493</f>
        <v>Low</v>
      </c>
      <c r="I2493" s="7" t="n">
        <f aca="false">(IF(D2493="Current",3,IF(D2493="Former",1,0)))+(IF(E2493="High",3,IF(E2493="Normal",1,0)))+(IF(F2493&gt;=240,2,IF(F2493&gt;=200,1,0)))+(IF(G2493="Yes",2,0))+(IF(H2493="High",2,IF(H2493="Moderate",1,0)))</f>
        <v>5</v>
      </c>
      <c r="J2493" s="7" t="str">
        <f aca="false">IF(I2493&gt;=8,"High",IF(I2493&gt;=4,"Medium","Low"))</f>
        <v>Medium</v>
      </c>
    </row>
    <row r="2494" customFormat="false" ht="15" hidden="false" customHeight="true" outlineLevel="0" collapsed="false">
      <c r="A2494" s="7" t="n">
        <f aca="false">'Raw Data'!A2494</f>
        <v>2413</v>
      </c>
      <c r="B2494" s="7" t="n">
        <f aca="false">'Raw Data'!B2494</f>
        <v>28</v>
      </c>
      <c r="C2494" s="7" t="str">
        <f aca="false">'Raw Data'!C2494</f>
        <v>Female</v>
      </c>
      <c r="D2494" s="7" t="str">
        <f aca="false">'Raw Data'!D2494</f>
        <v>Current</v>
      </c>
      <c r="E2494" s="7" t="str">
        <f aca="false">'Raw Data'!J2494</f>
        <v>Normal</v>
      </c>
      <c r="F2494" s="7" t="n">
        <f aca="false">'Raw Data'!K2494</f>
        <v>226.9</v>
      </c>
      <c r="G2494" s="7" t="str">
        <f aca="false">'Raw Data'!L2494</f>
        <v>No</v>
      </c>
      <c r="H2494" s="7" t="str">
        <f aca="false">'Raw Data'!M2494</f>
        <v>Low</v>
      </c>
      <c r="I2494" s="7" t="n">
        <f aca="false">(IF(D2494="Current",3,IF(D2494="Former",1,0)))+(IF(E2494="High",3,IF(E2494="Normal",1,0)))+(IF(F2494&gt;=240,2,IF(F2494&gt;=200,1,0)))+(IF(G2494="Yes",2,0))+(IF(H2494="High",2,IF(H2494="Moderate",1,0)))</f>
        <v>5</v>
      </c>
      <c r="J2494" s="7" t="str">
        <f aca="false">IF(I2494&gt;=8,"High",IF(I2494&gt;=4,"Medium","Low"))</f>
        <v>Medium</v>
      </c>
    </row>
    <row r="2495" customFormat="false" ht="15" hidden="false" customHeight="true" outlineLevel="0" collapsed="false">
      <c r="A2495" s="7" t="n">
        <f aca="false">'Raw Data'!A2495</f>
        <v>2420</v>
      </c>
      <c r="B2495" s="7" t="n">
        <f aca="false">'Raw Data'!B2495</f>
        <v>33</v>
      </c>
      <c r="C2495" s="7" t="str">
        <f aca="false">'Raw Data'!C2495</f>
        <v>Female</v>
      </c>
      <c r="D2495" s="7" t="str">
        <f aca="false">'Raw Data'!D2495</f>
        <v>Current</v>
      </c>
      <c r="E2495" s="7" t="str">
        <f aca="false">'Raw Data'!J2495</f>
        <v>Normal</v>
      </c>
      <c r="F2495" s="7" t="n">
        <f aca="false">'Raw Data'!K2495</f>
        <v>231.8</v>
      </c>
      <c r="G2495" s="7" t="str">
        <f aca="false">'Raw Data'!L2495</f>
        <v>Yes</v>
      </c>
      <c r="H2495" s="7" t="str">
        <f aca="false">'Raw Data'!M2495</f>
        <v>Low</v>
      </c>
      <c r="I2495" s="7" t="n">
        <f aca="false">(IF(D2495="Current",3,IF(D2495="Former",1,0)))+(IF(E2495="High",3,IF(E2495="Normal",1,0)))+(IF(F2495&gt;=240,2,IF(F2495&gt;=200,1,0)))+(IF(G2495="Yes",2,0))+(IF(H2495="High",2,IF(H2495="Moderate",1,0)))</f>
        <v>7</v>
      </c>
      <c r="J2495" s="7" t="str">
        <f aca="false">IF(I2495&gt;=8,"High",IF(I2495&gt;=4,"Medium","Low"))</f>
        <v>Medium</v>
      </c>
    </row>
    <row r="2496" customFormat="false" ht="15" hidden="false" customHeight="true" outlineLevel="0" collapsed="false">
      <c r="A2496" s="7" t="n">
        <f aca="false">'Raw Data'!A2496</f>
        <v>2441</v>
      </c>
      <c r="B2496" s="7" t="n">
        <f aca="false">'Raw Data'!B2496</f>
        <v>65</v>
      </c>
      <c r="C2496" s="7" t="str">
        <f aca="false">'Raw Data'!C2496</f>
        <v>Male</v>
      </c>
      <c r="D2496" s="7" t="str">
        <f aca="false">'Raw Data'!D2496</f>
        <v>Current</v>
      </c>
      <c r="E2496" s="7" t="str">
        <f aca="false">'Raw Data'!J2496</f>
        <v>Normal</v>
      </c>
      <c r="F2496" s="7" t="n">
        <f aca="false">'Raw Data'!K2496</f>
        <v>155.1</v>
      </c>
      <c r="G2496" s="7" t="str">
        <f aca="false">'Raw Data'!L2496</f>
        <v>No</v>
      </c>
      <c r="H2496" s="7" t="str">
        <f aca="false">'Raw Data'!M2496</f>
        <v>Low</v>
      </c>
      <c r="I2496" s="7" t="n">
        <f aca="false">(IF(D2496="Current",3,IF(D2496="Former",1,0)))+(IF(E2496="High",3,IF(E2496="Normal",1,0)))+(IF(F2496&gt;=240,2,IF(F2496&gt;=200,1,0)))+(IF(G2496="Yes",2,0))+(IF(H2496="High",2,IF(H2496="Moderate",1,0)))</f>
        <v>4</v>
      </c>
      <c r="J2496" s="7" t="str">
        <f aca="false">IF(I2496&gt;=8,"High",IF(I2496&gt;=4,"Medium","Low"))</f>
        <v>Medium</v>
      </c>
    </row>
    <row r="2497" customFormat="false" ht="15" hidden="false" customHeight="true" outlineLevel="0" collapsed="false">
      <c r="A2497" s="7" t="n">
        <f aca="false">'Raw Data'!A2497</f>
        <v>2445</v>
      </c>
      <c r="B2497" s="7" t="n">
        <f aca="false">'Raw Data'!B2497</f>
        <v>37</v>
      </c>
      <c r="C2497" s="7" t="str">
        <f aca="false">'Raw Data'!C2497</f>
        <v>Female</v>
      </c>
      <c r="D2497" s="7" t="str">
        <f aca="false">'Raw Data'!D2497</f>
        <v>Current</v>
      </c>
      <c r="E2497" s="7" t="str">
        <f aca="false">'Raw Data'!J2497</f>
        <v>Normal</v>
      </c>
      <c r="F2497" s="7" t="n">
        <f aca="false">'Raw Data'!K2497</f>
        <v>284.3</v>
      </c>
      <c r="G2497" s="7" t="str">
        <f aca="false">'Raw Data'!L2497</f>
        <v>No</v>
      </c>
      <c r="H2497" s="7" t="str">
        <f aca="false">'Raw Data'!M2497</f>
        <v>Low</v>
      </c>
      <c r="I2497" s="7" t="n">
        <f aca="false">(IF(D2497="Current",3,IF(D2497="Former",1,0)))+(IF(E2497="High",3,IF(E2497="Normal",1,0)))+(IF(F2497&gt;=240,2,IF(F2497&gt;=200,1,0)))+(IF(G2497="Yes",2,0))+(IF(H2497="High",2,IF(H2497="Moderate",1,0)))</f>
        <v>6</v>
      </c>
      <c r="J2497" s="7" t="str">
        <f aca="false">IF(I2497&gt;=8,"High",IF(I2497&gt;=4,"Medium","Low"))</f>
        <v>Medium</v>
      </c>
    </row>
    <row r="2498" customFormat="false" ht="15" hidden="false" customHeight="true" outlineLevel="0" collapsed="false">
      <c r="A2498" s="7" t="n">
        <f aca="false">'Raw Data'!A2498</f>
        <v>2454</v>
      </c>
      <c r="B2498" s="7" t="n">
        <f aca="false">'Raw Data'!B2498</f>
        <v>60</v>
      </c>
      <c r="C2498" s="7" t="str">
        <f aca="false">'Raw Data'!C2498</f>
        <v>Female</v>
      </c>
      <c r="D2498" s="7" t="str">
        <f aca="false">'Raw Data'!D2498</f>
        <v>Current</v>
      </c>
      <c r="E2498" s="7" t="str">
        <f aca="false">'Raw Data'!J2498</f>
        <v>Normal</v>
      </c>
      <c r="F2498" s="7" t="n">
        <f aca="false">'Raw Data'!K2498</f>
        <v>243.3</v>
      </c>
      <c r="G2498" s="7" t="str">
        <f aca="false">'Raw Data'!L2498</f>
        <v>Yes</v>
      </c>
      <c r="H2498" s="7" t="str">
        <f aca="false">'Raw Data'!M2498</f>
        <v>Low</v>
      </c>
      <c r="I2498" s="7" t="n">
        <f aca="false">(IF(D2498="Current",3,IF(D2498="Former",1,0)))+(IF(E2498="High",3,IF(E2498="Normal",1,0)))+(IF(F2498&gt;=240,2,IF(F2498&gt;=200,1,0)))+(IF(G2498="Yes",2,0))+(IF(H2498="High",2,IF(H2498="Moderate",1,0)))</f>
        <v>8</v>
      </c>
      <c r="J2498" s="7" t="str">
        <f aca="false">IF(I2498&gt;=8,"High",IF(I2498&gt;=4,"Medium","Low"))</f>
        <v>High</v>
      </c>
    </row>
    <row r="2499" customFormat="false" ht="15" hidden="false" customHeight="true" outlineLevel="0" collapsed="false">
      <c r="A2499" s="7" t="n">
        <f aca="false">'Raw Data'!A2499</f>
        <v>2475</v>
      </c>
      <c r="B2499" s="7" t="n">
        <f aca="false">'Raw Data'!B2499</f>
        <v>18</v>
      </c>
      <c r="C2499" s="7" t="str">
        <f aca="false">'Raw Data'!C2499</f>
        <v>Female</v>
      </c>
      <c r="D2499" s="7" t="str">
        <f aca="false">'Raw Data'!D2499</f>
        <v>Current</v>
      </c>
      <c r="E2499" s="7" t="str">
        <f aca="false">'Raw Data'!J2499</f>
        <v>Normal</v>
      </c>
      <c r="F2499" s="7" t="n">
        <f aca="false">'Raw Data'!K2499</f>
        <v>248.5</v>
      </c>
      <c r="G2499" s="7" t="str">
        <f aca="false">'Raw Data'!L2499</f>
        <v>No</v>
      </c>
      <c r="H2499" s="7" t="str">
        <f aca="false">'Raw Data'!M2499</f>
        <v>Low</v>
      </c>
      <c r="I2499" s="7" t="n">
        <f aca="false">(IF(D2499="Current",3,IF(D2499="Former",1,0)))+(IF(E2499="High",3,IF(E2499="Normal",1,0)))+(IF(F2499&gt;=240,2,IF(F2499&gt;=200,1,0)))+(IF(G2499="Yes",2,0))+(IF(H2499="High",2,IF(H2499="Moderate",1,0)))</f>
        <v>6</v>
      </c>
      <c r="J2499" s="7" t="str">
        <f aca="false">IF(I2499&gt;=8,"High",IF(I2499&gt;=4,"Medium","Low"))</f>
        <v>Medium</v>
      </c>
    </row>
    <row r="2500" customFormat="false" ht="15" hidden="false" customHeight="true" outlineLevel="0" collapsed="false">
      <c r="A2500" s="7" t="n">
        <f aca="false">'Raw Data'!A2500</f>
        <v>2494</v>
      </c>
      <c r="B2500" s="7" t="n">
        <f aca="false">'Raw Data'!B2500</f>
        <v>28</v>
      </c>
      <c r="C2500" s="7" t="str">
        <f aca="false">'Raw Data'!C2500</f>
        <v>Female</v>
      </c>
      <c r="D2500" s="7" t="str">
        <f aca="false">'Raw Data'!D2500</f>
        <v>Current</v>
      </c>
      <c r="E2500" s="7" t="str">
        <f aca="false">'Raw Data'!J2500</f>
        <v>Normal</v>
      </c>
      <c r="F2500" s="7" t="n">
        <f aca="false">'Raw Data'!K2500</f>
        <v>120.8</v>
      </c>
      <c r="G2500" s="7" t="str">
        <f aca="false">'Raw Data'!L2500</f>
        <v>No</v>
      </c>
      <c r="H2500" s="7" t="str">
        <f aca="false">'Raw Data'!M2500</f>
        <v>Low</v>
      </c>
      <c r="I2500" s="7" t="n">
        <f aca="false">(IF(D2500="Current",3,IF(D2500="Former",1,0)))+(IF(E2500="High",3,IF(E2500="Normal",1,0)))+(IF(F2500&gt;=240,2,IF(F2500&gt;=200,1,0)))+(IF(G2500="Yes",2,0))+(IF(H2500="High",2,IF(H2500="Moderate",1,0)))</f>
        <v>4</v>
      </c>
      <c r="J2500" s="7" t="str">
        <f aca="false">IF(I2500&gt;=8,"High",IF(I2500&gt;=4,"Medium","Low"))</f>
        <v>Medium</v>
      </c>
    </row>
    <row r="2501" customFormat="false" ht="15" hidden="false" customHeight="true" outlineLevel="0" collapsed="false">
      <c r="A2501" s="7" t="n">
        <f aca="false">'Raw Data'!A2501</f>
        <v>2499</v>
      </c>
      <c r="B2501" s="7" t="n">
        <f aca="false">'Raw Data'!B2501</f>
        <v>43</v>
      </c>
      <c r="C2501" s="7" t="str">
        <f aca="false">'Raw Data'!C2501</f>
        <v>Female</v>
      </c>
      <c r="D2501" s="7" t="str">
        <f aca="false">'Raw Data'!D2501</f>
        <v>Current</v>
      </c>
      <c r="E2501" s="7" t="str">
        <f aca="false">'Raw Data'!J2501</f>
        <v>Normal</v>
      </c>
      <c r="F2501" s="7" t="n">
        <f aca="false">'Raw Data'!K2501</f>
        <v>129.3</v>
      </c>
      <c r="G2501" s="7" t="str">
        <f aca="false">'Raw Data'!L2501</f>
        <v>Yes</v>
      </c>
      <c r="H2501" s="7" t="str">
        <f aca="false">'Raw Data'!M2501</f>
        <v>Low</v>
      </c>
      <c r="I2501" s="7" t="n">
        <f aca="false">(IF(D2501="Current",3,IF(D2501="Former",1,0)))+(IF(E2501="High",3,IF(E2501="Normal",1,0)))+(IF(F2501&gt;=240,2,IF(F2501&gt;=200,1,0)))+(IF(G2501="Yes",2,0))+(IF(H2501="High",2,IF(H2501="Moderate",1,0)))</f>
        <v>6</v>
      </c>
      <c r="J2501" s="7" t="str">
        <f aca="false">IF(I2501&gt;=8,"High",IF(I2501&gt;=4,"Medium","Low"))</f>
        <v>Medium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8" min="7" style="0" width="17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2" t="s">
        <v>62</v>
      </c>
      <c r="B1" s="12"/>
      <c r="C1" s="12"/>
      <c r="D1" s="12"/>
      <c r="E1" s="12"/>
      <c r="F1" s="12"/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13" t="s">
        <v>11</v>
      </c>
      <c r="B4" s="13" t="s">
        <v>12</v>
      </c>
      <c r="C4" s="13" t="s">
        <v>13</v>
      </c>
      <c r="D4" s="13" t="s">
        <v>14</v>
      </c>
      <c r="E4" s="13" t="s">
        <v>20</v>
      </c>
      <c r="F4" s="13" t="s">
        <v>21</v>
      </c>
      <c r="G4" s="13" t="s">
        <v>22</v>
      </c>
      <c r="H4" s="13" t="s">
        <v>23</v>
      </c>
      <c r="I4" s="13" t="s">
        <v>60</v>
      </c>
    </row>
    <row r="5" customFormat="false" ht="15" hidden="false" customHeight="false" outlineLevel="0" collapsed="false">
      <c r="A5" s="14" t="n">
        <f aca="false">'Risk Score'!A1412</f>
        <v>577</v>
      </c>
      <c r="B5" s="14" t="n">
        <f aca="false">'Risk Score'!B1412</f>
        <v>29</v>
      </c>
      <c r="C5" s="14" t="str">
        <f aca="false">'Risk Score'!C1412</f>
        <v>Male</v>
      </c>
      <c r="D5" s="14" t="str">
        <f aca="false">'Risk Score'!D1412</f>
        <v>Current</v>
      </c>
      <c r="E5" s="14" t="str">
        <f aca="false">'Risk Score'!E1412</f>
        <v>High</v>
      </c>
      <c r="F5" s="14" t="n">
        <f aca="false">'Risk Score'!F1412</f>
        <v>289.3</v>
      </c>
      <c r="G5" s="14" t="str">
        <f aca="false">'Risk Score'!G1412</f>
        <v>Yes</v>
      </c>
      <c r="H5" s="14" t="str">
        <f aca="false">'Risk Score'!H1412</f>
        <v>High</v>
      </c>
      <c r="I5" s="15" t="n">
        <f aca="false">'Risk Score'!I1412</f>
        <v>12</v>
      </c>
    </row>
    <row r="6" customFormat="false" ht="15" hidden="false" customHeight="false" outlineLevel="0" collapsed="false">
      <c r="A6" s="14" t="n">
        <f aca="false">'Risk Score'!A1443</f>
        <v>2210</v>
      </c>
      <c r="B6" s="14" t="n">
        <f aca="false">'Risk Score'!B1443</f>
        <v>67</v>
      </c>
      <c r="C6" s="14" t="str">
        <f aca="false">'Risk Score'!C1443</f>
        <v>Male</v>
      </c>
      <c r="D6" s="14" t="str">
        <f aca="false">'Risk Score'!D1443</f>
        <v>Current</v>
      </c>
      <c r="E6" s="14" t="str">
        <f aca="false">'Risk Score'!E1443</f>
        <v>High</v>
      </c>
      <c r="F6" s="14" t="n">
        <f aca="false">'Risk Score'!F1443</f>
        <v>270.7</v>
      </c>
      <c r="G6" s="14" t="str">
        <f aca="false">'Risk Score'!G1443</f>
        <v>Yes</v>
      </c>
      <c r="H6" s="14" t="str">
        <f aca="false">'Risk Score'!H1443</f>
        <v>High</v>
      </c>
      <c r="I6" s="15" t="n">
        <f aca="false">'Risk Score'!I1443</f>
        <v>12</v>
      </c>
    </row>
    <row r="7" customFormat="false" ht="15" hidden="false" customHeight="false" outlineLevel="0" collapsed="false">
      <c r="A7" s="14" t="n">
        <f aca="false">'Risk Score'!A1453</f>
        <v>69</v>
      </c>
      <c r="B7" s="14" t="n">
        <f aca="false">'Risk Score'!B1453</f>
        <v>25</v>
      </c>
      <c r="C7" s="14" t="str">
        <f aca="false">'Risk Score'!C1453</f>
        <v>Female</v>
      </c>
      <c r="D7" s="14" t="str">
        <f aca="false">'Risk Score'!D1453</f>
        <v>Current</v>
      </c>
      <c r="E7" s="14" t="str">
        <f aca="false">'Risk Score'!E1453</f>
        <v>High</v>
      </c>
      <c r="F7" s="14" t="n">
        <f aca="false">'Risk Score'!F1453</f>
        <v>248</v>
      </c>
      <c r="G7" s="14" t="str">
        <f aca="false">'Risk Score'!G1453</f>
        <v>Yes</v>
      </c>
      <c r="H7" s="14" t="str">
        <f aca="false">'Risk Score'!H1453</f>
        <v>Moderate</v>
      </c>
      <c r="I7" s="15" t="n">
        <f aca="false">'Risk Score'!I1453</f>
        <v>11</v>
      </c>
    </row>
    <row r="8" customFormat="false" ht="15" hidden="false" customHeight="false" outlineLevel="0" collapsed="false">
      <c r="A8" s="14" t="n">
        <f aca="false">'Risk Score'!A1464</f>
        <v>316</v>
      </c>
      <c r="B8" s="14" t="n">
        <f aca="false">'Risk Score'!B1464</f>
        <v>23</v>
      </c>
      <c r="C8" s="14" t="str">
        <f aca="false">'Risk Score'!C1464</f>
        <v>Male</v>
      </c>
      <c r="D8" s="14" t="str">
        <f aca="false">'Risk Score'!D1464</f>
        <v>Current</v>
      </c>
      <c r="E8" s="14" t="str">
        <f aca="false">'Risk Score'!E1464</f>
        <v>High</v>
      </c>
      <c r="F8" s="14" t="n">
        <f aca="false">'Risk Score'!F1464</f>
        <v>274.8</v>
      </c>
      <c r="G8" s="14" t="str">
        <f aca="false">'Risk Score'!G1464</f>
        <v>Yes</v>
      </c>
      <c r="H8" s="14" t="str">
        <f aca="false">'Risk Score'!H1464</f>
        <v>Moderate</v>
      </c>
      <c r="I8" s="15" t="n">
        <f aca="false">'Risk Score'!I1464</f>
        <v>11</v>
      </c>
    </row>
    <row r="9" customFormat="false" ht="15" hidden="false" customHeight="false" outlineLevel="0" collapsed="false">
      <c r="A9" s="14" t="n">
        <f aca="false">'Risk Score'!A1475</f>
        <v>593</v>
      </c>
      <c r="B9" s="14" t="n">
        <f aca="false">'Risk Score'!B1475</f>
        <v>75</v>
      </c>
      <c r="C9" s="14" t="str">
        <f aca="false">'Risk Score'!C1475</f>
        <v>Female</v>
      </c>
      <c r="D9" s="14" t="str">
        <f aca="false">'Risk Score'!D1475</f>
        <v>Current</v>
      </c>
      <c r="E9" s="14" t="str">
        <f aca="false">'Risk Score'!E1475</f>
        <v>High</v>
      </c>
      <c r="F9" s="14" t="n">
        <f aca="false">'Risk Score'!F1475</f>
        <v>240</v>
      </c>
      <c r="G9" s="14" t="str">
        <f aca="false">'Risk Score'!G1475</f>
        <v>Yes</v>
      </c>
      <c r="H9" s="14" t="str">
        <f aca="false">'Risk Score'!H1475</f>
        <v>Moderate</v>
      </c>
      <c r="I9" s="15" t="n">
        <f aca="false">'Risk Score'!I1475</f>
        <v>11</v>
      </c>
    </row>
    <row r="10" customFormat="false" ht="15" hidden="false" customHeight="false" outlineLevel="0" collapsed="false">
      <c r="A10" s="14" t="n">
        <f aca="false">'Risk Score'!A1436</f>
        <v>1877</v>
      </c>
      <c r="B10" s="14" t="n">
        <f aca="false">'Risk Score'!B1436</f>
        <v>87</v>
      </c>
      <c r="C10" s="14" t="str">
        <f aca="false">'Risk Score'!C1436</f>
        <v>Male</v>
      </c>
      <c r="D10" s="14" t="str">
        <f aca="false">'Risk Score'!D1436</f>
        <v>Current</v>
      </c>
      <c r="E10" s="14" t="str">
        <f aca="false">'Risk Score'!E1436</f>
        <v>High</v>
      </c>
      <c r="F10" s="14" t="n">
        <f aca="false">'Risk Score'!F1436</f>
        <v>230.3</v>
      </c>
      <c r="G10" s="14" t="str">
        <f aca="false">'Risk Score'!G1436</f>
        <v>Yes</v>
      </c>
      <c r="H10" s="14" t="str">
        <f aca="false">'Risk Score'!H1436</f>
        <v>High</v>
      </c>
      <c r="I10" s="15" t="n">
        <f aca="false">'Risk Score'!I1436</f>
        <v>11</v>
      </c>
    </row>
    <row r="11" customFormat="false" ht="15" hidden="false" customHeight="false" outlineLevel="0" collapsed="false">
      <c r="A11" s="14" t="n">
        <f aca="false">'Risk Score'!A1563</f>
        <v>2436</v>
      </c>
      <c r="B11" s="14" t="n">
        <f aca="false">'Risk Score'!B1563</f>
        <v>79</v>
      </c>
      <c r="C11" s="14" t="str">
        <f aca="false">'Risk Score'!C1563</f>
        <v>Male</v>
      </c>
      <c r="D11" s="14" t="str">
        <f aca="false">'Risk Score'!D1563</f>
        <v>Current</v>
      </c>
      <c r="E11" s="14" t="str">
        <f aca="false">'Risk Score'!E1563</f>
        <v>High</v>
      </c>
      <c r="F11" s="14" t="n">
        <f aca="false">'Risk Score'!F1563</f>
        <v>245.2</v>
      </c>
      <c r="G11" s="14" t="str">
        <f aca="false">'Risk Score'!G1563</f>
        <v>Yes</v>
      </c>
      <c r="H11" s="14" t="str">
        <f aca="false">'Risk Score'!H1563</f>
        <v>Moderate</v>
      </c>
      <c r="I11" s="15" t="n">
        <f aca="false">'Risk Score'!I1563</f>
        <v>11</v>
      </c>
    </row>
    <row r="12" customFormat="false" ht="15" hidden="false" customHeight="false" outlineLevel="0" collapsed="false">
      <c r="A12" s="14" t="n">
        <f aca="false">'Risk Score'!A1506</f>
        <v>1114</v>
      </c>
      <c r="B12" s="14" t="n">
        <f aca="false">'Risk Score'!B1506</f>
        <v>19</v>
      </c>
      <c r="C12" s="14" t="str">
        <f aca="false">'Risk Score'!C1506</f>
        <v>Female</v>
      </c>
      <c r="D12" s="14" t="str">
        <f aca="false">'Risk Score'!D1506</f>
        <v>Current</v>
      </c>
      <c r="E12" s="14" t="str">
        <f aca="false">'Risk Score'!E1506</f>
        <v>High</v>
      </c>
      <c r="F12" s="14" t="n">
        <f aca="false">'Risk Score'!F1506</f>
        <v>289.6</v>
      </c>
      <c r="G12" s="14" t="str">
        <f aca="false">'Risk Score'!G1506</f>
        <v>Yes</v>
      </c>
      <c r="H12" s="14" t="str">
        <f aca="false">'Risk Score'!H1506</f>
        <v>Moderate</v>
      </c>
      <c r="I12" s="15" t="n">
        <f aca="false">'Risk Score'!I1506</f>
        <v>11</v>
      </c>
    </row>
    <row r="13" customFormat="false" ht="15" hidden="false" customHeight="false" outlineLevel="0" collapsed="false">
      <c r="A13" s="14" t="n">
        <f aca="false">'Risk Score'!A1435</f>
        <v>1870</v>
      </c>
      <c r="B13" s="14" t="n">
        <f aca="false">'Risk Score'!B1435</f>
        <v>23</v>
      </c>
      <c r="C13" s="14" t="str">
        <f aca="false">'Risk Score'!C1435</f>
        <v>Male</v>
      </c>
      <c r="D13" s="14" t="str">
        <f aca="false">'Risk Score'!D1435</f>
        <v>Current</v>
      </c>
      <c r="E13" s="14" t="str">
        <f aca="false">'Risk Score'!E1435</f>
        <v>High</v>
      </c>
      <c r="F13" s="14" t="n">
        <f aca="false">'Risk Score'!F1435</f>
        <v>253</v>
      </c>
      <c r="G13" s="14" t="str">
        <f aca="false">'Risk Score'!G1435</f>
        <v>No</v>
      </c>
      <c r="H13" s="14" t="str">
        <f aca="false">'Risk Score'!H1435</f>
        <v>High</v>
      </c>
      <c r="I13" s="15" t="n">
        <f aca="false">'Risk Score'!I1435</f>
        <v>10</v>
      </c>
    </row>
    <row r="14" customFormat="false" ht="15" hidden="false" customHeight="false" outlineLevel="0" collapsed="false">
      <c r="A14" s="14" t="n">
        <f aca="false">'Risk Score'!A1422</f>
        <v>1173</v>
      </c>
      <c r="B14" s="14" t="n">
        <f aca="false">'Risk Score'!B1422</f>
        <v>28</v>
      </c>
      <c r="C14" s="14" t="str">
        <f aca="false">'Risk Score'!C1422</f>
        <v>Female</v>
      </c>
      <c r="D14" s="14" t="str">
        <f aca="false">'Risk Score'!D1422</f>
        <v>Former</v>
      </c>
      <c r="E14" s="14" t="str">
        <f aca="false">'Risk Score'!E1422</f>
        <v>High</v>
      </c>
      <c r="F14" s="14" t="n">
        <f aca="false">'Risk Score'!F1422</f>
        <v>264.9</v>
      </c>
      <c r="G14" s="14" t="str">
        <f aca="false">'Risk Score'!G1422</f>
        <v>Yes</v>
      </c>
      <c r="H14" s="14" t="str">
        <f aca="false">'Risk Score'!H1422</f>
        <v>High</v>
      </c>
      <c r="I14" s="15" t="n">
        <f aca="false">'Risk Score'!I1422</f>
        <v>10</v>
      </c>
    </row>
    <row r="15" customFormat="false" ht="15" hidden="false" customHeight="false" outlineLevel="0" collapsed="false">
      <c r="A15" s="14" t="n">
        <f aca="false">'Risk Score'!A1441</f>
        <v>2096</v>
      </c>
      <c r="B15" s="14" t="n">
        <f aca="false">'Risk Score'!B1441</f>
        <v>55</v>
      </c>
      <c r="C15" s="14" t="str">
        <f aca="false">'Risk Score'!C1441</f>
        <v>Female</v>
      </c>
      <c r="D15" s="14" t="str">
        <f aca="false">'Risk Score'!D1441</f>
        <v>Current</v>
      </c>
      <c r="E15" s="14" t="str">
        <f aca="false">'Risk Score'!E1441</f>
        <v>High</v>
      </c>
      <c r="F15" s="14" t="n">
        <f aca="false">'Risk Score'!F1441</f>
        <v>147.7</v>
      </c>
      <c r="G15" s="14" t="str">
        <f aca="false">'Risk Score'!G1441</f>
        <v>Yes</v>
      </c>
      <c r="H15" s="14" t="str">
        <f aca="false">'Risk Score'!H1441</f>
        <v>High</v>
      </c>
      <c r="I15" s="15" t="n">
        <f aca="false">'Risk Score'!I1441</f>
        <v>10</v>
      </c>
    </row>
    <row r="16" customFormat="false" ht="15" hidden="false" customHeight="false" outlineLevel="0" collapsed="false">
      <c r="A16" s="14" t="n">
        <f aca="false">'Risk Score'!A1524</f>
        <v>1548</v>
      </c>
      <c r="B16" s="14" t="n">
        <f aca="false">'Risk Score'!B1524</f>
        <v>72</v>
      </c>
      <c r="C16" s="14" t="str">
        <f aca="false">'Risk Score'!C1524</f>
        <v>Male</v>
      </c>
      <c r="D16" s="14" t="str">
        <f aca="false">'Risk Score'!D1524</f>
        <v>Current</v>
      </c>
      <c r="E16" s="14" t="str">
        <f aca="false">'Risk Score'!E1524</f>
        <v>High</v>
      </c>
      <c r="F16" s="14" t="n">
        <f aca="false">'Risk Score'!F1524</f>
        <v>221.4</v>
      </c>
      <c r="G16" s="14" t="str">
        <f aca="false">'Risk Score'!G1524</f>
        <v>Yes</v>
      </c>
      <c r="H16" s="14" t="str">
        <f aca="false">'Risk Score'!H1524</f>
        <v>Moderate</v>
      </c>
      <c r="I16" s="15" t="n">
        <f aca="false">'Risk Score'!I1524</f>
        <v>10</v>
      </c>
    </row>
    <row r="17" customFormat="false" ht="15" hidden="false" customHeight="false" outlineLevel="0" collapsed="false">
      <c r="A17" s="14" t="n">
        <f aca="false">'Risk Score'!A1656</f>
        <v>21</v>
      </c>
      <c r="B17" s="14" t="n">
        <f aca="false">'Risk Score'!B1656</f>
        <v>89</v>
      </c>
      <c r="C17" s="14" t="str">
        <f aca="false">'Risk Score'!C1656</f>
        <v>Female</v>
      </c>
      <c r="D17" s="14" t="str">
        <f aca="false">'Risk Score'!D1656</f>
        <v>Current</v>
      </c>
      <c r="E17" s="14" t="str">
        <f aca="false">'Risk Score'!E1656</f>
        <v>High</v>
      </c>
      <c r="F17" s="14" t="n">
        <f aca="false">'Risk Score'!F1656</f>
        <v>295.3</v>
      </c>
      <c r="G17" s="14" t="str">
        <f aca="false">'Risk Score'!G1656</f>
        <v>Yes</v>
      </c>
      <c r="H17" s="14" t="str">
        <f aca="false">'Risk Score'!H1656</f>
        <v>Low</v>
      </c>
      <c r="I17" s="15" t="n">
        <f aca="false">'Risk Score'!I1656</f>
        <v>10</v>
      </c>
    </row>
    <row r="18" customFormat="false" ht="15" hidden="false" customHeight="false" outlineLevel="0" collapsed="false">
      <c r="A18" s="14" t="n">
        <f aca="false">'Risk Score'!A1511</f>
        <v>1227</v>
      </c>
      <c r="B18" s="14" t="n">
        <f aca="false">'Risk Score'!B1511</f>
        <v>80</v>
      </c>
      <c r="C18" s="14" t="str">
        <f aca="false">'Risk Score'!C1511</f>
        <v>Male</v>
      </c>
      <c r="D18" s="14" t="str">
        <f aca="false">'Risk Score'!D1511</f>
        <v>Current</v>
      </c>
      <c r="E18" s="14" t="str">
        <f aca="false">'Risk Score'!E1511</f>
        <v>High</v>
      </c>
      <c r="F18" s="14" t="n">
        <f aca="false">'Risk Score'!F1511</f>
        <v>236.4</v>
      </c>
      <c r="G18" s="14" t="str">
        <f aca="false">'Risk Score'!G1511</f>
        <v>Yes</v>
      </c>
      <c r="H18" s="14" t="str">
        <f aca="false">'Risk Score'!H1511</f>
        <v>Moderate</v>
      </c>
      <c r="I18" s="15" t="n">
        <f aca="false">'Risk Score'!I1511</f>
        <v>10</v>
      </c>
    </row>
    <row r="19" customFormat="false" ht="15" hidden="false" customHeight="false" outlineLevel="0" collapsed="false">
      <c r="A19" s="14" t="n">
        <f aca="false">'Risk Score'!A1448</f>
        <v>2435</v>
      </c>
      <c r="B19" s="14" t="n">
        <f aca="false">'Risk Score'!B1448</f>
        <v>63</v>
      </c>
      <c r="C19" s="14" t="str">
        <f aca="false">'Risk Score'!C1448</f>
        <v>Female</v>
      </c>
      <c r="D19" s="14" t="str">
        <f aca="false">'Risk Score'!D1448</f>
        <v>Current</v>
      </c>
      <c r="E19" s="14" t="str">
        <f aca="false">'Risk Score'!E1448</f>
        <v>High</v>
      </c>
      <c r="F19" s="14" t="n">
        <f aca="false">'Risk Score'!F1448</f>
        <v>148.3</v>
      </c>
      <c r="G19" s="14" t="str">
        <f aca="false">'Risk Score'!G1448</f>
        <v>Yes</v>
      </c>
      <c r="H19" s="14" t="str">
        <f aca="false">'Risk Score'!H1448</f>
        <v>High</v>
      </c>
      <c r="I19" s="15" t="n">
        <f aca="false">'Risk Score'!I1448</f>
        <v>10</v>
      </c>
    </row>
    <row r="20" customFormat="false" ht="15" hidden="false" customHeight="false" outlineLevel="0" collapsed="false">
      <c r="A20" s="14" t="n">
        <f aca="false">'Risk Score'!A1447</f>
        <v>2431</v>
      </c>
      <c r="B20" s="14" t="n">
        <f aca="false">'Risk Score'!B1447</f>
        <v>75</v>
      </c>
      <c r="C20" s="14" t="str">
        <f aca="false">'Risk Score'!C1447</f>
        <v>Male</v>
      </c>
      <c r="D20" s="14" t="str">
        <f aca="false">'Risk Score'!D1447</f>
        <v>Current</v>
      </c>
      <c r="E20" s="14" t="str">
        <f aca="false">'Risk Score'!E1447</f>
        <v>High</v>
      </c>
      <c r="F20" s="14" t="n">
        <f aca="false">'Risk Score'!F1447</f>
        <v>246.2</v>
      </c>
      <c r="G20" s="14" t="str">
        <f aca="false">'Risk Score'!G1447</f>
        <v>No</v>
      </c>
      <c r="H20" s="14" t="str">
        <f aca="false">'Risk Score'!H1447</f>
        <v>High</v>
      </c>
      <c r="I20" s="15" t="n">
        <f aca="false">'Risk Score'!I1447</f>
        <v>10</v>
      </c>
    </row>
    <row r="21" customFormat="false" ht="15" hidden="false" customHeight="false" outlineLevel="0" collapsed="false">
      <c r="A21" s="14" t="n">
        <f aca="false">'Risk Score'!A1437</f>
        <v>1895</v>
      </c>
      <c r="B21" s="14" t="n">
        <f aca="false">'Risk Score'!B1437</f>
        <v>61</v>
      </c>
      <c r="C21" s="14" t="str">
        <f aca="false">'Risk Score'!C1437</f>
        <v>Female</v>
      </c>
      <c r="D21" s="14" t="str">
        <f aca="false">'Risk Score'!D1437</f>
        <v>Current</v>
      </c>
      <c r="E21" s="14" t="str">
        <f aca="false">'Risk Score'!E1437</f>
        <v>High</v>
      </c>
      <c r="F21" s="14" t="n">
        <f aca="false">'Risk Score'!F1437</f>
        <v>272.4</v>
      </c>
      <c r="G21" s="14" t="str">
        <f aca="false">'Risk Score'!G1437</f>
        <v>No</v>
      </c>
      <c r="H21" s="14" t="str">
        <f aca="false">'Risk Score'!H1437</f>
        <v>High</v>
      </c>
      <c r="I21" s="15" t="n">
        <f aca="false">'Risk Score'!I1437</f>
        <v>10</v>
      </c>
    </row>
    <row r="22" customFormat="false" ht="15" hidden="false" customHeight="false" outlineLevel="0" collapsed="false">
      <c r="A22" s="14" t="n">
        <f aca="false">'Risk Score'!A1420</f>
        <v>994</v>
      </c>
      <c r="B22" s="14" t="n">
        <f aca="false">'Risk Score'!B1420</f>
        <v>56</v>
      </c>
      <c r="C22" s="14" t="str">
        <f aca="false">'Risk Score'!C1420</f>
        <v>Male</v>
      </c>
      <c r="D22" s="14" t="str">
        <f aca="false">'Risk Score'!D1420</f>
        <v>Current</v>
      </c>
      <c r="E22" s="14" t="str">
        <f aca="false">'Risk Score'!E1420</f>
        <v>High</v>
      </c>
      <c r="F22" s="14" t="n">
        <f aca="false">'Risk Score'!F1420</f>
        <v>254.7</v>
      </c>
      <c r="G22" s="14" t="str">
        <f aca="false">'Risk Score'!G1420</f>
        <v>No</v>
      </c>
      <c r="H22" s="14" t="str">
        <f aca="false">'Risk Score'!H1420</f>
        <v>High</v>
      </c>
      <c r="I22" s="15" t="n">
        <f aca="false">'Risk Score'!I1420</f>
        <v>10</v>
      </c>
    </row>
    <row r="23" customFormat="false" ht="15" hidden="false" customHeight="false" outlineLevel="0" collapsed="false">
      <c r="A23" s="14" t="n">
        <f aca="false">'Risk Score'!A1406</f>
        <v>341</v>
      </c>
      <c r="B23" s="14" t="n">
        <f aca="false">'Risk Score'!B1406</f>
        <v>35</v>
      </c>
      <c r="C23" s="14" t="str">
        <f aca="false">'Risk Score'!C1406</f>
        <v>Female</v>
      </c>
      <c r="D23" s="14" t="str">
        <f aca="false">'Risk Score'!D1406</f>
        <v>Current</v>
      </c>
      <c r="E23" s="14" t="str">
        <f aca="false">'Risk Score'!E1406</f>
        <v>High</v>
      </c>
      <c r="F23" s="14" t="n">
        <f aca="false">'Risk Score'!F1406</f>
        <v>268.8</v>
      </c>
      <c r="G23" s="14" t="str">
        <f aca="false">'Risk Score'!G1406</f>
        <v>No</v>
      </c>
      <c r="H23" s="14" t="str">
        <f aca="false">'Risk Score'!H1406</f>
        <v>High</v>
      </c>
      <c r="I23" s="15" t="n">
        <f aca="false">'Risk Score'!I1406</f>
        <v>10</v>
      </c>
    </row>
    <row r="24" customFormat="false" ht="15" hidden="false" customHeight="false" outlineLevel="0" collapsed="false">
      <c r="A24" s="14" t="n">
        <f aca="false">'Risk Score'!A1409</f>
        <v>532</v>
      </c>
      <c r="B24" s="14" t="n">
        <f aca="false">'Risk Score'!B1409</f>
        <v>66</v>
      </c>
      <c r="C24" s="14" t="str">
        <f aca="false">'Risk Score'!C1409</f>
        <v>Female</v>
      </c>
      <c r="D24" s="14" t="str">
        <f aca="false">'Risk Score'!D1409</f>
        <v>Current</v>
      </c>
      <c r="E24" s="14" t="str">
        <f aca="false">'Risk Score'!E1409</f>
        <v>High</v>
      </c>
      <c r="F24" s="14" t="n">
        <f aca="false">'Risk Score'!F1409</f>
        <v>261.3</v>
      </c>
      <c r="G24" s="14" t="str">
        <f aca="false">'Risk Score'!G1409</f>
        <v>No</v>
      </c>
      <c r="H24" s="14" t="str">
        <f aca="false">'Risk Score'!H1409</f>
        <v>High</v>
      </c>
      <c r="I24" s="15" t="n">
        <f aca="false">'Risk Score'!I1409</f>
        <v>10</v>
      </c>
    </row>
    <row r="25" customFormat="false" ht="15" hidden="false" customHeight="false" outlineLevel="0" collapsed="false">
      <c r="A25" s="14" t="n">
        <f aca="false">'Risk Score'!A1424</f>
        <v>1259</v>
      </c>
      <c r="B25" s="14" t="n">
        <f aca="false">'Risk Score'!B1424</f>
        <v>71</v>
      </c>
      <c r="C25" s="14" t="str">
        <f aca="false">'Risk Score'!C1424</f>
        <v>Male</v>
      </c>
      <c r="D25" s="14" t="str">
        <f aca="false">'Risk Score'!D1424</f>
        <v>Current</v>
      </c>
      <c r="E25" s="14" t="str">
        <f aca="false">'Risk Score'!E1424</f>
        <v>High</v>
      </c>
      <c r="F25" s="14" t="n">
        <f aca="false">'Risk Score'!F1424</f>
        <v>290.6</v>
      </c>
      <c r="G25" s="14" t="str">
        <f aca="false">'Risk Score'!G1424</f>
        <v>No</v>
      </c>
      <c r="H25" s="14" t="str">
        <f aca="false">'Risk Score'!H1424</f>
        <v>High</v>
      </c>
      <c r="I25" s="15" t="n">
        <f aca="false">'Risk Score'!I1424</f>
        <v>10</v>
      </c>
    </row>
    <row r="26" customFormat="false" ht="15" hidden="false" customHeight="false" outlineLevel="0" collapsed="false">
      <c r="A26" s="14" t="n">
        <f aca="false">'Risk Score'!A1667</f>
        <v>396</v>
      </c>
      <c r="B26" s="14" t="n">
        <f aca="false">'Risk Score'!B1667</f>
        <v>65</v>
      </c>
      <c r="C26" s="14" t="str">
        <f aca="false">'Risk Score'!C1667</f>
        <v>Female</v>
      </c>
      <c r="D26" s="14" t="str">
        <f aca="false">'Risk Score'!D1667</f>
        <v>Current</v>
      </c>
      <c r="E26" s="14" t="str">
        <f aca="false">'Risk Score'!E1667</f>
        <v>High</v>
      </c>
      <c r="F26" s="14" t="n">
        <f aca="false">'Risk Score'!F1667</f>
        <v>295.4</v>
      </c>
      <c r="G26" s="14" t="str">
        <f aca="false">'Risk Score'!G1667</f>
        <v>Yes</v>
      </c>
      <c r="H26" s="14" t="str">
        <f aca="false">'Risk Score'!H1667</f>
        <v>Low</v>
      </c>
      <c r="I26" s="15" t="n">
        <f aca="false">'Risk Score'!I1667</f>
        <v>10</v>
      </c>
    </row>
    <row r="27" customFormat="false" ht="15" hidden="false" customHeight="false" outlineLevel="0" collapsed="false">
      <c r="A27" s="14" t="n">
        <f aca="false">'Risk Score'!A1696</f>
        <v>1121</v>
      </c>
      <c r="B27" s="14" t="n">
        <f aca="false">'Risk Score'!B1696</f>
        <v>86</v>
      </c>
      <c r="C27" s="14" t="str">
        <f aca="false">'Risk Score'!C1696</f>
        <v>Male</v>
      </c>
      <c r="D27" s="14" t="str">
        <f aca="false">'Risk Score'!D1696</f>
        <v>Current</v>
      </c>
      <c r="E27" s="14" t="str">
        <f aca="false">'Risk Score'!E1696</f>
        <v>High</v>
      </c>
      <c r="F27" s="14" t="n">
        <f aca="false">'Risk Score'!F1696</f>
        <v>299.6</v>
      </c>
      <c r="G27" s="14" t="str">
        <f aca="false">'Risk Score'!G1696</f>
        <v>Yes</v>
      </c>
      <c r="H27" s="14" t="str">
        <f aca="false">'Risk Score'!H1696</f>
        <v>Low</v>
      </c>
      <c r="I27" s="15" t="n">
        <f aca="false">'Risk Score'!I1696</f>
        <v>10</v>
      </c>
    </row>
    <row r="28" customFormat="false" ht="15" hidden="false" customHeight="false" outlineLevel="0" collapsed="false">
      <c r="A28" s="14" t="n">
        <f aca="false">'Risk Score'!A2128</f>
        <v>1868</v>
      </c>
      <c r="B28" s="14" t="n">
        <f aca="false">'Risk Score'!B2128</f>
        <v>32</v>
      </c>
      <c r="C28" s="14" t="str">
        <f aca="false">'Risk Score'!C2128</f>
        <v>Male</v>
      </c>
      <c r="D28" s="14" t="str">
        <f aca="false">'Risk Score'!D2128</f>
        <v>Current</v>
      </c>
      <c r="E28" s="14" t="str">
        <f aca="false">'Risk Score'!E2128</f>
        <v>Normal</v>
      </c>
      <c r="F28" s="14" t="n">
        <f aca="false">'Risk Score'!F2128</f>
        <v>293</v>
      </c>
      <c r="G28" s="14" t="str">
        <f aca="false">'Risk Score'!G2128</f>
        <v>Yes</v>
      </c>
      <c r="H28" s="14" t="str">
        <f aca="false">'Risk Score'!H2128</f>
        <v>High</v>
      </c>
      <c r="I28" s="15" t="n">
        <f aca="false">'Risk Score'!I2128</f>
        <v>10</v>
      </c>
    </row>
    <row r="29" customFormat="false" ht="15" hidden="false" customHeight="false" outlineLevel="0" collapsed="false">
      <c r="A29" s="14" t="n">
        <f aca="false">'Risk Score'!A1723</f>
        <v>1931</v>
      </c>
      <c r="B29" s="14" t="n">
        <f aca="false">'Risk Score'!B1723</f>
        <v>88</v>
      </c>
      <c r="C29" s="14" t="str">
        <f aca="false">'Risk Score'!C1723</f>
        <v>Male</v>
      </c>
      <c r="D29" s="14" t="str">
        <f aca="false">'Risk Score'!D1723</f>
        <v>Current</v>
      </c>
      <c r="E29" s="14" t="str">
        <f aca="false">'Risk Score'!E1723</f>
        <v>High</v>
      </c>
      <c r="F29" s="14" t="n">
        <f aca="false">'Risk Score'!F1723</f>
        <v>288.3</v>
      </c>
      <c r="G29" s="14" t="str">
        <f aca="false">'Risk Score'!G1723</f>
        <v>Yes</v>
      </c>
      <c r="H29" s="14" t="str">
        <f aca="false">'Risk Score'!H1723</f>
        <v>Low</v>
      </c>
      <c r="I29" s="15" t="n">
        <f aca="false">'Risk Score'!I1723</f>
        <v>10</v>
      </c>
    </row>
    <row r="30" customFormat="false" ht="15" hidden="false" customHeight="false" outlineLevel="0" collapsed="false">
      <c r="A30" s="14" t="n">
        <f aca="false">'Risk Score'!A1724</f>
        <v>1943</v>
      </c>
      <c r="B30" s="14" t="n">
        <f aca="false">'Risk Score'!B1724</f>
        <v>22</v>
      </c>
      <c r="C30" s="14" t="str">
        <f aca="false">'Risk Score'!C1724</f>
        <v>Female</v>
      </c>
      <c r="D30" s="14" t="str">
        <f aca="false">'Risk Score'!D1724</f>
        <v>Current</v>
      </c>
      <c r="E30" s="14" t="str">
        <f aca="false">'Risk Score'!E1724</f>
        <v>High</v>
      </c>
      <c r="F30" s="14" t="n">
        <f aca="false">'Risk Score'!F1724</f>
        <v>270.2</v>
      </c>
      <c r="G30" s="14" t="str">
        <f aca="false">'Risk Score'!G1724</f>
        <v>Yes</v>
      </c>
      <c r="H30" s="14" t="str">
        <f aca="false">'Risk Score'!H1724</f>
        <v>Low</v>
      </c>
      <c r="I30" s="15" t="n">
        <f aca="false">'Risk Score'!I1724</f>
        <v>10</v>
      </c>
    </row>
    <row r="31" customFormat="false" ht="15" hidden="false" customHeight="false" outlineLevel="0" collapsed="false">
      <c r="A31" s="14" t="n">
        <f aca="false">'Risk Score'!A2121</f>
        <v>1799</v>
      </c>
      <c r="B31" s="14" t="n">
        <f aca="false">'Risk Score'!B2121</f>
        <v>83</v>
      </c>
      <c r="C31" s="14" t="str">
        <f aca="false">'Risk Score'!C2121</f>
        <v>Female</v>
      </c>
      <c r="D31" s="14" t="str">
        <f aca="false">'Risk Score'!D2121</f>
        <v>Current</v>
      </c>
      <c r="E31" s="14" t="str">
        <f aca="false">'Risk Score'!E2121</f>
        <v>Normal</v>
      </c>
      <c r="F31" s="14" t="n">
        <f aca="false">'Risk Score'!F2121</f>
        <v>288.9</v>
      </c>
      <c r="G31" s="14" t="str">
        <f aca="false">'Risk Score'!G2121</f>
        <v>Yes</v>
      </c>
      <c r="H31" s="14" t="str">
        <f aca="false">'Risk Score'!H2121</f>
        <v>High</v>
      </c>
      <c r="I31" s="15" t="n">
        <f aca="false">'Risk Score'!I2121</f>
        <v>10</v>
      </c>
    </row>
    <row r="32" customFormat="false" ht="15" hidden="false" customHeight="false" outlineLevel="0" collapsed="false">
      <c r="A32" s="14" t="n">
        <f aca="false">'Risk Score'!A2090</f>
        <v>411</v>
      </c>
      <c r="B32" s="14" t="n">
        <f aca="false">'Risk Score'!B2090</f>
        <v>68</v>
      </c>
      <c r="C32" s="14" t="str">
        <f aca="false">'Risk Score'!C2090</f>
        <v>Female</v>
      </c>
      <c r="D32" s="14" t="str">
        <f aca="false">'Risk Score'!D2090</f>
        <v>Current</v>
      </c>
      <c r="E32" s="14" t="str">
        <f aca="false">'Risk Score'!E2090</f>
        <v>Normal</v>
      </c>
      <c r="F32" s="14" t="n">
        <f aca="false">'Risk Score'!F2090</f>
        <v>293.8</v>
      </c>
      <c r="G32" s="14" t="str">
        <f aca="false">'Risk Score'!G2090</f>
        <v>Yes</v>
      </c>
      <c r="H32" s="14" t="str">
        <f aca="false">'Risk Score'!H2090</f>
        <v>High</v>
      </c>
      <c r="I32" s="15" t="n">
        <f aca="false">'Risk Score'!I2090</f>
        <v>10</v>
      </c>
    </row>
    <row r="33" customFormat="false" ht="15" hidden="false" customHeight="false" outlineLevel="0" collapsed="false">
      <c r="A33" s="14" t="n">
        <f aca="false">'Risk Score'!A2081</f>
        <v>47</v>
      </c>
      <c r="B33" s="14" t="n">
        <f aca="false">'Risk Score'!B2081</f>
        <v>79</v>
      </c>
      <c r="C33" s="14" t="str">
        <f aca="false">'Risk Score'!C2081</f>
        <v>Male</v>
      </c>
      <c r="D33" s="14" t="str">
        <f aca="false">'Risk Score'!D2081</f>
        <v>Current</v>
      </c>
      <c r="E33" s="14" t="str">
        <f aca="false">'Risk Score'!E2081</f>
        <v>Normal</v>
      </c>
      <c r="F33" s="14" t="n">
        <f aca="false">'Risk Score'!F2081</f>
        <v>293.4</v>
      </c>
      <c r="G33" s="14" t="str">
        <f aca="false">'Risk Score'!G2081</f>
        <v>Yes</v>
      </c>
      <c r="H33" s="14" t="str">
        <f aca="false">'Risk Score'!H2081</f>
        <v>High</v>
      </c>
      <c r="I33" s="15" t="n">
        <f aca="false">'Risk Score'!I2081</f>
        <v>10</v>
      </c>
    </row>
    <row r="34" customFormat="false" ht="15" hidden="false" customHeight="false" outlineLevel="0" collapsed="false">
      <c r="A34" s="14" t="n">
        <f aca="false">'Risk Score'!A2083</f>
        <v>92</v>
      </c>
      <c r="B34" s="14" t="n">
        <f aca="false">'Risk Score'!B2083</f>
        <v>29</v>
      </c>
      <c r="C34" s="14" t="str">
        <f aca="false">'Risk Score'!C2083</f>
        <v>Female</v>
      </c>
      <c r="D34" s="14" t="str">
        <f aca="false">'Risk Score'!D2083</f>
        <v>Current</v>
      </c>
      <c r="E34" s="14" t="str">
        <f aca="false">'Risk Score'!E2083</f>
        <v>Normal</v>
      </c>
      <c r="F34" s="14" t="n">
        <f aca="false">'Risk Score'!F2083</f>
        <v>275</v>
      </c>
      <c r="G34" s="14" t="str">
        <f aca="false">'Risk Score'!G2083</f>
        <v>Yes</v>
      </c>
      <c r="H34" s="14" t="str">
        <f aca="false">'Risk Score'!H2083</f>
        <v>High</v>
      </c>
      <c r="I34" s="15" t="n">
        <f aca="false">'Risk Score'!I2083</f>
        <v>10</v>
      </c>
    </row>
    <row r="35" customFormat="false" ht="15" hidden="false" customHeight="false" outlineLevel="0" collapsed="false">
      <c r="A35" s="14" t="n">
        <f aca="false">'Risk Score'!A1674</f>
        <v>664</v>
      </c>
      <c r="B35" s="14" t="n">
        <f aca="false">'Risk Score'!B1674</f>
        <v>89</v>
      </c>
      <c r="C35" s="14" t="str">
        <f aca="false">'Risk Score'!C1674</f>
        <v>Male</v>
      </c>
      <c r="D35" s="14" t="str">
        <f aca="false">'Risk Score'!D1674</f>
        <v>Current</v>
      </c>
      <c r="E35" s="14" t="str">
        <f aca="false">'Risk Score'!E1674</f>
        <v>High</v>
      </c>
      <c r="F35" s="14" t="n">
        <f aca="false">'Risk Score'!F1674</f>
        <v>295.1</v>
      </c>
      <c r="G35" s="14" t="str">
        <f aca="false">'Risk Score'!G1674</f>
        <v>Yes</v>
      </c>
      <c r="H35" s="14" t="str">
        <f aca="false">'Risk Score'!H1674</f>
        <v>Low</v>
      </c>
      <c r="I35" s="15" t="n">
        <f aca="false">'Risk Score'!I1674</f>
        <v>10</v>
      </c>
    </row>
    <row r="36" customFormat="false" ht="15" hidden="false" customHeight="false" outlineLevel="0" collapsed="false">
      <c r="A36" s="14" t="n">
        <f aca="false">'Risk Score'!A1702</f>
        <v>1235</v>
      </c>
      <c r="B36" s="14" t="n">
        <f aca="false">'Risk Score'!B1702</f>
        <v>74</v>
      </c>
      <c r="C36" s="14" t="str">
        <f aca="false">'Risk Score'!C1702</f>
        <v>Female</v>
      </c>
      <c r="D36" s="14" t="str">
        <f aca="false">'Risk Score'!D1702</f>
        <v>Current</v>
      </c>
      <c r="E36" s="14" t="str">
        <f aca="false">'Risk Score'!E1702</f>
        <v>High</v>
      </c>
      <c r="F36" s="14" t="n">
        <f aca="false">'Risk Score'!F1702</f>
        <v>259.3</v>
      </c>
      <c r="G36" s="14" t="str">
        <f aca="false">'Risk Score'!G1702</f>
        <v>Yes</v>
      </c>
      <c r="H36" s="14" t="str">
        <f aca="false">'Risk Score'!H1702</f>
        <v>Low</v>
      </c>
      <c r="I36" s="15" t="n">
        <f aca="false">'Risk Score'!I1702</f>
        <v>10</v>
      </c>
    </row>
    <row r="37" customFormat="false" ht="15" hidden="false" customHeight="false" outlineLevel="0" collapsed="false">
      <c r="A37" s="14" t="n">
        <f aca="false">'Risk Score'!A1705</f>
        <v>1299</v>
      </c>
      <c r="B37" s="14" t="n">
        <f aca="false">'Risk Score'!B1705</f>
        <v>52</v>
      </c>
      <c r="C37" s="14" t="str">
        <f aca="false">'Risk Score'!C1705</f>
        <v>Female</v>
      </c>
      <c r="D37" s="14" t="str">
        <f aca="false">'Risk Score'!D1705</f>
        <v>Current</v>
      </c>
      <c r="E37" s="14" t="str">
        <f aca="false">'Risk Score'!E1705</f>
        <v>High</v>
      </c>
      <c r="F37" s="14" t="n">
        <f aca="false">'Risk Score'!F1705</f>
        <v>288.3</v>
      </c>
      <c r="G37" s="14" t="str">
        <f aca="false">'Risk Score'!G1705</f>
        <v>Yes</v>
      </c>
      <c r="H37" s="14" t="str">
        <f aca="false">'Risk Score'!H1705</f>
        <v>Low</v>
      </c>
      <c r="I37" s="15" t="n">
        <f aca="false">'Risk Score'!I1705</f>
        <v>10</v>
      </c>
    </row>
    <row r="38" customFormat="false" ht="15" hidden="false" customHeight="false" outlineLevel="0" collapsed="false">
      <c r="A38" s="14" t="n">
        <f aca="false">'Risk Score'!A1721</f>
        <v>1874</v>
      </c>
      <c r="B38" s="14" t="n">
        <f aca="false">'Risk Score'!B1721</f>
        <v>70</v>
      </c>
      <c r="C38" s="14" t="str">
        <f aca="false">'Risk Score'!C1721</f>
        <v>Male</v>
      </c>
      <c r="D38" s="14" t="str">
        <f aca="false">'Risk Score'!D1721</f>
        <v>Current</v>
      </c>
      <c r="E38" s="14" t="str">
        <f aca="false">'Risk Score'!E1721</f>
        <v>High</v>
      </c>
      <c r="F38" s="14" t="n">
        <f aca="false">'Risk Score'!F1721</f>
        <v>265.2</v>
      </c>
      <c r="G38" s="14" t="str">
        <f aca="false">'Risk Score'!G1721</f>
        <v>Yes</v>
      </c>
      <c r="H38" s="14" t="str">
        <f aca="false">'Risk Score'!H1721</f>
        <v>Low</v>
      </c>
      <c r="I38" s="15" t="n">
        <f aca="false">'Risk Score'!I1721</f>
        <v>10</v>
      </c>
    </row>
    <row r="39" customFormat="false" ht="15" hidden="false" customHeight="false" outlineLevel="0" collapsed="false">
      <c r="A39" s="14" t="n">
        <f aca="false">'Risk Score'!A1686</f>
        <v>885</v>
      </c>
      <c r="B39" s="14" t="n">
        <f aca="false">'Risk Score'!B1686</f>
        <v>84</v>
      </c>
      <c r="C39" s="14" t="str">
        <f aca="false">'Risk Score'!C1686</f>
        <v>Male</v>
      </c>
      <c r="D39" s="14" t="str">
        <f aca="false">'Risk Score'!D1686</f>
        <v>Current</v>
      </c>
      <c r="E39" s="14" t="str">
        <f aca="false">'Risk Score'!E1686</f>
        <v>High</v>
      </c>
      <c r="F39" s="14" t="n">
        <f aca="false">'Risk Score'!F1686</f>
        <v>246.5</v>
      </c>
      <c r="G39" s="14" t="str">
        <f aca="false">'Risk Score'!G1686</f>
        <v>Yes</v>
      </c>
      <c r="H39" s="14" t="str">
        <f aca="false">'Risk Score'!H1686</f>
        <v>Low</v>
      </c>
      <c r="I39" s="15" t="n">
        <f aca="false">'Risk Score'!I1686</f>
        <v>10</v>
      </c>
    </row>
    <row r="40" customFormat="false" ht="15" hidden="false" customHeight="false" outlineLevel="0" collapsed="false">
      <c r="A40" s="14" t="n">
        <f aca="false">'Risk Score'!A1681</f>
        <v>767</v>
      </c>
      <c r="B40" s="14" t="n">
        <f aca="false">'Risk Score'!B1681</f>
        <v>62</v>
      </c>
      <c r="C40" s="14" t="str">
        <f aca="false">'Risk Score'!C1681</f>
        <v>Male</v>
      </c>
      <c r="D40" s="14" t="str">
        <f aca="false">'Risk Score'!D1681</f>
        <v>Current</v>
      </c>
      <c r="E40" s="14" t="str">
        <f aca="false">'Risk Score'!E1681</f>
        <v>High</v>
      </c>
      <c r="F40" s="14" t="n">
        <f aca="false">'Risk Score'!F1681</f>
        <v>286</v>
      </c>
      <c r="G40" s="14" t="str">
        <f aca="false">'Risk Score'!G1681</f>
        <v>Yes</v>
      </c>
      <c r="H40" s="14" t="str">
        <f aca="false">'Risk Score'!H1681</f>
        <v>Low</v>
      </c>
      <c r="I40" s="15" t="n">
        <f aca="false">'Risk Score'!I1681</f>
        <v>10</v>
      </c>
    </row>
    <row r="41" customFormat="false" ht="15" hidden="false" customHeight="false" outlineLevel="0" collapsed="false">
      <c r="A41" s="14" t="n">
        <f aca="false">'Risk Score'!A1449</f>
        <v>2455</v>
      </c>
      <c r="B41" s="14" t="n">
        <f aca="false">'Risk Score'!B1449</f>
        <v>61</v>
      </c>
      <c r="C41" s="14" t="str">
        <f aca="false">'Risk Score'!C1449</f>
        <v>Male</v>
      </c>
      <c r="D41" s="14" t="str">
        <f aca="false">'Risk Score'!D1449</f>
        <v>Current</v>
      </c>
      <c r="E41" s="14" t="str">
        <f aca="false">'Risk Score'!E1449</f>
        <v>High</v>
      </c>
      <c r="F41" s="14" t="n">
        <f aca="false">'Risk Score'!F1449</f>
        <v>206.3</v>
      </c>
      <c r="G41" s="14" t="str">
        <f aca="false">'Risk Score'!G1449</f>
        <v>No</v>
      </c>
      <c r="H41" s="14" t="str">
        <f aca="false">'Risk Score'!H1449</f>
        <v>High</v>
      </c>
      <c r="I41" s="15" t="n">
        <f aca="false">'Risk Score'!I1449</f>
        <v>9</v>
      </c>
    </row>
    <row r="42" customFormat="false" ht="15" hidden="false" customHeight="false" outlineLevel="0" collapsed="false">
      <c r="A42" s="14" t="n">
        <f aca="false">'Risk Score'!A1504</f>
        <v>1091</v>
      </c>
      <c r="B42" s="14" t="n">
        <f aca="false">'Risk Score'!B1504</f>
        <v>21</v>
      </c>
      <c r="C42" s="14" t="str">
        <f aca="false">'Risk Score'!C1504</f>
        <v>Male</v>
      </c>
      <c r="D42" s="14" t="str">
        <f aca="false">'Risk Score'!D1504</f>
        <v>Current</v>
      </c>
      <c r="E42" s="14" t="str">
        <f aca="false">'Risk Score'!E1504</f>
        <v>High</v>
      </c>
      <c r="F42" s="14" t="n">
        <f aca="false">'Risk Score'!F1504</f>
        <v>161.4</v>
      </c>
      <c r="G42" s="14" t="str">
        <f aca="false">'Risk Score'!G1504</f>
        <v>Yes</v>
      </c>
      <c r="H42" s="14" t="str">
        <f aca="false">'Risk Score'!H1504</f>
        <v>Moderate</v>
      </c>
      <c r="I42" s="15" t="n">
        <f aca="false">'Risk Score'!I1504</f>
        <v>9</v>
      </c>
    </row>
    <row r="43" customFormat="false" ht="15" hidden="false" customHeight="false" outlineLevel="0" collapsed="false">
      <c r="A43" s="14" t="n">
        <f aca="false">'Risk Score'!A1494</f>
        <v>915</v>
      </c>
      <c r="B43" s="14" t="n">
        <f aca="false">'Risk Score'!B1494</f>
        <v>82</v>
      </c>
      <c r="C43" s="14" t="str">
        <f aca="false">'Risk Score'!C1494</f>
        <v>Male</v>
      </c>
      <c r="D43" s="14" t="str">
        <f aca="false">'Risk Score'!D1494</f>
        <v>Current</v>
      </c>
      <c r="E43" s="14" t="str">
        <f aca="false">'Risk Score'!E1494</f>
        <v>High</v>
      </c>
      <c r="F43" s="14" t="n">
        <f aca="false">'Risk Score'!F1494</f>
        <v>280</v>
      </c>
      <c r="G43" s="14" t="str">
        <f aca="false">'Risk Score'!G1494</f>
        <v>No</v>
      </c>
      <c r="H43" s="14" t="str">
        <f aca="false">'Risk Score'!H1494</f>
        <v>Moderate</v>
      </c>
      <c r="I43" s="15" t="n">
        <f aca="false">'Risk Score'!I1494</f>
        <v>9</v>
      </c>
    </row>
    <row r="44" customFormat="false" ht="15" hidden="false" customHeight="false" outlineLevel="0" collapsed="false">
      <c r="A44" s="14" t="n">
        <f aca="false">'Risk Score'!A1460</f>
        <v>266</v>
      </c>
      <c r="B44" s="14" t="n">
        <f aca="false">'Risk Score'!B1460</f>
        <v>72</v>
      </c>
      <c r="C44" s="14" t="str">
        <f aca="false">'Risk Score'!C1460</f>
        <v>Female</v>
      </c>
      <c r="D44" s="14" t="str">
        <f aca="false">'Risk Score'!D1460</f>
        <v>Current</v>
      </c>
      <c r="E44" s="14" t="str">
        <f aca="false">'Risk Score'!E1460</f>
        <v>High</v>
      </c>
      <c r="F44" s="14" t="n">
        <f aca="false">'Risk Score'!F1460</f>
        <v>257</v>
      </c>
      <c r="G44" s="14" t="str">
        <f aca="false">'Risk Score'!G1460</f>
        <v>No</v>
      </c>
      <c r="H44" s="14" t="str">
        <f aca="false">'Risk Score'!H1460</f>
        <v>Moderate</v>
      </c>
      <c r="I44" s="15" t="n">
        <f aca="false">'Risk Score'!I1460</f>
        <v>9</v>
      </c>
    </row>
    <row r="45" customFormat="false" ht="15" hidden="false" customHeight="false" outlineLevel="0" collapsed="false">
      <c r="A45" s="14" t="n">
        <f aca="false">'Risk Score'!A1476</f>
        <v>626</v>
      </c>
      <c r="B45" s="14" t="n">
        <f aca="false">'Risk Score'!B1476</f>
        <v>37</v>
      </c>
      <c r="C45" s="14" t="str">
        <f aca="false">'Risk Score'!C1476</f>
        <v>Male</v>
      </c>
      <c r="D45" s="14" t="str">
        <f aca="false">'Risk Score'!D1476</f>
        <v>Former</v>
      </c>
      <c r="E45" s="14" t="str">
        <f aca="false">'Risk Score'!E1476</f>
        <v>High</v>
      </c>
      <c r="F45" s="14" t="n">
        <f aca="false">'Risk Score'!F1476</f>
        <v>285.6</v>
      </c>
      <c r="G45" s="14" t="str">
        <f aca="false">'Risk Score'!G1476</f>
        <v>Yes</v>
      </c>
      <c r="H45" s="14" t="str">
        <f aca="false">'Risk Score'!H1476</f>
        <v>Moderate</v>
      </c>
      <c r="I45" s="15" t="n">
        <f aca="false">'Risk Score'!I1476</f>
        <v>9</v>
      </c>
    </row>
    <row r="46" customFormat="false" ht="15" hidden="false" customHeight="false" outlineLevel="0" collapsed="false">
      <c r="A46" s="14" t="n">
        <f aca="false">'Risk Score'!A1523</f>
        <v>1525</v>
      </c>
      <c r="B46" s="14" t="n">
        <f aca="false">'Risk Score'!B1523</f>
        <v>50</v>
      </c>
      <c r="C46" s="14" t="str">
        <f aca="false">'Risk Score'!C1523</f>
        <v>Male</v>
      </c>
      <c r="D46" s="14" t="str">
        <f aca="false">'Risk Score'!D1523</f>
        <v>Current</v>
      </c>
      <c r="E46" s="14" t="str">
        <f aca="false">'Risk Score'!E1523</f>
        <v>High</v>
      </c>
      <c r="F46" s="14" t="n">
        <f aca="false">'Risk Score'!F1523</f>
        <v>168.9</v>
      </c>
      <c r="G46" s="14" t="str">
        <f aca="false">'Risk Score'!G1523</f>
        <v>Yes</v>
      </c>
      <c r="H46" s="14" t="str">
        <f aca="false">'Risk Score'!H1523</f>
        <v>Moderate</v>
      </c>
      <c r="I46" s="15" t="n">
        <f aca="false">'Risk Score'!I1523</f>
        <v>9</v>
      </c>
    </row>
    <row r="47" customFormat="false" ht="15" hidden="false" customHeight="false" outlineLevel="0" collapsed="false">
      <c r="A47" s="14" t="n">
        <f aca="false">'Risk Score'!A1537</f>
        <v>1861</v>
      </c>
      <c r="B47" s="14" t="n">
        <f aca="false">'Risk Score'!B1537</f>
        <v>35</v>
      </c>
      <c r="C47" s="14" t="str">
        <f aca="false">'Risk Score'!C1537</f>
        <v>Male</v>
      </c>
      <c r="D47" s="14" t="str">
        <f aca="false">'Risk Score'!D1537</f>
        <v>Former</v>
      </c>
      <c r="E47" s="14" t="str">
        <f aca="false">'Risk Score'!E1537</f>
        <v>High</v>
      </c>
      <c r="F47" s="14" t="n">
        <f aca="false">'Risk Score'!F1537</f>
        <v>257</v>
      </c>
      <c r="G47" s="14" t="str">
        <f aca="false">'Risk Score'!G1537</f>
        <v>Yes</v>
      </c>
      <c r="H47" s="14" t="str">
        <f aca="false">'Risk Score'!H1537</f>
        <v>Moderate</v>
      </c>
      <c r="I47" s="15" t="n">
        <f aca="false">'Risk Score'!I1537</f>
        <v>9</v>
      </c>
    </row>
    <row r="48" customFormat="false" ht="15" hidden="false" customHeight="false" outlineLevel="0" collapsed="false">
      <c r="A48" s="14" t="n">
        <f aca="false">'Risk Score'!A1553</f>
        <v>2221</v>
      </c>
      <c r="B48" s="14" t="n">
        <f aca="false">'Risk Score'!B1553</f>
        <v>34</v>
      </c>
      <c r="C48" s="14" t="str">
        <f aca="false">'Risk Score'!C1553</f>
        <v>Female</v>
      </c>
      <c r="D48" s="14" t="str">
        <f aca="false">'Risk Score'!D1553</f>
        <v>Current</v>
      </c>
      <c r="E48" s="14" t="str">
        <f aca="false">'Risk Score'!E1553</f>
        <v>High</v>
      </c>
      <c r="F48" s="14" t="n">
        <f aca="false">'Risk Score'!F1553</f>
        <v>275.4</v>
      </c>
      <c r="G48" s="14" t="str">
        <f aca="false">'Risk Score'!G1553</f>
        <v>No</v>
      </c>
      <c r="H48" s="14" t="str">
        <f aca="false">'Risk Score'!H1553</f>
        <v>Moderate</v>
      </c>
      <c r="I48" s="15" t="n">
        <f aca="false">'Risk Score'!I1553</f>
        <v>9</v>
      </c>
    </row>
    <row r="49" customFormat="false" ht="15" hidden="false" customHeight="false" outlineLevel="0" collapsed="false">
      <c r="A49" s="14" t="n">
        <f aca="false">'Risk Score'!A1532</f>
        <v>1759</v>
      </c>
      <c r="B49" s="14" t="n">
        <f aca="false">'Risk Score'!B1532</f>
        <v>85</v>
      </c>
      <c r="C49" s="14" t="str">
        <f aca="false">'Risk Score'!C1532</f>
        <v>Female</v>
      </c>
      <c r="D49" s="14" t="str">
        <f aca="false">'Risk Score'!D1532</f>
        <v>Current</v>
      </c>
      <c r="E49" s="14" t="str">
        <f aca="false">'Risk Score'!E1532</f>
        <v>High</v>
      </c>
      <c r="F49" s="14" t="n">
        <f aca="false">'Risk Score'!F1532</f>
        <v>286.9</v>
      </c>
      <c r="G49" s="14" t="str">
        <f aca="false">'Risk Score'!G1532</f>
        <v>No</v>
      </c>
      <c r="H49" s="14" t="str">
        <f aca="false">'Risk Score'!H1532</f>
        <v>Moderate</v>
      </c>
      <c r="I49" s="15" t="n">
        <f aca="false">'Risk Score'!I1532</f>
        <v>9</v>
      </c>
    </row>
    <row r="50" customFormat="false" ht="15" hidden="false" customHeight="false" outlineLevel="0" collapsed="false">
      <c r="A50" s="14" t="n">
        <f aca="false">'Risk Score'!A1522</f>
        <v>1524</v>
      </c>
      <c r="B50" s="14" t="n">
        <f aca="false">'Risk Score'!B1522</f>
        <v>52</v>
      </c>
      <c r="C50" s="14" t="str">
        <f aca="false">'Risk Score'!C1522</f>
        <v>Male</v>
      </c>
      <c r="D50" s="14" t="str">
        <f aca="false">'Risk Score'!D1522</f>
        <v>Current</v>
      </c>
      <c r="E50" s="14" t="str">
        <f aca="false">'Risk Score'!E1522</f>
        <v>High</v>
      </c>
      <c r="F50" s="14" t="n">
        <f aca="false">'Risk Score'!F1522</f>
        <v>293.1</v>
      </c>
      <c r="G50" s="14" t="str">
        <f aca="false">'Risk Score'!G1522</f>
        <v>No</v>
      </c>
      <c r="H50" s="14" t="str">
        <f aca="false">'Risk Score'!H1522</f>
        <v>Moderate</v>
      </c>
      <c r="I50" s="15" t="n">
        <f aca="false">'Risk Score'!I1522</f>
        <v>9</v>
      </c>
    </row>
    <row r="51" customFormat="false" ht="15" hidden="false" customHeight="false" outlineLevel="0" collapsed="false">
      <c r="A51" s="14" t="n">
        <f aca="false">'Risk Score'!A1559</f>
        <v>2299</v>
      </c>
      <c r="B51" s="14" t="n">
        <f aca="false">'Risk Score'!B1559</f>
        <v>49</v>
      </c>
      <c r="C51" s="14" t="str">
        <f aca="false">'Risk Score'!C1559</f>
        <v>Female</v>
      </c>
      <c r="D51" s="14" t="str">
        <f aca="false">'Risk Score'!D1559</f>
        <v>Former</v>
      </c>
      <c r="E51" s="14" t="str">
        <f aca="false">'Risk Score'!E1559</f>
        <v>High</v>
      </c>
      <c r="F51" s="14" t="n">
        <f aca="false">'Risk Score'!F1559</f>
        <v>256</v>
      </c>
      <c r="G51" s="14" t="str">
        <f aca="false">'Risk Score'!G1559</f>
        <v>Yes</v>
      </c>
      <c r="H51" s="14" t="str">
        <f aca="false">'Risk Score'!H1559</f>
        <v>Moderate</v>
      </c>
      <c r="I51" s="15" t="n">
        <f aca="false">'Risk Score'!I1559</f>
        <v>9</v>
      </c>
    </row>
    <row r="52" customFormat="false" ht="15" hidden="false" customHeight="false" outlineLevel="0" collapsed="false">
      <c r="A52" s="14" t="n">
        <f aca="false">'Risk Score'!A1487</f>
        <v>798</v>
      </c>
      <c r="B52" s="14" t="n">
        <f aca="false">'Risk Score'!B1487</f>
        <v>27</v>
      </c>
      <c r="C52" s="14" t="str">
        <f aca="false">'Risk Score'!C1487</f>
        <v>Female</v>
      </c>
      <c r="D52" s="14" t="str">
        <f aca="false">'Risk Score'!D1487</f>
        <v>Current</v>
      </c>
      <c r="E52" s="14" t="str">
        <f aca="false">'Risk Score'!E1487</f>
        <v>High</v>
      </c>
      <c r="F52" s="14" t="n">
        <f aca="false">'Risk Score'!F1487</f>
        <v>294.4</v>
      </c>
      <c r="G52" s="14" t="str">
        <f aca="false">'Risk Score'!G1487</f>
        <v>No</v>
      </c>
      <c r="H52" s="14" t="str">
        <f aca="false">'Risk Score'!H1487</f>
        <v>Moderate</v>
      </c>
      <c r="I52" s="15" t="n">
        <f aca="false">'Risk Score'!I1487</f>
        <v>9</v>
      </c>
    </row>
    <row r="53" customFormat="false" ht="15" hidden="false" customHeight="false" outlineLevel="0" collapsed="false">
      <c r="A53" s="14" t="n">
        <f aca="false">'Risk Score'!A1493</f>
        <v>875</v>
      </c>
      <c r="B53" s="14" t="n">
        <f aca="false">'Risk Score'!B1493</f>
        <v>36</v>
      </c>
      <c r="C53" s="14" t="str">
        <f aca="false">'Risk Score'!C1493</f>
        <v>Female</v>
      </c>
      <c r="D53" s="14" t="str">
        <f aca="false">'Risk Score'!D1493</f>
        <v>Current</v>
      </c>
      <c r="E53" s="14" t="str">
        <f aca="false">'Risk Score'!E1493</f>
        <v>High</v>
      </c>
      <c r="F53" s="14" t="n">
        <f aca="false">'Risk Score'!F1493</f>
        <v>268.3</v>
      </c>
      <c r="G53" s="14" t="str">
        <f aca="false">'Risk Score'!G1493</f>
        <v>No</v>
      </c>
      <c r="H53" s="14" t="str">
        <f aca="false">'Risk Score'!H1493</f>
        <v>Moderate</v>
      </c>
      <c r="I53" s="15" t="n">
        <f aca="false">'Risk Score'!I1493</f>
        <v>9</v>
      </c>
    </row>
    <row r="54" customFormat="false" ht="15" hidden="false" customHeight="false" outlineLevel="0" collapsed="false">
      <c r="A54" s="14" t="n">
        <f aca="false">'Risk Score'!A1486</f>
        <v>764</v>
      </c>
      <c r="B54" s="14" t="n">
        <f aca="false">'Risk Score'!B1486</f>
        <v>57</v>
      </c>
      <c r="C54" s="14" t="str">
        <f aca="false">'Risk Score'!C1486</f>
        <v>Male</v>
      </c>
      <c r="D54" s="14" t="str">
        <f aca="false">'Risk Score'!D1486</f>
        <v>Current</v>
      </c>
      <c r="E54" s="14" t="str">
        <f aca="false">'Risk Score'!E1486</f>
        <v>High</v>
      </c>
      <c r="F54" s="14" t="n">
        <f aca="false">'Risk Score'!F1486</f>
        <v>271.3</v>
      </c>
      <c r="G54" s="14" t="str">
        <f aca="false">'Risk Score'!G1486</f>
        <v>No</v>
      </c>
      <c r="H54" s="14" t="str">
        <f aca="false">'Risk Score'!H1486</f>
        <v>Moderate</v>
      </c>
      <c r="I54" s="15" t="n">
        <f aca="false">'Risk Score'!I1486</f>
        <v>9</v>
      </c>
    </row>
    <row r="55" customFormat="false" ht="15" hidden="false" customHeight="false" outlineLevel="0" collapsed="false">
      <c r="A55" s="14" t="n">
        <f aca="false">'Risk Score'!A1501</f>
        <v>1048</v>
      </c>
      <c r="B55" s="14" t="n">
        <f aca="false">'Risk Score'!B1501</f>
        <v>50</v>
      </c>
      <c r="C55" s="14" t="str">
        <f aca="false">'Risk Score'!C1501</f>
        <v>Female</v>
      </c>
      <c r="D55" s="14" t="str">
        <f aca="false">'Risk Score'!D1501</f>
        <v>Former</v>
      </c>
      <c r="E55" s="14" t="str">
        <f aca="false">'Risk Score'!E1501</f>
        <v>High</v>
      </c>
      <c r="F55" s="14" t="n">
        <f aca="false">'Risk Score'!F1501</f>
        <v>265.1</v>
      </c>
      <c r="G55" s="14" t="str">
        <f aca="false">'Risk Score'!G1501</f>
        <v>Yes</v>
      </c>
      <c r="H55" s="14" t="str">
        <f aca="false">'Risk Score'!H1501</f>
        <v>Moderate</v>
      </c>
      <c r="I55" s="15" t="n">
        <f aca="false">'Risk Score'!I1501</f>
        <v>9</v>
      </c>
    </row>
    <row r="56" customFormat="false" ht="15" hidden="false" customHeight="false" outlineLevel="0" collapsed="false">
      <c r="A56" s="14" t="n">
        <f aca="false">'Risk Score'!A1503</f>
        <v>1090</v>
      </c>
      <c r="B56" s="14" t="n">
        <f aca="false">'Risk Score'!B1503</f>
        <v>50</v>
      </c>
      <c r="C56" s="14" t="str">
        <f aca="false">'Risk Score'!C1503</f>
        <v>Male</v>
      </c>
      <c r="D56" s="14" t="str">
        <f aca="false">'Risk Score'!D1503</f>
        <v>Current</v>
      </c>
      <c r="E56" s="14" t="str">
        <f aca="false">'Risk Score'!E1503</f>
        <v>High</v>
      </c>
      <c r="F56" s="14" t="n">
        <f aca="false">'Risk Score'!F1503</f>
        <v>264.1</v>
      </c>
      <c r="G56" s="14" t="str">
        <f aca="false">'Risk Score'!G1503</f>
        <v>No</v>
      </c>
      <c r="H56" s="14" t="str">
        <f aca="false">'Risk Score'!H1503</f>
        <v>Moderate</v>
      </c>
      <c r="I56" s="15" t="n">
        <f aca="false">'Risk Score'!I1503</f>
        <v>9</v>
      </c>
    </row>
    <row r="57" customFormat="false" ht="15" hidden="false" customHeight="false" outlineLevel="0" collapsed="false">
      <c r="A57" s="14" t="n">
        <f aca="false">'Risk Score'!A1507</f>
        <v>1175</v>
      </c>
      <c r="B57" s="14" t="n">
        <f aca="false">'Risk Score'!B1507</f>
        <v>82</v>
      </c>
      <c r="C57" s="14" t="str">
        <f aca="false">'Risk Score'!C1507</f>
        <v>Male</v>
      </c>
      <c r="D57" s="14" t="str">
        <f aca="false">'Risk Score'!D1507</f>
        <v>Current</v>
      </c>
      <c r="E57" s="14" t="str">
        <f aca="false">'Risk Score'!E1507</f>
        <v>High</v>
      </c>
      <c r="F57" s="14" t="n">
        <f aca="false">'Risk Score'!F1507</f>
        <v>283.7</v>
      </c>
      <c r="G57" s="14" t="str">
        <f aca="false">'Risk Score'!G1507</f>
        <v>No</v>
      </c>
      <c r="H57" s="14" t="str">
        <f aca="false">'Risk Score'!H1507</f>
        <v>Moderate</v>
      </c>
      <c r="I57" s="15" t="n">
        <f aca="false">'Risk Score'!I1507</f>
        <v>9</v>
      </c>
    </row>
    <row r="58" customFormat="false" ht="15" hidden="false" customHeight="false" outlineLevel="0" collapsed="false">
      <c r="A58" s="14" t="n">
        <f aca="false">'Risk Score'!A1175</f>
        <v>1174</v>
      </c>
      <c r="B58" s="14" t="n">
        <f aca="false">'Risk Score'!B1175</f>
        <v>66</v>
      </c>
      <c r="C58" s="14" t="str">
        <f aca="false">'Risk Score'!C1175</f>
        <v>Male</v>
      </c>
      <c r="D58" s="14" t="str">
        <f aca="false">'Risk Score'!D1175</f>
        <v>Current</v>
      </c>
      <c r="E58" s="14" t="str">
        <f aca="false">'Risk Score'!E1175</f>
        <v>Low</v>
      </c>
      <c r="F58" s="14" t="n">
        <f aca="false">'Risk Score'!F1175</f>
        <v>280.7</v>
      </c>
      <c r="G58" s="14" t="str">
        <f aca="false">'Risk Score'!G1175</f>
        <v>Yes</v>
      </c>
      <c r="H58" s="14" t="str">
        <f aca="false">'Risk Score'!H1175</f>
        <v>High</v>
      </c>
      <c r="I58" s="15" t="n">
        <f aca="false">'Risk Score'!I1175</f>
        <v>9</v>
      </c>
    </row>
    <row r="59" customFormat="false" ht="15" hidden="false" customHeight="false" outlineLevel="0" collapsed="false">
      <c r="A59" s="14" t="n">
        <f aca="false">'Risk Score'!A1564</f>
        <v>2449</v>
      </c>
      <c r="B59" s="14" t="n">
        <f aca="false">'Risk Score'!B1564</f>
        <v>89</v>
      </c>
      <c r="C59" s="14" t="str">
        <f aca="false">'Risk Score'!C1564</f>
        <v>Female</v>
      </c>
      <c r="D59" s="14" t="str">
        <f aca="false">'Risk Score'!D1564</f>
        <v>Current</v>
      </c>
      <c r="E59" s="14" t="str">
        <f aca="false">'Risk Score'!E1564</f>
        <v>High</v>
      </c>
      <c r="F59" s="14" t="n">
        <f aca="false">'Risk Score'!F1564</f>
        <v>183.6</v>
      </c>
      <c r="G59" s="14" t="str">
        <f aca="false">'Risk Score'!G1564</f>
        <v>Yes</v>
      </c>
      <c r="H59" s="14" t="str">
        <f aca="false">'Risk Score'!H1564</f>
        <v>Moderate</v>
      </c>
      <c r="I59" s="15" t="n">
        <f aca="false">'Risk Score'!I1564</f>
        <v>9</v>
      </c>
    </row>
    <row r="60" customFormat="false" ht="15" hidden="false" customHeight="false" outlineLevel="0" collapsed="false">
      <c r="A60" s="14" t="n">
        <f aca="false">'Risk Score'!A1566</f>
        <v>2467</v>
      </c>
      <c r="B60" s="14" t="n">
        <f aca="false">'Risk Score'!B1566</f>
        <v>33</v>
      </c>
      <c r="C60" s="14" t="str">
        <f aca="false">'Risk Score'!C1566</f>
        <v>Female</v>
      </c>
      <c r="D60" s="14" t="str">
        <f aca="false">'Risk Score'!D1566</f>
        <v>Current</v>
      </c>
      <c r="E60" s="14" t="str">
        <f aca="false">'Risk Score'!E1566</f>
        <v>High</v>
      </c>
      <c r="F60" s="14" t="n">
        <f aca="false">'Risk Score'!F1566</f>
        <v>263.5</v>
      </c>
      <c r="G60" s="14" t="str">
        <f aca="false">'Risk Score'!G1566</f>
        <v>No</v>
      </c>
      <c r="H60" s="14" t="str">
        <f aca="false">'Risk Score'!H1566</f>
        <v>Moderate</v>
      </c>
      <c r="I60" s="15" t="n">
        <f aca="false">'Risk Score'!I1566</f>
        <v>9</v>
      </c>
    </row>
    <row r="61" customFormat="false" ht="15" hidden="false" customHeight="false" outlineLevel="0" collapsed="false">
      <c r="A61" s="14" t="n">
        <f aca="false">'Risk Score'!A1562</f>
        <v>2432</v>
      </c>
      <c r="B61" s="14" t="n">
        <f aca="false">'Risk Score'!B1562</f>
        <v>26</v>
      </c>
      <c r="C61" s="14" t="str">
        <f aca="false">'Risk Score'!C1562</f>
        <v>Male</v>
      </c>
      <c r="D61" s="14" t="str">
        <f aca="false">'Risk Score'!D1562</f>
        <v>Former</v>
      </c>
      <c r="E61" s="14" t="str">
        <f aca="false">'Risk Score'!E1562</f>
        <v>High</v>
      </c>
      <c r="F61" s="14" t="n">
        <f aca="false">'Risk Score'!F1562</f>
        <v>246.5</v>
      </c>
      <c r="G61" s="14" t="str">
        <f aca="false">'Risk Score'!G1562</f>
        <v>Yes</v>
      </c>
      <c r="H61" s="14" t="str">
        <f aca="false">'Risk Score'!H1562</f>
        <v>Moderate</v>
      </c>
      <c r="I61" s="15" t="n">
        <f aca="false">'Risk Score'!I1562</f>
        <v>9</v>
      </c>
    </row>
    <row r="62" customFormat="false" ht="15" hidden="false" customHeight="false" outlineLevel="0" collapsed="false">
      <c r="A62" s="14" t="n">
        <f aca="false">'Risk Score'!A1555</f>
        <v>2226</v>
      </c>
      <c r="B62" s="14" t="n">
        <f aca="false">'Risk Score'!B1555</f>
        <v>62</v>
      </c>
      <c r="C62" s="14" t="str">
        <f aca="false">'Risk Score'!C1555</f>
        <v>Female</v>
      </c>
      <c r="D62" s="14" t="str">
        <f aca="false">'Risk Score'!D1555</f>
        <v>Current</v>
      </c>
      <c r="E62" s="14" t="str">
        <f aca="false">'Risk Score'!E1555</f>
        <v>High</v>
      </c>
      <c r="F62" s="14" t="n">
        <f aca="false">'Risk Score'!F1555</f>
        <v>242.5</v>
      </c>
      <c r="G62" s="14" t="str">
        <f aca="false">'Risk Score'!G1555</f>
        <v>No</v>
      </c>
      <c r="H62" s="14" t="str">
        <f aca="false">'Risk Score'!H1555</f>
        <v>Moderate</v>
      </c>
      <c r="I62" s="15" t="n">
        <f aca="false">'Risk Score'!I1555</f>
        <v>9</v>
      </c>
    </row>
    <row r="63" customFormat="false" ht="15" hidden="false" customHeight="false" outlineLevel="0" collapsed="false">
      <c r="A63" s="14" t="n">
        <f aca="false">'Risk Score'!A1544</f>
        <v>2040</v>
      </c>
      <c r="B63" s="14" t="n">
        <f aca="false">'Risk Score'!B1544</f>
        <v>39</v>
      </c>
      <c r="C63" s="14" t="str">
        <f aca="false">'Risk Score'!C1544</f>
        <v>Female</v>
      </c>
      <c r="D63" s="14" t="str">
        <f aca="false">'Risk Score'!D1544</f>
        <v>Current</v>
      </c>
      <c r="E63" s="14" t="str">
        <f aca="false">'Risk Score'!E1544</f>
        <v>High</v>
      </c>
      <c r="F63" s="14" t="n">
        <f aca="false">'Risk Score'!F1544</f>
        <v>135.6</v>
      </c>
      <c r="G63" s="14" t="str">
        <f aca="false">'Risk Score'!G1544</f>
        <v>Yes</v>
      </c>
      <c r="H63" s="14" t="str">
        <f aca="false">'Risk Score'!H1544</f>
        <v>Moderate</v>
      </c>
      <c r="I63" s="15" t="n">
        <f aca="false">'Risk Score'!I1544</f>
        <v>9</v>
      </c>
    </row>
    <row r="64" customFormat="false" ht="15" hidden="false" customHeight="false" outlineLevel="0" collapsed="false">
      <c r="A64" s="14" t="n">
        <f aca="false">'Risk Score'!A1541</f>
        <v>1950</v>
      </c>
      <c r="B64" s="14" t="n">
        <f aca="false">'Risk Score'!B1541</f>
        <v>18</v>
      </c>
      <c r="C64" s="14" t="str">
        <f aca="false">'Risk Score'!C1541</f>
        <v>Female</v>
      </c>
      <c r="D64" s="14" t="str">
        <f aca="false">'Risk Score'!D1541</f>
        <v>Current</v>
      </c>
      <c r="E64" s="14" t="str">
        <f aca="false">'Risk Score'!E1541</f>
        <v>High</v>
      </c>
      <c r="F64" s="14" t="n">
        <f aca="false">'Risk Score'!F1541</f>
        <v>284.6</v>
      </c>
      <c r="G64" s="14" t="str">
        <f aca="false">'Risk Score'!G1541</f>
        <v>No</v>
      </c>
      <c r="H64" s="14" t="str">
        <f aca="false">'Risk Score'!H1541</f>
        <v>Moderate</v>
      </c>
      <c r="I64" s="15" t="n">
        <f aca="false">'Risk Score'!I1541</f>
        <v>9</v>
      </c>
    </row>
    <row r="65" customFormat="false" ht="15" hidden="false" customHeight="false" outlineLevel="0" collapsed="false">
      <c r="A65" s="14" t="n">
        <f aca="false">'Risk Score'!A2222</f>
        <v>1540</v>
      </c>
      <c r="B65" s="14" t="n">
        <f aca="false">'Risk Score'!B2222</f>
        <v>23</v>
      </c>
      <c r="C65" s="14" t="str">
        <f aca="false">'Risk Score'!C2222</f>
        <v>Male</v>
      </c>
      <c r="D65" s="14" t="str">
        <f aca="false">'Risk Score'!D2222</f>
        <v>Current</v>
      </c>
      <c r="E65" s="14" t="str">
        <f aca="false">'Risk Score'!E2222</f>
        <v>Normal</v>
      </c>
      <c r="F65" s="14" t="n">
        <f aca="false">'Risk Score'!F2222</f>
        <v>281.6</v>
      </c>
      <c r="G65" s="14" t="str">
        <f aca="false">'Risk Score'!G2222</f>
        <v>Yes</v>
      </c>
      <c r="H65" s="14" t="str">
        <f aca="false">'Risk Score'!H2222</f>
        <v>Moderate</v>
      </c>
      <c r="I65" s="15" t="n">
        <f aca="false">'Risk Score'!I2222</f>
        <v>9</v>
      </c>
    </row>
    <row r="66" customFormat="false" ht="15" hidden="false" customHeight="false" outlineLevel="0" collapsed="false">
      <c r="A66" s="14" t="n">
        <f aca="false">'Risk Score'!A2225</f>
        <v>1583</v>
      </c>
      <c r="B66" s="14" t="n">
        <f aca="false">'Risk Score'!B2225</f>
        <v>44</v>
      </c>
      <c r="C66" s="14" t="str">
        <f aca="false">'Risk Score'!C2225</f>
        <v>Female</v>
      </c>
      <c r="D66" s="14" t="str">
        <f aca="false">'Risk Score'!D2225</f>
        <v>Current</v>
      </c>
      <c r="E66" s="14" t="str">
        <f aca="false">'Risk Score'!E2225</f>
        <v>Normal</v>
      </c>
      <c r="F66" s="14" t="n">
        <f aca="false">'Risk Score'!F2225</f>
        <v>275.1</v>
      </c>
      <c r="G66" s="14" t="str">
        <f aca="false">'Risk Score'!G2225</f>
        <v>Yes</v>
      </c>
      <c r="H66" s="14" t="str">
        <f aca="false">'Risk Score'!H2225</f>
        <v>Moderate</v>
      </c>
      <c r="I66" s="15" t="n">
        <f aca="false">'Risk Score'!I2225</f>
        <v>9</v>
      </c>
    </row>
    <row r="67" customFormat="false" ht="15" hidden="false" customHeight="false" outlineLevel="0" collapsed="false">
      <c r="A67" s="14" t="n">
        <f aca="false">'Risk Score'!A2208</f>
        <v>1320</v>
      </c>
      <c r="B67" s="14" t="n">
        <f aca="false">'Risk Score'!B2208</f>
        <v>81</v>
      </c>
      <c r="C67" s="14" t="str">
        <f aca="false">'Risk Score'!C2208</f>
        <v>Male</v>
      </c>
      <c r="D67" s="14" t="str">
        <f aca="false">'Risk Score'!D2208</f>
        <v>Current</v>
      </c>
      <c r="E67" s="14" t="str">
        <f aca="false">'Risk Score'!E2208</f>
        <v>Normal</v>
      </c>
      <c r="F67" s="14" t="n">
        <f aca="false">'Risk Score'!F2208</f>
        <v>293.9</v>
      </c>
      <c r="G67" s="14" t="str">
        <f aca="false">'Risk Score'!G2208</f>
        <v>Yes</v>
      </c>
      <c r="H67" s="14" t="str">
        <f aca="false">'Risk Score'!H2208</f>
        <v>Moderate</v>
      </c>
      <c r="I67" s="15" t="n">
        <f aca="false">'Risk Score'!I2208</f>
        <v>9</v>
      </c>
    </row>
    <row r="68" customFormat="false" ht="15" hidden="false" customHeight="false" outlineLevel="0" collapsed="false">
      <c r="A68" s="14" t="n">
        <f aca="false">'Risk Score'!A2210</f>
        <v>1341</v>
      </c>
      <c r="B68" s="14" t="n">
        <f aca="false">'Risk Score'!B2210</f>
        <v>53</v>
      </c>
      <c r="C68" s="14" t="str">
        <f aca="false">'Risk Score'!C2210</f>
        <v>Male</v>
      </c>
      <c r="D68" s="14" t="str">
        <f aca="false">'Risk Score'!D2210</f>
        <v>Current</v>
      </c>
      <c r="E68" s="14" t="str">
        <f aca="false">'Risk Score'!E2210</f>
        <v>Normal</v>
      </c>
      <c r="F68" s="14" t="n">
        <f aca="false">'Risk Score'!F2210</f>
        <v>278.9</v>
      </c>
      <c r="G68" s="14" t="str">
        <f aca="false">'Risk Score'!G2210</f>
        <v>Yes</v>
      </c>
      <c r="H68" s="14" t="str">
        <f aca="false">'Risk Score'!H2210</f>
        <v>Moderate</v>
      </c>
      <c r="I68" s="15" t="n">
        <f aca="false">'Risk Score'!I2210</f>
        <v>9</v>
      </c>
    </row>
    <row r="69" customFormat="false" ht="15" hidden="false" customHeight="false" outlineLevel="0" collapsed="false">
      <c r="A69" s="14" t="n">
        <f aca="false">'Risk Score'!A2108</f>
        <v>1492</v>
      </c>
      <c r="B69" s="14" t="n">
        <f aca="false">'Risk Score'!B2108</f>
        <v>18</v>
      </c>
      <c r="C69" s="14" t="str">
        <f aca="false">'Risk Score'!C2108</f>
        <v>Male</v>
      </c>
      <c r="D69" s="14" t="str">
        <f aca="false">'Risk Score'!D2108</f>
        <v>Current</v>
      </c>
      <c r="E69" s="14" t="str">
        <f aca="false">'Risk Score'!E2108</f>
        <v>Normal</v>
      </c>
      <c r="F69" s="14" t="n">
        <f aca="false">'Risk Score'!F2108</f>
        <v>219.2</v>
      </c>
      <c r="G69" s="14" t="str">
        <f aca="false">'Risk Score'!G2108</f>
        <v>Yes</v>
      </c>
      <c r="H69" s="14" t="str">
        <f aca="false">'Risk Score'!H2108</f>
        <v>High</v>
      </c>
      <c r="I69" s="15" t="n">
        <f aca="false">'Risk Score'!I2108</f>
        <v>9</v>
      </c>
    </row>
    <row r="70" customFormat="false" ht="15" hidden="false" customHeight="false" outlineLevel="0" collapsed="false">
      <c r="A70" s="14" t="n">
        <f aca="false">'Risk Score'!A2095</f>
        <v>639</v>
      </c>
      <c r="B70" s="14" t="n">
        <f aca="false">'Risk Score'!B2095</f>
        <v>30</v>
      </c>
      <c r="C70" s="14" t="str">
        <f aca="false">'Risk Score'!C2095</f>
        <v>Male</v>
      </c>
      <c r="D70" s="14" t="str">
        <f aca="false">'Risk Score'!D2095</f>
        <v>Current</v>
      </c>
      <c r="E70" s="14" t="str">
        <f aca="false">'Risk Score'!E2095</f>
        <v>Normal</v>
      </c>
      <c r="F70" s="14" t="n">
        <f aca="false">'Risk Score'!F2095</f>
        <v>210.6</v>
      </c>
      <c r="G70" s="14" t="str">
        <f aca="false">'Risk Score'!G2095</f>
        <v>Yes</v>
      </c>
      <c r="H70" s="14" t="str">
        <f aca="false">'Risk Score'!H2095</f>
        <v>High</v>
      </c>
      <c r="I70" s="15" t="n">
        <f aca="false">'Risk Score'!I2095</f>
        <v>9</v>
      </c>
    </row>
    <row r="71" customFormat="false" ht="15" hidden="false" customHeight="false" outlineLevel="0" collapsed="false">
      <c r="A71" s="14" t="n">
        <f aca="false">'Risk Score'!A1729</f>
        <v>2035</v>
      </c>
      <c r="B71" s="14" t="n">
        <f aca="false">'Risk Score'!B1729</f>
        <v>48</v>
      </c>
      <c r="C71" s="14" t="str">
        <f aca="false">'Risk Score'!C1729</f>
        <v>Female</v>
      </c>
      <c r="D71" s="14" t="str">
        <f aca="false">'Risk Score'!D1729</f>
        <v>Current</v>
      </c>
      <c r="E71" s="14" t="str">
        <f aca="false">'Risk Score'!E1729</f>
        <v>High</v>
      </c>
      <c r="F71" s="14" t="n">
        <f aca="false">'Risk Score'!F1729</f>
        <v>215.4</v>
      </c>
      <c r="G71" s="14" t="str">
        <f aca="false">'Risk Score'!G1729</f>
        <v>Yes</v>
      </c>
      <c r="H71" s="14" t="str">
        <f aca="false">'Risk Score'!H1729</f>
        <v>Low</v>
      </c>
      <c r="I71" s="15" t="n">
        <f aca="false">'Risk Score'!I1729</f>
        <v>9</v>
      </c>
    </row>
    <row r="72" customFormat="false" ht="15" hidden="false" customHeight="false" outlineLevel="0" collapsed="false">
      <c r="A72" s="14" t="n">
        <f aca="false">'Risk Score'!A2098</f>
        <v>740</v>
      </c>
      <c r="B72" s="14" t="n">
        <f aca="false">'Risk Score'!B2098</f>
        <v>60</v>
      </c>
      <c r="C72" s="14" t="str">
        <f aca="false">'Risk Score'!C2098</f>
        <v>Male</v>
      </c>
      <c r="D72" s="14" t="str">
        <f aca="false">'Risk Score'!D2098</f>
        <v>Current</v>
      </c>
      <c r="E72" s="14" t="str">
        <f aca="false">'Risk Score'!E2098</f>
        <v>Normal</v>
      </c>
      <c r="F72" s="14" t="n">
        <f aca="false">'Risk Score'!F2098</f>
        <v>224.2</v>
      </c>
      <c r="G72" s="14" t="str">
        <f aca="false">'Risk Score'!G2098</f>
        <v>Yes</v>
      </c>
      <c r="H72" s="14" t="str">
        <f aca="false">'Risk Score'!H2098</f>
        <v>High</v>
      </c>
      <c r="I72" s="15" t="n">
        <f aca="false">'Risk Score'!I2098</f>
        <v>9</v>
      </c>
    </row>
    <row r="73" customFormat="false" ht="15" hidden="false" customHeight="false" outlineLevel="0" collapsed="false">
      <c r="A73" s="14" t="n">
        <f aca="false">'Risk Score'!A2117</f>
        <v>1715</v>
      </c>
      <c r="B73" s="14" t="n">
        <f aca="false">'Risk Score'!B2117</f>
        <v>28</v>
      </c>
      <c r="C73" s="14" t="str">
        <f aca="false">'Risk Score'!C2117</f>
        <v>Female</v>
      </c>
      <c r="D73" s="14" t="str">
        <f aca="false">'Risk Score'!D2117</f>
        <v>Current</v>
      </c>
      <c r="E73" s="14" t="str">
        <f aca="false">'Risk Score'!E2117</f>
        <v>Normal</v>
      </c>
      <c r="F73" s="14" t="n">
        <f aca="false">'Risk Score'!F2117</f>
        <v>230.9</v>
      </c>
      <c r="G73" s="14" t="str">
        <f aca="false">'Risk Score'!G2117</f>
        <v>Yes</v>
      </c>
      <c r="H73" s="14" t="str">
        <f aca="false">'Risk Score'!H2117</f>
        <v>High</v>
      </c>
      <c r="I73" s="15" t="n">
        <f aca="false">'Risk Score'!I2117</f>
        <v>9</v>
      </c>
    </row>
    <row r="74" customFormat="false" ht="15" hidden="false" customHeight="false" outlineLevel="0" collapsed="false">
      <c r="A74" s="14" t="n">
        <f aca="false">'Risk Score'!A2111</f>
        <v>1563</v>
      </c>
      <c r="B74" s="14" t="n">
        <f aca="false">'Risk Score'!B2111</f>
        <v>66</v>
      </c>
      <c r="C74" s="14" t="str">
        <f aca="false">'Risk Score'!C2111</f>
        <v>Female</v>
      </c>
      <c r="D74" s="14" t="str">
        <f aca="false">'Risk Score'!D2111</f>
        <v>Current</v>
      </c>
      <c r="E74" s="14" t="str">
        <f aca="false">'Risk Score'!E2111</f>
        <v>Normal</v>
      </c>
      <c r="F74" s="14" t="n">
        <f aca="false">'Risk Score'!F2111</f>
        <v>215.7</v>
      </c>
      <c r="G74" s="14" t="str">
        <f aca="false">'Risk Score'!G2111</f>
        <v>Yes</v>
      </c>
      <c r="H74" s="14" t="str">
        <f aca="false">'Risk Score'!H2111</f>
        <v>High</v>
      </c>
      <c r="I74" s="15" t="n">
        <f aca="false">'Risk Score'!I2111</f>
        <v>9</v>
      </c>
    </row>
    <row r="75" customFormat="false" ht="15" hidden="false" customHeight="false" outlineLevel="0" collapsed="false">
      <c r="A75" s="14" t="n">
        <f aca="false">'Risk Score'!A1743</f>
        <v>2438</v>
      </c>
      <c r="B75" s="14" t="n">
        <f aca="false">'Risk Score'!B1743</f>
        <v>46</v>
      </c>
      <c r="C75" s="14" t="str">
        <f aca="false">'Risk Score'!C1743</f>
        <v>Female</v>
      </c>
      <c r="D75" s="14" t="str">
        <f aca="false">'Risk Score'!D1743</f>
        <v>Current</v>
      </c>
      <c r="E75" s="14" t="str">
        <f aca="false">'Risk Score'!E1743</f>
        <v>High</v>
      </c>
      <c r="F75" s="14" t="n">
        <f aca="false">'Risk Score'!F1743</f>
        <v>201.1</v>
      </c>
      <c r="G75" s="14" t="str">
        <f aca="false">'Risk Score'!G1743</f>
        <v>Yes</v>
      </c>
      <c r="H75" s="14" t="str">
        <f aca="false">'Risk Score'!H1743</f>
        <v>Low</v>
      </c>
      <c r="I75" s="15" t="n">
        <f aca="false">'Risk Score'!I1743</f>
        <v>9</v>
      </c>
    </row>
    <row r="76" customFormat="false" ht="15" hidden="false" customHeight="false" outlineLevel="0" collapsed="false">
      <c r="A76" s="14" t="n">
        <f aca="false">'Risk Score'!A1469</f>
        <v>404</v>
      </c>
      <c r="B76" s="14" t="n">
        <f aca="false">'Risk Score'!B1469</f>
        <v>61</v>
      </c>
      <c r="C76" s="14" t="str">
        <f aca="false">'Risk Score'!C1469</f>
        <v>Female</v>
      </c>
      <c r="D76" s="14" t="str">
        <f aca="false">'Risk Score'!D1469</f>
        <v>Current</v>
      </c>
      <c r="E76" s="14" t="str">
        <f aca="false">'Risk Score'!E1469</f>
        <v>High</v>
      </c>
      <c r="F76" s="14" t="n">
        <f aca="false">'Risk Score'!F1469</f>
        <v>295.9</v>
      </c>
      <c r="G76" s="14" t="str">
        <f aca="false">'Risk Score'!G1469</f>
        <v>No</v>
      </c>
      <c r="H76" s="14" t="str">
        <f aca="false">'Risk Score'!H1469</f>
        <v>Moderate</v>
      </c>
      <c r="I76" s="15" t="n">
        <f aca="false">'Risk Score'!I1469</f>
        <v>9</v>
      </c>
    </row>
    <row r="77" customFormat="false" ht="15" hidden="false" customHeight="false" outlineLevel="0" collapsed="false">
      <c r="A77" s="14" t="n">
        <f aca="false">'Risk Score'!A1465</f>
        <v>348</v>
      </c>
      <c r="B77" s="14" t="n">
        <f aca="false">'Risk Score'!B1465</f>
        <v>37</v>
      </c>
      <c r="C77" s="14" t="str">
        <f aca="false">'Risk Score'!C1465</f>
        <v>Female</v>
      </c>
      <c r="D77" s="14" t="str">
        <f aca="false">'Risk Score'!D1465</f>
        <v>Current</v>
      </c>
      <c r="E77" s="14" t="str">
        <f aca="false">'Risk Score'!E1465</f>
        <v>High</v>
      </c>
      <c r="F77" s="14" t="n">
        <f aca="false">'Risk Score'!F1465</f>
        <v>264.5</v>
      </c>
      <c r="G77" s="14" t="str">
        <f aca="false">'Risk Score'!G1465</f>
        <v>No</v>
      </c>
      <c r="H77" s="14" t="str">
        <f aca="false">'Risk Score'!H1465</f>
        <v>Moderate</v>
      </c>
      <c r="I77" s="15" t="n">
        <f aca="false">'Risk Score'!I1465</f>
        <v>9</v>
      </c>
    </row>
    <row r="78" customFormat="false" ht="15" hidden="false" customHeight="false" outlineLevel="0" collapsed="false">
      <c r="A78" s="14" t="n">
        <f aca="false">'Risk Score'!A2256</f>
        <v>2034</v>
      </c>
      <c r="B78" s="14" t="n">
        <f aca="false">'Risk Score'!B2256</f>
        <v>36</v>
      </c>
      <c r="C78" s="14" t="str">
        <f aca="false">'Risk Score'!C2256</f>
        <v>Male</v>
      </c>
      <c r="D78" s="14" t="str">
        <f aca="false">'Risk Score'!D2256</f>
        <v>Current</v>
      </c>
      <c r="E78" s="14" t="str">
        <f aca="false">'Risk Score'!E2256</f>
        <v>Normal</v>
      </c>
      <c r="F78" s="14" t="n">
        <f aca="false">'Risk Score'!F2256</f>
        <v>256.5</v>
      </c>
      <c r="G78" s="14" t="str">
        <f aca="false">'Risk Score'!G2256</f>
        <v>Yes</v>
      </c>
      <c r="H78" s="14" t="str">
        <f aca="false">'Risk Score'!H2256</f>
        <v>Moderate</v>
      </c>
      <c r="I78" s="15" t="n">
        <f aca="false">'Risk Score'!I2256</f>
        <v>9</v>
      </c>
    </row>
    <row r="79" customFormat="false" ht="15" hidden="false" customHeight="false" outlineLevel="0" collapsed="false">
      <c r="A79" s="14" t="n">
        <f aca="false">'Risk Score'!A2252</f>
        <v>1999</v>
      </c>
      <c r="B79" s="14" t="n">
        <f aca="false">'Risk Score'!B2252</f>
        <v>53</v>
      </c>
      <c r="C79" s="14" t="str">
        <f aca="false">'Risk Score'!C2252</f>
        <v>Female</v>
      </c>
      <c r="D79" s="14" t="str">
        <f aca="false">'Risk Score'!D2252</f>
        <v>Current</v>
      </c>
      <c r="E79" s="14" t="str">
        <f aca="false">'Risk Score'!E2252</f>
        <v>Normal</v>
      </c>
      <c r="F79" s="14" t="n">
        <f aca="false">'Risk Score'!F2252</f>
        <v>265.4</v>
      </c>
      <c r="G79" s="14" t="str">
        <f aca="false">'Risk Score'!G2252</f>
        <v>Yes</v>
      </c>
      <c r="H79" s="14" t="str">
        <f aca="false">'Risk Score'!H2252</f>
        <v>Moderate</v>
      </c>
      <c r="I79" s="15" t="n">
        <f aca="false">'Risk Score'!I2252</f>
        <v>9</v>
      </c>
    </row>
    <row r="80" customFormat="false" ht="15" hidden="false" customHeight="false" outlineLevel="0" collapsed="false">
      <c r="A80" s="14" t="n">
        <f aca="false">'Risk Score'!A2235</f>
        <v>1741</v>
      </c>
      <c r="B80" s="14" t="n">
        <f aca="false">'Risk Score'!B2235</f>
        <v>59</v>
      </c>
      <c r="C80" s="14" t="str">
        <f aca="false">'Risk Score'!C2235</f>
        <v>Female</v>
      </c>
      <c r="D80" s="14" t="str">
        <f aca="false">'Risk Score'!D2235</f>
        <v>Current</v>
      </c>
      <c r="E80" s="14" t="str">
        <f aca="false">'Risk Score'!E2235</f>
        <v>Normal</v>
      </c>
      <c r="F80" s="14" t="n">
        <f aca="false">'Risk Score'!F2235</f>
        <v>260.3</v>
      </c>
      <c r="G80" s="14" t="str">
        <f aca="false">'Risk Score'!G2235</f>
        <v>Yes</v>
      </c>
      <c r="H80" s="14" t="str">
        <f aca="false">'Risk Score'!H2235</f>
        <v>Moderate</v>
      </c>
      <c r="I80" s="15" t="n">
        <f aca="false">'Risk Score'!I2235</f>
        <v>9</v>
      </c>
    </row>
    <row r="81" customFormat="false" ht="15" hidden="false" customHeight="false" outlineLevel="0" collapsed="false">
      <c r="A81" s="14" t="n">
        <f aca="false">'Risk Score'!A2245</f>
        <v>1885</v>
      </c>
      <c r="B81" s="14" t="n">
        <f aca="false">'Risk Score'!B2245</f>
        <v>85</v>
      </c>
      <c r="C81" s="14" t="str">
        <f aca="false">'Risk Score'!C2245</f>
        <v>Female</v>
      </c>
      <c r="D81" s="14" t="str">
        <f aca="false">'Risk Score'!D2245</f>
        <v>Current</v>
      </c>
      <c r="E81" s="14" t="str">
        <f aca="false">'Risk Score'!E2245</f>
        <v>Normal</v>
      </c>
      <c r="F81" s="14" t="n">
        <f aca="false">'Risk Score'!F2245</f>
        <v>240.4</v>
      </c>
      <c r="G81" s="14" t="str">
        <f aca="false">'Risk Score'!G2245</f>
        <v>Yes</v>
      </c>
      <c r="H81" s="14" t="str">
        <f aca="false">'Risk Score'!H2245</f>
        <v>Moderate</v>
      </c>
      <c r="I81" s="15" t="n">
        <f aca="false">'Risk Score'!I2245</f>
        <v>9</v>
      </c>
    </row>
    <row r="82" customFormat="false" ht="15" hidden="false" customHeight="false" outlineLevel="0" collapsed="false">
      <c r="A82" s="14" t="n">
        <f aca="false">'Risk Score'!A2257</f>
        <v>2043</v>
      </c>
      <c r="B82" s="14" t="n">
        <f aca="false">'Risk Score'!B2257</f>
        <v>44</v>
      </c>
      <c r="C82" s="14" t="str">
        <f aca="false">'Risk Score'!C2257</f>
        <v>Female</v>
      </c>
      <c r="D82" s="14" t="str">
        <f aca="false">'Risk Score'!D2257</f>
        <v>Current</v>
      </c>
      <c r="E82" s="14" t="str">
        <f aca="false">'Risk Score'!E2257</f>
        <v>Normal</v>
      </c>
      <c r="F82" s="14" t="n">
        <f aca="false">'Risk Score'!F2257</f>
        <v>275.7</v>
      </c>
      <c r="G82" s="14" t="str">
        <f aca="false">'Risk Score'!G2257</f>
        <v>Yes</v>
      </c>
      <c r="H82" s="14" t="str">
        <f aca="false">'Risk Score'!H2257</f>
        <v>Moderate</v>
      </c>
      <c r="I82" s="15" t="n">
        <f aca="false">'Risk Score'!I2257</f>
        <v>9</v>
      </c>
    </row>
    <row r="83" customFormat="false" ht="15" hidden="false" customHeight="false" outlineLevel="0" collapsed="false">
      <c r="A83" s="14" t="n">
        <f aca="false">'Risk Score'!A2219</f>
        <v>1516</v>
      </c>
      <c r="B83" s="14" t="n">
        <f aca="false">'Risk Score'!B2219</f>
        <v>87</v>
      </c>
      <c r="C83" s="14" t="str">
        <f aca="false">'Risk Score'!C2219</f>
        <v>Male</v>
      </c>
      <c r="D83" s="14" t="str">
        <f aca="false">'Risk Score'!D2219</f>
        <v>Current</v>
      </c>
      <c r="E83" s="14" t="str">
        <f aca="false">'Risk Score'!E2219</f>
        <v>Normal</v>
      </c>
      <c r="F83" s="14" t="n">
        <f aca="false">'Risk Score'!F2219</f>
        <v>242.5</v>
      </c>
      <c r="G83" s="14" t="str">
        <f aca="false">'Risk Score'!G2219</f>
        <v>Yes</v>
      </c>
      <c r="H83" s="14" t="str">
        <f aca="false">'Risk Score'!H2219</f>
        <v>Moderate</v>
      </c>
      <c r="I83" s="15" t="n">
        <f aca="false">'Risk Score'!I2219</f>
        <v>9</v>
      </c>
    </row>
    <row r="84" customFormat="false" ht="15" hidden="false" customHeight="false" outlineLevel="0" collapsed="false">
      <c r="A84" s="14" t="n">
        <f aca="false">'Risk Score'!A2250</f>
        <v>1962</v>
      </c>
      <c r="B84" s="14" t="n">
        <f aca="false">'Risk Score'!B2250</f>
        <v>76</v>
      </c>
      <c r="C84" s="14" t="str">
        <f aca="false">'Risk Score'!C2250</f>
        <v>Male</v>
      </c>
      <c r="D84" s="14" t="str">
        <f aca="false">'Risk Score'!D2250</f>
        <v>Current</v>
      </c>
      <c r="E84" s="14" t="str">
        <f aca="false">'Risk Score'!E2250</f>
        <v>Normal</v>
      </c>
      <c r="F84" s="14" t="n">
        <f aca="false">'Risk Score'!F2250</f>
        <v>254.2</v>
      </c>
      <c r="G84" s="14" t="str">
        <f aca="false">'Risk Score'!G2250</f>
        <v>Yes</v>
      </c>
      <c r="H84" s="14" t="str">
        <f aca="false">'Risk Score'!H2250</f>
        <v>Moderate</v>
      </c>
      <c r="I84" s="15" t="n">
        <f aca="false">'Risk Score'!I2250</f>
        <v>9</v>
      </c>
    </row>
    <row r="85" customFormat="false" ht="15" hidden="false" customHeight="false" outlineLevel="0" collapsed="false">
      <c r="A85" s="14" t="n">
        <f aca="false">'Risk Score'!A2214</f>
        <v>1392</v>
      </c>
      <c r="B85" s="14" t="n">
        <f aca="false">'Risk Score'!B2214</f>
        <v>84</v>
      </c>
      <c r="C85" s="14" t="str">
        <f aca="false">'Risk Score'!C2214</f>
        <v>Female</v>
      </c>
      <c r="D85" s="14" t="str">
        <f aca="false">'Risk Score'!D2214</f>
        <v>Current</v>
      </c>
      <c r="E85" s="14" t="str">
        <f aca="false">'Risk Score'!E2214</f>
        <v>Normal</v>
      </c>
      <c r="F85" s="14" t="n">
        <f aca="false">'Risk Score'!F2214</f>
        <v>272.8</v>
      </c>
      <c r="G85" s="14" t="str">
        <f aca="false">'Risk Score'!G2214</f>
        <v>Yes</v>
      </c>
      <c r="H85" s="14" t="str">
        <f aca="false">'Risk Score'!H2214</f>
        <v>Moderate</v>
      </c>
      <c r="I85" s="15" t="n">
        <f aca="false">'Risk Score'!I2214</f>
        <v>9</v>
      </c>
    </row>
    <row r="86" customFormat="false" ht="15" hidden="false" customHeight="false" outlineLevel="0" collapsed="false">
      <c r="A86" s="14" t="n">
        <f aca="false">'Risk Score'!A2195</f>
        <v>1076</v>
      </c>
      <c r="B86" s="14" t="n">
        <f aca="false">'Risk Score'!B2195</f>
        <v>36</v>
      </c>
      <c r="C86" s="14" t="str">
        <f aca="false">'Risk Score'!C2195</f>
        <v>Male</v>
      </c>
      <c r="D86" s="14" t="str">
        <f aca="false">'Risk Score'!D2195</f>
        <v>Current</v>
      </c>
      <c r="E86" s="14" t="str">
        <f aca="false">'Risk Score'!E2195</f>
        <v>Normal</v>
      </c>
      <c r="F86" s="14" t="n">
        <f aca="false">'Risk Score'!F2195</f>
        <v>246.9</v>
      </c>
      <c r="G86" s="14" t="str">
        <f aca="false">'Risk Score'!G2195</f>
        <v>Yes</v>
      </c>
      <c r="H86" s="14" t="str">
        <f aca="false">'Risk Score'!H2195</f>
        <v>Moderate</v>
      </c>
      <c r="I86" s="15" t="n">
        <f aca="false">'Risk Score'!I2195</f>
        <v>9</v>
      </c>
    </row>
    <row r="87" customFormat="false" ht="15" hidden="false" customHeight="false" outlineLevel="0" collapsed="false">
      <c r="A87" s="14" t="n">
        <f aca="false">'Risk Score'!A2181</f>
        <v>865</v>
      </c>
      <c r="B87" s="14" t="n">
        <f aca="false">'Risk Score'!B2181</f>
        <v>63</v>
      </c>
      <c r="C87" s="14" t="str">
        <f aca="false">'Risk Score'!C2181</f>
        <v>Male</v>
      </c>
      <c r="D87" s="14" t="str">
        <f aca="false">'Risk Score'!D2181</f>
        <v>Current</v>
      </c>
      <c r="E87" s="14" t="str">
        <f aca="false">'Risk Score'!E2181</f>
        <v>Normal</v>
      </c>
      <c r="F87" s="14" t="n">
        <f aca="false">'Risk Score'!F2181</f>
        <v>272.7</v>
      </c>
      <c r="G87" s="14" t="str">
        <f aca="false">'Risk Score'!G2181</f>
        <v>Yes</v>
      </c>
      <c r="H87" s="14" t="str">
        <f aca="false">'Risk Score'!H2181</f>
        <v>Moderate</v>
      </c>
      <c r="I87" s="15" t="n">
        <f aca="false">'Risk Score'!I2181</f>
        <v>9</v>
      </c>
    </row>
    <row r="88" customFormat="false" ht="15" hidden="false" customHeight="false" outlineLevel="0" collapsed="false">
      <c r="A88" s="14" t="n">
        <f aca="false">'Risk Score'!A2171</f>
        <v>662</v>
      </c>
      <c r="B88" s="14" t="n">
        <f aca="false">'Risk Score'!B2171</f>
        <v>45</v>
      </c>
      <c r="C88" s="14" t="str">
        <f aca="false">'Risk Score'!C2171</f>
        <v>Female</v>
      </c>
      <c r="D88" s="14" t="str">
        <f aca="false">'Risk Score'!D2171</f>
        <v>Current</v>
      </c>
      <c r="E88" s="14" t="str">
        <f aca="false">'Risk Score'!E2171</f>
        <v>Normal</v>
      </c>
      <c r="F88" s="14" t="n">
        <f aca="false">'Risk Score'!F2171</f>
        <v>290</v>
      </c>
      <c r="G88" s="14" t="str">
        <f aca="false">'Risk Score'!G2171</f>
        <v>Yes</v>
      </c>
      <c r="H88" s="14" t="str">
        <f aca="false">'Risk Score'!H2171</f>
        <v>Moderate</v>
      </c>
      <c r="I88" s="15" t="n">
        <f aca="false">'Risk Score'!I2171</f>
        <v>9</v>
      </c>
    </row>
    <row r="89" customFormat="false" ht="15" hidden="false" customHeight="false" outlineLevel="0" collapsed="false">
      <c r="A89" s="14" t="n">
        <f aca="false">'Risk Score'!A2166</f>
        <v>550</v>
      </c>
      <c r="B89" s="14" t="n">
        <f aca="false">'Risk Score'!B2166</f>
        <v>57</v>
      </c>
      <c r="C89" s="14" t="str">
        <f aca="false">'Risk Score'!C2166</f>
        <v>Female</v>
      </c>
      <c r="D89" s="14" t="str">
        <f aca="false">'Risk Score'!D2166</f>
        <v>Current</v>
      </c>
      <c r="E89" s="14" t="str">
        <f aca="false">'Risk Score'!E2166</f>
        <v>Normal</v>
      </c>
      <c r="F89" s="14" t="n">
        <f aca="false">'Risk Score'!F2166</f>
        <v>250</v>
      </c>
      <c r="G89" s="14" t="str">
        <f aca="false">'Risk Score'!G2166</f>
        <v>Yes</v>
      </c>
      <c r="H89" s="14" t="str">
        <f aca="false">'Risk Score'!H2166</f>
        <v>Moderate</v>
      </c>
      <c r="I89" s="15" t="n">
        <f aca="false">'Risk Score'!I2166</f>
        <v>9</v>
      </c>
    </row>
    <row r="90" customFormat="false" ht="15" hidden="false" customHeight="false" outlineLevel="0" collapsed="false">
      <c r="A90" s="14" t="n">
        <f aca="false">'Risk Score'!A2160</f>
        <v>398</v>
      </c>
      <c r="B90" s="14" t="n">
        <f aca="false">'Risk Score'!B2160</f>
        <v>21</v>
      </c>
      <c r="C90" s="14" t="str">
        <f aca="false">'Risk Score'!C2160</f>
        <v>Male</v>
      </c>
      <c r="D90" s="14" t="str">
        <f aca="false">'Risk Score'!D2160</f>
        <v>Current</v>
      </c>
      <c r="E90" s="14" t="str">
        <f aca="false">'Risk Score'!E2160</f>
        <v>Normal</v>
      </c>
      <c r="F90" s="14" t="n">
        <f aca="false">'Risk Score'!F2160</f>
        <v>255.3</v>
      </c>
      <c r="G90" s="14" t="str">
        <f aca="false">'Risk Score'!G2160</f>
        <v>Yes</v>
      </c>
      <c r="H90" s="14" t="str">
        <f aca="false">'Risk Score'!H2160</f>
        <v>Moderate</v>
      </c>
      <c r="I90" s="15" t="n">
        <f aca="false">'Risk Score'!I2160</f>
        <v>9</v>
      </c>
    </row>
    <row r="91" customFormat="false" ht="15" hidden="false" customHeight="false" outlineLevel="0" collapsed="false">
      <c r="A91" s="14" t="n">
        <f aca="false">'Risk Score'!A1745</f>
        <v>2495</v>
      </c>
      <c r="B91" s="14" t="n">
        <f aca="false">'Risk Score'!B1745</f>
        <v>65</v>
      </c>
      <c r="C91" s="14" t="str">
        <f aca="false">'Risk Score'!C1745</f>
        <v>Female</v>
      </c>
      <c r="D91" s="14" t="str">
        <f aca="false">'Risk Score'!D1745</f>
        <v>Current</v>
      </c>
      <c r="E91" s="14" t="str">
        <f aca="false">'Risk Score'!E1745</f>
        <v>High</v>
      </c>
      <c r="F91" s="14" t="n">
        <f aca="false">'Risk Score'!F1745</f>
        <v>209</v>
      </c>
      <c r="G91" s="14" t="str">
        <f aca="false">'Risk Score'!G1745</f>
        <v>Yes</v>
      </c>
      <c r="H91" s="14" t="str">
        <f aca="false">'Risk Score'!H1745</f>
        <v>Low</v>
      </c>
      <c r="I91" s="15" t="n">
        <f aca="false">'Risk Score'!I1745</f>
        <v>9</v>
      </c>
    </row>
    <row r="92" customFormat="false" ht="15" hidden="false" customHeight="false" outlineLevel="0" collapsed="false">
      <c r="A92" s="14" t="n">
        <f aca="false">'Risk Score'!A2147</f>
        <v>62</v>
      </c>
      <c r="B92" s="14" t="n">
        <f aca="false">'Risk Score'!B2147</f>
        <v>18</v>
      </c>
      <c r="C92" s="14" t="str">
        <f aca="false">'Risk Score'!C2147</f>
        <v>Female</v>
      </c>
      <c r="D92" s="14" t="str">
        <f aca="false">'Risk Score'!D2147</f>
        <v>Current</v>
      </c>
      <c r="E92" s="14" t="str">
        <f aca="false">'Risk Score'!E2147</f>
        <v>Normal</v>
      </c>
      <c r="F92" s="14" t="n">
        <f aca="false">'Risk Score'!F2147</f>
        <v>286.3</v>
      </c>
      <c r="G92" s="14" t="str">
        <f aca="false">'Risk Score'!G2147</f>
        <v>Yes</v>
      </c>
      <c r="H92" s="14" t="str">
        <f aca="false">'Risk Score'!H2147</f>
        <v>Moderate</v>
      </c>
      <c r="I92" s="15" t="n">
        <f aca="false">'Risk Score'!I2147</f>
        <v>9</v>
      </c>
    </row>
    <row r="93" customFormat="false" ht="15" hidden="false" customHeight="false" outlineLevel="0" collapsed="false">
      <c r="A93" s="14" t="n">
        <f aca="false">'Risk Score'!A2158</f>
        <v>346</v>
      </c>
      <c r="B93" s="14" t="n">
        <f aca="false">'Risk Score'!B2158</f>
        <v>49</v>
      </c>
      <c r="C93" s="14" t="str">
        <f aca="false">'Risk Score'!C2158</f>
        <v>Male</v>
      </c>
      <c r="D93" s="14" t="str">
        <f aca="false">'Risk Score'!D2158</f>
        <v>Current</v>
      </c>
      <c r="E93" s="14" t="str">
        <f aca="false">'Risk Score'!E2158</f>
        <v>Normal</v>
      </c>
      <c r="F93" s="14" t="n">
        <f aca="false">'Risk Score'!F2158</f>
        <v>289.5</v>
      </c>
      <c r="G93" s="14" t="str">
        <f aca="false">'Risk Score'!G2158</f>
        <v>Yes</v>
      </c>
      <c r="H93" s="14" t="str">
        <f aca="false">'Risk Score'!H2158</f>
        <v>Moderate</v>
      </c>
      <c r="I93" s="15" t="n">
        <f aca="false">'Risk Score'!I2158</f>
        <v>9</v>
      </c>
    </row>
    <row r="94" customFormat="false" ht="15" hidden="false" customHeight="false" outlineLevel="0" collapsed="false">
      <c r="A94" s="14" t="n">
        <f aca="false">'Risk Score'!A2139</f>
        <v>2228</v>
      </c>
      <c r="B94" s="14" t="n">
        <f aca="false">'Risk Score'!B2139</f>
        <v>74</v>
      </c>
      <c r="C94" s="14" t="str">
        <f aca="false">'Risk Score'!C2139</f>
        <v>Male</v>
      </c>
      <c r="D94" s="14" t="str">
        <f aca="false">'Risk Score'!D2139</f>
        <v>Current</v>
      </c>
      <c r="E94" s="14" t="str">
        <f aca="false">'Risk Score'!E2139</f>
        <v>Normal</v>
      </c>
      <c r="F94" s="14" t="n">
        <f aca="false">'Risk Score'!F2139</f>
        <v>236.3</v>
      </c>
      <c r="G94" s="14" t="str">
        <f aca="false">'Risk Score'!G2139</f>
        <v>Yes</v>
      </c>
      <c r="H94" s="14" t="str">
        <f aca="false">'Risk Score'!H2139</f>
        <v>High</v>
      </c>
      <c r="I94" s="15" t="n">
        <f aca="false">'Risk Score'!I2139</f>
        <v>9</v>
      </c>
    </row>
    <row r="95" customFormat="false" ht="15" hidden="false" customHeight="false" outlineLevel="0" collapsed="false">
      <c r="A95" s="14" t="n">
        <f aca="false">'Risk Score'!A2143</f>
        <v>27</v>
      </c>
      <c r="B95" s="14" t="n">
        <f aca="false">'Risk Score'!B2143</f>
        <v>49</v>
      </c>
      <c r="C95" s="14" t="str">
        <f aca="false">'Risk Score'!C2143</f>
        <v>Male</v>
      </c>
      <c r="D95" s="14" t="str">
        <f aca="false">'Risk Score'!D2143</f>
        <v>Current</v>
      </c>
      <c r="E95" s="14" t="str">
        <f aca="false">'Risk Score'!E2143</f>
        <v>Normal</v>
      </c>
      <c r="F95" s="14" t="n">
        <f aca="false">'Risk Score'!F2143</f>
        <v>272.8</v>
      </c>
      <c r="G95" s="14" t="str">
        <f aca="false">'Risk Score'!G2143</f>
        <v>Yes</v>
      </c>
      <c r="H95" s="14" t="str">
        <f aca="false">'Risk Score'!H2143</f>
        <v>Moderate</v>
      </c>
      <c r="I95" s="15" t="n">
        <f aca="false">'Risk Score'!I2143</f>
        <v>9</v>
      </c>
    </row>
    <row r="96" customFormat="false" ht="15" hidden="false" customHeight="false" outlineLevel="0" collapsed="false">
      <c r="A96" s="14" t="n">
        <f aca="false">'Risk Score'!A2234</f>
        <v>1740</v>
      </c>
      <c r="B96" s="14" t="n">
        <f aca="false">'Risk Score'!B2234</f>
        <v>31</v>
      </c>
      <c r="C96" s="14" t="str">
        <f aca="false">'Risk Score'!C2234</f>
        <v>Female</v>
      </c>
      <c r="D96" s="14" t="str">
        <f aca="false">'Risk Score'!D2234</f>
        <v>Current</v>
      </c>
      <c r="E96" s="14" t="str">
        <f aca="false">'Risk Score'!E2234</f>
        <v>Normal</v>
      </c>
      <c r="F96" s="14" t="n">
        <f aca="false">'Risk Score'!F2234</f>
        <v>293.8</v>
      </c>
      <c r="G96" s="14" t="str">
        <f aca="false">'Risk Score'!G2234</f>
        <v>Yes</v>
      </c>
      <c r="H96" s="14" t="str">
        <f aca="false">'Risk Score'!H2234</f>
        <v>Moderate</v>
      </c>
      <c r="I96" s="15" t="n">
        <f aca="false">'Risk Score'!I2234</f>
        <v>9</v>
      </c>
    </row>
    <row r="97" customFormat="false" ht="15" hidden="false" customHeight="false" outlineLevel="0" collapsed="false">
      <c r="A97" s="14" t="n">
        <f aca="false">'Risk Score'!A1416</f>
        <v>803</v>
      </c>
      <c r="B97" s="14" t="n">
        <f aca="false">'Risk Score'!B1416</f>
        <v>78</v>
      </c>
      <c r="C97" s="14" t="str">
        <f aca="false">'Risk Score'!C1416</f>
        <v>Female</v>
      </c>
      <c r="D97" s="14" t="str">
        <f aca="false">'Risk Score'!D1416</f>
        <v>Current</v>
      </c>
      <c r="E97" s="14" t="str">
        <f aca="false">'Risk Score'!E1416</f>
        <v>High</v>
      </c>
      <c r="F97" s="14" t="n">
        <f aca="false">'Risk Score'!F1416</f>
        <v>229.5</v>
      </c>
      <c r="G97" s="14" t="str">
        <f aca="false">'Risk Score'!G1416</f>
        <v>No</v>
      </c>
      <c r="H97" s="14" t="str">
        <f aca="false">'Risk Score'!H1416</f>
        <v>High</v>
      </c>
      <c r="I97" s="15" t="n">
        <f aca="false">'Risk Score'!I1416</f>
        <v>9</v>
      </c>
    </row>
    <row r="98" customFormat="false" ht="15" hidden="false" customHeight="false" outlineLevel="0" collapsed="false">
      <c r="A98" s="14" t="n">
        <f aca="false">'Risk Score'!A1415</f>
        <v>782</v>
      </c>
      <c r="B98" s="14" t="n">
        <f aca="false">'Risk Score'!B1415</f>
        <v>83</v>
      </c>
      <c r="C98" s="14" t="str">
        <f aca="false">'Risk Score'!C1415</f>
        <v>Female</v>
      </c>
      <c r="D98" s="14" t="str">
        <f aca="false">'Risk Score'!D1415</f>
        <v>Current</v>
      </c>
      <c r="E98" s="14" t="str">
        <f aca="false">'Risk Score'!E1415</f>
        <v>High</v>
      </c>
      <c r="F98" s="14" t="n">
        <f aca="false">'Risk Score'!F1415</f>
        <v>208.1</v>
      </c>
      <c r="G98" s="14" t="str">
        <f aca="false">'Risk Score'!G1415</f>
        <v>No</v>
      </c>
      <c r="H98" s="14" t="str">
        <f aca="false">'Risk Score'!H1415</f>
        <v>High</v>
      </c>
      <c r="I98" s="15" t="n">
        <f aca="false">'Risk Score'!I1415</f>
        <v>9</v>
      </c>
    </row>
    <row r="99" customFormat="false" ht="15" hidden="false" customHeight="false" outlineLevel="0" collapsed="false">
      <c r="A99" s="14" t="n">
        <f aca="false">'Risk Score'!A1425</f>
        <v>1283</v>
      </c>
      <c r="B99" s="14" t="n">
        <f aca="false">'Risk Score'!B1425</f>
        <v>61</v>
      </c>
      <c r="C99" s="14" t="str">
        <f aca="false">'Risk Score'!C1425</f>
        <v>Male</v>
      </c>
      <c r="D99" s="14" t="str">
        <f aca="false">'Risk Score'!D1425</f>
        <v>Former</v>
      </c>
      <c r="E99" s="14" t="str">
        <f aca="false">'Risk Score'!E1425</f>
        <v>High</v>
      </c>
      <c r="F99" s="14" t="n">
        <f aca="false">'Risk Score'!F1425</f>
        <v>228.1</v>
      </c>
      <c r="G99" s="14" t="str">
        <f aca="false">'Risk Score'!G1425</f>
        <v>Yes</v>
      </c>
      <c r="H99" s="14" t="str">
        <f aca="false">'Risk Score'!H1425</f>
        <v>High</v>
      </c>
      <c r="I99" s="15" t="n">
        <f aca="false">'Risk Score'!I1425</f>
        <v>9</v>
      </c>
    </row>
    <row r="100" customFormat="false" ht="15" hidden="false" customHeight="false" outlineLevel="0" collapsed="false">
      <c r="A100" s="14" t="n">
        <f aca="false">'Risk Score'!A1426</f>
        <v>1446</v>
      </c>
      <c r="B100" s="14" t="n">
        <f aca="false">'Risk Score'!B1426</f>
        <v>80</v>
      </c>
      <c r="C100" s="14" t="str">
        <f aca="false">'Risk Score'!C1426</f>
        <v>Female</v>
      </c>
      <c r="D100" s="14" t="str">
        <f aca="false">'Risk Score'!D1426</f>
        <v>Current</v>
      </c>
      <c r="E100" s="14" t="str">
        <f aca="false">'Risk Score'!E1426</f>
        <v>High</v>
      </c>
      <c r="F100" s="14" t="n">
        <f aca="false">'Risk Score'!F1426</f>
        <v>209.4</v>
      </c>
      <c r="G100" s="14" t="str">
        <f aca="false">'Risk Score'!G1426</f>
        <v>No</v>
      </c>
      <c r="H100" s="14" t="str">
        <f aca="false">'Risk Score'!H1426</f>
        <v>High</v>
      </c>
      <c r="I100" s="15" t="n">
        <f aca="false">'Risk Score'!I1426</f>
        <v>9</v>
      </c>
    </row>
    <row r="101" customFormat="false" ht="15" hidden="false" customHeight="false" outlineLevel="0" collapsed="false">
      <c r="A101" s="14" t="n">
        <f aca="false">'Risk Score'!A653</f>
        <v>739</v>
      </c>
      <c r="B101" s="14" t="n">
        <f aca="false">'Risk Score'!B653</f>
        <v>52</v>
      </c>
      <c r="C101" s="14" t="str">
        <f aca="false">'Risk Score'!C653</f>
        <v>Female</v>
      </c>
      <c r="D101" s="14" t="str">
        <f aca="false">'Risk Score'!D653</f>
        <v>Never</v>
      </c>
      <c r="E101" s="14" t="str">
        <f aca="false">'Risk Score'!E653</f>
        <v>High</v>
      </c>
      <c r="F101" s="14" t="n">
        <f aca="false">'Risk Score'!F653</f>
        <v>290.2</v>
      </c>
      <c r="G101" s="14" t="str">
        <f aca="false">'Risk Score'!G653</f>
        <v>Yes</v>
      </c>
      <c r="H101" s="14" t="str">
        <f aca="false">'Risk Score'!H653</f>
        <v>High</v>
      </c>
      <c r="I101" s="15" t="n">
        <f aca="false">'Risk Score'!I653</f>
        <v>9</v>
      </c>
    </row>
    <row r="102" customFormat="false" ht="15" hidden="false" customHeight="false" outlineLevel="0" collapsed="false">
      <c r="A102" s="14" t="n">
        <f aca="false">'Risk Score'!A659</f>
        <v>1252</v>
      </c>
      <c r="B102" s="14" t="n">
        <f aca="false">'Risk Score'!B659</f>
        <v>47</v>
      </c>
      <c r="C102" s="14" t="str">
        <f aca="false">'Risk Score'!C659</f>
        <v>Male</v>
      </c>
      <c r="D102" s="14" t="str">
        <f aca="false">'Risk Score'!D659</f>
        <v>Never</v>
      </c>
      <c r="E102" s="14" t="str">
        <f aca="false">'Risk Score'!E659</f>
        <v>High</v>
      </c>
      <c r="F102" s="14" t="n">
        <f aca="false">'Risk Score'!F659</f>
        <v>260.9</v>
      </c>
      <c r="G102" s="14" t="str">
        <f aca="false">'Risk Score'!G659</f>
        <v>Yes</v>
      </c>
      <c r="H102" s="14" t="str">
        <f aca="false">'Risk Score'!H659</f>
        <v>High</v>
      </c>
      <c r="I102" s="15" t="n">
        <f aca="false">'Risk Score'!I659</f>
        <v>9</v>
      </c>
    </row>
    <row r="103" customFormat="false" ht="15" hidden="false" customHeight="false" outlineLevel="0" collapsed="false">
      <c r="A103" s="14" t="n">
        <f aca="false">'Risk Score'!A675</f>
        <v>1977</v>
      </c>
      <c r="B103" s="14" t="n">
        <f aca="false">'Risk Score'!B675</f>
        <v>72</v>
      </c>
      <c r="C103" s="14" t="str">
        <f aca="false">'Risk Score'!C675</f>
        <v>Female</v>
      </c>
      <c r="D103" s="14" t="str">
        <f aca="false">'Risk Score'!D675</f>
        <v>Never</v>
      </c>
      <c r="E103" s="14" t="str">
        <f aca="false">'Risk Score'!E675</f>
        <v>High</v>
      </c>
      <c r="F103" s="14" t="n">
        <f aca="false">'Risk Score'!F675</f>
        <v>286.8</v>
      </c>
      <c r="G103" s="14" t="str">
        <f aca="false">'Risk Score'!G675</f>
        <v>Yes</v>
      </c>
      <c r="H103" s="14" t="str">
        <f aca="false">'Risk Score'!H675</f>
        <v>High</v>
      </c>
      <c r="I103" s="15" t="n">
        <f aca="false">'Risk Score'!I675</f>
        <v>9</v>
      </c>
    </row>
    <row r="104" customFormat="false" ht="15" hidden="false" customHeight="false" outlineLevel="0" collapsed="false">
      <c r="A104" s="14" t="n">
        <f aca="false">'Risk Score'!A661</f>
        <v>1345</v>
      </c>
      <c r="B104" s="14" t="n">
        <f aca="false">'Risk Score'!B661</f>
        <v>79</v>
      </c>
      <c r="C104" s="14" t="str">
        <f aca="false">'Risk Score'!C661</f>
        <v>Male</v>
      </c>
      <c r="D104" s="14" t="str">
        <f aca="false">'Risk Score'!D661</f>
        <v>Never</v>
      </c>
      <c r="E104" s="14" t="str">
        <f aca="false">'Risk Score'!E661</f>
        <v>High</v>
      </c>
      <c r="F104" s="14" t="n">
        <f aca="false">'Risk Score'!F661</f>
        <v>255.9</v>
      </c>
      <c r="G104" s="14" t="str">
        <f aca="false">'Risk Score'!G661</f>
        <v>Yes</v>
      </c>
      <c r="H104" s="14" t="str">
        <f aca="false">'Risk Score'!H661</f>
        <v>High</v>
      </c>
      <c r="I104" s="15" t="n">
        <f aca="false">'Risk Score'!I661</f>
        <v>9</v>
      </c>
    </row>
    <row r="105" customFormat="false" ht="15" hidden="false" customHeight="false" outlineLevel="0" collapsed="false">
      <c r="A105" s="14" t="n">
        <f aca="false">'Risk Score'!A1556</f>
        <v>2237</v>
      </c>
      <c r="B105" s="14" t="n">
        <f aca="false">'Risk Score'!B1556</f>
        <v>70</v>
      </c>
      <c r="C105" s="14" t="str">
        <f aca="false">'Risk Score'!C1556</f>
        <v>Male</v>
      </c>
      <c r="D105" s="14" t="str">
        <f aca="false">'Risk Score'!D1556</f>
        <v>Current</v>
      </c>
      <c r="E105" s="14" t="str">
        <f aca="false">'Risk Score'!E1556</f>
        <v>High</v>
      </c>
      <c r="F105" s="14" t="n">
        <f aca="false">'Risk Score'!F1556</f>
        <v>158.4</v>
      </c>
      <c r="G105" s="14" t="str">
        <f aca="false">'Risk Score'!G1556</f>
        <v>Yes</v>
      </c>
      <c r="H105" s="14" t="str">
        <f aca="false">'Risk Score'!H1556</f>
        <v>Moderate</v>
      </c>
      <c r="I105" s="15" t="n">
        <f aca="false">'Risk Score'!I1556</f>
        <v>9</v>
      </c>
    </row>
    <row r="106" customFormat="false" ht="15" hidden="false" customHeight="false" outlineLevel="0" collapsed="false">
      <c r="A106" s="14" t="n">
        <f aca="false">'Risk Score'!A1567</f>
        <v>2476</v>
      </c>
      <c r="B106" s="14" t="n">
        <f aca="false">'Risk Score'!B1567</f>
        <v>89</v>
      </c>
      <c r="C106" s="14" t="str">
        <f aca="false">'Risk Score'!C1567</f>
        <v>Female</v>
      </c>
      <c r="D106" s="14" t="str">
        <f aca="false">'Risk Score'!D1567</f>
        <v>Former</v>
      </c>
      <c r="E106" s="14" t="str">
        <f aca="false">'Risk Score'!E1567</f>
        <v>High</v>
      </c>
      <c r="F106" s="14" t="n">
        <f aca="false">'Risk Score'!F1567</f>
        <v>272</v>
      </c>
      <c r="G106" s="14" t="str">
        <f aca="false">'Risk Score'!G1567</f>
        <v>Yes</v>
      </c>
      <c r="H106" s="14" t="str">
        <f aca="false">'Risk Score'!H1567</f>
        <v>Moderate</v>
      </c>
      <c r="I106" s="15" t="n">
        <f aca="false">'Risk Score'!I1567</f>
        <v>9</v>
      </c>
    </row>
    <row r="107" customFormat="false" ht="15" hidden="false" customHeight="false" outlineLevel="0" collapsed="false">
      <c r="A107" s="14" t="n">
        <f aca="false">'Risk Score'!A1183</f>
        <v>1422</v>
      </c>
      <c r="B107" s="14" t="n">
        <f aca="false">'Risk Score'!B1183</f>
        <v>85</v>
      </c>
      <c r="C107" s="14" t="str">
        <f aca="false">'Risk Score'!C1183</f>
        <v>Male</v>
      </c>
      <c r="D107" s="14" t="str">
        <f aca="false">'Risk Score'!D1183</f>
        <v>Current</v>
      </c>
      <c r="E107" s="14" t="str">
        <f aca="false">'Risk Score'!E1183</f>
        <v>Low</v>
      </c>
      <c r="F107" s="14" t="n">
        <f aca="false">'Risk Score'!F1183</f>
        <v>292.6</v>
      </c>
      <c r="G107" s="14" t="str">
        <f aca="false">'Risk Score'!G1183</f>
        <v>Yes</v>
      </c>
      <c r="H107" s="14" t="str">
        <f aca="false">'Risk Score'!H1183</f>
        <v>High</v>
      </c>
      <c r="I107" s="15" t="n">
        <f aca="false">'Risk Score'!I1183</f>
        <v>9</v>
      </c>
    </row>
    <row r="108" customFormat="false" ht="15" hidden="false" customHeight="false" outlineLevel="0" collapsed="false">
      <c r="A108" s="14" t="n">
        <f aca="false">'Risk Score'!A1417</f>
        <v>816</v>
      </c>
      <c r="B108" s="14" t="n">
        <f aca="false">'Risk Score'!B1417</f>
        <v>39</v>
      </c>
      <c r="C108" s="14" t="str">
        <f aca="false">'Risk Score'!C1417</f>
        <v>Female</v>
      </c>
      <c r="D108" s="14" t="str">
        <f aca="false">'Risk Score'!D1417</f>
        <v>Current</v>
      </c>
      <c r="E108" s="14" t="str">
        <f aca="false">'Risk Score'!E1417</f>
        <v>High</v>
      </c>
      <c r="F108" s="14" t="n">
        <f aca="false">'Risk Score'!F1417</f>
        <v>227.1</v>
      </c>
      <c r="G108" s="14" t="str">
        <f aca="false">'Risk Score'!G1417</f>
        <v>No</v>
      </c>
      <c r="H108" s="14" t="str">
        <f aca="false">'Risk Score'!H1417</f>
        <v>High</v>
      </c>
      <c r="I108" s="15" t="n">
        <f aca="false">'Risk Score'!I1417</f>
        <v>9</v>
      </c>
    </row>
    <row r="109" customFormat="false" ht="15" hidden="false" customHeight="false" outlineLevel="0" collapsed="false">
      <c r="A109" s="14" t="n">
        <f aca="false">'Risk Score'!A1478</f>
        <v>677</v>
      </c>
      <c r="B109" s="14" t="n">
        <f aca="false">'Risk Score'!B1478</f>
        <v>27</v>
      </c>
      <c r="C109" s="14" t="str">
        <f aca="false">'Risk Score'!C1478</f>
        <v>Male</v>
      </c>
      <c r="D109" s="14" t="str">
        <f aca="false">'Risk Score'!D1478</f>
        <v>Current</v>
      </c>
      <c r="E109" s="14" t="str">
        <f aca="false">'Risk Score'!E1478</f>
        <v>High</v>
      </c>
      <c r="F109" s="14" t="n">
        <f aca="false">'Risk Score'!F1478</f>
        <v>193.4</v>
      </c>
      <c r="G109" s="14" t="str">
        <f aca="false">'Risk Score'!G1478</f>
        <v>Yes</v>
      </c>
      <c r="H109" s="14" t="str">
        <f aca="false">'Risk Score'!H1478</f>
        <v>Moderate</v>
      </c>
      <c r="I109" s="15" t="n">
        <f aca="false">'Risk Score'!I1478</f>
        <v>9</v>
      </c>
    </row>
    <row r="110" customFormat="false" ht="15" hidden="false" customHeight="false" outlineLevel="0" collapsed="false">
      <c r="A110" s="14" t="n">
        <f aca="false">'Risk Score'!A667</f>
        <v>1681</v>
      </c>
      <c r="B110" s="14" t="n">
        <f aca="false">'Risk Score'!B667</f>
        <v>35</v>
      </c>
      <c r="C110" s="14" t="str">
        <f aca="false">'Risk Score'!C667</f>
        <v>Female</v>
      </c>
      <c r="D110" s="14" t="str">
        <f aca="false">'Risk Score'!D667</f>
        <v>Never</v>
      </c>
      <c r="E110" s="14" t="str">
        <f aca="false">'Risk Score'!E667</f>
        <v>High</v>
      </c>
      <c r="F110" s="14" t="n">
        <f aca="false">'Risk Score'!F667</f>
        <v>225.1</v>
      </c>
      <c r="G110" s="14" t="str">
        <f aca="false">'Risk Score'!G667</f>
        <v>Yes</v>
      </c>
      <c r="H110" s="14" t="str">
        <f aca="false">'Risk Score'!H667</f>
        <v>High</v>
      </c>
      <c r="I110" s="15" t="n">
        <f aca="false">'Risk Score'!I667</f>
        <v>8</v>
      </c>
    </row>
    <row r="111" customFormat="false" ht="15" hidden="false" customHeight="false" outlineLevel="0" collapsed="false">
      <c r="A111" s="14" t="n">
        <f aca="false">'Risk Score'!A645</f>
        <v>208</v>
      </c>
      <c r="B111" s="14" t="n">
        <f aca="false">'Risk Score'!B645</f>
        <v>80</v>
      </c>
      <c r="C111" s="14" t="str">
        <f aca="false">'Risk Score'!C645</f>
        <v>Male</v>
      </c>
      <c r="D111" s="14" t="str">
        <f aca="false">'Risk Score'!D645</f>
        <v>Never</v>
      </c>
      <c r="E111" s="14" t="str">
        <f aca="false">'Risk Score'!E645</f>
        <v>High</v>
      </c>
      <c r="F111" s="14" t="n">
        <f aca="false">'Risk Score'!F645</f>
        <v>213.5</v>
      </c>
      <c r="G111" s="14" t="str">
        <f aca="false">'Risk Score'!G645</f>
        <v>Yes</v>
      </c>
      <c r="H111" s="14" t="str">
        <f aca="false">'Risk Score'!H645</f>
        <v>High</v>
      </c>
      <c r="I111" s="15" t="n">
        <f aca="false">'Risk Score'!I645</f>
        <v>8</v>
      </c>
    </row>
    <row r="112" customFormat="false" ht="15" hidden="false" customHeight="false" outlineLevel="0" collapsed="false">
      <c r="A112" s="14" t="n">
        <f aca="false">'Risk Score'!A650</f>
        <v>350</v>
      </c>
      <c r="B112" s="14" t="n">
        <f aca="false">'Risk Score'!B650</f>
        <v>57</v>
      </c>
      <c r="C112" s="14" t="str">
        <f aca="false">'Risk Score'!C650</f>
        <v>Female</v>
      </c>
      <c r="D112" s="14" t="str">
        <f aca="false">'Risk Score'!D650</f>
        <v>Never</v>
      </c>
      <c r="E112" s="14" t="str">
        <f aca="false">'Risk Score'!E650</f>
        <v>High</v>
      </c>
      <c r="F112" s="14" t="n">
        <f aca="false">'Risk Score'!F650</f>
        <v>238.6</v>
      </c>
      <c r="G112" s="14" t="str">
        <f aca="false">'Risk Score'!G650</f>
        <v>Yes</v>
      </c>
      <c r="H112" s="14" t="str">
        <f aca="false">'Risk Score'!H650</f>
        <v>High</v>
      </c>
      <c r="I112" s="15" t="n">
        <f aca="false">'Risk Score'!I650</f>
        <v>8</v>
      </c>
    </row>
    <row r="113" customFormat="false" ht="15" hidden="false" customHeight="false" outlineLevel="0" collapsed="false">
      <c r="A113" s="14" t="n">
        <f aca="false">'Risk Score'!A1439</f>
        <v>2075</v>
      </c>
      <c r="B113" s="14" t="n">
        <f aca="false">'Risk Score'!B1439</f>
        <v>42</v>
      </c>
      <c r="C113" s="14" t="str">
        <f aca="false">'Risk Score'!C1439</f>
        <v>Male</v>
      </c>
      <c r="D113" s="14" t="str">
        <f aca="false">'Risk Score'!D1439</f>
        <v>Current</v>
      </c>
      <c r="E113" s="14" t="str">
        <f aca="false">'Risk Score'!E1439</f>
        <v>High</v>
      </c>
      <c r="F113" s="14" t="n">
        <f aca="false">'Risk Score'!F1439</f>
        <v>123.6</v>
      </c>
      <c r="G113" s="14" t="str">
        <f aca="false">'Risk Score'!G1439</f>
        <v>No</v>
      </c>
      <c r="H113" s="14" t="str">
        <f aca="false">'Risk Score'!H1439</f>
        <v>High</v>
      </c>
      <c r="I113" s="15" t="n">
        <f aca="false">'Risk Score'!I1439</f>
        <v>8</v>
      </c>
    </row>
    <row r="114" customFormat="false" ht="15" hidden="false" customHeight="false" outlineLevel="0" collapsed="false">
      <c r="A114" s="14" t="n">
        <f aca="false">'Risk Score'!A1431</f>
        <v>1666</v>
      </c>
      <c r="B114" s="14" t="n">
        <f aca="false">'Risk Score'!B1431</f>
        <v>80</v>
      </c>
      <c r="C114" s="14" t="str">
        <f aca="false">'Risk Score'!C1431</f>
        <v>Female</v>
      </c>
      <c r="D114" s="14" t="str">
        <f aca="false">'Risk Score'!D1431</f>
        <v>Former</v>
      </c>
      <c r="E114" s="14" t="str">
        <f aca="false">'Risk Score'!E1431</f>
        <v>High</v>
      </c>
      <c r="F114" s="14" t="n">
        <f aca="false">'Risk Score'!F1431</f>
        <v>274.8</v>
      </c>
      <c r="G114" s="14" t="str">
        <f aca="false">'Risk Score'!G1431</f>
        <v>No</v>
      </c>
      <c r="H114" s="14" t="str">
        <f aca="false">'Risk Score'!H1431</f>
        <v>High</v>
      </c>
      <c r="I114" s="15" t="n">
        <f aca="false">'Risk Score'!I1431</f>
        <v>8</v>
      </c>
    </row>
    <row r="115" customFormat="false" ht="15" hidden="false" customHeight="false" outlineLevel="0" collapsed="false">
      <c r="A115" s="14" t="n">
        <f aca="false">'Risk Score'!A1193</f>
        <v>1766</v>
      </c>
      <c r="B115" s="14" t="n">
        <f aca="false">'Risk Score'!B1193</f>
        <v>54</v>
      </c>
      <c r="C115" s="14" t="str">
        <f aca="false">'Risk Score'!C1193</f>
        <v>Male</v>
      </c>
      <c r="D115" s="14" t="str">
        <f aca="false">'Risk Score'!D1193</f>
        <v>Current</v>
      </c>
      <c r="E115" s="14" t="str">
        <f aca="false">'Risk Score'!E1193</f>
        <v>Low</v>
      </c>
      <c r="F115" s="14" t="n">
        <f aca="false">'Risk Score'!F1193</f>
        <v>274.3</v>
      </c>
      <c r="G115" s="14" t="str">
        <f aca="false">'Risk Score'!G1193</f>
        <v>Yes</v>
      </c>
      <c r="H115" s="14" t="str">
        <f aca="false">'Risk Score'!H1193</f>
        <v>Moderate</v>
      </c>
      <c r="I115" s="15" t="n">
        <f aca="false">'Risk Score'!I1193</f>
        <v>8</v>
      </c>
    </row>
    <row r="116" customFormat="false" ht="15" hidden="false" customHeight="false" outlineLevel="0" collapsed="false">
      <c r="A116" s="14" t="n">
        <f aca="false">'Risk Score'!A1185</f>
        <v>1503</v>
      </c>
      <c r="B116" s="14" t="n">
        <f aca="false">'Risk Score'!B1185</f>
        <v>40</v>
      </c>
      <c r="C116" s="14" t="str">
        <f aca="false">'Risk Score'!C1185</f>
        <v>Male</v>
      </c>
      <c r="D116" s="14" t="str">
        <f aca="false">'Risk Score'!D1185</f>
        <v>Current</v>
      </c>
      <c r="E116" s="14" t="str">
        <f aca="false">'Risk Score'!E1185</f>
        <v>Low</v>
      </c>
      <c r="F116" s="14" t="n">
        <f aca="false">'Risk Score'!F1185</f>
        <v>286.4</v>
      </c>
      <c r="G116" s="14" t="str">
        <f aca="false">'Risk Score'!G1185</f>
        <v>Yes</v>
      </c>
      <c r="H116" s="14" t="str">
        <f aca="false">'Risk Score'!H1185</f>
        <v>Moderate</v>
      </c>
      <c r="I116" s="15" t="n">
        <f aca="false">'Risk Score'!I1185</f>
        <v>8</v>
      </c>
    </row>
    <row r="117" customFormat="false" ht="15" hidden="false" customHeight="false" outlineLevel="0" collapsed="false">
      <c r="A117" s="14" t="n">
        <f aca="false">'Risk Score'!A1165</f>
        <v>765</v>
      </c>
      <c r="B117" s="14" t="n">
        <f aca="false">'Risk Score'!B1165</f>
        <v>70</v>
      </c>
      <c r="C117" s="14" t="str">
        <f aca="false">'Risk Score'!C1165</f>
        <v>Male</v>
      </c>
      <c r="D117" s="14" t="str">
        <f aca="false">'Risk Score'!D1165</f>
        <v>Current</v>
      </c>
      <c r="E117" s="14" t="str">
        <f aca="false">'Risk Score'!E1165</f>
        <v>Low</v>
      </c>
      <c r="F117" s="14" t="n">
        <f aca="false">'Risk Score'!F1165</f>
        <v>234.9</v>
      </c>
      <c r="G117" s="14" t="str">
        <f aca="false">'Risk Score'!G1165</f>
        <v>Yes</v>
      </c>
      <c r="H117" s="14" t="str">
        <f aca="false">'Risk Score'!H1165</f>
        <v>High</v>
      </c>
      <c r="I117" s="15" t="n">
        <f aca="false">'Risk Score'!I1165</f>
        <v>8</v>
      </c>
    </row>
    <row r="118" customFormat="false" ht="15" hidden="false" customHeight="false" outlineLevel="0" collapsed="false">
      <c r="A118" s="14" t="n">
        <f aca="false">'Risk Score'!A1171</f>
        <v>1102</v>
      </c>
      <c r="B118" s="14" t="n">
        <f aca="false">'Risk Score'!B1171</f>
        <v>27</v>
      </c>
      <c r="C118" s="14" t="str">
        <f aca="false">'Risk Score'!C1171</f>
        <v>Male</v>
      </c>
      <c r="D118" s="14" t="str">
        <f aca="false">'Risk Score'!D1171</f>
        <v>Current</v>
      </c>
      <c r="E118" s="14" t="str">
        <f aca="false">'Risk Score'!E1171</f>
        <v>Low</v>
      </c>
      <c r="F118" s="14" t="n">
        <f aca="false">'Risk Score'!F1171</f>
        <v>281.2</v>
      </c>
      <c r="G118" s="14" t="str">
        <f aca="false">'Risk Score'!G1171</f>
        <v>Yes</v>
      </c>
      <c r="H118" s="14" t="str">
        <f aca="false">'Risk Score'!H1171</f>
        <v>Moderate</v>
      </c>
      <c r="I118" s="15" t="n">
        <f aca="false">'Risk Score'!I1171</f>
        <v>8</v>
      </c>
    </row>
    <row r="119" customFormat="false" ht="15" hidden="false" customHeight="false" outlineLevel="0" collapsed="false">
      <c r="A119" s="14" t="n">
        <f aca="false">'Risk Score'!A1408</f>
        <v>462</v>
      </c>
      <c r="B119" s="14" t="n">
        <f aca="false">'Risk Score'!B1408</f>
        <v>68</v>
      </c>
      <c r="C119" s="14" t="str">
        <f aca="false">'Risk Score'!C1408</f>
        <v>Female</v>
      </c>
      <c r="D119" s="14" t="str">
        <f aca="false">'Risk Score'!D1408</f>
        <v>Current</v>
      </c>
      <c r="E119" s="14" t="str">
        <f aca="false">'Risk Score'!E1408</f>
        <v>High</v>
      </c>
      <c r="F119" s="14" t="n">
        <f aca="false">'Risk Score'!F1408</f>
        <v>174.4</v>
      </c>
      <c r="G119" s="14" t="str">
        <f aca="false">'Risk Score'!G1408</f>
        <v>No</v>
      </c>
      <c r="H119" s="14" t="str">
        <f aca="false">'Risk Score'!H1408</f>
        <v>High</v>
      </c>
      <c r="I119" s="15" t="n">
        <f aca="false">'Risk Score'!I1408</f>
        <v>8</v>
      </c>
    </row>
    <row r="120" customFormat="false" ht="15" hidden="false" customHeight="false" outlineLevel="0" collapsed="false">
      <c r="A120" s="14" t="n">
        <f aca="false">'Risk Score'!A1407</f>
        <v>406</v>
      </c>
      <c r="B120" s="14" t="n">
        <f aca="false">'Risk Score'!B1407</f>
        <v>28</v>
      </c>
      <c r="C120" s="14" t="str">
        <f aca="false">'Risk Score'!C1407</f>
        <v>Male</v>
      </c>
      <c r="D120" s="14" t="str">
        <f aca="false">'Risk Score'!D1407</f>
        <v>Current</v>
      </c>
      <c r="E120" s="14" t="str">
        <f aca="false">'Risk Score'!E1407</f>
        <v>High</v>
      </c>
      <c r="F120" s="14" t="n">
        <f aca="false">'Risk Score'!F1407</f>
        <v>127.2</v>
      </c>
      <c r="G120" s="14" t="str">
        <f aca="false">'Risk Score'!G1407</f>
        <v>No</v>
      </c>
      <c r="H120" s="14" t="str">
        <f aca="false">'Risk Score'!H1407</f>
        <v>High</v>
      </c>
      <c r="I120" s="15" t="n">
        <f aca="false">'Risk Score'!I1407</f>
        <v>8</v>
      </c>
    </row>
    <row r="121" customFormat="false" ht="15" hidden="false" customHeight="false" outlineLevel="0" collapsed="false">
      <c r="A121" s="14" t="n">
        <f aca="false">'Risk Score'!A1402</f>
        <v>225</v>
      </c>
      <c r="B121" s="14" t="n">
        <f aca="false">'Risk Score'!B1402</f>
        <v>76</v>
      </c>
      <c r="C121" s="14" t="str">
        <f aca="false">'Risk Score'!C1402</f>
        <v>Female</v>
      </c>
      <c r="D121" s="14" t="str">
        <f aca="false">'Risk Score'!D1402</f>
        <v>Former</v>
      </c>
      <c r="E121" s="14" t="str">
        <f aca="false">'Risk Score'!E1402</f>
        <v>High</v>
      </c>
      <c r="F121" s="14" t="n">
        <f aca="false">'Risk Score'!F1402</f>
        <v>240.2</v>
      </c>
      <c r="G121" s="14" t="str">
        <f aca="false">'Risk Score'!G1402</f>
        <v>No</v>
      </c>
      <c r="H121" s="14" t="str">
        <f aca="false">'Risk Score'!H1402</f>
        <v>High</v>
      </c>
      <c r="I121" s="15" t="n">
        <f aca="false">'Risk Score'!I1402</f>
        <v>8</v>
      </c>
    </row>
    <row r="122" customFormat="false" ht="15" hidden="false" customHeight="false" outlineLevel="0" collapsed="false">
      <c r="A122" s="14" t="n">
        <f aca="false">'Risk Score'!A1414</f>
        <v>753</v>
      </c>
      <c r="B122" s="14" t="n">
        <f aca="false">'Risk Score'!B1414</f>
        <v>80</v>
      </c>
      <c r="C122" s="14" t="str">
        <f aca="false">'Risk Score'!C1414</f>
        <v>Female</v>
      </c>
      <c r="D122" s="14" t="str">
        <f aca="false">'Risk Score'!D1414</f>
        <v>Former</v>
      </c>
      <c r="E122" s="14" t="str">
        <f aca="false">'Risk Score'!E1414</f>
        <v>High</v>
      </c>
      <c r="F122" s="14" t="n">
        <f aca="false">'Risk Score'!F1414</f>
        <v>134.1</v>
      </c>
      <c r="G122" s="14" t="str">
        <f aca="false">'Risk Score'!G1414</f>
        <v>Yes</v>
      </c>
      <c r="H122" s="14" t="str">
        <f aca="false">'Risk Score'!H1414</f>
        <v>High</v>
      </c>
      <c r="I122" s="15" t="n">
        <f aca="false">'Risk Score'!I1414</f>
        <v>8</v>
      </c>
    </row>
    <row r="123" customFormat="false" ht="15" hidden="false" customHeight="false" outlineLevel="0" collapsed="false">
      <c r="A123" s="14" t="n">
        <f aca="false">'Risk Score'!A1661</f>
        <v>147</v>
      </c>
      <c r="B123" s="14" t="n">
        <f aca="false">'Risk Score'!B1661</f>
        <v>63</v>
      </c>
      <c r="C123" s="14" t="str">
        <f aca="false">'Risk Score'!C1661</f>
        <v>Female</v>
      </c>
      <c r="D123" s="14" t="str">
        <f aca="false">'Risk Score'!D1661</f>
        <v>Current</v>
      </c>
      <c r="E123" s="14" t="str">
        <f aca="false">'Risk Score'!E1661</f>
        <v>High</v>
      </c>
      <c r="F123" s="14" t="n">
        <f aca="false">'Risk Score'!F1661</f>
        <v>240.1</v>
      </c>
      <c r="G123" s="14" t="str">
        <f aca="false">'Risk Score'!G1661</f>
        <v>No</v>
      </c>
      <c r="H123" s="14" t="str">
        <f aca="false">'Risk Score'!H1661</f>
        <v>Low</v>
      </c>
      <c r="I123" s="15" t="n">
        <f aca="false">'Risk Score'!I1661</f>
        <v>8</v>
      </c>
    </row>
    <row r="124" customFormat="false" ht="15" hidden="false" customHeight="false" outlineLevel="0" collapsed="false">
      <c r="A124" s="14" t="n">
        <f aca="false">'Risk Score'!A1659</f>
        <v>98</v>
      </c>
      <c r="B124" s="14" t="n">
        <f aca="false">'Risk Score'!B1659</f>
        <v>50</v>
      </c>
      <c r="C124" s="14" t="str">
        <f aca="false">'Risk Score'!C1659</f>
        <v>Female</v>
      </c>
      <c r="D124" s="14" t="str">
        <f aca="false">'Risk Score'!D1659</f>
        <v>Current</v>
      </c>
      <c r="E124" s="14" t="str">
        <f aca="false">'Risk Score'!E1659</f>
        <v>High</v>
      </c>
      <c r="F124" s="14" t="n">
        <f aca="false">'Risk Score'!F1659</f>
        <v>272.4</v>
      </c>
      <c r="G124" s="14" t="str">
        <f aca="false">'Risk Score'!G1659</f>
        <v>No</v>
      </c>
      <c r="H124" s="14" t="str">
        <f aca="false">'Risk Score'!H1659</f>
        <v>Low</v>
      </c>
      <c r="I124" s="15" t="n">
        <f aca="false">'Risk Score'!I1659</f>
        <v>8</v>
      </c>
    </row>
    <row r="125" customFormat="false" ht="15" hidden="false" customHeight="false" outlineLevel="0" collapsed="false">
      <c r="A125" s="14" t="n">
        <f aca="false">'Risk Score'!A1657</f>
        <v>32</v>
      </c>
      <c r="B125" s="14" t="n">
        <f aca="false">'Risk Score'!B1657</f>
        <v>79</v>
      </c>
      <c r="C125" s="14" t="str">
        <f aca="false">'Risk Score'!C1657</f>
        <v>Male</v>
      </c>
      <c r="D125" s="14" t="str">
        <f aca="false">'Risk Score'!D1657</f>
        <v>Current</v>
      </c>
      <c r="E125" s="14" t="str">
        <f aca="false">'Risk Score'!E1657</f>
        <v>High</v>
      </c>
      <c r="F125" s="14" t="n">
        <f aca="false">'Risk Score'!F1657</f>
        <v>199.6</v>
      </c>
      <c r="G125" s="14" t="str">
        <f aca="false">'Risk Score'!G1657</f>
        <v>Yes</v>
      </c>
      <c r="H125" s="14" t="str">
        <f aca="false">'Risk Score'!H1657</f>
        <v>Low</v>
      </c>
      <c r="I125" s="15" t="n">
        <f aca="false">'Risk Score'!I1657</f>
        <v>8</v>
      </c>
    </row>
    <row r="126" customFormat="false" ht="15" hidden="false" customHeight="false" outlineLevel="0" collapsed="false">
      <c r="A126" s="14" t="n">
        <f aca="false">'Risk Score'!A1655</f>
        <v>8</v>
      </c>
      <c r="B126" s="14" t="n">
        <f aca="false">'Risk Score'!B1655</f>
        <v>50</v>
      </c>
      <c r="C126" s="14" t="str">
        <f aca="false">'Risk Score'!C1655</f>
        <v>Male</v>
      </c>
      <c r="D126" s="14" t="str">
        <f aca="false">'Risk Score'!D1655</f>
        <v>Current</v>
      </c>
      <c r="E126" s="14" t="str">
        <f aca="false">'Risk Score'!E1655</f>
        <v>High</v>
      </c>
      <c r="F126" s="14" t="n">
        <f aca="false">'Risk Score'!F1655</f>
        <v>273</v>
      </c>
      <c r="G126" s="14" t="str">
        <f aca="false">'Risk Score'!G1655</f>
        <v>No</v>
      </c>
      <c r="H126" s="14" t="str">
        <f aca="false">'Risk Score'!H1655</f>
        <v>Low</v>
      </c>
      <c r="I126" s="15" t="n">
        <f aca="false">'Risk Score'!I1655</f>
        <v>8</v>
      </c>
    </row>
    <row r="127" customFormat="false" ht="15" hidden="false" customHeight="false" outlineLevel="0" collapsed="false">
      <c r="A127" s="14" t="n">
        <f aca="false">'Risk Score'!A1618</f>
        <v>1294</v>
      </c>
      <c r="B127" s="14" t="n">
        <f aca="false">'Risk Score'!B1618</f>
        <v>61</v>
      </c>
      <c r="C127" s="14" t="str">
        <f aca="false">'Risk Score'!C1618</f>
        <v>Female</v>
      </c>
      <c r="D127" s="14" t="str">
        <f aca="false">'Risk Score'!D1618</f>
        <v>Former</v>
      </c>
      <c r="E127" s="14" t="str">
        <f aca="false">'Risk Score'!E1618</f>
        <v>High</v>
      </c>
      <c r="F127" s="14" t="n">
        <f aca="false">'Risk Score'!F1618</f>
        <v>242.7</v>
      </c>
      <c r="G127" s="14" t="str">
        <f aca="false">'Risk Score'!G1618</f>
        <v>Yes</v>
      </c>
      <c r="H127" s="14" t="str">
        <f aca="false">'Risk Score'!H1618</f>
        <v>Low</v>
      </c>
      <c r="I127" s="15" t="n">
        <f aca="false">'Risk Score'!I1618</f>
        <v>8</v>
      </c>
    </row>
    <row r="128" customFormat="false" ht="15" hidden="false" customHeight="false" outlineLevel="0" collapsed="false">
      <c r="A128" s="14" t="n">
        <f aca="false">'Risk Score'!A1631</f>
        <v>1826</v>
      </c>
      <c r="B128" s="14" t="n">
        <f aca="false">'Risk Score'!B1631</f>
        <v>38</v>
      </c>
      <c r="C128" s="14" t="str">
        <f aca="false">'Risk Score'!C1631</f>
        <v>Female</v>
      </c>
      <c r="D128" s="14" t="str">
        <f aca="false">'Risk Score'!D1631</f>
        <v>Former</v>
      </c>
      <c r="E128" s="14" t="str">
        <f aca="false">'Risk Score'!E1631</f>
        <v>High</v>
      </c>
      <c r="F128" s="14" t="n">
        <f aca="false">'Risk Score'!F1631</f>
        <v>261.2</v>
      </c>
      <c r="G128" s="14" t="str">
        <f aca="false">'Risk Score'!G1631</f>
        <v>Yes</v>
      </c>
      <c r="H128" s="14" t="str">
        <f aca="false">'Risk Score'!H1631</f>
        <v>Low</v>
      </c>
      <c r="I128" s="15" t="n">
        <f aca="false">'Risk Score'!I1631</f>
        <v>8</v>
      </c>
    </row>
    <row r="129" customFormat="false" ht="15" hidden="false" customHeight="false" outlineLevel="0" collapsed="false">
      <c r="A129" s="14" t="n">
        <f aca="false">'Risk Score'!A1597</f>
        <v>870</v>
      </c>
      <c r="B129" s="14" t="n">
        <f aca="false">'Risk Score'!B1597</f>
        <v>27</v>
      </c>
      <c r="C129" s="14" t="str">
        <f aca="false">'Risk Score'!C1597</f>
        <v>Male</v>
      </c>
      <c r="D129" s="14" t="str">
        <f aca="false">'Risk Score'!D1597</f>
        <v>Former</v>
      </c>
      <c r="E129" s="14" t="str">
        <f aca="false">'Risk Score'!E1597</f>
        <v>High</v>
      </c>
      <c r="F129" s="14" t="n">
        <f aca="false">'Risk Score'!F1597</f>
        <v>290.5</v>
      </c>
      <c r="G129" s="14" t="str">
        <f aca="false">'Risk Score'!G1597</f>
        <v>Yes</v>
      </c>
      <c r="H129" s="14" t="str">
        <f aca="false">'Risk Score'!H1597</f>
        <v>Low</v>
      </c>
      <c r="I129" s="15" t="n">
        <f aca="false">'Risk Score'!I1597</f>
        <v>8</v>
      </c>
    </row>
    <row r="130" customFormat="false" ht="15" hidden="false" customHeight="false" outlineLevel="0" collapsed="false">
      <c r="A130" s="14" t="n">
        <f aca="false">'Risk Score'!A1596</f>
        <v>864</v>
      </c>
      <c r="B130" s="14" t="n">
        <f aca="false">'Risk Score'!B1596</f>
        <v>73</v>
      </c>
      <c r="C130" s="14" t="str">
        <f aca="false">'Risk Score'!C1596</f>
        <v>Male</v>
      </c>
      <c r="D130" s="14" t="str">
        <f aca="false">'Risk Score'!D1596</f>
        <v>Former</v>
      </c>
      <c r="E130" s="14" t="str">
        <f aca="false">'Risk Score'!E1596</f>
        <v>High</v>
      </c>
      <c r="F130" s="14" t="n">
        <f aca="false">'Risk Score'!F1596</f>
        <v>298.8</v>
      </c>
      <c r="G130" s="14" t="str">
        <f aca="false">'Risk Score'!G1596</f>
        <v>Yes</v>
      </c>
      <c r="H130" s="14" t="str">
        <f aca="false">'Risk Score'!H1596</f>
        <v>Low</v>
      </c>
      <c r="I130" s="15" t="n">
        <f aca="false">'Risk Score'!I1596</f>
        <v>8</v>
      </c>
    </row>
    <row r="131" customFormat="false" ht="15" hidden="false" customHeight="false" outlineLevel="0" collapsed="false">
      <c r="A131" s="14" t="n">
        <f aca="false">'Risk Score'!A1586</f>
        <v>700</v>
      </c>
      <c r="B131" s="14" t="n">
        <f aca="false">'Risk Score'!B1586</f>
        <v>73</v>
      </c>
      <c r="C131" s="14" t="str">
        <f aca="false">'Risk Score'!C1586</f>
        <v>Male</v>
      </c>
      <c r="D131" s="14" t="str">
        <f aca="false">'Risk Score'!D1586</f>
        <v>Former</v>
      </c>
      <c r="E131" s="14" t="str">
        <f aca="false">'Risk Score'!E1586</f>
        <v>High</v>
      </c>
      <c r="F131" s="14" t="n">
        <f aca="false">'Risk Score'!F1586</f>
        <v>258.8</v>
      </c>
      <c r="G131" s="14" t="str">
        <f aca="false">'Risk Score'!G1586</f>
        <v>Yes</v>
      </c>
      <c r="H131" s="14" t="str">
        <f aca="false">'Risk Score'!H1586</f>
        <v>Low</v>
      </c>
      <c r="I131" s="15" t="n">
        <f aca="false">'Risk Score'!I1586</f>
        <v>8</v>
      </c>
    </row>
    <row r="132" customFormat="false" ht="15" hidden="false" customHeight="false" outlineLevel="0" collapsed="false">
      <c r="A132" s="14" t="n">
        <f aca="false">'Risk Score'!A1587</f>
        <v>712</v>
      </c>
      <c r="B132" s="14" t="n">
        <f aca="false">'Risk Score'!B1587</f>
        <v>28</v>
      </c>
      <c r="C132" s="14" t="str">
        <f aca="false">'Risk Score'!C1587</f>
        <v>Male</v>
      </c>
      <c r="D132" s="14" t="str">
        <f aca="false">'Risk Score'!D1587</f>
        <v>Former</v>
      </c>
      <c r="E132" s="14" t="str">
        <f aca="false">'Risk Score'!E1587</f>
        <v>High</v>
      </c>
      <c r="F132" s="14" t="n">
        <f aca="false">'Risk Score'!F1587</f>
        <v>244.1</v>
      </c>
      <c r="G132" s="14" t="str">
        <f aca="false">'Risk Score'!G1587</f>
        <v>Yes</v>
      </c>
      <c r="H132" s="14" t="str">
        <f aca="false">'Risk Score'!H1587</f>
        <v>Low</v>
      </c>
      <c r="I132" s="15" t="n">
        <f aca="false">'Risk Score'!I1587</f>
        <v>8</v>
      </c>
    </row>
    <row r="133" customFormat="false" ht="15" hidden="false" customHeight="false" outlineLevel="0" collapsed="false">
      <c r="A133" s="14" t="n">
        <f aca="false">'Risk Score'!A1585</f>
        <v>692</v>
      </c>
      <c r="B133" s="14" t="n">
        <f aca="false">'Risk Score'!B1585</f>
        <v>46</v>
      </c>
      <c r="C133" s="14" t="str">
        <f aca="false">'Risk Score'!C1585</f>
        <v>Female</v>
      </c>
      <c r="D133" s="14" t="str">
        <f aca="false">'Risk Score'!D1585</f>
        <v>Former</v>
      </c>
      <c r="E133" s="14" t="str">
        <f aca="false">'Risk Score'!E1585</f>
        <v>High</v>
      </c>
      <c r="F133" s="14" t="n">
        <f aca="false">'Risk Score'!F1585</f>
        <v>265.2</v>
      </c>
      <c r="G133" s="14" t="str">
        <f aca="false">'Risk Score'!G1585</f>
        <v>Yes</v>
      </c>
      <c r="H133" s="14" t="str">
        <f aca="false">'Risk Score'!H1585</f>
        <v>Low</v>
      </c>
      <c r="I133" s="15" t="n">
        <f aca="false">'Risk Score'!I1585</f>
        <v>8</v>
      </c>
    </row>
    <row r="134" customFormat="false" ht="15" hidden="false" customHeight="false" outlineLevel="0" collapsed="false">
      <c r="A134" s="14" t="n">
        <f aca="false">'Risk Score'!A1547</f>
        <v>2130</v>
      </c>
      <c r="B134" s="14" t="n">
        <f aca="false">'Risk Score'!B1547</f>
        <v>22</v>
      </c>
      <c r="C134" s="14" t="str">
        <f aca="false">'Risk Score'!C1547</f>
        <v>Female</v>
      </c>
      <c r="D134" s="14" t="str">
        <f aca="false">'Risk Score'!D1547</f>
        <v>Current</v>
      </c>
      <c r="E134" s="14" t="str">
        <f aca="false">'Risk Score'!E1547</f>
        <v>High</v>
      </c>
      <c r="F134" s="14" t="n">
        <f aca="false">'Risk Score'!F1547</f>
        <v>229.9</v>
      </c>
      <c r="G134" s="14" t="str">
        <f aca="false">'Risk Score'!G1547</f>
        <v>No</v>
      </c>
      <c r="H134" s="14" t="str">
        <f aca="false">'Risk Score'!H1547</f>
        <v>Moderate</v>
      </c>
      <c r="I134" s="15" t="n">
        <f aca="false">'Risk Score'!I1547</f>
        <v>8</v>
      </c>
    </row>
    <row r="135" customFormat="false" ht="15" hidden="false" customHeight="false" outlineLevel="0" collapsed="false">
      <c r="A135" s="14" t="n">
        <f aca="false">'Risk Score'!A1533</f>
        <v>1792</v>
      </c>
      <c r="B135" s="14" t="n">
        <f aca="false">'Risk Score'!B1533</f>
        <v>28</v>
      </c>
      <c r="C135" s="14" t="str">
        <f aca="false">'Risk Score'!C1533</f>
        <v>Female</v>
      </c>
      <c r="D135" s="14" t="str">
        <f aca="false">'Risk Score'!D1533</f>
        <v>Former</v>
      </c>
      <c r="E135" s="14" t="str">
        <f aca="false">'Risk Score'!E1533</f>
        <v>High</v>
      </c>
      <c r="F135" s="14" t="n">
        <f aca="false">'Risk Score'!F1533</f>
        <v>232.6</v>
      </c>
      <c r="G135" s="14" t="str">
        <f aca="false">'Risk Score'!G1533</f>
        <v>Yes</v>
      </c>
      <c r="H135" s="14" t="str">
        <f aca="false">'Risk Score'!H1533</f>
        <v>Moderate</v>
      </c>
      <c r="I135" s="15" t="n">
        <f aca="false">'Risk Score'!I1533</f>
        <v>8</v>
      </c>
    </row>
    <row r="136" customFormat="false" ht="15" hidden="false" customHeight="false" outlineLevel="0" collapsed="false">
      <c r="A136" s="14" t="n">
        <f aca="false">'Risk Score'!A1514</f>
        <v>1315</v>
      </c>
      <c r="B136" s="14" t="n">
        <f aca="false">'Risk Score'!B1514</f>
        <v>88</v>
      </c>
      <c r="C136" s="14" t="str">
        <f aca="false">'Risk Score'!C1514</f>
        <v>Female</v>
      </c>
      <c r="D136" s="14" t="str">
        <f aca="false">'Risk Score'!D1514</f>
        <v>Current</v>
      </c>
      <c r="E136" s="14" t="str">
        <f aca="false">'Risk Score'!E1514</f>
        <v>High</v>
      </c>
      <c r="F136" s="14" t="n">
        <f aca="false">'Risk Score'!F1514</f>
        <v>229.9</v>
      </c>
      <c r="G136" s="14" t="str">
        <f aca="false">'Risk Score'!G1514</f>
        <v>No</v>
      </c>
      <c r="H136" s="14" t="str">
        <f aca="false">'Risk Score'!H1514</f>
        <v>Moderate</v>
      </c>
      <c r="I136" s="15" t="n">
        <f aca="false">'Risk Score'!I1514</f>
        <v>8</v>
      </c>
    </row>
    <row r="137" customFormat="false" ht="15" hidden="false" customHeight="false" outlineLevel="0" collapsed="false">
      <c r="A137" s="14" t="n">
        <f aca="false">'Risk Score'!A1517</f>
        <v>1399</v>
      </c>
      <c r="B137" s="14" t="n">
        <f aca="false">'Risk Score'!B1517</f>
        <v>78</v>
      </c>
      <c r="C137" s="14" t="str">
        <f aca="false">'Risk Score'!C1517</f>
        <v>Male</v>
      </c>
      <c r="D137" s="14" t="str">
        <f aca="false">'Risk Score'!D1517</f>
        <v>Current</v>
      </c>
      <c r="E137" s="14" t="str">
        <f aca="false">'Risk Score'!E1517</f>
        <v>High</v>
      </c>
      <c r="F137" s="14" t="n">
        <f aca="false">'Risk Score'!F1517</f>
        <v>219.1</v>
      </c>
      <c r="G137" s="14" t="str">
        <f aca="false">'Risk Score'!G1517</f>
        <v>No</v>
      </c>
      <c r="H137" s="14" t="str">
        <f aca="false">'Risk Score'!H1517</f>
        <v>Moderate</v>
      </c>
      <c r="I137" s="15" t="n">
        <f aca="false">'Risk Score'!I1517</f>
        <v>8</v>
      </c>
    </row>
    <row r="138" customFormat="false" ht="15" hidden="false" customHeight="false" outlineLevel="0" collapsed="false">
      <c r="A138" s="14" t="n">
        <f aca="false">'Risk Score'!A1497</f>
        <v>990</v>
      </c>
      <c r="B138" s="14" t="n">
        <f aca="false">'Risk Score'!B1497</f>
        <v>88</v>
      </c>
      <c r="C138" s="14" t="str">
        <f aca="false">'Risk Score'!C1497</f>
        <v>Male</v>
      </c>
      <c r="D138" s="14" t="str">
        <f aca="false">'Risk Score'!D1497</f>
        <v>Former</v>
      </c>
      <c r="E138" s="14" t="str">
        <f aca="false">'Risk Score'!E1497</f>
        <v>High</v>
      </c>
      <c r="F138" s="14" t="n">
        <f aca="false">'Risk Score'!F1497</f>
        <v>206.6</v>
      </c>
      <c r="G138" s="14" t="str">
        <f aca="false">'Risk Score'!G1497</f>
        <v>Yes</v>
      </c>
      <c r="H138" s="14" t="str">
        <f aca="false">'Risk Score'!H1497</f>
        <v>Moderate</v>
      </c>
      <c r="I138" s="15" t="n">
        <f aca="false">'Risk Score'!I1497</f>
        <v>8</v>
      </c>
    </row>
    <row r="139" customFormat="false" ht="15" hidden="false" customHeight="false" outlineLevel="0" collapsed="false">
      <c r="A139" s="14" t="n">
        <f aca="false">'Risk Score'!A1471</f>
        <v>435</v>
      </c>
      <c r="B139" s="14" t="n">
        <f aca="false">'Risk Score'!B1471</f>
        <v>85</v>
      </c>
      <c r="C139" s="14" t="str">
        <f aca="false">'Risk Score'!C1471</f>
        <v>Male</v>
      </c>
      <c r="D139" s="14" t="str">
        <f aca="false">'Risk Score'!D1471</f>
        <v>Current</v>
      </c>
      <c r="E139" s="14" t="str">
        <f aca="false">'Risk Score'!E1471</f>
        <v>High</v>
      </c>
      <c r="F139" s="14" t="n">
        <f aca="false">'Risk Score'!F1471</f>
        <v>233.7</v>
      </c>
      <c r="G139" s="14" t="str">
        <f aca="false">'Risk Score'!G1471</f>
        <v>No</v>
      </c>
      <c r="H139" s="14" t="str">
        <f aca="false">'Risk Score'!H1471</f>
        <v>Moderate</v>
      </c>
      <c r="I139" s="15" t="n">
        <f aca="false">'Risk Score'!I1471</f>
        <v>8</v>
      </c>
    </row>
    <row r="140" customFormat="false" ht="15" hidden="false" customHeight="false" outlineLevel="0" collapsed="false">
      <c r="A140" s="14" t="n">
        <f aca="false">'Risk Score'!A1452</f>
        <v>58</v>
      </c>
      <c r="B140" s="14" t="n">
        <f aca="false">'Risk Score'!B1452</f>
        <v>34</v>
      </c>
      <c r="C140" s="14" t="str">
        <f aca="false">'Risk Score'!C1452</f>
        <v>Female</v>
      </c>
      <c r="D140" s="14" t="str">
        <f aca="false">'Risk Score'!D1452</f>
        <v>Current</v>
      </c>
      <c r="E140" s="14" t="str">
        <f aca="false">'Risk Score'!E1452</f>
        <v>High</v>
      </c>
      <c r="F140" s="14" t="n">
        <f aca="false">'Risk Score'!F1452</f>
        <v>208.7</v>
      </c>
      <c r="G140" s="14" t="str">
        <f aca="false">'Risk Score'!G1452</f>
        <v>No</v>
      </c>
      <c r="H140" s="14" t="str">
        <f aca="false">'Risk Score'!H1452</f>
        <v>Moderate</v>
      </c>
      <c r="I140" s="15" t="n">
        <f aca="false">'Risk Score'!I1452</f>
        <v>8</v>
      </c>
    </row>
    <row r="141" customFormat="false" ht="15" hidden="false" customHeight="false" outlineLevel="0" collapsed="false">
      <c r="A141" s="14" t="n">
        <f aca="false">'Risk Score'!A1442</f>
        <v>2158</v>
      </c>
      <c r="B141" s="14" t="n">
        <f aca="false">'Risk Score'!B1442</f>
        <v>66</v>
      </c>
      <c r="C141" s="14" t="str">
        <f aca="false">'Risk Score'!C1442</f>
        <v>Female</v>
      </c>
      <c r="D141" s="14" t="str">
        <f aca="false">'Risk Score'!D1442</f>
        <v>Former</v>
      </c>
      <c r="E141" s="14" t="str">
        <f aca="false">'Risk Score'!E1442</f>
        <v>High</v>
      </c>
      <c r="F141" s="14" t="n">
        <f aca="false">'Risk Score'!F1442</f>
        <v>295.7</v>
      </c>
      <c r="G141" s="14" t="str">
        <f aca="false">'Risk Score'!G1442</f>
        <v>No</v>
      </c>
      <c r="H141" s="14" t="str">
        <f aca="false">'Risk Score'!H1442</f>
        <v>High</v>
      </c>
      <c r="I141" s="15" t="n">
        <f aca="false">'Risk Score'!I1442</f>
        <v>8</v>
      </c>
    </row>
    <row r="142" customFormat="false" ht="15" hidden="false" customHeight="false" outlineLevel="0" collapsed="false">
      <c r="A142" s="14" t="n">
        <f aca="false">'Risk Score'!A1450</f>
        <v>2478</v>
      </c>
      <c r="B142" s="14" t="n">
        <f aca="false">'Risk Score'!B1450</f>
        <v>59</v>
      </c>
      <c r="C142" s="14" t="str">
        <f aca="false">'Risk Score'!C1450</f>
        <v>Female</v>
      </c>
      <c r="D142" s="14" t="str">
        <f aca="false">'Risk Score'!D1450</f>
        <v>Former</v>
      </c>
      <c r="E142" s="14" t="str">
        <f aca="false">'Risk Score'!E1450</f>
        <v>High</v>
      </c>
      <c r="F142" s="14" t="n">
        <f aca="false">'Risk Score'!F1450</f>
        <v>297</v>
      </c>
      <c r="G142" s="14" t="str">
        <f aca="false">'Risk Score'!G1450</f>
        <v>No</v>
      </c>
      <c r="H142" s="14" t="str">
        <f aca="false">'Risk Score'!H1450</f>
        <v>High</v>
      </c>
      <c r="I142" s="15" t="n">
        <f aca="false">'Risk Score'!I1450</f>
        <v>8</v>
      </c>
    </row>
    <row r="143" customFormat="false" ht="15" hidden="false" customHeight="false" outlineLevel="0" collapsed="false">
      <c r="A143" s="14" t="n">
        <f aca="false">'Risk Score'!A1490</f>
        <v>833</v>
      </c>
      <c r="B143" s="14" t="n">
        <f aca="false">'Risk Score'!B1490</f>
        <v>28</v>
      </c>
      <c r="C143" s="14" t="str">
        <f aca="false">'Risk Score'!C1490</f>
        <v>Male</v>
      </c>
      <c r="D143" s="14" t="str">
        <f aca="false">'Risk Score'!D1490</f>
        <v>Current</v>
      </c>
      <c r="E143" s="14" t="str">
        <f aca="false">'Risk Score'!E1490</f>
        <v>High</v>
      </c>
      <c r="F143" s="14" t="n">
        <f aca="false">'Risk Score'!F1490</f>
        <v>200.5</v>
      </c>
      <c r="G143" s="14" t="str">
        <f aca="false">'Risk Score'!G1490</f>
        <v>No</v>
      </c>
      <c r="H143" s="14" t="str">
        <f aca="false">'Risk Score'!H1490</f>
        <v>Moderate</v>
      </c>
      <c r="I143" s="15" t="n">
        <f aca="false">'Risk Score'!I1490</f>
        <v>8</v>
      </c>
    </row>
    <row r="144" customFormat="false" ht="15" hidden="false" customHeight="false" outlineLevel="0" collapsed="false">
      <c r="A144" s="14" t="n">
        <f aca="false">'Risk Score'!A1485</f>
        <v>759</v>
      </c>
      <c r="B144" s="14" t="n">
        <f aca="false">'Risk Score'!B1485</f>
        <v>20</v>
      </c>
      <c r="C144" s="14" t="str">
        <f aca="false">'Risk Score'!C1485</f>
        <v>Male</v>
      </c>
      <c r="D144" s="14" t="str">
        <f aca="false">'Risk Score'!D1485</f>
        <v>Former</v>
      </c>
      <c r="E144" s="14" t="str">
        <f aca="false">'Risk Score'!E1485</f>
        <v>High</v>
      </c>
      <c r="F144" s="14" t="n">
        <f aca="false">'Risk Score'!F1485</f>
        <v>215.5</v>
      </c>
      <c r="G144" s="14" t="str">
        <f aca="false">'Risk Score'!G1485</f>
        <v>Yes</v>
      </c>
      <c r="H144" s="14" t="str">
        <f aca="false">'Risk Score'!H1485</f>
        <v>Moderate</v>
      </c>
      <c r="I144" s="15" t="n">
        <f aca="false">'Risk Score'!I1485</f>
        <v>8</v>
      </c>
    </row>
    <row r="145" customFormat="false" ht="15" hidden="false" customHeight="false" outlineLevel="0" collapsed="false">
      <c r="A145" s="14" t="n">
        <f aca="false">'Risk Score'!A1496</f>
        <v>979</v>
      </c>
      <c r="B145" s="14" t="n">
        <f aca="false">'Risk Score'!B1496</f>
        <v>89</v>
      </c>
      <c r="C145" s="14" t="str">
        <f aca="false">'Risk Score'!C1496</f>
        <v>Female</v>
      </c>
      <c r="D145" s="14" t="str">
        <f aca="false">'Risk Score'!D1496</f>
        <v>Current</v>
      </c>
      <c r="E145" s="14" t="str">
        <f aca="false">'Risk Score'!E1496</f>
        <v>High</v>
      </c>
      <c r="F145" s="14" t="n">
        <f aca="false">'Risk Score'!F1496</f>
        <v>238.7</v>
      </c>
      <c r="G145" s="14" t="str">
        <f aca="false">'Risk Score'!G1496</f>
        <v>No</v>
      </c>
      <c r="H145" s="14" t="str">
        <f aca="false">'Risk Score'!H1496</f>
        <v>Moderate</v>
      </c>
      <c r="I145" s="15" t="n">
        <f aca="false">'Risk Score'!I1496</f>
        <v>8</v>
      </c>
    </row>
    <row r="146" customFormat="false" ht="15" hidden="false" customHeight="false" outlineLevel="0" collapsed="false">
      <c r="A146" s="14" t="n">
        <f aca="false">'Risk Score'!A1440</f>
        <v>2093</v>
      </c>
      <c r="B146" s="14" t="n">
        <f aca="false">'Risk Score'!B1440</f>
        <v>71</v>
      </c>
      <c r="C146" s="14" t="str">
        <f aca="false">'Risk Score'!C1440</f>
        <v>Female</v>
      </c>
      <c r="D146" s="14" t="str">
        <f aca="false">'Risk Score'!D1440</f>
        <v>Former</v>
      </c>
      <c r="E146" s="14" t="str">
        <f aca="false">'Risk Score'!E1440</f>
        <v>High</v>
      </c>
      <c r="F146" s="14" t="n">
        <f aca="false">'Risk Score'!F1440</f>
        <v>292.7</v>
      </c>
      <c r="G146" s="14" t="str">
        <f aca="false">'Risk Score'!G1440</f>
        <v>No</v>
      </c>
      <c r="H146" s="14" t="str">
        <f aca="false">'Risk Score'!H1440</f>
        <v>High</v>
      </c>
      <c r="I146" s="15" t="n">
        <f aca="false">'Risk Score'!I1440</f>
        <v>8</v>
      </c>
    </row>
    <row r="147" customFormat="false" ht="15" hidden="false" customHeight="false" outlineLevel="0" collapsed="false">
      <c r="A147" s="14" t="n">
        <f aca="false">'Risk Score'!A1164</f>
        <v>654</v>
      </c>
      <c r="B147" s="14" t="n">
        <f aca="false">'Risk Score'!B1164</f>
        <v>85</v>
      </c>
      <c r="C147" s="14" t="str">
        <f aca="false">'Risk Score'!C1164</f>
        <v>Male</v>
      </c>
      <c r="D147" s="14" t="str">
        <f aca="false">'Risk Score'!D1164</f>
        <v>Current</v>
      </c>
      <c r="E147" s="14" t="str">
        <f aca="false">'Risk Score'!E1164</f>
        <v>Low</v>
      </c>
      <c r="F147" s="14" t="n">
        <f aca="false">'Risk Score'!F1164</f>
        <v>299.7</v>
      </c>
      <c r="G147" s="14" t="str">
        <f aca="false">'Risk Score'!G1164</f>
        <v>Yes</v>
      </c>
      <c r="H147" s="14" t="str">
        <f aca="false">'Risk Score'!H1164</f>
        <v>Moderate</v>
      </c>
      <c r="I147" s="15" t="n">
        <f aca="false">'Risk Score'!I1164</f>
        <v>8</v>
      </c>
    </row>
    <row r="148" customFormat="false" ht="15" hidden="false" customHeight="false" outlineLevel="0" collapsed="false">
      <c r="A148" s="14" t="n">
        <f aca="false">'Risk Score'!A1163</f>
        <v>621</v>
      </c>
      <c r="B148" s="14" t="n">
        <f aca="false">'Risk Score'!B1163</f>
        <v>23</v>
      </c>
      <c r="C148" s="14" t="str">
        <f aca="false">'Risk Score'!C1163</f>
        <v>Male</v>
      </c>
      <c r="D148" s="14" t="str">
        <f aca="false">'Risk Score'!D1163</f>
        <v>Current</v>
      </c>
      <c r="E148" s="14" t="str">
        <f aca="false">'Risk Score'!E1163</f>
        <v>Low</v>
      </c>
      <c r="F148" s="14" t="n">
        <f aca="false">'Risk Score'!F1163</f>
        <v>300</v>
      </c>
      <c r="G148" s="14" t="str">
        <f aca="false">'Risk Score'!G1163</f>
        <v>Yes</v>
      </c>
      <c r="H148" s="14" t="str">
        <f aca="false">'Risk Score'!H1163</f>
        <v>Moderate</v>
      </c>
      <c r="I148" s="15" t="n">
        <f aca="false">'Risk Score'!I1163</f>
        <v>8</v>
      </c>
    </row>
    <row r="149" customFormat="false" ht="15" hidden="false" customHeight="false" outlineLevel="0" collapsed="false">
      <c r="A149" s="14" t="n">
        <f aca="false">'Risk Score'!A1423</f>
        <v>1238</v>
      </c>
      <c r="B149" s="14" t="n">
        <f aca="false">'Risk Score'!B1423</f>
        <v>83</v>
      </c>
      <c r="C149" s="14" t="str">
        <f aca="false">'Risk Score'!C1423</f>
        <v>Female</v>
      </c>
      <c r="D149" s="14" t="str">
        <f aca="false">'Risk Score'!D1423</f>
        <v>Former</v>
      </c>
      <c r="E149" s="14" t="str">
        <f aca="false">'Risk Score'!E1423</f>
        <v>High</v>
      </c>
      <c r="F149" s="14" t="n">
        <f aca="false">'Risk Score'!F1423</f>
        <v>242.7</v>
      </c>
      <c r="G149" s="14" t="str">
        <f aca="false">'Risk Score'!G1423</f>
        <v>No</v>
      </c>
      <c r="H149" s="14" t="str">
        <f aca="false">'Risk Score'!H1423</f>
        <v>High</v>
      </c>
      <c r="I149" s="15" t="n">
        <f aca="false">'Risk Score'!I1423</f>
        <v>8</v>
      </c>
    </row>
    <row r="150" customFormat="false" ht="15" hidden="false" customHeight="false" outlineLevel="0" collapsed="false">
      <c r="A150" s="14" t="n">
        <f aca="false">'Risk Score'!A1428</f>
        <v>1458</v>
      </c>
      <c r="B150" s="14" t="n">
        <f aca="false">'Risk Score'!B1428</f>
        <v>73</v>
      </c>
      <c r="C150" s="14" t="str">
        <f aca="false">'Risk Score'!C1428</f>
        <v>Female</v>
      </c>
      <c r="D150" s="14" t="str">
        <f aca="false">'Risk Score'!D1428</f>
        <v>Former</v>
      </c>
      <c r="E150" s="14" t="str">
        <f aca="false">'Risk Score'!E1428</f>
        <v>High</v>
      </c>
      <c r="F150" s="14" t="n">
        <f aca="false">'Risk Score'!F1428</f>
        <v>194.1</v>
      </c>
      <c r="G150" s="14" t="str">
        <f aca="false">'Risk Score'!G1428</f>
        <v>Yes</v>
      </c>
      <c r="H150" s="14" t="str">
        <f aca="false">'Risk Score'!H1428</f>
        <v>High</v>
      </c>
      <c r="I150" s="15" t="n">
        <f aca="false">'Risk Score'!I1428</f>
        <v>8</v>
      </c>
    </row>
    <row r="151" customFormat="false" ht="15" hidden="false" customHeight="false" outlineLevel="0" collapsed="false">
      <c r="A151" s="14" t="n">
        <f aca="false">'Risk Score'!A1433</f>
        <v>1777</v>
      </c>
      <c r="B151" s="14" t="n">
        <f aca="false">'Risk Score'!B1433</f>
        <v>69</v>
      </c>
      <c r="C151" s="14" t="str">
        <f aca="false">'Risk Score'!C1433</f>
        <v>Female</v>
      </c>
      <c r="D151" s="14" t="str">
        <f aca="false">'Risk Score'!D1433</f>
        <v>Former</v>
      </c>
      <c r="E151" s="14" t="str">
        <f aca="false">'Risk Score'!E1433</f>
        <v>High</v>
      </c>
      <c r="F151" s="14" t="n">
        <f aca="false">'Risk Score'!F1433</f>
        <v>183.8</v>
      </c>
      <c r="G151" s="14" t="str">
        <f aca="false">'Risk Score'!G1433</f>
        <v>Yes</v>
      </c>
      <c r="H151" s="14" t="str">
        <f aca="false">'Risk Score'!H1433</f>
        <v>High</v>
      </c>
      <c r="I151" s="15" t="n">
        <f aca="false">'Risk Score'!I1433</f>
        <v>8</v>
      </c>
    </row>
    <row r="152" customFormat="false" ht="15" hidden="false" customHeight="false" outlineLevel="0" collapsed="false">
      <c r="A152" s="14" t="n">
        <f aca="false">'Risk Score'!A1432</f>
        <v>1691</v>
      </c>
      <c r="B152" s="14" t="n">
        <f aca="false">'Risk Score'!B1432</f>
        <v>86</v>
      </c>
      <c r="C152" s="14" t="str">
        <f aca="false">'Risk Score'!C1432</f>
        <v>Female</v>
      </c>
      <c r="D152" s="14" t="str">
        <f aca="false">'Risk Score'!D1432</f>
        <v>Current</v>
      </c>
      <c r="E152" s="14" t="str">
        <f aca="false">'Risk Score'!E1432</f>
        <v>High</v>
      </c>
      <c r="F152" s="14" t="n">
        <f aca="false">'Risk Score'!F1432</f>
        <v>181.4</v>
      </c>
      <c r="G152" s="14" t="str">
        <f aca="false">'Risk Score'!G1432</f>
        <v>No</v>
      </c>
      <c r="H152" s="14" t="str">
        <f aca="false">'Risk Score'!H1432</f>
        <v>High</v>
      </c>
      <c r="I152" s="15" t="n">
        <f aca="false">'Risk Score'!I1432</f>
        <v>8</v>
      </c>
    </row>
    <row r="153" customFormat="false" ht="15" hidden="false" customHeight="false" outlineLevel="0" collapsed="false">
      <c r="A153" s="14" t="n">
        <f aca="false">'Risk Score'!A643</f>
        <v>81</v>
      </c>
      <c r="B153" s="14" t="n">
        <f aca="false">'Risk Score'!B643</f>
        <v>26</v>
      </c>
      <c r="C153" s="14" t="str">
        <f aca="false">'Risk Score'!C643</f>
        <v>Female</v>
      </c>
      <c r="D153" s="14" t="str">
        <f aca="false">'Risk Score'!D643</f>
        <v>Never</v>
      </c>
      <c r="E153" s="14" t="str">
        <f aca="false">'Risk Score'!E643</f>
        <v>High</v>
      </c>
      <c r="F153" s="14" t="n">
        <f aca="false">'Risk Score'!F643</f>
        <v>201.2</v>
      </c>
      <c r="G153" s="14" t="str">
        <f aca="false">'Risk Score'!G643</f>
        <v>Yes</v>
      </c>
      <c r="H153" s="14" t="str">
        <f aca="false">'Risk Score'!H643</f>
        <v>High</v>
      </c>
      <c r="I153" s="15" t="n">
        <f aca="false">'Risk Score'!I643</f>
        <v>8</v>
      </c>
    </row>
    <row r="154" customFormat="false" ht="15" hidden="false" customHeight="false" outlineLevel="0" collapsed="false">
      <c r="A154" s="14" t="n">
        <f aca="false">'Risk Score'!A642</f>
        <v>61</v>
      </c>
      <c r="B154" s="14" t="n">
        <f aca="false">'Risk Score'!B642</f>
        <v>51</v>
      </c>
      <c r="C154" s="14" t="str">
        <f aca="false">'Risk Score'!C642</f>
        <v>Male</v>
      </c>
      <c r="D154" s="14" t="str">
        <f aca="false">'Risk Score'!D642</f>
        <v>Never</v>
      </c>
      <c r="E154" s="14" t="str">
        <f aca="false">'Risk Score'!E642</f>
        <v>High</v>
      </c>
      <c r="F154" s="14" t="n">
        <f aca="false">'Risk Score'!F642</f>
        <v>233</v>
      </c>
      <c r="G154" s="14" t="str">
        <f aca="false">'Risk Score'!G642</f>
        <v>Yes</v>
      </c>
      <c r="H154" s="14" t="str">
        <f aca="false">'Risk Score'!H642</f>
        <v>High</v>
      </c>
      <c r="I154" s="15" t="n">
        <f aca="false">'Risk Score'!I642</f>
        <v>8</v>
      </c>
    </row>
    <row r="155" customFormat="false" ht="15" hidden="false" customHeight="false" outlineLevel="0" collapsed="false">
      <c r="A155" s="14" t="n">
        <f aca="false">'Risk Score'!A1160</f>
        <v>480</v>
      </c>
      <c r="B155" s="14" t="n">
        <f aca="false">'Risk Score'!B1160</f>
        <v>73</v>
      </c>
      <c r="C155" s="14" t="str">
        <f aca="false">'Risk Score'!C1160</f>
        <v>Female</v>
      </c>
      <c r="D155" s="14" t="str">
        <f aca="false">'Risk Score'!D1160</f>
        <v>Current</v>
      </c>
      <c r="E155" s="14" t="str">
        <f aca="false">'Risk Score'!E1160</f>
        <v>Low</v>
      </c>
      <c r="F155" s="14" t="n">
        <f aca="false">'Risk Score'!F1160</f>
        <v>283.7</v>
      </c>
      <c r="G155" s="14" t="str">
        <f aca="false">'Risk Score'!G1160</f>
        <v>Yes</v>
      </c>
      <c r="H155" s="14" t="str">
        <f aca="false">'Risk Score'!H1160</f>
        <v>Moderate</v>
      </c>
      <c r="I155" s="15" t="n">
        <f aca="false">'Risk Score'!I1160</f>
        <v>8</v>
      </c>
    </row>
    <row r="156" customFormat="false" ht="15" hidden="false" customHeight="false" outlineLevel="0" collapsed="false">
      <c r="A156" s="14" t="n">
        <f aca="false">'Risk Score'!A1154</f>
        <v>359</v>
      </c>
      <c r="B156" s="14" t="n">
        <f aca="false">'Risk Score'!B1154</f>
        <v>80</v>
      </c>
      <c r="C156" s="14" t="str">
        <f aca="false">'Risk Score'!C1154</f>
        <v>Female</v>
      </c>
      <c r="D156" s="14" t="str">
        <f aca="false">'Risk Score'!D1154</f>
        <v>Current</v>
      </c>
      <c r="E156" s="14" t="str">
        <f aca="false">'Risk Score'!E1154</f>
        <v>Low</v>
      </c>
      <c r="F156" s="14" t="n">
        <f aca="false">'Risk Score'!F1154</f>
        <v>263.9</v>
      </c>
      <c r="G156" s="14" t="str">
        <f aca="false">'Risk Score'!G1154</f>
        <v>Yes</v>
      </c>
      <c r="H156" s="14" t="str">
        <f aca="false">'Risk Score'!H1154</f>
        <v>Moderate</v>
      </c>
      <c r="I156" s="15" t="n">
        <f aca="false">'Risk Score'!I1154</f>
        <v>8</v>
      </c>
    </row>
    <row r="157" customFormat="false" ht="15" hidden="false" customHeight="false" outlineLevel="0" collapsed="false">
      <c r="A157" s="14" t="n">
        <f aca="false">'Risk Score'!A1153</f>
        <v>338</v>
      </c>
      <c r="B157" s="14" t="n">
        <f aca="false">'Risk Score'!B1153</f>
        <v>84</v>
      </c>
      <c r="C157" s="14" t="str">
        <f aca="false">'Risk Score'!C1153</f>
        <v>Female</v>
      </c>
      <c r="D157" s="14" t="str">
        <f aca="false">'Risk Score'!D1153</f>
        <v>Current</v>
      </c>
      <c r="E157" s="14" t="str">
        <f aca="false">'Risk Score'!E1153</f>
        <v>Low</v>
      </c>
      <c r="F157" s="14" t="n">
        <f aca="false">'Risk Score'!F1153</f>
        <v>245</v>
      </c>
      <c r="G157" s="14" t="str">
        <f aca="false">'Risk Score'!G1153</f>
        <v>Yes</v>
      </c>
      <c r="H157" s="14" t="str">
        <f aca="false">'Risk Score'!H1153</f>
        <v>Moderate</v>
      </c>
      <c r="I157" s="15" t="n">
        <f aca="false">'Risk Score'!I1153</f>
        <v>8</v>
      </c>
    </row>
    <row r="158" customFormat="false" ht="15" hidden="false" customHeight="false" outlineLevel="0" collapsed="false">
      <c r="A158" s="14" t="n">
        <f aca="false">'Risk Score'!A1150</f>
        <v>287</v>
      </c>
      <c r="B158" s="14" t="n">
        <f aca="false">'Risk Score'!B1150</f>
        <v>70</v>
      </c>
      <c r="C158" s="14" t="str">
        <f aca="false">'Risk Score'!C1150</f>
        <v>Male</v>
      </c>
      <c r="D158" s="14" t="str">
        <f aca="false">'Risk Score'!D1150</f>
        <v>Current</v>
      </c>
      <c r="E158" s="14" t="str">
        <f aca="false">'Risk Score'!E1150</f>
        <v>Low</v>
      </c>
      <c r="F158" s="14" t="n">
        <f aca="false">'Risk Score'!F1150</f>
        <v>285.3</v>
      </c>
      <c r="G158" s="14" t="str">
        <f aca="false">'Risk Score'!G1150</f>
        <v>Yes</v>
      </c>
      <c r="H158" s="14" t="str">
        <f aca="false">'Risk Score'!H1150</f>
        <v>Moderate</v>
      </c>
      <c r="I158" s="15" t="n">
        <f aca="false">'Risk Score'!I1150</f>
        <v>8</v>
      </c>
    </row>
    <row r="159" customFormat="false" ht="15" hidden="false" customHeight="false" outlineLevel="0" collapsed="false">
      <c r="A159" s="14" t="n">
        <f aca="false">'Risk Score'!A1147</f>
        <v>202</v>
      </c>
      <c r="B159" s="14" t="n">
        <f aca="false">'Risk Score'!B1147</f>
        <v>33</v>
      </c>
      <c r="C159" s="14" t="str">
        <f aca="false">'Risk Score'!C1147</f>
        <v>Female</v>
      </c>
      <c r="D159" s="14" t="str">
        <f aca="false">'Risk Score'!D1147</f>
        <v>Current</v>
      </c>
      <c r="E159" s="14" t="str">
        <f aca="false">'Risk Score'!E1147</f>
        <v>Low</v>
      </c>
      <c r="F159" s="14" t="n">
        <f aca="false">'Risk Score'!F1147</f>
        <v>273.6</v>
      </c>
      <c r="G159" s="14" t="str">
        <f aca="false">'Risk Score'!G1147</f>
        <v>Yes</v>
      </c>
      <c r="H159" s="14" t="str">
        <f aca="false">'Risk Score'!H1147</f>
        <v>Moderate</v>
      </c>
      <c r="I159" s="15" t="n">
        <f aca="false">'Risk Score'!I1147</f>
        <v>8</v>
      </c>
    </row>
    <row r="160" customFormat="false" ht="15" hidden="false" customHeight="false" outlineLevel="0" collapsed="false">
      <c r="A160" s="14" t="n">
        <f aca="false">'Risk Score'!A767</f>
        <v>2161</v>
      </c>
      <c r="B160" s="14" t="n">
        <f aca="false">'Risk Score'!B767</f>
        <v>75</v>
      </c>
      <c r="C160" s="14" t="str">
        <f aca="false">'Risk Score'!C767</f>
        <v>Male</v>
      </c>
      <c r="D160" s="14" t="str">
        <f aca="false">'Risk Score'!D767</f>
        <v>Never</v>
      </c>
      <c r="E160" s="14" t="str">
        <f aca="false">'Risk Score'!E767</f>
        <v>High</v>
      </c>
      <c r="F160" s="14" t="n">
        <f aca="false">'Risk Score'!F767</f>
        <v>241.4</v>
      </c>
      <c r="G160" s="14" t="str">
        <f aca="false">'Risk Score'!G767</f>
        <v>Yes</v>
      </c>
      <c r="H160" s="14" t="str">
        <f aca="false">'Risk Score'!H767</f>
        <v>Moderate</v>
      </c>
      <c r="I160" s="15" t="n">
        <f aca="false">'Risk Score'!I767</f>
        <v>8</v>
      </c>
    </row>
    <row r="161" customFormat="false" ht="15" hidden="false" customHeight="false" outlineLevel="0" collapsed="false">
      <c r="A161" s="14" t="n">
        <f aca="false">'Risk Score'!A755</f>
        <v>1906</v>
      </c>
      <c r="B161" s="14" t="n">
        <f aca="false">'Risk Score'!B755</f>
        <v>49</v>
      </c>
      <c r="C161" s="14" t="str">
        <f aca="false">'Risk Score'!C755</f>
        <v>Female</v>
      </c>
      <c r="D161" s="14" t="str">
        <f aca="false">'Risk Score'!D755</f>
        <v>Never</v>
      </c>
      <c r="E161" s="14" t="str">
        <f aca="false">'Risk Score'!E755</f>
        <v>High</v>
      </c>
      <c r="F161" s="14" t="n">
        <f aca="false">'Risk Score'!F755</f>
        <v>291.3</v>
      </c>
      <c r="G161" s="14" t="str">
        <f aca="false">'Risk Score'!G755</f>
        <v>Yes</v>
      </c>
      <c r="H161" s="14" t="str">
        <f aca="false">'Risk Score'!H755</f>
        <v>Moderate</v>
      </c>
      <c r="I161" s="15" t="n">
        <f aca="false">'Risk Score'!I755</f>
        <v>8</v>
      </c>
    </row>
    <row r="162" customFormat="false" ht="15" hidden="false" customHeight="false" outlineLevel="0" collapsed="false">
      <c r="A162" s="14" t="n">
        <f aca="false">'Risk Score'!A737</f>
        <v>1508</v>
      </c>
      <c r="B162" s="14" t="n">
        <f aca="false">'Risk Score'!B737</f>
        <v>49</v>
      </c>
      <c r="C162" s="14" t="str">
        <f aca="false">'Risk Score'!C737</f>
        <v>Male</v>
      </c>
      <c r="D162" s="14" t="str">
        <f aca="false">'Risk Score'!D737</f>
        <v>Never</v>
      </c>
      <c r="E162" s="14" t="str">
        <f aca="false">'Risk Score'!E737</f>
        <v>High</v>
      </c>
      <c r="F162" s="14" t="n">
        <f aca="false">'Risk Score'!F737</f>
        <v>288</v>
      </c>
      <c r="G162" s="14" t="str">
        <f aca="false">'Risk Score'!G737</f>
        <v>Yes</v>
      </c>
      <c r="H162" s="14" t="str">
        <f aca="false">'Risk Score'!H737</f>
        <v>Moderate</v>
      </c>
      <c r="I162" s="15" t="n">
        <f aca="false">'Risk Score'!I737</f>
        <v>8</v>
      </c>
    </row>
    <row r="163" customFormat="false" ht="15" hidden="false" customHeight="false" outlineLevel="0" collapsed="false">
      <c r="A163" s="14" t="n">
        <f aca="false">'Risk Score'!A711</f>
        <v>829</v>
      </c>
      <c r="B163" s="14" t="n">
        <f aca="false">'Risk Score'!B711</f>
        <v>54</v>
      </c>
      <c r="C163" s="14" t="str">
        <f aca="false">'Risk Score'!C711</f>
        <v>Male</v>
      </c>
      <c r="D163" s="14" t="str">
        <f aca="false">'Risk Score'!D711</f>
        <v>Never</v>
      </c>
      <c r="E163" s="14" t="str">
        <f aca="false">'Risk Score'!E711</f>
        <v>High</v>
      </c>
      <c r="F163" s="14" t="n">
        <f aca="false">'Risk Score'!F711</f>
        <v>296.1</v>
      </c>
      <c r="G163" s="14" t="str">
        <f aca="false">'Risk Score'!G711</f>
        <v>Yes</v>
      </c>
      <c r="H163" s="14" t="str">
        <f aca="false">'Risk Score'!H711</f>
        <v>Moderate</v>
      </c>
      <c r="I163" s="15" t="n">
        <f aca="false">'Risk Score'!I711</f>
        <v>8</v>
      </c>
    </row>
    <row r="164" customFormat="false" ht="15" hidden="false" customHeight="false" outlineLevel="0" collapsed="false">
      <c r="A164" s="14" t="n">
        <f aca="false">'Risk Score'!A710</f>
        <v>808</v>
      </c>
      <c r="B164" s="14" t="n">
        <f aca="false">'Risk Score'!B710</f>
        <v>27</v>
      </c>
      <c r="C164" s="14" t="str">
        <f aca="false">'Risk Score'!C710</f>
        <v>Male</v>
      </c>
      <c r="D164" s="14" t="str">
        <f aca="false">'Risk Score'!D710</f>
        <v>Never</v>
      </c>
      <c r="E164" s="14" t="str">
        <f aca="false">'Risk Score'!E710</f>
        <v>High</v>
      </c>
      <c r="F164" s="14" t="n">
        <f aca="false">'Risk Score'!F710</f>
        <v>279.8</v>
      </c>
      <c r="G164" s="14" t="str">
        <f aca="false">'Risk Score'!G710</f>
        <v>Yes</v>
      </c>
      <c r="H164" s="14" t="str">
        <f aca="false">'Risk Score'!H710</f>
        <v>Moderate</v>
      </c>
      <c r="I164" s="15" t="n">
        <f aca="false">'Risk Score'!I710</f>
        <v>8</v>
      </c>
    </row>
    <row r="165" customFormat="false" ht="15" hidden="false" customHeight="false" outlineLevel="0" collapsed="false">
      <c r="A165" s="14" t="n">
        <f aca="false">'Risk Score'!A691</f>
        <v>220</v>
      </c>
      <c r="B165" s="14" t="n">
        <f aca="false">'Risk Score'!B691</f>
        <v>80</v>
      </c>
      <c r="C165" s="14" t="str">
        <f aca="false">'Risk Score'!C691</f>
        <v>Male</v>
      </c>
      <c r="D165" s="14" t="str">
        <f aca="false">'Risk Score'!D691</f>
        <v>Never</v>
      </c>
      <c r="E165" s="14" t="str">
        <f aca="false">'Risk Score'!E691</f>
        <v>High</v>
      </c>
      <c r="F165" s="14" t="n">
        <f aca="false">'Risk Score'!F691</f>
        <v>282.6</v>
      </c>
      <c r="G165" s="14" t="str">
        <f aca="false">'Risk Score'!G691</f>
        <v>Yes</v>
      </c>
      <c r="H165" s="14" t="str">
        <f aca="false">'Risk Score'!H691</f>
        <v>Moderate</v>
      </c>
      <c r="I165" s="15" t="n">
        <f aca="false">'Risk Score'!I691</f>
        <v>8</v>
      </c>
    </row>
    <row r="166" customFormat="false" ht="15" hidden="false" customHeight="false" outlineLevel="0" collapsed="false">
      <c r="A166" s="14" t="n">
        <f aca="false">'Risk Score'!A683</f>
        <v>13</v>
      </c>
      <c r="B166" s="14" t="n">
        <f aca="false">'Risk Score'!B683</f>
        <v>79</v>
      </c>
      <c r="C166" s="14" t="str">
        <f aca="false">'Risk Score'!C683</f>
        <v>Male</v>
      </c>
      <c r="D166" s="14" t="str">
        <f aca="false">'Risk Score'!D683</f>
        <v>Never</v>
      </c>
      <c r="E166" s="14" t="str">
        <f aca="false">'Risk Score'!E683</f>
        <v>High</v>
      </c>
      <c r="F166" s="14" t="n">
        <f aca="false">'Risk Score'!F683</f>
        <v>274.9</v>
      </c>
      <c r="G166" s="14" t="str">
        <f aca="false">'Risk Score'!G683</f>
        <v>Yes</v>
      </c>
      <c r="H166" s="14" t="str">
        <f aca="false">'Risk Score'!H683</f>
        <v>Moderate</v>
      </c>
      <c r="I166" s="15" t="n">
        <f aca="false">'Risk Score'!I683</f>
        <v>8</v>
      </c>
    </row>
    <row r="167" customFormat="false" ht="15" hidden="false" customHeight="false" outlineLevel="0" collapsed="false">
      <c r="A167" s="14" t="n">
        <f aca="false">'Risk Score'!A671</f>
        <v>1833</v>
      </c>
      <c r="B167" s="14" t="n">
        <f aca="false">'Risk Score'!B671</f>
        <v>22</v>
      </c>
      <c r="C167" s="14" t="str">
        <f aca="false">'Risk Score'!C671</f>
        <v>Male</v>
      </c>
      <c r="D167" s="14" t="str">
        <f aca="false">'Risk Score'!D671</f>
        <v>Never</v>
      </c>
      <c r="E167" s="14" t="str">
        <f aca="false">'Risk Score'!E671</f>
        <v>High</v>
      </c>
      <c r="F167" s="14" t="n">
        <f aca="false">'Risk Score'!F671</f>
        <v>238.7</v>
      </c>
      <c r="G167" s="14" t="str">
        <f aca="false">'Risk Score'!G671</f>
        <v>Yes</v>
      </c>
      <c r="H167" s="14" t="str">
        <f aca="false">'Risk Score'!H671</f>
        <v>High</v>
      </c>
      <c r="I167" s="15" t="n">
        <f aca="false">'Risk Score'!I671</f>
        <v>8</v>
      </c>
    </row>
    <row r="168" customFormat="false" ht="15" hidden="false" customHeight="false" outlineLevel="0" collapsed="false">
      <c r="A168" s="14" t="n">
        <f aca="false">'Risk Score'!A1687</f>
        <v>891</v>
      </c>
      <c r="B168" s="14" t="n">
        <f aca="false">'Risk Score'!B1687</f>
        <v>64</v>
      </c>
      <c r="C168" s="14" t="str">
        <f aca="false">'Risk Score'!C1687</f>
        <v>Male</v>
      </c>
      <c r="D168" s="14" t="str">
        <f aca="false">'Risk Score'!D1687</f>
        <v>Current</v>
      </c>
      <c r="E168" s="14" t="str">
        <f aca="false">'Risk Score'!E1687</f>
        <v>High</v>
      </c>
      <c r="F168" s="14" t="n">
        <f aca="false">'Risk Score'!F1687</f>
        <v>284.5</v>
      </c>
      <c r="G168" s="14" t="str">
        <f aca="false">'Risk Score'!G1687</f>
        <v>No</v>
      </c>
      <c r="H168" s="14" t="str">
        <f aca="false">'Risk Score'!H1687</f>
        <v>Low</v>
      </c>
      <c r="I168" s="15" t="n">
        <f aca="false">'Risk Score'!I1687</f>
        <v>8</v>
      </c>
    </row>
    <row r="169" customFormat="false" ht="15" hidden="false" customHeight="false" outlineLevel="0" collapsed="false">
      <c r="A169" s="14" t="n">
        <f aca="false">'Risk Score'!A1709</f>
        <v>1425</v>
      </c>
      <c r="B169" s="14" t="n">
        <f aca="false">'Risk Score'!B1709</f>
        <v>53</v>
      </c>
      <c r="C169" s="14" t="str">
        <f aca="false">'Risk Score'!C1709</f>
        <v>Female</v>
      </c>
      <c r="D169" s="14" t="str">
        <f aca="false">'Risk Score'!D1709</f>
        <v>Current</v>
      </c>
      <c r="E169" s="14" t="str">
        <f aca="false">'Risk Score'!E1709</f>
        <v>High</v>
      </c>
      <c r="F169" s="14" t="n">
        <f aca="false">'Risk Score'!F1709</f>
        <v>279.9</v>
      </c>
      <c r="G169" s="14" t="str">
        <f aca="false">'Risk Score'!G1709</f>
        <v>No</v>
      </c>
      <c r="H169" s="14" t="str">
        <f aca="false">'Risk Score'!H1709</f>
        <v>Low</v>
      </c>
      <c r="I169" s="15" t="n">
        <f aca="false">'Risk Score'!I1709</f>
        <v>8</v>
      </c>
    </row>
    <row r="170" customFormat="false" ht="15" hidden="false" customHeight="false" outlineLevel="0" collapsed="false">
      <c r="A170" s="14" t="n">
        <f aca="false">'Risk Score'!A1708</f>
        <v>1393</v>
      </c>
      <c r="B170" s="14" t="n">
        <f aca="false">'Risk Score'!B1708</f>
        <v>86</v>
      </c>
      <c r="C170" s="14" t="str">
        <f aca="false">'Risk Score'!C1708</f>
        <v>Female</v>
      </c>
      <c r="D170" s="14" t="str">
        <f aca="false">'Risk Score'!D1708</f>
        <v>Current</v>
      </c>
      <c r="E170" s="14" t="str">
        <f aca="false">'Risk Score'!E1708</f>
        <v>High</v>
      </c>
      <c r="F170" s="14" t="n">
        <f aca="false">'Risk Score'!F1708</f>
        <v>158.3</v>
      </c>
      <c r="G170" s="14" t="str">
        <f aca="false">'Risk Score'!G1708</f>
        <v>Yes</v>
      </c>
      <c r="H170" s="14" t="str">
        <f aca="false">'Risk Score'!H1708</f>
        <v>Low</v>
      </c>
      <c r="I170" s="15" t="n">
        <f aca="false">'Risk Score'!I1708</f>
        <v>8</v>
      </c>
    </row>
    <row r="171" customFormat="false" ht="15" hidden="false" customHeight="false" outlineLevel="0" collapsed="false">
      <c r="A171" s="14" t="n">
        <f aca="false">'Risk Score'!A1720</f>
        <v>1836</v>
      </c>
      <c r="B171" s="14" t="n">
        <f aca="false">'Risk Score'!B1720</f>
        <v>61</v>
      </c>
      <c r="C171" s="14" t="str">
        <f aca="false">'Risk Score'!C1720</f>
        <v>Male</v>
      </c>
      <c r="D171" s="14" t="str">
        <f aca="false">'Risk Score'!D1720</f>
        <v>Current</v>
      </c>
      <c r="E171" s="14" t="str">
        <f aca="false">'Risk Score'!E1720</f>
        <v>High</v>
      </c>
      <c r="F171" s="14" t="n">
        <f aca="false">'Risk Score'!F1720</f>
        <v>161.5</v>
      </c>
      <c r="G171" s="14" t="str">
        <f aca="false">'Risk Score'!G1720</f>
        <v>Yes</v>
      </c>
      <c r="H171" s="14" t="str">
        <f aca="false">'Risk Score'!H1720</f>
        <v>Low</v>
      </c>
      <c r="I171" s="15" t="n">
        <f aca="false">'Risk Score'!I1720</f>
        <v>8</v>
      </c>
    </row>
    <row r="172" customFormat="false" ht="15" hidden="false" customHeight="false" outlineLevel="0" collapsed="false">
      <c r="A172" s="14" t="n">
        <f aca="false">'Risk Score'!A1719</f>
        <v>1811</v>
      </c>
      <c r="B172" s="14" t="n">
        <f aca="false">'Risk Score'!B1719</f>
        <v>31</v>
      </c>
      <c r="C172" s="14" t="str">
        <f aca="false">'Risk Score'!C1719</f>
        <v>Male</v>
      </c>
      <c r="D172" s="14" t="str">
        <f aca="false">'Risk Score'!D1719</f>
        <v>Current</v>
      </c>
      <c r="E172" s="14" t="str">
        <f aca="false">'Risk Score'!E1719</f>
        <v>High</v>
      </c>
      <c r="F172" s="14" t="n">
        <f aca="false">'Risk Score'!F1719</f>
        <v>290.3</v>
      </c>
      <c r="G172" s="14" t="str">
        <f aca="false">'Risk Score'!G1719</f>
        <v>No</v>
      </c>
      <c r="H172" s="14" t="str">
        <f aca="false">'Risk Score'!H1719</f>
        <v>Low</v>
      </c>
      <c r="I172" s="15" t="n">
        <f aca="false">'Risk Score'!I1719</f>
        <v>8</v>
      </c>
    </row>
    <row r="173" customFormat="false" ht="15" hidden="false" customHeight="false" outlineLevel="0" collapsed="false">
      <c r="A173" s="14" t="n">
        <f aca="false">'Risk Score'!A1716</f>
        <v>1659</v>
      </c>
      <c r="B173" s="14" t="n">
        <f aca="false">'Risk Score'!B1716</f>
        <v>39</v>
      </c>
      <c r="C173" s="14" t="str">
        <f aca="false">'Risk Score'!C1716</f>
        <v>Male</v>
      </c>
      <c r="D173" s="14" t="str">
        <f aca="false">'Risk Score'!D1716</f>
        <v>Current</v>
      </c>
      <c r="E173" s="14" t="str">
        <f aca="false">'Risk Score'!E1716</f>
        <v>High</v>
      </c>
      <c r="F173" s="14" t="n">
        <f aca="false">'Risk Score'!F1716</f>
        <v>149.5</v>
      </c>
      <c r="G173" s="14" t="str">
        <f aca="false">'Risk Score'!G1716</f>
        <v>Yes</v>
      </c>
      <c r="H173" s="14" t="str">
        <f aca="false">'Risk Score'!H1716</f>
        <v>Low</v>
      </c>
      <c r="I173" s="15" t="n">
        <f aca="false">'Risk Score'!I1716</f>
        <v>8</v>
      </c>
    </row>
    <row r="174" customFormat="false" ht="15" hidden="false" customHeight="false" outlineLevel="0" collapsed="false">
      <c r="A174" s="14" t="n">
        <f aca="false">'Risk Score'!A1712</f>
        <v>1557</v>
      </c>
      <c r="B174" s="14" t="n">
        <f aca="false">'Risk Score'!B1712</f>
        <v>77</v>
      </c>
      <c r="C174" s="14" t="str">
        <f aca="false">'Risk Score'!C1712</f>
        <v>Female</v>
      </c>
      <c r="D174" s="14" t="str">
        <f aca="false">'Risk Score'!D1712</f>
        <v>Current</v>
      </c>
      <c r="E174" s="14" t="str">
        <f aca="false">'Risk Score'!E1712</f>
        <v>High</v>
      </c>
      <c r="F174" s="14" t="n">
        <f aca="false">'Risk Score'!F1712</f>
        <v>283.4</v>
      </c>
      <c r="G174" s="14" t="str">
        <f aca="false">'Risk Score'!G1712</f>
        <v>No</v>
      </c>
      <c r="H174" s="14" t="str">
        <f aca="false">'Risk Score'!H1712</f>
        <v>Low</v>
      </c>
      <c r="I174" s="15" t="n">
        <f aca="false">'Risk Score'!I1712</f>
        <v>8</v>
      </c>
    </row>
    <row r="175" customFormat="false" ht="15" hidden="false" customHeight="false" outlineLevel="0" collapsed="false">
      <c r="A175" s="14" t="n">
        <f aca="false">'Risk Score'!A1710</f>
        <v>1476</v>
      </c>
      <c r="B175" s="14" t="n">
        <f aca="false">'Risk Score'!B1710</f>
        <v>81</v>
      </c>
      <c r="C175" s="14" t="str">
        <f aca="false">'Risk Score'!C1710</f>
        <v>Female</v>
      </c>
      <c r="D175" s="14" t="str">
        <f aca="false">'Risk Score'!D1710</f>
        <v>Current</v>
      </c>
      <c r="E175" s="14" t="str">
        <f aca="false">'Risk Score'!E1710</f>
        <v>High</v>
      </c>
      <c r="F175" s="14" t="n">
        <f aca="false">'Risk Score'!F1710</f>
        <v>174.3</v>
      </c>
      <c r="G175" s="14" t="str">
        <f aca="false">'Risk Score'!G1710</f>
        <v>Yes</v>
      </c>
      <c r="H175" s="14" t="str">
        <f aca="false">'Risk Score'!H1710</f>
        <v>Low</v>
      </c>
      <c r="I175" s="15" t="n">
        <f aca="false">'Risk Score'!I1710</f>
        <v>8</v>
      </c>
    </row>
    <row r="176" customFormat="false" ht="15" hidden="false" customHeight="false" outlineLevel="0" collapsed="false">
      <c r="A176" s="14" t="n">
        <f aca="false">'Risk Score'!A1711</f>
        <v>1552</v>
      </c>
      <c r="B176" s="14" t="n">
        <f aca="false">'Risk Score'!B1711</f>
        <v>66</v>
      </c>
      <c r="C176" s="14" t="str">
        <f aca="false">'Risk Score'!C1711</f>
        <v>Male</v>
      </c>
      <c r="D176" s="14" t="str">
        <f aca="false">'Risk Score'!D1711</f>
        <v>Current</v>
      </c>
      <c r="E176" s="14" t="str">
        <f aca="false">'Risk Score'!E1711</f>
        <v>High</v>
      </c>
      <c r="F176" s="14" t="n">
        <f aca="false">'Risk Score'!F1711</f>
        <v>280.9</v>
      </c>
      <c r="G176" s="14" t="str">
        <f aca="false">'Risk Score'!G1711</f>
        <v>No</v>
      </c>
      <c r="H176" s="14" t="str">
        <f aca="false">'Risk Score'!H1711</f>
        <v>Low</v>
      </c>
      <c r="I176" s="15" t="n">
        <f aca="false">'Risk Score'!I1711</f>
        <v>8</v>
      </c>
    </row>
    <row r="177" customFormat="false" ht="15" hidden="false" customHeight="false" outlineLevel="0" collapsed="false">
      <c r="A177" s="14" t="n">
        <f aca="false">'Risk Score'!A1685</f>
        <v>860</v>
      </c>
      <c r="B177" s="14" t="n">
        <f aca="false">'Risk Score'!B1685</f>
        <v>59</v>
      </c>
      <c r="C177" s="14" t="str">
        <f aca="false">'Risk Score'!C1685</f>
        <v>Female</v>
      </c>
      <c r="D177" s="14" t="str">
        <f aca="false">'Risk Score'!D1685</f>
        <v>Current</v>
      </c>
      <c r="E177" s="14" t="str">
        <f aca="false">'Risk Score'!E1685</f>
        <v>High</v>
      </c>
      <c r="F177" s="14" t="n">
        <f aca="false">'Risk Score'!F1685</f>
        <v>199.9</v>
      </c>
      <c r="G177" s="14" t="str">
        <f aca="false">'Risk Score'!G1685</f>
        <v>Yes</v>
      </c>
      <c r="H177" s="14" t="str">
        <f aca="false">'Risk Score'!H1685</f>
        <v>Low</v>
      </c>
      <c r="I177" s="15" t="n">
        <f aca="false">'Risk Score'!I1685</f>
        <v>8</v>
      </c>
    </row>
    <row r="178" customFormat="false" ht="15" hidden="false" customHeight="false" outlineLevel="0" collapsed="false">
      <c r="A178" s="14" t="n">
        <f aca="false">'Risk Score'!A1684</f>
        <v>858</v>
      </c>
      <c r="B178" s="14" t="n">
        <f aca="false">'Risk Score'!B1684</f>
        <v>86</v>
      </c>
      <c r="C178" s="14" t="str">
        <f aca="false">'Risk Score'!C1684</f>
        <v>Female</v>
      </c>
      <c r="D178" s="14" t="str">
        <f aca="false">'Risk Score'!D1684</f>
        <v>Current</v>
      </c>
      <c r="E178" s="14" t="str">
        <f aca="false">'Risk Score'!E1684</f>
        <v>High</v>
      </c>
      <c r="F178" s="14" t="n">
        <f aca="false">'Risk Score'!F1684</f>
        <v>264.5</v>
      </c>
      <c r="G178" s="14" t="str">
        <f aca="false">'Risk Score'!G1684</f>
        <v>No</v>
      </c>
      <c r="H178" s="14" t="str">
        <f aca="false">'Risk Score'!H1684</f>
        <v>Low</v>
      </c>
      <c r="I178" s="15" t="n">
        <f aca="false">'Risk Score'!I1684</f>
        <v>8</v>
      </c>
    </row>
    <row r="179" customFormat="false" ht="15" hidden="false" customHeight="false" outlineLevel="0" collapsed="false">
      <c r="A179" s="14" t="n">
        <f aca="false">'Risk Score'!A1672</f>
        <v>614</v>
      </c>
      <c r="B179" s="14" t="n">
        <f aca="false">'Risk Score'!B1672</f>
        <v>47</v>
      </c>
      <c r="C179" s="14" t="str">
        <f aca="false">'Risk Score'!C1672</f>
        <v>Male</v>
      </c>
      <c r="D179" s="14" t="str">
        <f aca="false">'Risk Score'!D1672</f>
        <v>Current</v>
      </c>
      <c r="E179" s="14" t="str">
        <f aca="false">'Risk Score'!E1672</f>
        <v>High</v>
      </c>
      <c r="F179" s="14" t="n">
        <f aca="false">'Risk Score'!F1672</f>
        <v>261.6</v>
      </c>
      <c r="G179" s="14" t="str">
        <f aca="false">'Risk Score'!G1672</f>
        <v>No</v>
      </c>
      <c r="H179" s="14" t="str">
        <f aca="false">'Risk Score'!H1672</f>
        <v>Low</v>
      </c>
      <c r="I179" s="15" t="n">
        <f aca="false">'Risk Score'!I1672</f>
        <v>8</v>
      </c>
    </row>
    <row r="180" customFormat="false" ht="15" hidden="false" customHeight="false" outlineLevel="0" collapsed="false">
      <c r="A180" s="14" t="n">
        <f aca="false">'Risk Score'!A1671</f>
        <v>604</v>
      </c>
      <c r="B180" s="14" t="n">
        <f aca="false">'Risk Score'!B1671</f>
        <v>33</v>
      </c>
      <c r="C180" s="14" t="str">
        <f aca="false">'Risk Score'!C1671</f>
        <v>Female</v>
      </c>
      <c r="D180" s="14" t="str">
        <f aca="false">'Risk Score'!D1671</f>
        <v>Current</v>
      </c>
      <c r="E180" s="14" t="str">
        <f aca="false">'Risk Score'!E1671</f>
        <v>High</v>
      </c>
      <c r="F180" s="14" t="n">
        <f aca="false">'Risk Score'!F1671</f>
        <v>137.9</v>
      </c>
      <c r="G180" s="14" t="str">
        <f aca="false">'Risk Score'!G1671</f>
        <v>Yes</v>
      </c>
      <c r="H180" s="14" t="str">
        <f aca="false">'Risk Score'!H1671</f>
        <v>Low</v>
      </c>
      <c r="I180" s="15" t="n">
        <f aca="false">'Risk Score'!I1671</f>
        <v>8</v>
      </c>
    </row>
    <row r="181" customFormat="false" ht="15" hidden="false" customHeight="false" outlineLevel="0" collapsed="false">
      <c r="A181" s="14" t="n">
        <f aca="false">'Risk Score'!A1670</f>
        <v>482</v>
      </c>
      <c r="B181" s="14" t="n">
        <f aca="false">'Risk Score'!B1670</f>
        <v>76</v>
      </c>
      <c r="C181" s="14" t="str">
        <f aca="false">'Risk Score'!C1670</f>
        <v>Male</v>
      </c>
      <c r="D181" s="14" t="str">
        <f aca="false">'Risk Score'!D1670</f>
        <v>Current</v>
      </c>
      <c r="E181" s="14" t="str">
        <f aca="false">'Risk Score'!E1670</f>
        <v>High</v>
      </c>
      <c r="F181" s="14" t="n">
        <f aca="false">'Risk Score'!F1670</f>
        <v>291.5</v>
      </c>
      <c r="G181" s="14" t="str">
        <f aca="false">'Risk Score'!G1670</f>
        <v>No</v>
      </c>
      <c r="H181" s="14" t="str">
        <f aca="false">'Risk Score'!H1670</f>
        <v>Low</v>
      </c>
      <c r="I181" s="15" t="n">
        <f aca="false">'Risk Score'!I1670</f>
        <v>8</v>
      </c>
    </row>
    <row r="182" customFormat="false" ht="15" hidden="false" customHeight="false" outlineLevel="0" collapsed="false">
      <c r="A182" s="14" t="n">
        <f aca="false">'Risk Score'!A1673</f>
        <v>638</v>
      </c>
      <c r="B182" s="14" t="n">
        <f aca="false">'Risk Score'!B1673</f>
        <v>72</v>
      </c>
      <c r="C182" s="14" t="str">
        <f aca="false">'Risk Score'!C1673</f>
        <v>Male</v>
      </c>
      <c r="D182" s="14" t="str">
        <f aca="false">'Risk Score'!D1673</f>
        <v>Current</v>
      </c>
      <c r="E182" s="14" t="str">
        <f aca="false">'Risk Score'!E1673</f>
        <v>High</v>
      </c>
      <c r="F182" s="14" t="n">
        <f aca="false">'Risk Score'!F1673</f>
        <v>285.5</v>
      </c>
      <c r="G182" s="14" t="str">
        <f aca="false">'Risk Score'!G1673</f>
        <v>No</v>
      </c>
      <c r="H182" s="14" t="str">
        <f aca="false">'Risk Score'!H1673</f>
        <v>Low</v>
      </c>
      <c r="I182" s="15" t="n">
        <f aca="false">'Risk Score'!I1673</f>
        <v>8</v>
      </c>
    </row>
    <row r="183" customFormat="false" ht="15" hidden="false" customHeight="false" outlineLevel="0" collapsed="false">
      <c r="A183" s="14" t="n">
        <f aca="false">'Risk Score'!A1669</f>
        <v>457</v>
      </c>
      <c r="B183" s="14" t="n">
        <f aca="false">'Risk Score'!B1669</f>
        <v>25</v>
      </c>
      <c r="C183" s="14" t="str">
        <f aca="false">'Risk Score'!C1669</f>
        <v>Male</v>
      </c>
      <c r="D183" s="14" t="str">
        <f aca="false">'Risk Score'!D1669</f>
        <v>Current</v>
      </c>
      <c r="E183" s="14" t="str">
        <f aca="false">'Risk Score'!E1669</f>
        <v>High</v>
      </c>
      <c r="F183" s="14" t="n">
        <f aca="false">'Risk Score'!F1669</f>
        <v>124.4</v>
      </c>
      <c r="G183" s="14" t="str">
        <f aca="false">'Risk Score'!G1669</f>
        <v>Yes</v>
      </c>
      <c r="H183" s="14" t="str">
        <f aca="false">'Risk Score'!H1669</f>
        <v>Low</v>
      </c>
      <c r="I183" s="15" t="n">
        <f aca="false">'Risk Score'!I1669</f>
        <v>8</v>
      </c>
    </row>
    <row r="184" customFormat="false" ht="15" hidden="false" customHeight="false" outlineLevel="0" collapsed="false">
      <c r="A184" s="14" t="n">
        <f aca="false">'Risk Score'!A1662</f>
        <v>153</v>
      </c>
      <c r="B184" s="14" t="n">
        <f aca="false">'Risk Score'!B1662</f>
        <v>32</v>
      </c>
      <c r="C184" s="14" t="str">
        <f aca="false">'Risk Score'!C1662</f>
        <v>Male</v>
      </c>
      <c r="D184" s="14" t="str">
        <f aca="false">'Risk Score'!D1662</f>
        <v>Current</v>
      </c>
      <c r="E184" s="14" t="str">
        <f aca="false">'Risk Score'!E1662</f>
        <v>High</v>
      </c>
      <c r="F184" s="14" t="n">
        <f aca="false">'Risk Score'!F1662</f>
        <v>183.3</v>
      </c>
      <c r="G184" s="14" t="str">
        <f aca="false">'Risk Score'!G1662</f>
        <v>Yes</v>
      </c>
      <c r="H184" s="14" t="str">
        <f aca="false">'Risk Score'!H1662</f>
        <v>Low</v>
      </c>
      <c r="I184" s="15" t="n">
        <f aca="false">'Risk Score'!I1662</f>
        <v>8</v>
      </c>
    </row>
    <row r="185" customFormat="false" ht="15" hidden="false" customHeight="false" outlineLevel="0" collapsed="false">
      <c r="A185" s="14" t="n">
        <f aca="false">'Risk Score'!A1663</f>
        <v>286</v>
      </c>
      <c r="B185" s="14" t="n">
        <f aca="false">'Risk Score'!B1663</f>
        <v>88</v>
      </c>
      <c r="C185" s="14" t="str">
        <f aca="false">'Risk Score'!C1663</f>
        <v>Male</v>
      </c>
      <c r="D185" s="14" t="str">
        <f aca="false">'Risk Score'!D1663</f>
        <v>Current</v>
      </c>
      <c r="E185" s="14" t="str">
        <f aca="false">'Risk Score'!E1663</f>
        <v>High</v>
      </c>
      <c r="F185" s="14" t="n">
        <f aca="false">'Risk Score'!F1663</f>
        <v>291.2</v>
      </c>
      <c r="G185" s="14" t="str">
        <f aca="false">'Risk Score'!G1663</f>
        <v>No</v>
      </c>
      <c r="H185" s="14" t="str">
        <f aca="false">'Risk Score'!H1663</f>
        <v>Low</v>
      </c>
      <c r="I185" s="15" t="n">
        <f aca="false">'Risk Score'!I1663</f>
        <v>8</v>
      </c>
    </row>
    <row r="186" customFormat="false" ht="15" hidden="false" customHeight="false" outlineLevel="0" collapsed="false">
      <c r="A186" s="14" t="n">
        <f aca="false">'Risk Score'!A1666</f>
        <v>342</v>
      </c>
      <c r="B186" s="14" t="n">
        <f aca="false">'Risk Score'!B1666</f>
        <v>52</v>
      </c>
      <c r="C186" s="14" t="str">
        <f aca="false">'Risk Score'!C1666</f>
        <v>Male</v>
      </c>
      <c r="D186" s="14" t="str">
        <f aca="false">'Risk Score'!D1666</f>
        <v>Current</v>
      </c>
      <c r="E186" s="14" t="str">
        <f aca="false">'Risk Score'!E1666</f>
        <v>High</v>
      </c>
      <c r="F186" s="14" t="n">
        <f aca="false">'Risk Score'!F1666</f>
        <v>272.9</v>
      </c>
      <c r="G186" s="14" t="str">
        <f aca="false">'Risk Score'!G1666</f>
        <v>No</v>
      </c>
      <c r="H186" s="14" t="str">
        <f aca="false">'Risk Score'!H1666</f>
        <v>Low</v>
      </c>
      <c r="I186" s="15" t="n">
        <f aca="false">'Risk Score'!I1666</f>
        <v>8</v>
      </c>
    </row>
    <row r="187" customFormat="false" ht="15" hidden="false" customHeight="false" outlineLevel="0" collapsed="false">
      <c r="A187" s="14" t="n">
        <f aca="false">'Risk Score'!A2119</f>
        <v>1728</v>
      </c>
      <c r="B187" s="14" t="n">
        <f aca="false">'Risk Score'!B2119</f>
        <v>25</v>
      </c>
      <c r="C187" s="14" t="str">
        <f aca="false">'Risk Score'!C2119</f>
        <v>Female</v>
      </c>
      <c r="D187" s="14" t="str">
        <f aca="false">'Risk Score'!D2119</f>
        <v>Current</v>
      </c>
      <c r="E187" s="14" t="str">
        <f aca="false">'Risk Score'!E2119</f>
        <v>Normal</v>
      </c>
      <c r="F187" s="14" t="n">
        <f aca="false">'Risk Score'!F2119</f>
        <v>255.3</v>
      </c>
      <c r="G187" s="14" t="str">
        <f aca="false">'Risk Score'!G2119</f>
        <v>No</v>
      </c>
      <c r="H187" s="14" t="str">
        <f aca="false">'Risk Score'!H2119</f>
        <v>High</v>
      </c>
      <c r="I187" s="15" t="n">
        <f aca="false">'Risk Score'!I2119</f>
        <v>8</v>
      </c>
    </row>
    <row r="188" customFormat="false" ht="15" hidden="false" customHeight="false" outlineLevel="0" collapsed="false">
      <c r="A188" s="14" t="n">
        <f aca="false">'Risk Score'!A2116</f>
        <v>1623</v>
      </c>
      <c r="B188" s="14" t="n">
        <f aca="false">'Risk Score'!B2116</f>
        <v>25</v>
      </c>
      <c r="C188" s="14" t="str">
        <f aca="false">'Risk Score'!C2116</f>
        <v>Female</v>
      </c>
      <c r="D188" s="14" t="str">
        <f aca="false">'Risk Score'!D2116</f>
        <v>Current</v>
      </c>
      <c r="E188" s="14" t="str">
        <f aca="false">'Risk Score'!E2116</f>
        <v>Normal</v>
      </c>
      <c r="F188" s="14" t="n">
        <f aca="false">'Risk Score'!F2116</f>
        <v>296.5</v>
      </c>
      <c r="G188" s="14" t="str">
        <f aca="false">'Risk Score'!G2116</f>
        <v>No</v>
      </c>
      <c r="H188" s="14" t="str">
        <f aca="false">'Risk Score'!H2116</f>
        <v>High</v>
      </c>
      <c r="I188" s="15" t="n">
        <f aca="false">'Risk Score'!I2116</f>
        <v>8</v>
      </c>
    </row>
    <row r="189" customFormat="false" ht="15" hidden="false" customHeight="false" outlineLevel="0" collapsed="false">
      <c r="A189" s="14" t="n">
        <f aca="false">'Risk Score'!A2114</f>
        <v>1605</v>
      </c>
      <c r="B189" s="14" t="n">
        <f aca="false">'Risk Score'!B2114</f>
        <v>65</v>
      </c>
      <c r="C189" s="14" t="str">
        <f aca="false">'Risk Score'!C2114</f>
        <v>Male</v>
      </c>
      <c r="D189" s="14" t="str">
        <f aca="false">'Risk Score'!D2114</f>
        <v>Current</v>
      </c>
      <c r="E189" s="14" t="str">
        <f aca="false">'Risk Score'!E2114</f>
        <v>Normal</v>
      </c>
      <c r="F189" s="14" t="n">
        <f aca="false">'Risk Score'!F2114</f>
        <v>190.3</v>
      </c>
      <c r="G189" s="14" t="str">
        <f aca="false">'Risk Score'!G2114</f>
        <v>Yes</v>
      </c>
      <c r="H189" s="14" t="str">
        <f aca="false">'Risk Score'!H2114</f>
        <v>High</v>
      </c>
      <c r="I189" s="15" t="n">
        <f aca="false">'Risk Score'!I2114</f>
        <v>8</v>
      </c>
    </row>
    <row r="190" customFormat="false" ht="15" hidden="false" customHeight="false" outlineLevel="0" collapsed="false">
      <c r="A190" s="14" t="n">
        <f aca="false">'Risk Score'!A2115</f>
        <v>1619</v>
      </c>
      <c r="B190" s="14" t="n">
        <f aca="false">'Risk Score'!B2115</f>
        <v>38</v>
      </c>
      <c r="C190" s="14" t="str">
        <f aca="false">'Risk Score'!C2115</f>
        <v>Male</v>
      </c>
      <c r="D190" s="14" t="str">
        <f aca="false">'Risk Score'!D2115</f>
        <v>Current</v>
      </c>
      <c r="E190" s="14" t="str">
        <f aca="false">'Risk Score'!E2115</f>
        <v>Normal</v>
      </c>
      <c r="F190" s="14" t="n">
        <f aca="false">'Risk Score'!F2115</f>
        <v>247.6</v>
      </c>
      <c r="G190" s="14" t="str">
        <f aca="false">'Risk Score'!G2115</f>
        <v>No</v>
      </c>
      <c r="H190" s="14" t="str">
        <f aca="false">'Risk Score'!H2115</f>
        <v>High</v>
      </c>
      <c r="I190" s="15" t="n">
        <f aca="false">'Risk Score'!I2115</f>
        <v>8</v>
      </c>
    </row>
    <row r="191" customFormat="false" ht="15" hidden="false" customHeight="false" outlineLevel="0" collapsed="false">
      <c r="A191" s="14" t="n">
        <f aca="false">'Risk Score'!A2110</f>
        <v>1558</v>
      </c>
      <c r="B191" s="14" t="n">
        <f aca="false">'Risk Score'!B2110</f>
        <v>27</v>
      </c>
      <c r="C191" s="14" t="str">
        <f aca="false">'Risk Score'!C2110</f>
        <v>Female</v>
      </c>
      <c r="D191" s="14" t="str">
        <f aca="false">'Risk Score'!D2110</f>
        <v>Current</v>
      </c>
      <c r="E191" s="14" t="str">
        <f aca="false">'Risk Score'!E2110</f>
        <v>Normal</v>
      </c>
      <c r="F191" s="14" t="n">
        <f aca="false">'Risk Score'!F2110</f>
        <v>277.3</v>
      </c>
      <c r="G191" s="14" t="str">
        <f aca="false">'Risk Score'!G2110</f>
        <v>No</v>
      </c>
      <c r="H191" s="14" t="str">
        <f aca="false">'Risk Score'!H2110</f>
        <v>High</v>
      </c>
      <c r="I191" s="15" t="n">
        <f aca="false">'Risk Score'!I2110</f>
        <v>8</v>
      </c>
    </row>
    <row r="192" customFormat="false" ht="15" hidden="false" customHeight="false" outlineLevel="0" collapsed="false">
      <c r="A192" s="14" t="n">
        <f aca="false">'Risk Score'!A2089</f>
        <v>371</v>
      </c>
      <c r="B192" s="14" t="n">
        <f aca="false">'Risk Score'!B2089</f>
        <v>66</v>
      </c>
      <c r="C192" s="14" t="str">
        <f aca="false">'Risk Score'!C2089</f>
        <v>Male</v>
      </c>
      <c r="D192" s="14" t="str">
        <f aca="false">'Risk Score'!D2089</f>
        <v>Current</v>
      </c>
      <c r="E192" s="14" t="str">
        <f aca="false">'Risk Score'!E2089</f>
        <v>Normal</v>
      </c>
      <c r="F192" s="14" t="n">
        <f aca="false">'Risk Score'!F2089</f>
        <v>247.1</v>
      </c>
      <c r="G192" s="14" t="str">
        <f aca="false">'Risk Score'!G2089</f>
        <v>No</v>
      </c>
      <c r="H192" s="14" t="str">
        <f aca="false">'Risk Score'!H2089</f>
        <v>High</v>
      </c>
      <c r="I192" s="15" t="n">
        <f aca="false">'Risk Score'!I2089</f>
        <v>8</v>
      </c>
    </row>
    <row r="193" customFormat="false" ht="15" hidden="false" customHeight="false" outlineLevel="0" collapsed="false">
      <c r="A193" s="14" t="n">
        <f aca="false">'Risk Score'!A2087</f>
        <v>290</v>
      </c>
      <c r="B193" s="14" t="n">
        <f aca="false">'Risk Score'!B2087</f>
        <v>25</v>
      </c>
      <c r="C193" s="14" t="str">
        <f aca="false">'Risk Score'!C2087</f>
        <v>Male</v>
      </c>
      <c r="D193" s="14" t="str">
        <f aca="false">'Risk Score'!D2087</f>
        <v>Current</v>
      </c>
      <c r="E193" s="14" t="str">
        <f aca="false">'Risk Score'!E2087</f>
        <v>Normal</v>
      </c>
      <c r="F193" s="14" t="n">
        <f aca="false">'Risk Score'!F2087</f>
        <v>185.6</v>
      </c>
      <c r="G193" s="14" t="str">
        <f aca="false">'Risk Score'!G2087</f>
        <v>Yes</v>
      </c>
      <c r="H193" s="14" t="str">
        <f aca="false">'Risk Score'!H2087</f>
        <v>High</v>
      </c>
      <c r="I193" s="15" t="n">
        <f aca="false">'Risk Score'!I2087</f>
        <v>8</v>
      </c>
    </row>
    <row r="194" customFormat="false" ht="15" hidden="false" customHeight="false" outlineLevel="0" collapsed="false">
      <c r="A194" s="14" t="n">
        <f aca="false">'Risk Score'!A2104</f>
        <v>1081</v>
      </c>
      <c r="B194" s="14" t="n">
        <f aca="false">'Risk Score'!B2104</f>
        <v>55</v>
      </c>
      <c r="C194" s="14" t="str">
        <f aca="false">'Risk Score'!C2104</f>
        <v>Male</v>
      </c>
      <c r="D194" s="14" t="str">
        <f aca="false">'Risk Score'!D2104</f>
        <v>Current</v>
      </c>
      <c r="E194" s="14" t="str">
        <f aca="false">'Risk Score'!E2104</f>
        <v>Normal</v>
      </c>
      <c r="F194" s="14" t="n">
        <f aca="false">'Risk Score'!F2104</f>
        <v>166.1</v>
      </c>
      <c r="G194" s="14" t="str">
        <f aca="false">'Risk Score'!G2104</f>
        <v>Yes</v>
      </c>
      <c r="H194" s="14" t="str">
        <f aca="false">'Risk Score'!H2104</f>
        <v>High</v>
      </c>
      <c r="I194" s="15" t="n">
        <f aca="false">'Risk Score'!I2104</f>
        <v>8</v>
      </c>
    </row>
    <row r="195" customFormat="false" ht="15" hidden="false" customHeight="false" outlineLevel="0" collapsed="false">
      <c r="A195" s="14" t="n">
        <f aca="false">'Risk Score'!A2094</f>
        <v>591</v>
      </c>
      <c r="B195" s="14" t="n">
        <f aca="false">'Risk Score'!B2094</f>
        <v>44</v>
      </c>
      <c r="C195" s="14" t="str">
        <f aca="false">'Risk Score'!C2094</f>
        <v>Male</v>
      </c>
      <c r="D195" s="14" t="str">
        <f aca="false">'Risk Score'!D2094</f>
        <v>Current</v>
      </c>
      <c r="E195" s="14" t="str">
        <f aca="false">'Risk Score'!E2094</f>
        <v>Normal</v>
      </c>
      <c r="F195" s="14" t="n">
        <f aca="false">'Risk Score'!F2094</f>
        <v>284.7</v>
      </c>
      <c r="G195" s="14" t="str">
        <f aca="false">'Risk Score'!G2094</f>
        <v>No</v>
      </c>
      <c r="H195" s="14" t="str">
        <f aca="false">'Risk Score'!H2094</f>
        <v>High</v>
      </c>
      <c r="I195" s="15" t="n">
        <f aca="false">'Risk Score'!I2094</f>
        <v>8</v>
      </c>
    </row>
    <row r="196" customFormat="false" ht="15" hidden="false" customHeight="false" outlineLevel="0" collapsed="false">
      <c r="A196" s="14" t="n">
        <f aca="false">'Risk Score'!A1738</f>
        <v>2372</v>
      </c>
      <c r="B196" s="14" t="n">
        <f aca="false">'Risk Score'!B1738</f>
        <v>20</v>
      </c>
      <c r="C196" s="14" t="str">
        <f aca="false">'Risk Score'!C1738</f>
        <v>Male</v>
      </c>
      <c r="D196" s="14" t="str">
        <f aca="false">'Risk Score'!D1738</f>
        <v>Current</v>
      </c>
      <c r="E196" s="14" t="str">
        <f aca="false">'Risk Score'!E1738</f>
        <v>High</v>
      </c>
      <c r="F196" s="14" t="n">
        <f aca="false">'Risk Score'!F1738</f>
        <v>240.7</v>
      </c>
      <c r="G196" s="14" t="str">
        <f aca="false">'Risk Score'!G1738</f>
        <v>No</v>
      </c>
      <c r="H196" s="14" t="str">
        <f aca="false">'Risk Score'!H1738</f>
        <v>Low</v>
      </c>
      <c r="I196" s="15" t="n">
        <f aca="false">'Risk Score'!I1738</f>
        <v>8</v>
      </c>
    </row>
    <row r="197" customFormat="false" ht="15" hidden="false" customHeight="false" outlineLevel="0" collapsed="false">
      <c r="A197" s="14" t="n">
        <f aca="false">'Risk Score'!A1731</f>
        <v>2248</v>
      </c>
      <c r="B197" s="14" t="n">
        <f aca="false">'Risk Score'!B1731</f>
        <v>76</v>
      </c>
      <c r="C197" s="14" t="str">
        <f aca="false">'Risk Score'!C1731</f>
        <v>Male</v>
      </c>
      <c r="D197" s="14" t="str">
        <f aca="false">'Risk Score'!D1731</f>
        <v>Current</v>
      </c>
      <c r="E197" s="14" t="str">
        <f aca="false">'Risk Score'!E1731</f>
        <v>High</v>
      </c>
      <c r="F197" s="14" t="n">
        <f aca="false">'Risk Score'!F1731</f>
        <v>282.8</v>
      </c>
      <c r="G197" s="14" t="str">
        <f aca="false">'Risk Score'!G1731</f>
        <v>No</v>
      </c>
      <c r="H197" s="14" t="str">
        <f aca="false">'Risk Score'!H1731</f>
        <v>Low</v>
      </c>
      <c r="I197" s="15" t="n">
        <f aca="false">'Risk Score'!I1731</f>
        <v>8</v>
      </c>
    </row>
    <row r="198" customFormat="false" ht="15" hidden="false" customHeight="false" outlineLevel="0" collapsed="false">
      <c r="A198" s="14" t="n">
        <f aca="false">'Risk Score'!A1728</f>
        <v>2033</v>
      </c>
      <c r="B198" s="14" t="n">
        <f aca="false">'Risk Score'!B1728</f>
        <v>23</v>
      </c>
      <c r="C198" s="14" t="str">
        <f aca="false">'Risk Score'!C1728</f>
        <v>Male</v>
      </c>
      <c r="D198" s="14" t="str">
        <f aca="false">'Risk Score'!D1728</f>
        <v>Current</v>
      </c>
      <c r="E198" s="14" t="str">
        <f aca="false">'Risk Score'!E1728</f>
        <v>High</v>
      </c>
      <c r="F198" s="14" t="n">
        <f aca="false">'Risk Score'!F1728</f>
        <v>163.9</v>
      </c>
      <c r="G198" s="14" t="str">
        <f aca="false">'Risk Score'!G1728</f>
        <v>Yes</v>
      </c>
      <c r="H198" s="14" t="str">
        <f aca="false">'Risk Score'!H1728</f>
        <v>Low</v>
      </c>
      <c r="I198" s="15" t="n">
        <f aca="false">'Risk Score'!I1728</f>
        <v>8</v>
      </c>
    </row>
    <row r="199" customFormat="false" ht="15" hidden="false" customHeight="false" outlineLevel="0" collapsed="false">
      <c r="A199" s="14" t="n">
        <f aca="false">'Risk Score'!A2056</f>
        <v>936</v>
      </c>
      <c r="B199" s="14" t="n">
        <f aca="false">'Risk Score'!B2056</f>
        <v>41</v>
      </c>
      <c r="C199" s="14" t="str">
        <f aca="false">'Risk Score'!C2056</f>
        <v>Male</v>
      </c>
      <c r="D199" s="14" t="str">
        <f aca="false">'Risk Score'!D2056</f>
        <v>Former</v>
      </c>
      <c r="E199" s="14" t="str">
        <f aca="false">'Risk Score'!E2056</f>
        <v>Normal</v>
      </c>
      <c r="F199" s="14" t="n">
        <f aca="false">'Risk Score'!F2056</f>
        <v>250.6</v>
      </c>
      <c r="G199" s="14" t="str">
        <f aca="false">'Risk Score'!G2056</f>
        <v>Yes</v>
      </c>
      <c r="H199" s="14" t="str">
        <f aca="false">'Risk Score'!H2056</f>
        <v>High</v>
      </c>
      <c r="I199" s="15" t="n">
        <f aca="false">'Risk Score'!I2056</f>
        <v>8</v>
      </c>
    </row>
    <row r="200" customFormat="false" ht="15" hidden="false" customHeight="false" outlineLevel="0" collapsed="false">
      <c r="A200" s="14" t="n">
        <f aca="false">'Risk Score'!A2054</f>
        <v>788</v>
      </c>
      <c r="B200" s="14" t="n">
        <f aca="false">'Risk Score'!B2054</f>
        <v>79</v>
      </c>
      <c r="C200" s="14" t="str">
        <f aca="false">'Risk Score'!C2054</f>
        <v>Male</v>
      </c>
      <c r="D200" s="14" t="str">
        <f aca="false">'Risk Score'!D2054</f>
        <v>Former</v>
      </c>
      <c r="E200" s="14" t="str">
        <f aca="false">'Risk Score'!E2054</f>
        <v>Normal</v>
      </c>
      <c r="F200" s="14" t="n">
        <f aca="false">'Risk Score'!F2054</f>
        <v>271.6</v>
      </c>
      <c r="G200" s="14" t="str">
        <f aca="false">'Risk Score'!G2054</f>
        <v>Yes</v>
      </c>
      <c r="H200" s="14" t="str">
        <f aca="false">'Risk Score'!H2054</f>
        <v>High</v>
      </c>
      <c r="I200" s="15" t="n">
        <f aca="false">'Risk Score'!I2054</f>
        <v>8</v>
      </c>
    </row>
    <row r="201" customFormat="false" ht="15" hidden="false" customHeight="false" outlineLevel="0" collapsed="false">
      <c r="A201" s="14" t="n">
        <f aca="false">'Risk Score'!A2080</f>
        <v>2373</v>
      </c>
      <c r="B201" s="14" t="n">
        <f aca="false">'Risk Score'!B2080</f>
        <v>78</v>
      </c>
      <c r="C201" s="14" t="str">
        <f aca="false">'Risk Score'!C2080</f>
        <v>Female</v>
      </c>
      <c r="D201" s="14" t="str">
        <f aca="false">'Risk Score'!D2080</f>
        <v>Former</v>
      </c>
      <c r="E201" s="14" t="str">
        <f aca="false">'Risk Score'!E2080</f>
        <v>Normal</v>
      </c>
      <c r="F201" s="14" t="n">
        <f aca="false">'Risk Score'!F2080</f>
        <v>271.3</v>
      </c>
      <c r="G201" s="14" t="str">
        <f aca="false">'Risk Score'!G2080</f>
        <v>Yes</v>
      </c>
      <c r="H201" s="14" t="str">
        <f aca="false">'Risk Score'!H2080</f>
        <v>High</v>
      </c>
      <c r="I201" s="15" t="n">
        <f aca="false">'Risk Score'!I2080</f>
        <v>8</v>
      </c>
    </row>
    <row r="202" customFormat="false" ht="15" hidden="false" customHeight="false" outlineLevel="0" collapsed="false">
      <c r="A202" s="14" t="n">
        <f aca="false">'Risk Score'!A2085</f>
        <v>181</v>
      </c>
      <c r="B202" s="14" t="n">
        <f aca="false">'Risk Score'!B2085</f>
        <v>41</v>
      </c>
      <c r="C202" s="14" t="str">
        <f aca="false">'Risk Score'!C2085</f>
        <v>Male</v>
      </c>
      <c r="D202" s="14" t="str">
        <f aca="false">'Risk Score'!D2085</f>
        <v>Current</v>
      </c>
      <c r="E202" s="14" t="str">
        <f aca="false">'Risk Score'!E2085</f>
        <v>Normal</v>
      </c>
      <c r="F202" s="14" t="n">
        <f aca="false">'Risk Score'!F2085</f>
        <v>298.5</v>
      </c>
      <c r="G202" s="14" t="str">
        <f aca="false">'Risk Score'!G2085</f>
        <v>No</v>
      </c>
      <c r="H202" s="14" t="str">
        <f aca="false">'Risk Score'!H2085</f>
        <v>High</v>
      </c>
      <c r="I202" s="15" t="n">
        <f aca="false">'Risk Score'!I2085</f>
        <v>8</v>
      </c>
    </row>
    <row r="203" customFormat="false" ht="15" hidden="false" customHeight="false" outlineLevel="0" collapsed="false">
      <c r="A203" s="14" t="n">
        <f aca="false">'Risk Score'!A1722</f>
        <v>1926</v>
      </c>
      <c r="B203" s="14" t="n">
        <f aca="false">'Risk Score'!B1722</f>
        <v>77</v>
      </c>
      <c r="C203" s="14" t="str">
        <f aca="false">'Risk Score'!C1722</f>
        <v>Female</v>
      </c>
      <c r="D203" s="14" t="str">
        <f aca="false">'Risk Score'!D1722</f>
        <v>Current</v>
      </c>
      <c r="E203" s="14" t="str">
        <f aca="false">'Risk Score'!E1722</f>
        <v>High</v>
      </c>
      <c r="F203" s="14" t="n">
        <f aca="false">'Risk Score'!F1722</f>
        <v>126.8</v>
      </c>
      <c r="G203" s="14" t="str">
        <f aca="false">'Risk Score'!G1722</f>
        <v>Yes</v>
      </c>
      <c r="H203" s="14" t="str">
        <f aca="false">'Risk Score'!H1722</f>
        <v>Low</v>
      </c>
      <c r="I203" s="15" t="n">
        <f aca="false">'Risk Score'!I1722</f>
        <v>8</v>
      </c>
    </row>
    <row r="204" customFormat="false" ht="15" hidden="false" customHeight="false" outlineLevel="0" collapsed="false">
      <c r="A204" s="14" t="n">
        <f aca="false">'Risk Score'!A1740</f>
        <v>2408</v>
      </c>
      <c r="B204" s="14" t="n">
        <f aca="false">'Risk Score'!B1740</f>
        <v>84</v>
      </c>
      <c r="C204" s="14" t="str">
        <f aca="false">'Risk Score'!C1740</f>
        <v>Female</v>
      </c>
      <c r="D204" s="14" t="str">
        <f aca="false">'Risk Score'!D1740</f>
        <v>Current</v>
      </c>
      <c r="E204" s="14" t="str">
        <f aca="false">'Risk Score'!E1740</f>
        <v>High</v>
      </c>
      <c r="F204" s="14" t="n">
        <f aca="false">'Risk Score'!F1740</f>
        <v>260</v>
      </c>
      <c r="G204" s="14" t="str">
        <f aca="false">'Risk Score'!G1740</f>
        <v>No</v>
      </c>
      <c r="H204" s="14" t="str">
        <f aca="false">'Risk Score'!H1740</f>
        <v>Low</v>
      </c>
      <c r="I204" s="15" t="n">
        <f aca="false">'Risk Score'!I1740</f>
        <v>8</v>
      </c>
    </row>
    <row r="205" customFormat="false" ht="15" hidden="false" customHeight="false" outlineLevel="0" collapsed="false">
      <c r="A205" s="14" t="n">
        <f aca="false">'Risk Score'!A1683</f>
        <v>836</v>
      </c>
      <c r="B205" s="14" t="n">
        <f aca="false">'Risk Score'!B1683</f>
        <v>75</v>
      </c>
      <c r="C205" s="14" t="str">
        <f aca="false">'Risk Score'!C1683</f>
        <v>Female</v>
      </c>
      <c r="D205" s="14" t="str">
        <f aca="false">'Risk Score'!D1683</f>
        <v>Current</v>
      </c>
      <c r="E205" s="14" t="str">
        <f aca="false">'Risk Score'!E1683</f>
        <v>High</v>
      </c>
      <c r="F205" s="14" t="n">
        <f aca="false">'Risk Score'!F1683</f>
        <v>254.4</v>
      </c>
      <c r="G205" s="14" t="str">
        <f aca="false">'Risk Score'!G1683</f>
        <v>No</v>
      </c>
      <c r="H205" s="14" t="str">
        <f aca="false">'Risk Score'!H1683</f>
        <v>Low</v>
      </c>
      <c r="I205" s="15" t="n">
        <f aca="false">'Risk Score'!I1683</f>
        <v>8</v>
      </c>
    </row>
    <row r="206" customFormat="false" ht="15" hidden="false" customHeight="false" outlineLevel="0" collapsed="false">
      <c r="A206" s="14" t="n">
        <f aca="false">'Risk Score'!A1679</f>
        <v>730</v>
      </c>
      <c r="B206" s="14" t="n">
        <f aca="false">'Risk Score'!B1679</f>
        <v>64</v>
      </c>
      <c r="C206" s="14" t="str">
        <f aca="false">'Risk Score'!C1679</f>
        <v>Male</v>
      </c>
      <c r="D206" s="14" t="str">
        <f aca="false">'Risk Score'!D1679</f>
        <v>Current</v>
      </c>
      <c r="E206" s="14" t="str">
        <f aca="false">'Risk Score'!E1679</f>
        <v>High</v>
      </c>
      <c r="F206" s="14" t="n">
        <f aca="false">'Risk Score'!F1679</f>
        <v>142.7</v>
      </c>
      <c r="G206" s="14" t="str">
        <f aca="false">'Risk Score'!G1679</f>
        <v>Yes</v>
      </c>
      <c r="H206" s="14" t="str">
        <f aca="false">'Risk Score'!H1679</f>
        <v>Low</v>
      </c>
      <c r="I206" s="15" t="n">
        <f aca="false">'Risk Score'!I1679</f>
        <v>8</v>
      </c>
    </row>
    <row r="207" customFormat="false" ht="15" hidden="false" customHeight="false" outlineLevel="0" collapsed="false">
      <c r="A207" s="14" t="n">
        <f aca="false">'Risk Score'!A1695</f>
        <v>1071</v>
      </c>
      <c r="B207" s="14" t="n">
        <f aca="false">'Risk Score'!B1695</f>
        <v>66</v>
      </c>
      <c r="C207" s="14" t="str">
        <f aca="false">'Risk Score'!C1695</f>
        <v>Female</v>
      </c>
      <c r="D207" s="14" t="str">
        <f aca="false">'Risk Score'!D1695</f>
        <v>Current</v>
      </c>
      <c r="E207" s="14" t="str">
        <f aca="false">'Risk Score'!E1695</f>
        <v>High</v>
      </c>
      <c r="F207" s="14" t="n">
        <f aca="false">'Risk Score'!F1695</f>
        <v>257.2</v>
      </c>
      <c r="G207" s="14" t="str">
        <f aca="false">'Risk Score'!G1695</f>
        <v>No</v>
      </c>
      <c r="H207" s="14" t="str">
        <f aca="false">'Risk Score'!H1695</f>
        <v>Low</v>
      </c>
      <c r="I207" s="15" t="n">
        <f aca="false">'Risk Score'!I1695</f>
        <v>8</v>
      </c>
    </row>
    <row r="208" customFormat="false" ht="15" hidden="false" customHeight="false" outlineLevel="0" collapsed="false">
      <c r="A208" s="14" t="n">
        <f aca="false">'Risk Score'!A1688</f>
        <v>902</v>
      </c>
      <c r="B208" s="14" t="n">
        <f aca="false">'Risk Score'!B1688</f>
        <v>28</v>
      </c>
      <c r="C208" s="14" t="str">
        <f aca="false">'Risk Score'!C1688</f>
        <v>Male</v>
      </c>
      <c r="D208" s="14" t="str">
        <f aca="false">'Risk Score'!D1688</f>
        <v>Current</v>
      </c>
      <c r="E208" s="14" t="str">
        <f aca="false">'Risk Score'!E1688</f>
        <v>High</v>
      </c>
      <c r="F208" s="14" t="n">
        <f aca="false">'Risk Score'!F1688</f>
        <v>267.2</v>
      </c>
      <c r="G208" s="14" t="str">
        <f aca="false">'Risk Score'!G1688</f>
        <v>No</v>
      </c>
      <c r="H208" s="14" t="str">
        <f aca="false">'Risk Score'!H1688</f>
        <v>Low</v>
      </c>
      <c r="I208" s="15" t="n">
        <f aca="false">'Risk Score'!I1688</f>
        <v>8</v>
      </c>
    </row>
    <row r="209" customFormat="false" ht="15" hidden="false" customHeight="false" outlineLevel="0" collapsed="false">
      <c r="A209" s="14" t="n">
        <f aca="false">'Risk Score'!A1701</f>
        <v>1204</v>
      </c>
      <c r="B209" s="14" t="n">
        <f aca="false">'Risk Score'!B1701</f>
        <v>63</v>
      </c>
      <c r="C209" s="14" t="str">
        <f aca="false">'Risk Score'!C1701</f>
        <v>Female</v>
      </c>
      <c r="D209" s="14" t="str">
        <f aca="false">'Risk Score'!D1701</f>
        <v>Current</v>
      </c>
      <c r="E209" s="14" t="str">
        <f aca="false">'Risk Score'!E1701</f>
        <v>High</v>
      </c>
      <c r="F209" s="14" t="n">
        <f aca="false">'Risk Score'!F1701</f>
        <v>148.8</v>
      </c>
      <c r="G209" s="14" t="str">
        <f aca="false">'Risk Score'!G1701</f>
        <v>Yes</v>
      </c>
      <c r="H209" s="14" t="str">
        <f aca="false">'Risk Score'!H1701</f>
        <v>Low</v>
      </c>
      <c r="I209" s="15" t="n">
        <f aca="false">'Risk Score'!I1701</f>
        <v>8</v>
      </c>
    </row>
    <row r="210" customFormat="false" ht="15" hidden="false" customHeight="false" outlineLevel="0" collapsed="false">
      <c r="A210" s="14" t="n">
        <f aca="false">'Risk Score'!A2156</f>
        <v>250</v>
      </c>
      <c r="B210" s="14" t="n">
        <f aca="false">'Risk Score'!B2156</f>
        <v>28</v>
      </c>
      <c r="C210" s="14" t="str">
        <f aca="false">'Risk Score'!C2156</f>
        <v>Female</v>
      </c>
      <c r="D210" s="14" t="str">
        <f aca="false">'Risk Score'!D2156</f>
        <v>Current</v>
      </c>
      <c r="E210" s="14" t="str">
        <f aca="false">'Risk Score'!E2156</f>
        <v>Normal</v>
      </c>
      <c r="F210" s="14" t="n">
        <f aca="false">'Risk Score'!F2156</f>
        <v>218.9</v>
      </c>
      <c r="G210" s="14" t="str">
        <f aca="false">'Risk Score'!G2156</f>
        <v>Yes</v>
      </c>
      <c r="H210" s="14" t="str">
        <f aca="false">'Risk Score'!H2156</f>
        <v>Moderate</v>
      </c>
      <c r="I210" s="15" t="n">
        <f aca="false">'Risk Score'!I2156</f>
        <v>8</v>
      </c>
    </row>
    <row r="211" customFormat="false" ht="15" hidden="false" customHeight="false" outlineLevel="0" collapsed="false">
      <c r="A211" s="14" t="n">
        <f aca="false">'Risk Score'!A2124</f>
        <v>1844</v>
      </c>
      <c r="B211" s="14" t="n">
        <f aca="false">'Risk Score'!B2124</f>
        <v>61</v>
      </c>
      <c r="C211" s="14" t="str">
        <f aca="false">'Risk Score'!C2124</f>
        <v>Male</v>
      </c>
      <c r="D211" s="14" t="str">
        <f aca="false">'Risk Score'!D2124</f>
        <v>Current</v>
      </c>
      <c r="E211" s="14" t="str">
        <f aca="false">'Risk Score'!E2124</f>
        <v>Normal</v>
      </c>
      <c r="F211" s="14" t="n">
        <f aca="false">'Risk Score'!F2124</f>
        <v>187</v>
      </c>
      <c r="G211" s="14" t="str">
        <f aca="false">'Risk Score'!G2124</f>
        <v>Yes</v>
      </c>
      <c r="H211" s="14" t="str">
        <f aca="false">'Risk Score'!H2124</f>
        <v>High</v>
      </c>
      <c r="I211" s="15" t="n">
        <f aca="false">'Risk Score'!I2124</f>
        <v>8</v>
      </c>
    </row>
    <row r="212" customFormat="false" ht="15" hidden="false" customHeight="false" outlineLevel="0" collapsed="false">
      <c r="A212" s="14" t="n">
        <f aca="false">'Risk Score'!A2125</f>
        <v>1849</v>
      </c>
      <c r="B212" s="14" t="n">
        <f aca="false">'Risk Score'!B2125</f>
        <v>40</v>
      </c>
      <c r="C212" s="14" t="str">
        <f aca="false">'Risk Score'!C2125</f>
        <v>Female</v>
      </c>
      <c r="D212" s="14" t="str">
        <f aca="false">'Risk Score'!D2125</f>
        <v>Current</v>
      </c>
      <c r="E212" s="14" t="str">
        <f aca="false">'Risk Score'!E2125</f>
        <v>Normal</v>
      </c>
      <c r="F212" s="14" t="n">
        <f aca="false">'Risk Score'!F2125</f>
        <v>274.8</v>
      </c>
      <c r="G212" s="14" t="str">
        <f aca="false">'Risk Score'!G2125</f>
        <v>No</v>
      </c>
      <c r="H212" s="14" t="str">
        <f aca="false">'Risk Score'!H2125</f>
        <v>High</v>
      </c>
      <c r="I212" s="15" t="n">
        <f aca="false">'Risk Score'!I2125</f>
        <v>8</v>
      </c>
    </row>
    <row r="213" customFormat="false" ht="15" hidden="false" customHeight="false" outlineLevel="0" collapsed="false">
      <c r="A213" s="14" t="n">
        <f aca="false">'Risk Score'!A2138</f>
        <v>2211</v>
      </c>
      <c r="B213" s="14" t="n">
        <f aca="false">'Risk Score'!B2138</f>
        <v>44</v>
      </c>
      <c r="C213" s="14" t="str">
        <f aca="false">'Risk Score'!C2138</f>
        <v>Male</v>
      </c>
      <c r="D213" s="14" t="str">
        <f aca="false">'Risk Score'!D2138</f>
        <v>Current</v>
      </c>
      <c r="E213" s="14" t="str">
        <f aca="false">'Risk Score'!E2138</f>
        <v>Normal</v>
      </c>
      <c r="F213" s="14" t="n">
        <f aca="false">'Risk Score'!F2138</f>
        <v>169.4</v>
      </c>
      <c r="G213" s="14" t="str">
        <f aca="false">'Risk Score'!G2138</f>
        <v>Yes</v>
      </c>
      <c r="H213" s="14" t="str">
        <f aca="false">'Risk Score'!H2138</f>
        <v>High</v>
      </c>
      <c r="I213" s="15" t="n">
        <f aca="false">'Risk Score'!I2138</f>
        <v>8</v>
      </c>
    </row>
    <row r="214" customFormat="false" ht="15" hidden="false" customHeight="false" outlineLevel="0" collapsed="false">
      <c r="A214" s="14" t="n">
        <f aca="false">'Risk Score'!A2135</f>
        <v>2139</v>
      </c>
      <c r="B214" s="14" t="n">
        <f aca="false">'Risk Score'!B2135</f>
        <v>47</v>
      </c>
      <c r="C214" s="14" t="str">
        <f aca="false">'Risk Score'!C2135</f>
        <v>Male</v>
      </c>
      <c r="D214" s="14" t="str">
        <f aca="false">'Risk Score'!D2135</f>
        <v>Current</v>
      </c>
      <c r="E214" s="14" t="str">
        <f aca="false">'Risk Score'!E2135</f>
        <v>Normal</v>
      </c>
      <c r="F214" s="14" t="n">
        <f aca="false">'Risk Score'!F2135</f>
        <v>290.7</v>
      </c>
      <c r="G214" s="14" t="str">
        <f aca="false">'Risk Score'!G2135</f>
        <v>No</v>
      </c>
      <c r="H214" s="14" t="str">
        <f aca="false">'Risk Score'!H2135</f>
        <v>High</v>
      </c>
      <c r="I214" s="15" t="n">
        <f aca="false">'Risk Score'!I2135</f>
        <v>8</v>
      </c>
    </row>
    <row r="215" customFormat="false" ht="15" hidden="false" customHeight="false" outlineLevel="0" collapsed="false">
      <c r="A215" s="14" t="n">
        <f aca="false">'Risk Score'!A2127</f>
        <v>1866</v>
      </c>
      <c r="B215" s="14" t="n">
        <f aca="false">'Risk Score'!B2127</f>
        <v>81</v>
      </c>
      <c r="C215" s="14" t="str">
        <f aca="false">'Risk Score'!C2127</f>
        <v>Female</v>
      </c>
      <c r="D215" s="14" t="str">
        <f aca="false">'Risk Score'!D2127</f>
        <v>Current</v>
      </c>
      <c r="E215" s="14" t="str">
        <f aca="false">'Risk Score'!E2127</f>
        <v>Normal</v>
      </c>
      <c r="F215" s="14" t="n">
        <f aca="false">'Risk Score'!F2127</f>
        <v>268.9</v>
      </c>
      <c r="G215" s="14" t="str">
        <f aca="false">'Risk Score'!G2127</f>
        <v>No</v>
      </c>
      <c r="H215" s="14" t="str">
        <f aca="false">'Risk Score'!H2127</f>
        <v>High</v>
      </c>
      <c r="I215" s="15" t="n">
        <f aca="false">'Risk Score'!I2127</f>
        <v>8</v>
      </c>
    </row>
    <row r="216" customFormat="false" ht="15" hidden="false" customHeight="false" outlineLevel="0" collapsed="false">
      <c r="A216" s="14" t="n">
        <f aca="false">'Risk Score'!A2129</f>
        <v>1873</v>
      </c>
      <c r="B216" s="14" t="n">
        <f aca="false">'Risk Score'!B2129</f>
        <v>80</v>
      </c>
      <c r="C216" s="14" t="str">
        <f aca="false">'Risk Score'!C2129</f>
        <v>Male</v>
      </c>
      <c r="D216" s="14" t="str">
        <f aca="false">'Risk Score'!D2129</f>
        <v>Current</v>
      </c>
      <c r="E216" s="14" t="str">
        <f aca="false">'Risk Score'!E2129</f>
        <v>Normal</v>
      </c>
      <c r="F216" s="14" t="n">
        <f aca="false">'Risk Score'!F2129</f>
        <v>268.5</v>
      </c>
      <c r="G216" s="14" t="str">
        <f aca="false">'Risk Score'!G2129</f>
        <v>No</v>
      </c>
      <c r="H216" s="14" t="str">
        <f aca="false">'Risk Score'!H2129</f>
        <v>High</v>
      </c>
      <c r="I216" s="15" t="n">
        <f aca="false">'Risk Score'!I2129</f>
        <v>8</v>
      </c>
    </row>
    <row r="217" customFormat="false" ht="15" hidden="false" customHeight="false" outlineLevel="0" collapsed="false">
      <c r="A217" s="14" t="n">
        <f aca="false">'Risk Score'!A2131</f>
        <v>1914</v>
      </c>
      <c r="B217" s="14" t="n">
        <f aca="false">'Risk Score'!B2131</f>
        <v>85</v>
      </c>
      <c r="C217" s="14" t="str">
        <f aca="false">'Risk Score'!C2131</f>
        <v>Female</v>
      </c>
      <c r="D217" s="14" t="str">
        <f aca="false">'Risk Score'!D2131</f>
        <v>Current</v>
      </c>
      <c r="E217" s="14" t="str">
        <f aca="false">'Risk Score'!E2131</f>
        <v>Normal</v>
      </c>
      <c r="F217" s="14" t="n">
        <f aca="false">'Risk Score'!F2131</f>
        <v>284.2</v>
      </c>
      <c r="G217" s="14" t="str">
        <f aca="false">'Risk Score'!G2131</f>
        <v>No</v>
      </c>
      <c r="H217" s="14" t="str">
        <f aca="false">'Risk Score'!H2131</f>
        <v>High</v>
      </c>
      <c r="I217" s="15" t="n">
        <f aca="false">'Risk Score'!I2131</f>
        <v>8</v>
      </c>
    </row>
    <row r="218" customFormat="false" ht="15" hidden="false" customHeight="false" outlineLevel="0" collapsed="false">
      <c r="A218" s="14" t="n">
        <f aca="false">'Risk Score'!A2134</f>
        <v>2087</v>
      </c>
      <c r="B218" s="14" t="n">
        <f aca="false">'Risk Score'!B2134</f>
        <v>45</v>
      </c>
      <c r="C218" s="14" t="str">
        <f aca="false">'Risk Score'!C2134</f>
        <v>Female</v>
      </c>
      <c r="D218" s="14" t="str">
        <f aca="false">'Risk Score'!D2134</f>
        <v>Current</v>
      </c>
      <c r="E218" s="14" t="str">
        <f aca="false">'Risk Score'!E2134</f>
        <v>Normal</v>
      </c>
      <c r="F218" s="14" t="n">
        <f aca="false">'Risk Score'!F2134</f>
        <v>287.8</v>
      </c>
      <c r="G218" s="14" t="str">
        <f aca="false">'Risk Score'!G2134</f>
        <v>No</v>
      </c>
      <c r="H218" s="14" t="str">
        <f aca="false">'Risk Score'!H2134</f>
        <v>High</v>
      </c>
      <c r="I218" s="15" t="n">
        <f aca="false">'Risk Score'!I2134</f>
        <v>8</v>
      </c>
    </row>
    <row r="219" customFormat="false" ht="15" hidden="false" customHeight="false" outlineLevel="0" collapsed="false">
      <c r="A219" s="14" t="n">
        <f aca="false">'Risk Score'!A2211</f>
        <v>1351</v>
      </c>
      <c r="B219" s="14" t="n">
        <f aca="false">'Risk Score'!B2211</f>
        <v>23</v>
      </c>
      <c r="C219" s="14" t="str">
        <f aca="false">'Risk Score'!C2211</f>
        <v>Female</v>
      </c>
      <c r="D219" s="14" t="str">
        <f aca="false">'Risk Score'!D2211</f>
        <v>Current</v>
      </c>
      <c r="E219" s="14" t="str">
        <f aca="false">'Risk Score'!E2211</f>
        <v>Normal</v>
      </c>
      <c r="F219" s="14" t="n">
        <f aca="false">'Risk Score'!F2211</f>
        <v>211</v>
      </c>
      <c r="G219" s="14" t="str">
        <f aca="false">'Risk Score'!G2211</f>
        <v>Yes</v>
      </c>
      <c r="H219" s="14" t="str">
        <f aca="false">'Risk Score'!H2211</f>
        <v>Moderate</v>
      </c>
      <c r="I219" s="15" t="n">
        <f aca="false">'Risk Score'!I2211</f>
        <v>8</v>
      </c>
    </row>
    <row r="220" customFormat="false" ht="15" hidden="false" customHeight="false" outlineLevel="0" collapsed="false">
      <c r="A220" s="14" t="n">
        <f aca="false">'Risk Score'!A2169</f>
        <v>605</v>
      </c>
      <c r="B220" s="14" t="n">
        <f aca="false">'Risk Score'!B2169</f>
        <v>67</v>
      </c>
      <c r="C220" s="14" t="str">
        <f aca="false">'Risk Score'!C2169</f>
        <v>Male</v>
      </c>
      <c r="D220" s="14" t="str">
        <f aca="false">'Risk Score'!D2169</f>
        <v>Current</v>
      </c>
      <c r="E220" s="14" t="str">
        <f aca="false">'Risk Score'!E2169</f>
        <v>Normal</v>
      </c>
      <c r="F220" s="14" t="n">
        <f aca="false">'Risk Score'!F2169</f>
        <v>235.1</v>
      </c>
      <c r="G220" s="14" t="str">
        <f aca="false">'Risk Score'!G2169</f>
        <v>Yes</v>
      </c>
      <c r="H220" s="14" t="str">
        <f aca="false">'Risk Score'!H2169</f>
        <v>Moderate</v>
      </c>
      <c r="I220" s="15" t="n">
        <f aca="false">'Risk Score'!I2169</f>
        <v>8</v>
      </c>
    </row>
    <row r="221" customFormat="false" ht="15" hidden="false" customHeight="false" outlineLevel="0" collapsed="false">
      <c r="A221" s="14" t="n">
        <f aca="false">'Risk Score'!A2184</f>
        <v>898</v>
      </c>
      <c r="B221" s="14" t="n">
        <f aca="false">'Risk Score'!B2184</f>
        <v>57</v>
      </c>
      <c r="C221" s="14" t="str">
        <f aca="false">'Risk Score'!C2184</f>
        <v>Male</v>
      </c>
      <c r="D221" s="14" t="str">
        <f aca="false">'Risk Score'!D2184</f>
        <v>Current</v>
      </c>
      <c r="E221" s="14" t="str">
        <f aca="false">'Risk Score'!E2184</f>
        <v>Normal</v>
      </c>
      <c r="F221" s="14" t="n">
        <f aca="false">'Risk Score'!F2184</f>
        <v>223.9</v>
      </c>
      <c r="G221" s="14" t="str">
        <f aca="false">'Risk Score'!G2184</f>
        <v>Yes</v>
      </c>
      <c r="H221" s="14" t="str">
        <f aca="false">'Risk Score'!H2184</f>
        <v>Moderate</v>
      </c>
      <c r="I221" s="15" t="n">
        <f aca="false">'Risk Score'!I2184</f>
        <v>8</v>
      </c>
    </row>
    <row r="222" customFormat="false" ht="15" hidden="false" customHeight="false" outlineLevel="0" collapsed="false">
      <c r="A222" s="14" t="n">
        <f aca="false">'Risk Score'!A2186</f>
        <v>914</v>
      </c>
      <c r="B222" s="14" t="n">
        <f aca="false">'Risk Score'!B2186</f>
        <v>59</v>
      </c>
      <c r="C222" s="14" t="str">
        <f aca="false">'Risk Score'!C2186</f>
        <v>Male</v>
      </c>
      <c r="D222" s="14" t="str">
        <f aca="false">'Risk Score'!D2186</f>
        <v>Current</v>
      </c>
      <c r="E222" s="14" t="str">
        <f aca="false">'Risk Score'!E2186</f>
        <v>Normal</v>
      </c>
      <c r="F222" s="14" t="n">
        <f aca="false">'Risk Score'!F2186</f>
        <v>208.8</v>
      </c>
      <c r="G222" s="14" t="str">
        <f aca="false">'Risk Score'!G2186</f>
        <v>Yes</v>
      </c>
      <c r="H222" s="14" t="str">
        <f aca="false">'Risk Score'!H2186</f>
        <v>Moderate</v>
      </c>
      <c r="I222" s="15" t="n">
        <f aca="false">'Risk Score'!I2186</f>
        <v>8</v>
      </c>
    </row>
    <row r="223" customFormat="false" ht="15" hidden="false" customHeight="false" outlineLevel="0" collapsed="false">
      <c r="A223" s="14" t="n">
        <f aca="false">'Risk Score'!A2141</f>
        <v>2452</v>
      </c>
      <c r="B223" s="14" t="n">
        <f aca="false">'Risk Score'!B2141</f>
        <v>70</v>
      </c>
      <c r="C223" s="14" t="str">
        <f aca="false">'Risk Score'!C2141</f>
        <v>Female</v>
      </c>
      <c r="D223" s="14" t="str">
        <f aca="false">'Risk Score'!D2141</f>
        <v>Current</v>
      </c>
      <c r="E223" s="14" t="str">
        <f aca="false">'Risk Score'!E2141</f>
        <v>Normal</v>
      </c>
      <c r="F223" s="14" t="n">
        <f aca="false">'Risk Score'!F2141</f>
        <v>127.2</v>
      </c>
      <c r="G223" s="14" t="str">
        <f aca="false">'Risk Score'!G2141</f>
        <v>Yes</v>
      </c>
      <c r="H223" s="14" t="str">
        <f aca="false">'Risk Score'!H2141</f>
        <v>High</v>
      </c>
      <c r="I223" s="15" t="n">
        <f aca="false">'Risk Score'!I2141</f>
        <v>8</v>
      </c>
    </row>
    <row r="224" customFormat="false" ht="15" hidden="false" customHeight="false" outlineLevel="0" collapsed="false">
      <c r="A224" s="14" t="n">
        <f aca="false">'Risk Score'!A2123</f>
        <v>1829</v>
      </c>
      <c r="B224" s="14" t="n">
        <f aca="false">'Risk Score'!B2123</f>
        <v>19</v>
      </c>
      <c r="C224" s="14" t="str">
        <f aca="false">'Risk Score'!C2123</f>
        <v>Male</v>
      </c>
      <c r="D224" s="14" t="str">
        <f aca="false">'Risk Score'!D2123</f>
        <v>Current</v>
      </c>
      <c r="E224" s="14" t="str">
        <f aca="false">'Risk Score'!E2123</f>
        <v>Normal</v>
      </c>
      <c r="F224" s="14" t="n">
        <f aca="false">'Risk Score'!F2123</f>
        <v>249.5</v>
      </c>
      <c r="G224" s="14" t="str">
        <f aca="false">'Risk Score'!G2123</f>
        <v>No</v>
      </c>
      <c r="H224" s="14" t="str">
        <f aca="false">'Risk Score'!H2123</f>
        <v>High</v>
      </c>
      <c r="I224" s="15" t="n">
        <f aca="false">'Risk Score'!I2123</f>
        <v>8</v>
      </c>
    </row>
    <row r="225" customFormat="false" ht="15" hidden="false" customHeight="false" outlineLevel="0" collapsed="false">
      <c r="A225" s="14" t="n">
        <f aca="false">'Risk Score'!A2249</f>
        <v>1961</v>
      </c>
      <c r="B225" s="14" t="n">
        <f aca="false">'Risk Score'!B2249</f>
        <v>65</v>
      </c>
      <c r="C225" s="14" t="str">
        <f aca="false">'Risk Score'!C2249</f>
        <v>Male</v>
      </c>
      <c r="D225" s="14" t="str">
        <f aca="false">'Risk Score'!D2249</f>
        <v>Current</v>
      </c>
      <c r="E225" s="14" t="str">
        <f aca="false">'Risk Score'!E2249</f>
        <v>Normal</v>
      </c>
      <c r="F225" s="14" t="n">
        <f aca="false">'Risk Score'!F2249</f>
        <v>211.1</v>
      </c>
      <c r="G225" s="14" t="str">
        <f aca="false">'Risk Score'!G2249</f>
        <v>Yes</v>
      </c>
      <c r="H225" s="14" t="str">
        <f aca="false">'Risk Score'!H2249</f>
        <v>Moderate</v>
      </c>
      <c r="I225" s="15" t="n">
        <f aca="false">'Risk Score'!I2249</f>
        <v>8</v>
      </c>
    </row>
    <row r="226" customFormat="false" ht="15" hidden="false" customHeight="false" outlineLevel="0" collapsed="false">
      <c r="A226" s="14" t="n">
        <f aca="false">'Risk Score'!A2251</f>
        <v>1978</v>
      </c>
      <c r="B226" s="14" t="n">
        <f aca="false">'Risk Score'!B2251</f>
        <v>64</v>
      </c>
      <c r="C226" s="14" t="str">
        <f aca="false">'Risk Score'!C2251</f>
        <v>Male</v>
      </c>
      <c r="D226" s="14" t="str">
        <f aca="false">'Risk Score'!D2251</f>
        <v>Current</v>
      </c>
      <c r="E226" s="14" t="str">
        <f aca="false">'Risk Score'!E2251</f>
        <v>Normal</v>
      </c>
      <c r="F226" s="14" t="n">
        <f aca="false">'Risk Score'!F2251</f>
        <v>223</v>
      </c>
      <c r="G226" s="14" t="str">
        <f aca="false">'Risk Score'!G2251</f>
        <v>Yes</v>
      </c>
      <c r="H226" s="14" t="str">
        <f aca="false">'Risk Score'!H2251</f>
        <v>Moderate</v>
      </c>
      <c r="I226" s="15" t="n">
        <f aca="false">'Risk Score'!I2251</f>
        <v>8</v>
      </c>
    </row>
    <row r="227" customFormat="false" ht="15" hidden="false" customHeight="false" outlineLevel="0" collapsed="false">
      <c r="A227" s="14" t="n">
        <f aca="false">'Risk Score'!A2261</f>
        <v>2073</v>
      </c>
      <c r="B227" s="14" t="n">
        <f aca="false">'Risk Score'!B2261</f>
        <v>56</v>
      </c>
      <c r="C227" s="14" t="str">
        <f aca="false">'Risk Score'!C2261</f>
        <v>Male</v>
      </c>
      <c r="D227" s="14" t="str">
        <f aca="false">'Risk Score'!D2261</f>
        <v>Current</v>
      </c>
      <c r="E227" s="14" t="str">
        <f aca="false">'Risk Score'!E2261</f>
        <v>Normal</v>
      </c>
      <c r="F227" s="14" t="n">
        <f aca="false">'Risk Score'!F2261</f>
        <v>217.9</v>
      </c>
      <c r="G227" s="14" t="str">
        <f aca="false">'Risk Score'!G2261</f>
        <v>Yes</v>
      </c>
      <c r="H227" s="14" t="str">
        <f aca="false">'Risk Score'!H2261</f>
        <v>Moderate</v>
      </c>
      <c r="I227" s="15" t="n">
        <f aca="false">'Risk Score'!I2261</f>
        <v>8</v>
      </c>
    </row>
    <row r="228" customFormat="false" ht="15" hidden="false" customHeight="false" outlineLevel="0" collapsed="false">
      <c r="A228" s="14" t="n">
        <f aca="false">'Risk Score'!A2270</f>
        <v>2151</v>
      </c>
      <c r="B228" s="14" t="n">
        <f aca="false">'Risk Score'!B2270</f>
        <v>49</v>
      </c>
      <c r="C228" s="14" t="str">
        <f aca="false">'Risk Score'!C2270</f>
        <v>Male</v>
      </c>
      <c r="D228" s="14" t="str">
        <f aca="false">'Risk Score'!D2270</f>
        <v>Current</v>
      </c>
      <c r="E228" s="14" t="str">
        <f aca="false">'Risk Score'!E2270</f>
        <v>Normal</v>
      </c>
      <c r="F228" s="14" t="n">
        <f aca="false">'Risk Score'!F2270</f>
        <v>218.4</v>
      </c>
      <c r="G228" s="14" t="str">
        <f aca="false">'Risk Score'!G2270</f>
        <v>Yes</v>
      </c>
      <c r="H228" s="14" t="str">
        <f aca="false">'Risk Score'!H2270</f>
        <v>Moderate</v>
      </c>
      <c r="I228" s="15" t="n">
        <f aca="false">'Risk Score'!I2270</f>
        <v>8</v>
      </c>
    </row>
    <row r="229" customFormat="false" ht="15" hidden="false" customHeight="false" outlineLevel="0" collapsed="false">
      <c r="A229" s="14" t="n">
        <f aca="false">'Risk Score'!A2287</f>
        <v>2446</v>
      </c>
      <c r="B229" s="14" t="n">
        <f aca="false">'Risk Score'!B2287</f>
        <v>39</v>
      </c>
      <c r="C229" s="14" t="str">
        <f aca="false">'Risk Score'!C2287</f>
        <v>Female</v>
      </c>
      <c r="D229" s="14" t="str">
        <f aca="false">'Risk Score'!D2287</f>
        <v>Current</v>
      </c>
      <c r="E229" s="14" t="str">
        <f aca="false">'Risk Score'!E2287</f>
        <v>Normal</v>
      </c>
      <c r="F229" s="14" t="n">
        <f aca="false">'Risk Score'!F2287</f>
        <v>225</v>
      </c>
      <c r="G229" s="14" t="str">
        <f aca="false">'Risk Score'!G2287</f>
        <v>Yes</v>
      </c>
      <c r="H229" s="14" t="str">
        <f aca="false">'Risk Score'!H2287</f>
        <v>Moderate</v>
      </c>
      <c r="I229" s="15" t="n">
        <f aca="false">'Risk Score'!I2287</f>
        <v>8</v>
      </c>
    </row>
    <row r="230" customFormat="false" ht="15" hidden="false" customHeight="false" outlineLevel="0" collapsed="false">
      <c r="A230" s="14" t="n">
        <f aca="false">'Risk Score'!A2292</f>
        <v>72</v>
      </c>
      <c r="B230" s="14" t="n">
        <f aca="false">'Risk Score'!B2292</f>
        <v>86</v>
      </c>
      <c r="C230" s="14" t="str">
        <f aca="false">'Risk Score'!C2292</f>
        <v>Female</v>
      </c>
      <c r="D230" s="14" t="str">
        <f aca="false">'Risk Score'!D2292</f>
        <v>Current</v>
      </c>
      <c r="E230" s="14" t="str">
        <f aca="false">'Risk Score'!E2292</f>
        <v>Normal</v>
      </c>
      <c r="F230" s="14" t="n">
        <f aca="false">'Risk Score'!F2292</f>
        <v>288.9</v>
      </c>
      <c r="G230" s="14" t="str">
        <f aca="false">'Risk Score'!G2292</f>
        <v>Yes</v>
      </c>
      <c r="H230" s="14" t="str">
        <f aca="false">'Risk Score'!H2292</f>
        <v>Low</v>
      </c>
      <c r="I230" s="15" t="n">
        <f aca="false">'Risk Score'!I2292</f>
        <v>8</v>
      </c>
    </row>
    <row r="231" customFormat="false" ht="15" hidden="false" customHeight="false" outlineLevel="0" collapsed="false">
      <c r="A231" s="14" t="n">
        <f aca="false">'Risk Score'!A2300</f>
        <v>160</v>
      </c>
      <c r="B231" s="14" t="n">
        <f aca="false">'Risk Score'!B2300</f>
        <v>35</v>
      </c>
      <c r="C231" s="14" t="str">
        <f aca="false">'Risk Score'!C2300</f>
        <v>Male</v>
      </c>
      <c r="D231" s="14" t="str">
        <f aca="false">'Risk Score'!D2300</f>
        <v>Current</v>
      </c>
      <c r="E231" s="14" t="str">
        <f aca="false">'Risk Score'!E2300</f>
        <v>Normal</v>
      </c>
      <c r="F231" s="14" t="n">
        <f aca="false">'Risk Score'!F2300</f>
        <v>298.4</v>
      </c>
      <c r="G231" s="14" t="str">
        <f aca="false">'Risk Score'!G2300</f>
        <v>Yes</v>
      </c>
      <c r="H231" s="14" t="str">
        <f aca="false">'Risk Score'!H2300</f>
        <v>Low</v>
      </c>
      <c r="I231" s="15" t="n">
        <f aca="false">'Risk Score'!I2300</f>
        <v>8</v>
      </c>
    </row>
    <row r="232" customFormat="false" ht="15" hidden="false" customHeight="false" outlineLevel="0" collapsed="false">
      <c r="A232" s="14" t="n">
        <f aca="false">'Risk Score'!A2312</f>
        <v>295</v>
      </c>
      <c r="B232" s="14" t="n">
        <f aca="false">'Risk Score'!B2312</f>
        <v>39</v>
      </c>
      <c r="C232" s="14" t="str">
        <f aca="false">'Risk Score'!C2312</f>
        <v>Male</v>
      </c>
      <c r="D232" s="14" t="str">
        <f aca="false">'Risk Score'!D2312</f>
        <v>Current</v>
      </c>
      <c r="E232" s="14" t="str">
        <f aca="false">'Risk Score'!E2312</f>
        <v>Normal</v>
      </c>
      <c r="F232" s="14" t="n">
        <f aca="false">'Risk Score'!F2312</f>
        <v>255.7</v>
      </c>
      <c r="G232" s="14" t="str">
        <f aca="false">'Risk Score'!G2312</f>
        <v>Yes</v>
      </c>
      <c r="H232" s="14" t="str">
        <f aca="false">'Risk Score'!H2312</f>
        <v>Low</v>
      </c>
      <c r="I232" s="15" t="n">
        <f aca="false">'Risk Score'!I2312</f>
        <v>8</v>
      </c>
    </row>
    <row r="233" customFormat="false" ht="15" hidden="false" customHeight="false" outlineLevel="0" collapsed="false">
      <c r="A233" s="14" t="n">
        <f aca="false">'Risk Score'!A2320</f>
        <v>373</v>
      </c>
      <c r="B233" s="14" t="n">
        <f aca="false">'Risk Score'!B2320</f>
        <v>33</v>
      </c>
      <c r="C233" s="14" t="str">
        <f aca="false">'Risk Score'!C2320</f>
        <v>Female</v>
      </c>
      <c r="D233" s="14" t="str">
        <f aca="false">'Risk Score'!D2320</f>
        <v>Current</v>
      </c>
      <c r="E233" s="14" t="str">
        <f aca="false">'Risk Score'!E2320</f>
        <v>Normal</v>
      </c>
      <c r="F233" s="14" t="n">
        <f aca="false">'Risk Score'!F2320</f>
        <v>284.4</v>
      </c>
      <c r="G233" s="14" t="str">
        <f aca="false">'Risk Score'!G2320</f>
        <v>Yes</v>
      </c>
      <c r="H233" s="14" t="str">
        <f aca="false">'Risk Score'!H2320</f>
        <v>Low</v>
      </c>
      <c r="I233" s="15" t="n">
        <f aca="false">'Risk Score'!I2320</f>
        <v>8</v>
      </c>
    </row>
    <row r="234" customFormat="false" ht="15" hidden="false" customHeight="false" outlineLevel="0" collapsed="false">
      <c r="A234" s="14" t="n">
        <f aca="false">'Risk Score'!A2321</f>
        <v>375</v>
      </c>
      <c r="B234" s="14" t="n">
        <f aca="false">'Risk Score'!B2321</f>
        <v>51</v>
      </c>
      <c r="C234" s="14" t="str">
        <f aca="false">'Risk Score'!C2321</f>
        <v>Male</v>
      </c>
      <c r="D234" s="14" t="str">
        <f aca="false">'Risk Score'!D2321</f>
        <v>Current</v>
      </c>
      <c r="E234" s="14" t="str">
        <f aca="false">'Risk Score'!E2321</f>
        <v>Normal</v>
      </c>
      <c r="F234" s="14" t="n">
        <f aca="false">'Risk Score'!F2321</f>
        <v>244.4</v>
      </c>
      <c r="G234" s="14" t="str">
        <f aca="false">'Risk Score'!G2321</f>
        <v>Yes</v>
      </c>
      <c r="H234" s="14" t="str">
        <f aca="false">'Risk Score'!H2321</f>
        <v>Low</v>
      </c>
      <c r="I234" s="15" t="n">
        <f aca="false">'Risk Score'!I2321</f>
        <v>8</v>
      </c>
    </row>
    <row r="235" customFormat="false" ht="15" hidden="false" customHeight="false" outlineLevel="0" collapsed="false">
      <c r="A235" s="14" t="n">
        <f aca="false">'Risk Score'!A2338</f>
        <v>541</v>
      </c>
      <c r="B235" s="14" t="n">
        <f aca="false">'Risk Score'!B2338</f>
        <v>22</v>
      </c>
      <c r="C235" s="14" t="str">
        <f aca="false">'Risk Score'!C2338</f>
        <v>Female</v>
      </c>
      <c r="D235" s="14" t="str">
        <f aca="false">'Risk Score'!D2338</f>
        <v>Current</v>
      </c>
      <c r="E235" s="14" t="str">
        <f aca="false">'Risk Score'!E2338</f>
        <v>Normal</v>
      </c>
      <c r="F235" s="14" t="n">
        <f aca="false">'Risk Score'!F2338</f>
        <v>280</v>
      </c>
      <c r="G235" s="14" t="str">
        <f aca="false">'Risk Score'!G2338</f>
        <v>Yes</v>
      </c>
      <c r="H235" s="14" t="str">
        <f aca="false">'Risk Score'!H2338</f>
        <v>Low</v>
      </c>
      <c r="I235" s="15" t="n">
        <f aca="false">'Risk Score'!I2338</f>
        <v>8</v>
      </c>
    </row>
    <row r="236" customFormat="false" ht="15" hidden="false" customHeight="false" outlineLevel="0" collapsed="false">
      <c r="A236" s="14" t="n">
        <f aca="false">'Risk Score'!A2343</f>
        <v>627</v>
      </c>
      <c r="B236" s="14" t="n">
        <f aca="false">'Risk Score'!B2343</f>
        <v>65</v>
      </c>
      <c r="C236" s="14" t="str">
        <f aca="false">'Risk Score'!C2343</f>
        <v>Male</v>
      </c>
      <c r="D236" s="14" t="str">
        <f aca="false">'Risk Score'!D2343</f>
        <v>Current</v>
      </c>
      <c r="E236" s="14" t="str">
        <f aca="false">'Risk Score'!E2343</f>
        <v>Normal</v>
      </c>
      <c r="F236" s="14" t="n">
        <f aca="false">'Risk Score'!F2343</f>
        <v>280.5</v>
      </c>
      <c r="G236" s="14" t="str">
        <f aca="false">'Risk Score'!G2343</f>
        <v>Yes</v>
      </c>
      <c r="H236" s="14" t="str">
        <f aca="false">'Risk Score'!H2343</f>
        <v>Low</v>
      </c>
      <c r="I236" s="15" t="n">
        <f aca="false">'Risk Score'!I2343</f>
        <v>8</v>
      </c>
    </row>
    <row r="237" customFormat="false" ht="15" hidden="false" customHeight="false" outlineLevel="0" collapsed="false">
      <c r="A237" s="14" t="n">
        <f aca="false">'Risk Score'!A2364</f>
        <v>941</v>
      </c>
      <c r="B237" s="14" t="n">
        <f aca="false">'Risk Score'!B2364</f>
        <v>67</v>
      </c>
      <c r="C237" s="14" t="str">
        <f aca="false">'Risk Score'!C2364</f>
        <v>Male</v>
      </c>
      <c r="D237" s="14" t="str">
        <f aca="false">'Risk Score'!D2364</f>
        <v>Current</v>
      </c>
      <c r="E237" s="14" t="str">
        <f aca="false">'Risk Score'!E2364</f>
        <v>Normal</v>
      </c>
      <c r="F237" s="14" t="n">
        <f aca="false">'Risk Score'!F2364</f>
        <v>260.5</v>
      </c>
      <c r="G237" s="14" t="str">
        <f aca="false">'Risk Score'!G2364</f>
        <v>Yes</v>
      </c>
      <c r="H237" s="14" t="str">
        <f aca="false">'Risk Score'!H2364</f>
        <v>Low</v>
      </c>
      <c r="I237" s="15" t="n">
        <f aca="false">'Risk Score'!I2364</f>
        <v>8</v>
      </c>
    </row>
    <row r="238" customFormat="false" ht="15" hidden="false" customHeight="false" outlineLevel="0" collapsed="false">
      <c r="A238" s="14" t="n">
        <f aca="false">'Risk Score'!A2377</f>
        <v>1079</v>
      </c>
      <c r="B238" s="14" t="n">
        <f aca="false">'Risk Score'!B2377</f>
        <v>76</v>
      </c>
      <c r="C238" s="14" t="str">
        <f aca="false">'Risk Score'!C2377</f>
        <v>Male</v>
      </c>
      <c r="D238" s="14" t="str">
        <f aca="false">'Risk Score'!D2377</f>
        <v>Current</v>
      </c>
      <c r="E238" s="14" t="str">
        <f aca="false">'Risk Score'!E2377</f>
        <v>Normal</v>
      </c>
      <c r="F238" s="14" t="n">
        <f aca="false">'Risk Score'!F2377</f>
        <v>267.5</v>
      </c>
      <c r="G238" s="14" t="str">
        <f aca="false">'Risk Score'!G2377</f>
        <v>Yes</v>
      </c>
      <c r="H238" s="14" t="str">
        <f aca="false">'Risk Score'!H2377</f>
        <v>Low</v>
      </c>
      <c r="I238" s="15" t="n">
        <f aca="false">'Risk Score'!I2377</f>
        <v>8</v>
      </c>
    </row>
    <row r="239" customFormat="false" ht="15" hidden="false" customHeight="false" outlineLevel="0" collapsed="false">
      <c r="A239" s="14" t="n">
        <f aca="false">'Risk Score'!A2378</f>
        <v>1088</v>
      </c>
      <c r="B239" s="14" t="n">
        <f aca="false">'Risk Score'!B2378</f>
        <v>27</v>
      </c>
      <c r="C239" s="14" t="str">
        <f aca="false">'Risk Score'!C2378</f>
        <v>Male</v>
      </c>
      <c r="D239" s="14" t="str">
        <f aca="false">'Risk Score'!D2378</f>
        <v>Current</v>
      </c>
      <c r="E239" s="14" t="str">
        <f aca="false">'Risk Score'!E2378</f>
        <v>Normal</v>
      </c>
      <c r="F239" s="14" t="n">
        <f aca="false">'Risk Score'!F2378</f>
        <v>293.2</v>
      </c>
      <c r="G239" s="14" t="str">
        <f aca="false">'Risk Score'!G2378</f>
        <v>Yes</v>
      </c>
      <c r="H239" s="14" t="str">
        <f aca="false">'Risk Score'!H2378</f>
        <v>Low</v>
      </c>
      <c r="I239" s="15" t="n">
        <f aca="false">'Risk Score'!I2378</f>
        <v>8</v>
      </c>
    </row>
    <row r="240" customFormat="false" ht="15" hidden="false" customHeight="false" outlineLevel="0" collapsed="false">
      <c r="A240" s="14" t="n">
        <f aca="false">'Risk Score'!A2392</f>
        <v>1378</v>
      </c>
      <c r="B240" s="14" t="n">
        <f aca="false">'Risk Score'!B2392</f>
        <v>57</v>
      </c>
      <c r="C240" s="14" t="str">
        <f aca="false">'Risk Score'!C2392</f>
        <v>Female</v>
      </c>
      <c r="D240" s="14" t="str">
        <f aca="false">'Risk Score'!D2392</f>
        <v>Current</v>
      </c>
      <c r="E240" s="14" t="str">
        <f aca="false">'Risk Score'!E2392</f>
        <v>Normal</v>
      </c>
      <c r="F240" s="14" t="n">
        <f aca="false">'Risk Score'!F2392</f>
        <v>280.9</v>
      </c>
      <c r="G240" s="14" t="str">
        <f aca="false">'Risk Score'!G2392</f>
        <v>Yes</v>
      </c>
      <c r="H240" s="14" t="str">
        <f aca="false">'Risk Score'!H2392</f>
        <v>Low</v>
      </c>
      <c r="I240" s="15" t="n">
        <f aca="false">'Risk Score'!I2392</f>
        <v>8</v>
      </c>
    </row>
    <row r="241" customFormat="false" ht="15" hidden="false" customHeight="false" outlineLevel="0" collapsed="false">
      <c r="A241" s="14" t="n">
        <f aca="false">'Risk Score'!A2407</f>
        <v>1466</v>
      </c>
      <c r="B241" s="14" t="n">
        <f aca="false">'Risk Score'!B2407</f>
        <v>54</v>
      </c>
      <c r="C241" s="14" t="str">
        <f aca="false">'Risk Score'!C2407</f>
        <v>Male</v>
      </c>
      <c r="D241" s="14" t="str">
        <f aca="false">'Risk Score'!D2407</f>
        <v>Current</v>
      </c>
      <c r="E241" s="14" t="str">
        <f aca="false">'Risk Score'!E2407</f>
        <v>Normal</v>
      </c>
      <c r="F241" s="14" t="n">
        <f aca="false">'Risk Score'!F2407</f>
        <v>291.1</v>
      </c>
      <c r="G241" s="14" t="str">
        <f aca="false">'Risk Score'!G2407</f>
        <v>Yes</v>
      </c>
      <c r="H241" s="14" t="str">
        <f aca="false">'Risk Score'!H2407</f>
        <v>Low</v>
      </c>
      <c r="I241" s="15" t="n">
        <f aca="false">'Risk Score'!I2407</f>
        <v>8</v>
      </c>
    </row>
    <row r="242" customFormat="false" ht="15" hidden="false" customHeight="false" outlineLevel="0" collapsed="false">
      <c r="A242" s="14" t="n">
        <f aca="false">'Risk Score'!A2408</f>
        <v>1467</v>
      </c>
      <c r="B242" s="14" t="n">
        <f aca="false">'Risk Score'!B2408</f>
        <v>60</v>
      </c>
      <c r="C242" s="14" t="str">
        <f aca="false">'Risk Score'!C2408</f>
        <v>Female</v>
      </c>
      <c r="D242" s="14" t="str">
        <f aca="false">'Risk Score'!D2408</f>
        <v>Current</v>
      </c>
      <c r="E242" s="14" t="str">
        <f aca="false">'Risk Score'!E2408</f>
        <v>Normal</v>
      </c>
      <c r="F242" s="14" t="n">
        <f aca="false">'Risk Score'!F2408</f>
        <v>297.6</v>
      </c>
      <c r="G242" s="14" t="str">
        <f aca="false">'Risk Score'!G2408</f>
        <v>Yes</v>
      </c>
      <c r="H242" s="14" t="str">
        <f aca="false">'Risk Score'!H2408</f>
        <v>Low</v>
      </c>
      <c r="I242" s="15" t="n">
        <f aca="false">'Risk Score'!I2408</f>
        <v>8</v>
      </c>
    </row>
    <row r="243" customFormat="false" ht="15" hidden="false" customHeight="false" outlineLevel="0" collapsed="false">
      <c r="A243" s="14" t="n">
        <f aca="false">'Risk Score'!A2419</f>
        <v>1599</v>
      </c>
      <c r="B243" s="14" t="n">
        <f aca="false">'Risk Score'!B2419</f>
        <v>87</v>
      </c>
      <c r="C243" s="14" t="str">
        <f aca="false">'Risk Score'!C2419</f>
        <v>Male</v>
      </c>
      <c r="D243" s="14" t="str">
        <f aca="false">'Risk Score'!D2419</f>
        <v>Current</v>
      </c>
      <c r="E243" s="14" t="str">
        <f aca="false">'Risk Score'!E2419</f>
        <v>Normal</v>
      </c>
      <c r="F243" s="14" t="n">
        <f aca="false">'Risk Score'!F2419</f>
        <v>270.3</v>
      </c>
      <c r="G243" s="14" t="str">
        <f aca="false">'Risk Score'!G2419</f>
        <v>Yes</v>
      </c>
      <c r="H243" s="14" t="str">
        <f aca="false">'Risk Score'!H2419</f>
        <v>Low</v>
      </c>
      <c r="I243" s="15" t="n">
        <f aca="false">'Risk Score'!I2419</f>
        <v>8</v>
      </c>
    </row>
    <row r="244" customFormat="false" ht="15" hidden="false" customHeight="false" outlineLevel="0" collapsed="false">
      <c r="A244" s="14" t="n">
        <f aca="false">'Risk Score'!A2459</f>
        <v>1991</v>
      </c>
      <c r="B244" s="14" t="n">
        <f aca="false">'Risk Score'!B2459</f>
        <v>67</v>
      </c>
      <c r="C244" s="14" t="str">
        <f aca="false">'Risk Score'!C2459</f>
        <v>Male</v>
      </c>
      <c r="D244" s="14" t="str">
        <f aca="false">'Risk Score'!D2459</f>
        <v>Current</v>
      </c>
      <c r="E244" s="14" t="str">
        <f aca="false">'Risk Score'!E2459</f>
        <v>Normal</v>
      </c>
      <c r="F244" s="14" t="n">
        <f aca="false">'Risk Score'!F2459</f>
        <v>296.7</v>
      </c>
      <c r="G244" s="14" t="str">
        <f aca="false">'Risk Score'!G2459</f>
        <v>Yes</v>
      </c>
      <c r="H244" s="14" t="str">
        <f aca="false">'Risk Score'!H2459</f>
        <v>Low</v>
      </c>
      <c r="I244" s="15" t="n">
        <f aca="false">'Risk Score'!I2459</f>
        <v>8</v>
      </c>
    </row>
    <row r="245" customFormat="false" ht="15" hidden="false" customHeight="false" outlineLevel="0" collapsed="false">
      <c r="A245" s="14" t="n">
        <f aca="false">'Risk Score'!A2460</f>
        <v>2015</v>
      </c>
      <c r="B245" s="14" t="n">
        <f aca="false">'Risk Score'!B2460</f>
        <v>18</v>
      </c>
      <c r="C245" s="14" t="str">
        <f aca="false">'Risk Score'!C2460</f>
        <v>Female</v>
      </c>
      <c r="D245" s="14" t="str">
        <f aca="false">'Risk Score'!D2460</f>
        <v>Current</v>
      </c>
      <c r="E245" s="14" t="str">
        <f aca="false">'Risk Score'!E2460</f>
        <v>Normal</v>
      </c>
      <c r="F245" s="14" t="n">
        <f aca="false">'Risk Score'!F2460</f>
        <v>286.5</v>
      </c>
      <c r="G245" s="14" t="str">
        <f aca="false">'Risk Score'!G2460</f>
        <v>Yes</v>
      </c>
      <c r="H245" s="14" t="str">
        <f aca="false">'Risk Score'!H2460</f>
        <v>Low</v>
      </c>
      <c r="I245" s="15" t="n">
        <f aca="false">'Risk Score'!I2460</f>
        <v>8</v>
      </c>
    </row>
    <row r="246" customFormat="false" ht="15" hidden="false" customHeight="false" outlineLevel="0" collapsed="false">
      <c r="A246" s="14" t="n">
        <f aca="false">'Risk Score'!A2468</f>
        <v>2100</v>
      </c>
      <c r="B246" s="14" t="n">
        <f aca="false">'Risk Score'!B2468</f>
        <v>25</v>
      </c>
      <c r="C246" s="14" t="str">
        <f aca="false">'Risk Score'!C2468</f>
        <v>Male</v>
      </c>
      <c r="D246" s="14" t="str">
        <f aca="false">'Risk Score'!D2468</f>
        <v>Current</v>
      </c>
      <c r="E246" s="14" t="str">
        <f aca="false">'Risk Score'!E2468</f>
        <v>Normal</v>
      </c>
      <c r="F246" s="14" t="n">
        <f aca="false">'Risk Score'!F2468</f>
        <v>268.6</v>
      </c>
      <c r="G246" s="14" t="str">
        <f aca="false">'Risk Score'!G2468</f>
        <v>Yes</v>
      </c>
      <c r="H246" s="14" t="str">
        <f aca="false">'Risk Score'!H2468</f>
        <v>Low</v>
      </c>
      <c r="I246" s="15" t="n">
        <f aca="false">'Risk Score'!I2468</f>
        <v>8</v>
      </c>
    </row>
    <row r="247" customFormat="false" ht="15" hidden="false" customHeight="false" outlineLevel="0" collapsed="false">
      <c r="A247" s="14" t="n">
        <f aca="false">'Risk Score'!A2469</f>
        <v>2112</v>
      </c>
      <c r="B247" s="14" t="n">
        <f aca="false">'Risk Score'!B2469</f>
        <v>44</v>
      </c>
      <c r="C247" s="14" t="str">
        <f aca="false">'Risk Score'!C2469</f>
        <v>Male</v>
      </c>
      <c r="D247" s="14" t="str">
        <f aca="false">'Risk Score'!D2469</f>
        <v>Current</v>
      </c>
      <c r="E247" s="14" t="str">
        <f aca="false">'Risk Score'!E2469</f>
        <v>Normal</v>
      </c>
      <c r="F247" s="14" t="n">
        <f aca="false">'Risk Score'!F2469</f>
        <v>290.7</v>
      </c>
      <c r="G247" s="14" t="str">
        <f aca="false">'Risk Score'!G2469</f>
        <v>Yes</v>
      </c>
      <c r="H247" s="14" t="str">
        <f aca="false">'Risk Score'!H2469</f>
        <v>Low</v>
      </c>
      <c r="I247" s="15" t="n">
        <f aca="false">'Risk Score'!I2469</f>
        <v>8</v>
      </c>
    </row>
    <row r="248" customFormat="false" ht="15" hidden="false" customHeight="false" outlineLevel="0" collapsed="false">
      <c r="A248" s="14" t="n">
        <f aca="false">'Risk Score'!A2472</f>
        <v>2148</v>
      </c>
      <c r="B248" s="14" t="n">
        <f aca="false">'Risk Score'!B2472</f>
        <v>65</v>
      </c>
      <c r="C248" s="14" t="str">
        <f aca="false">'Risk Score'!C2472</f>
        <v>Female</v>
      </c>
      <c r="D248" s="14" t="str">
        <f aca="false">'Risk Score'!D2472</f>
        <v>Current</v>
      </c>
      <c r="E248" s="14" t="str">
        <f aca="false">'Risk Score'!E2472</f>
        <v>Normal</v>
      </c>
      <c r="F248" s="14" t="n">
        <f aca="false">'Risk Score'!F2472</f>
        <v>251.3</v>
      </c>
      <c r="G248" s="14" t="str">
        <f aca="false">'Risk Score'!G2472</f>
        <v>Yes</v>
      </c>
      <c r="H248" s="14" t="str">
        <f aca="false">'Risk Score'!H2472</f>
        <v>Low</v>
      </c>
      <c r="I248" s="15" t="n">
        <f aca="false">'Risk Score'!I2472</f>
        <v>8</v>
      </c>
    </row>
    <row r="249" customFormat="false" ht="15" hidden="false" customHeight="false" outlineLevel="0" collapsed="false">
      <c r="A249" s="14" t="n">
        <f aca="false">'Risk Score'!A2487</f>
        <v>2346</v>
      </c>
      <c r="B249" s="14" t="n">
        <f aca="false">'Risk Score'!B2487</f>
        <v>58</v>
      </c>
      <c r="C249" s="14" t="str">
        <f aca="false">'Risk Score'!C2487</f>
        <v>Male</v>
      </c>
      <c r="D249" s="14" t="str">
        <f aca="false">'Risk Score'!D2487</f>
        <v>Current</v>
      </c>
      <c r="E249" s="14" t="str">
        <f aca="false">'Risk Score'!E2487</f>
        <v>Normal</v>
      </c>
      <c r="F249" s="14" t="n">
        <f aca="false">'Risk Score'!F2487</f>
        <v>279.2</v>
      </c>
      <c r="G249" s="14" t="str">
        <f aca="false">'Risk Score'!G2487</f>
        <v>Yes</v>
      </c>
      <c r="H249" s="14" t="str">
        <f aca="false">'Risk Score'!H2487</f>
        <v>Low</v>
      </c>
      <c r="I249" s="15" t="n">
        <f aca="false">'Risk Score'!I2487</f>
        <v>8</v>
      </c>
    </row>
    <row r="250" customFormat="false" ht="15" hidden="false" customHeight="false" outlineLevel="0" collapsed="false">
      <c r="A250" s="14" t="n">
        <f aca="false">'Risk Score'!A2498</f>
        <v>2454</v>
      </c>
      <c r="B250" s="14" t="n">
        <f aca="false">'Risk Score'!B2498</f>
        <v>60</v>
      </c>
      <c r="C250" s="14" t="str">
        <f aca="false">'Risk Score'!C2498</f>
        <v>Female</v>
      </c>
      <c r="D250" s="14" t="str">
        <f aca="false">'Risk Score'!D2498</f>
        <v>Current</v>
      </c>
      <c r="E250" s="14" t="str">
        <f aca="false">'Risk Score'!E2498</f>
        <v>Normal</v>
      </c>
      <c r="F250" s="14" t="n">
        <f aca="false">'Risk Score'!F2498</f>
        <v>243.3</v>
      </c>
      <c r="G250" s="14" t="str">
        <f aca="false">'Risk Score'!G2498</f>
        <v>Yes</v>
      </c>
      <c r="H250" s="14" t="str">
        <f aca="false">'Risk Score'!H2498</f>
        <v>Low</v>
      </c>
      <c r="I250" s="15" t="n">
        <f aca="false">'Risk Score'!I2498</f>
        <v>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2026-09-05T12:32:03Z</dcterms:created>
  <dc:creator>openpyxl</dc:creator>
  <dc:description/>
  <dc:language>en-US</dc:language>
  <cp:lastModifiedBy/>
  <dcterms:modified xsi:type="dcterms:W3CDTF">2026-09-05T12:33:13Z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